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_de_trabalho" hidePivotFieldList="1"/>
  <mc:AlternateContent xmlns:mc="http://schemas.openxmlformats.org/markup-compatibility/2006">
    <mc:Choice Requires="x15">
      <x15ac:absPath xmlns:x15ac="http://schemas.microsoft.com/office/spreadsheetml/2010/11/ac" url="https://nstechcloud.sharepoint.com/sites/opt.openqualidade/Documentos Compartilhados/&amp; INFORMAÇÕES SIGILOSA DO AUDITOR - 2026/AUDITORIA/MATERIAIS AUDITORIAS/CRITÉRIOS DE AUDITORIA/"/>
    </mc:Choice>
  </mc:AlternateContent>
  <xr:revisionPtr revIDLastSave="10" documentId="8_{EA1BCC6D-A27E-4F0A-A4CC-872E1FF32F28}" xr6:coauthVersionLast="47" xr6:coauthVersionMax="47" xr10:uidLastSave="{AEF86B16-17BC-4829-99ED-A0B1AB2F6EF4}"/>
  <bookViews>
    <workbookView xWindow="-110" yWindow="-110" windowWidth="19420" windowHeight="10420" tabRatio="934" firstSheet="49" activeTab="54" xr2:uid="{00000000-000D-0000-FFFF-FFFF00000000}"/>
  </bookViews>
  <sheets>
    <sheet name="Consulta" sheetId="28" state="hidden" r:id="rId1"/>
    <sheet name="Auditoria" sheetId="24" state="hidden" r:id="rId2"/>
    <sheet name="BD" sheetId="17" state="hidden" r:id="rId3"/>
    <sheet name="BD Campos" sheetId="25" state="hidden" r:id="rId4"/>
    <sheet name="Pesos" sheetId="27" state="hidden" r:id="rId5"/>
    <sheet name="Prioritario" sheetId="30" r:id="rId6"/>
    <sheet name="Sensores" sheetId="81" state="hidden" r:id="rId7"/>
    <sheet name="Posição" sheetId="35" r:id="rId8"/>
    <sheet name="Parada" sheetId="33" r:id="rId9"/>
    <sheet name="Desvio" sheetId="31" r:id="rId10"/>
    <sheet name="Apoio" sheetId="36" r:id="rId11"/>
    <sheet name="Policial" sheetId="37" r:id="rId12"/>
    <sheet name="Receptiva" sheetId="77" r:id="rId13"/>
    <sheet name="C.Prioritario" sheetId="38" r:id="rId14"/>
    <sheet name="C.Posição" sheetId="39" r:id="rId15"/>
    <sheet name="C.Parada" sheetId="40" r:id="rId16"/>
    <sheet name="C.Desvio" sheetId="41" r:id="rId17"/>
    <sheet name="Antecedente" sheetId="45" r:id="rId18"/>
    <sheet name="Impedimento" sheetId="46" state="hidden" r:id="rId19"/>
    <sheet name="Loss Tree" sheetId="51" r:id="rId20"/>
    <sheet name="Devolução" sheetId="47" r:id="rId21"/>
    <sheet name="Atuação" sheetId="50" r:id="rId22"/>
    <sheet name="Cabinets" sheetId="48" r:id="rId23"/>
    <sheet name="Distribuição" sheetId="49" r:id="rId24"/>
    <sheet name="Recolha" sheetId="52" state="hidden" r:id="rId25"/>
    <sheet name="Cont.Temp" sheetId="54" r:id="rId26"/>
    <sheet name="Cont.Temp .Clien" sheetId="66" r:id="rId27"/>
    <sheet name="Desl.Temp" sheetId="55" r:id="rId28"/>
    <sheet name="Desl.Temp.Clien" sheetId="67" r:id="rId29"/>
    <sheet name="Atr.Entrega.Clien" sheetId="65" r:id="rId30"/>
    <sheet name="Ativação AE.Clien" sheetId="63" r:id="rId31"/>
    <sheet name="Estadia" sheetId="53" r:id="rId32"/>
    <sheet name="Atraso" sheetId="56" r:id="rId33"/>
    <sheet name="Inicio.Deep" sheetId="58" state="hidden" r:id="rId34"/>
    <sheet name="Velocidade" sheetId="57" state="hidden" r:id="rId35"/>
    <sheet name="Parada Indevida Logística" sheetId="73" r:id="rId36"/>
    <sheet name="Desvio de Rota Logística " sheetId="74" r:id="rId37"/>
    <sheet name="Atraso.Emissão" sheetId="64" state="hidden" r:id="rId38"/>
    <sheet name="Cobrança.OS" sheetId="68" state="hidden" r:id="rId39"/>
    <sheet name="Chamado" sheetId="69" state="hidden" r:id="rId40"/>
    <sheet name="Conf.Valorização" sheetId="70" state="hidden" r:id="rId41"/>
    <sheet name="Fusion.ForadaEntrega" sheetId="71" state="hidden" r:id="rId42"/>
    <sheet name="Fusion.Devolução" sheetId="72" state="hidden" r:id="rId43"/>
    <sheet name="Posição em Atraso Logística" sheetId="78" r:id="rId44"/>
    <sheet name="Taborda" sheetId="80" r:id="rId45"/>
    <sheet name="Atraso no Início de Viagem" sheetId="82" r:id="rId46"/>
    <sheet name="Atraso no Início de Viagem.Clie" sheetId="83" r:id="rId47"/>
    <sheet name="Viagem sem Espelhamento" sheetId="84" r:id="rId48"/>
    <sheet name="Perda de Posição.Clien" sheetId="85" r:id="rId49"/>
    <sheet name="Parada Excessiva" sheetId="86" r:id="rId50"/>
    <sheet name="Parada Excessiva.Clien" sheetId="87" r:id="rId51"/>
    <sheet name="Monitoramento I" sheetId="75" r:id="rId52"/>
    <sheet name="Monitoramento II" sheetId="76" r:id="rId53"/>
    <sheet name="Logística Reversa" sheetId="60" r:id="rId54"/>
    <sheet name="Receptivo" sheetId="61" r:id="rId55"/>
    <sheet name="Checklist" sheetId="59" r:id="rId56"/>
  </sheets>
  <definedNames>
    <definedName name="_xlnm._FilterDatabase" localSheetId="1" hidden="1">Auditoria!$B$3:$F$16</definedName>
    <definedName name="_xlnm._FilterDatabase" localSheetId="2" hidden="1">BD!$A$1:$AT$769</definedName>
    <definedName name="_xlnm._FilterDatabase" localSheetId="3" hidden="1">'BD Campos'!$A$1:$G$373</definedName>
    <definedName name="_xlnm._FilterDatabase" localSheetId="4" hidden="1">Pesos!$B$1:$F$1287</definedName>
    <definedName name="_xlnm.Print_Area" localSheetId="1">Auditoria!$C$2:$H$18</definedName>
  </definedNames>
  <calcPr calcId="19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6" i="59" l="1"/>
  <c r="C13" i="61"/>
  <c r="C20" i="60"/>
  <c r="C21" i="76"/>
  <c r="C20" i="75"/>
  <c r="C17" i="87"/>
  <c r="C16" i="86"/>
  <c r="C18" i="85"/>
  <c r="C16" i="84"/>
  <c r="C17" i="83"/>
  <c r="C17" i="82"/>
  <c r="C13" i="80"/>
  <c r="C17" i="78"/>
  <c r="C18" i="72"/>
  <c r="C18" i="71"/>
  <c r="C19" i="70"/>
  <c r="C17" i="69"/>
  <c r="C18" i="68"/>
  <c r="C18" i="64"/>
  <c r="C16" i="74"/>
  <c r="C16" i="73"/>
  <c r="C21" i="57"/>
  <c r="C19" i="58"/>
  <c r="C17" i="56"/>
  <c r="C16" i="53"/>
  <c r="C18" i="63"/>
  <c r="C18" i="65"/>
  <c r="C18" i="67"/>
  <c r="C19" i="55"/>
  <c r="C18" i="66"/>
  <c r="C18" i="54"/>
  <c r="C18" i="52"/>
  <c r="C19" i="49"/>
  <c r="C18" i="48"/>
  <c r="C21" i="50"/>
  <c r="C19" i="47"/>
  <c r="C18" i="51"/>
  <c r="C17" i="46"/>
  <c r="C16" i="45"/>
  <c r="C20" i="41"/>
  <c r="C19" i="40"/>
  <c r="C19" i="39"/>
  <c r="C17" i="38"/>
  <c r="C15" i="77"/>
  <c r="C18" i="37"/>
  <c r="C18" i="36"/>
  <c r="C18" i="31"/>
  <c r="C17" i="33"/>
  <c r="C17" i="35"/>
  <c r="C15" i="81"/>
  <c r="C15" i="30"/>
  <c r="I1287" i="27"/>
  <c r="G1287" i="27"/>
  <c r="A1287" i="27"/>
  <c r="G1286" i="27"/>
  <c r="I1286" i="27" s="1"/>
  <c r="A1286" i="27"/>
  <c r="G1285" i="27"/>
  <c r="I1285" i="27" s="1"/>
  <c r="A1285" i="27"/>
  <c r="G1284" i="27"/>
  <c r="I1284" i="27" s="1"/>
  <c r="A1284" i="27"/>
  <c r="G1283" i="27"/>
  <c r="I1283" i="27" s="1"/>
  <c r="A1283" i="27"/>
  <c r="G1282" i="27"/>
  <c r="I1282" i="27" s="1"/>
  <c r="A1282" i="27"/>
  <c r="G1281" i="27"/>
  <c r="I1281" i="27" s="1"/>
  <c r="A1281" i="27"/>
  <c r="G1280" i="27"/>
  <c r="I1280" i="27" s="1"/>
  <c r="A1280" i="27"/>
  <c r="G1279" i="27"/>
  <c r="I1279" i="27" s="1"/>
  <c r="A1279" i="27"/>
  <c r="G1278" i="27"/>
  <c r="I1278" i="27" s="1"/>
  <c r="A1278" i="27"/>
  <c r="G1277" i="27"/>
  <c r="I1277" i="27" s="1"/>
  <c r="A1277" i="27"/>
  <c r="G1276" i="27"/>
  <c r="I1276" i="27" s="1"/>
  <c r="A1276" i="27"/>
  <c r="I1275" i="27"/>
  <c r="G1275" i="27"/>
  <c r="A1275" i="27"/>
  <c r="I1274" i="27"/>
  <c r="G1274" i="27"/>
  <c r="A1274" i="27"/>
  <c r="G1273" i="27"/>
  <c r="I1273" i="27" s="1"/>
  <c r="A1273" i="27"/>
  <c r="G1272" i="27"/>
  <c r="I1272" i="27" s="1"/>
  <c r="A1272" i="27"/>
  <c r="G1271" i="27"/>
  <c r="I1271" i="27" s="1"/>
  <c r="A1271" i="27"/>
  <c r="G1270" i="27"/>
  <c r="I1270" i="27" s="1"/>
  <c r="A1270" i="27"/>
  <c r="G1269" i="27"/>
  <c r="I1269" i="27" s="1"/>
  <c r="A1269" i="27"/>
  <c r="I1268" i="27"/>
  <c r="G1268" i="27"/>
  <c r="A1268" i="27"/>
  <c r="G1267" i="27"/>
  <c r="I1267" i="27" s="1"/>
  <c r="A1267" i="27"/>
  <c r="G1266" i="27"/>
  <c r="I1266" i="27" s="1"/>
  <c r="A1266" i="27"/>
  <c r="G1265" i="27"/>
  <c r="I1265" i="27" s="1"/>
  <c r="A1265" i="27"/>
  <c r="G1264" i="27"/>
  <c r="I1264" i="27" s="1"/>
  <c r="A1264" i="27"/>
  <c r="G1263" i="27"/>
  <c r="I1263" i="27" s="1"/>
  <c r="A1263" i="27"/>
  <c r="I1262" i="27"/>
  <c r="G1262" i="27"/>
  <c r="A1262" i="27"/>
  <c r="G1261" i="27"/>
  <c r="I1261" i="27" s="1"/>
  <c r="A1261" i="27"/>
  <c r="G1260" i="27"/>
  <c r="I1260" i="27" s="1"/>
  <c r="A1260" i="27"/>
  <c r="G1259" i="27"/>
  <c r="I1259" i="27" s="1"/>
  <c r="A1259" i="27"/>
  <c r="G1258" i="27"/>
  <c r="I1258" i="27" s="1"/>
  <c r="A1258" i="27"/>
  <c r="G1257" i="27"/>
  <c r="I1257" i="27" s="1"/>
  <c r="A1257" i="27"/>
  <c r="G1256" i="27"/>
  <c r="I1256" i="27" s="1"/>
  <c r="A1256" i="27"/>
  <c r="I1255" i="27"/>
  <c r="G1255" i="27"/>
  <c r="A1255" i="27"/>
  <c r="G1254" i="27"/>
  <c r="I1254" i="27" s="1"/>
  <c r="A1254" i="27"/>
  <c r="G1253" i="27"/>
  <c r="I1253" i="27" s="1"/>
  <c r="A1253" i="27"/>
  <c r="I1252" i="27"/>
  <c r="G1252" i="27"/>
  <c r="A1252" i="27"/>
  <c r="I1251" i="27"/>
  <c r="G1251" i="27"/>
  <c r="A1251" i="27"/>
  <c r="G1250" i="27"/>
  <c r="I1250" i="27" s="1"/>
  <c r="A1250" i="27"/>
  <c r="G1249" i="27"/>
  <c r="I1249" i="27" s="1"/>
  <c r="A1249" i="27"/>
  <c r="G1248" i="27"/>
  <c r="I1248" i="27" s="1"/>
  <c r="A1248" i="27"/>
  <c r="G1247" i="27"/>
  <c r="I1247" i="27" s="1"/>
  <c r="A1247" i="27"/>
  <c r="I1246" i="27"/>
  <c r="G1246" i="27"/>
  <c r="A1246" i="27"/>
  <c r="G1245" i="27"/>
  <c r="I1245" i="27" s="1"/>
  <c r="A1245" i="27"/>
  <c r="G1244" i="27"/>
  <c r="I1244" i="27" s="1"/>
  <c r="A1244" i="27"/>
  <c r="G1243" i="27"/>
  <c r="I1243" i="27" s="1"/>
  <c r="A1243" i="27"/>
  <c r="I1242" i="27"/>
  <c r="G1242" i="27"/>
  <c r="A1242" i="27"/>
  <c r="G1241" i="27"/>
  <c r="I1241" i="27" s="1"/>
  <c r="A1241" i="27"/>
  <c r="I1240" i="27"/>
  <c r="G1240" i="27"/>
  <c r="A1240" i="27"/>
  <c r="I1239" i="27"/>
  <c r="G1239" i="27"/>
  <c r="A1239" i="27"/>
  <c r="I1238" i="27"/>
  <c r="G1238" i="27"/>
  <c r="A1238" i="27"/>
  <c r="G1237" i="27"/>
  <c r="I1237" i="27" s="1"/>
  <c r="A1237" i="27"/>
  <c r="G1236" i="27"/>
  <c r="I1236" i="27" s="1"/>
  <c r="A1236" i="27"/>
  <c r="I1235" i="27"/>
  <c r="G1235" i="27"/>
  <c r="A1235" i="27"/>
  <c r="I1234" i="27"/>
  <c r="G1234" i="27"/>
  <c r="A1234" i="27"/>
  <c r="G1233" i="27"/>
  <c r="I1233" i="27" s="1"/>
  <c r="A1233" i="27"/>
  <c r="G1232" i="27"/>
  <c r="I1232" i="27" s="1"/>
  <c r="A1232" i="27"/>
  <c r="G1231" i="27"/>
  <c r="I1231" i="27" s="1"/>
  <c r="A1231" i="27"/>
  <c r="G1230" i="27"/>
  <c r="I1230" i="27" s="1"/>
  <c r="A1230" i="27"/>
  <c r="G1229" i="27"/>
  <c r="I1229" i="27" s="1"/>
  <c r="A1229" i="27"/>
  <c r="G1228" i="27"/>
  <c r="I1228" i="27" s="1"/>
  <c r="A1228" i="27"/>
  <c r="I1227" i="27"/>
  <c r="G1227" i="27"/>
  <c r="A1227" i="27"/>
  <c r="I1226" i="27"/>
  <c r="G1226" i="27"/>
  <c r="A1226" i="27"/>
  <c r="G1225" i="27"/>
  <c r="I1225" i="27" s="1"/>
  <c r="A1225" i="27"/>
  <c r="G1224" i="27"/>
  <c r="I1224" i="27" s="1"/>
  <c r="A1224" i="27"/>
  <c r="G1223" i="27"/>
  <c r="I1223" i="27" s="1"/>
  <c r="A1223" i="27"/>
  <c r="G1222" i="27"/>
  <c r="I1222" i="27" s="1"/>
  <c r="A1222" i="27"/>
  <c r="G1221" i="27"/>
  <c r="I1221" i="27" s="1"/>
  <c r="A1221" i="27"/>
  <c r="I1220" i="27"/>
  <c r="G1220" i="27"/>
  <c r="A1220" i="27"/>
  <c r="G1219" i="27"/>
  <c r="I1219" i="27" s="1"/>
  <c r="A1219" i="27"/>
  <c r="G1218" i="27"/>
  <c r="I1218" i="27" s="1"/>
  <c r="A1218" i="27"/>
  <c r="G1217" i="27"/>
  <c r="I1217" i="27" s="1"/>
  <c r="A1217" i="27"/>
  <c r="G1216" i="27"/>
  <c r="I1216" i="27" s="1"/>
  <c r="A1216" i="27"/>
  <c r="G1215" i="27"/>
  <c r="I1215" i="27" s="1"/>
  <c r="A1215" i="27"/>
  <c r="I1214" i="27"/>
  <c r="G1214" i="27"/>
  <c r="A1214" i="27"/>
  <c r="G1213" i="27"/>
  <c r="I1213" i="27" s="1"/>
  <c r="A1213" i="27"/>
  <c r="G1212" i="27"/>
  <c r="I1212" i="27" s="1"/>
  <c r="A1212" i="27"/>
  <c r="I1211" i="27"/>
  <c r="G1211" i="27"/>
  <c r="A1211" i="27"/>
  <c r="G1210" i="27"/>
  <c r="I1210" i="27" s="1"/>
  <c r="A1210" i="27"/>
  <c r="G1209" i="27"/>
  <c r="I1209" i="27" s="1"/>
  <c r="A1209" i="27"/>
  <c r="G1208" i="27"/>
  <c r="I1208" i="27" s="1"/>
  <c r="A1208" i="27"/>
  <c r="I1207" i="27"/>
  <c r="G1207" i="27"/>
  <c r="A1207" i="27"/>
  <c r="G1206" i="27"/>
  <c r="I1206" i="27" s="1"/>
  <c r="A1206" i="27"/>
  <c r="G1205" i="27"/>
  <c r="I1205" i="27" s="1"/>
  <c r="A1205" i="27"/>
  <c r="I1204" i="27"/>
  <c r="G1204" i="27"/>
  <c r="A1204" i="27"/>
  <c r="I1203" i="27"/>
  <c r="G1203" i="27"/>
  <c r="A1203" i="27"/>
  <c r="G1202" i="27"/>
  <c r="I1202" i="27" s="1"/>
  <c r="A1202" i="27"/>
  <c r="G1201" i="27"/>
  <c r="I1201" i="27" s="1"/>
  <c r="A1201" i="27"/>
  <c r="G1200" i="27"/>
  <c r="I1200" i="27" s="1"/>
  <c r="A1200" i="27"/>
  <c r="G1199" i="27"/>
  <c r="I1199" i="27" s="1"/>
  <c r="A1199" i="27"/>
  <c r="I1198" i="27"/>
  <c r="G1198" i="27"/>
  <c r="A1198" i="27"/>
  <c r="G1197" i="27"/>
  <c r="I1197" i="27" s="1"/>
  <c r="A1197" i="27"/>
  <c r="G1196" i="27"/>
  <c r="I1196" i="27" s="1"/>
  <c r="A1196" i="27"/>
  <c r="G1195" i="27"/>
  <c r="I1195" i="27" s="1"/>
  <c r="A1195" i="27"/>
  <c r="I1194" i="27"/>
  <c r="G1194" i="27"/>
  <c r="A1194" i="27"/>
  <c r="G1193" i="27"/>
  <c r="I1193" i="27" s="1"/>
  <c r="A1193" i="27"/>
  <c r="I1192" i="27"/>
  <c r="G1192" i="27"/>
  <c r="A1192" i="27"/>
  <c r="I1191" i="27"/>
  <c r="G1191" i="27"/>
  <c r="A1191" i="27"/>
  <c r="G1190" i="27"/>
  <c r="I1190" i="27" s="1"/>
  <c r="A1190" i="27"/>
  <c r="G1189" i="27"/>
  <c r="I1189" i="27" s="1"/>
  <c r="A1189" i="27"/>
  <c r="G1188" i="27"/>
  <c r="I1188" i="27" s="1"/>
  <c r="A1188" i="27"/>
  <c r="I1187" i="27"/>
  <c r="G1187" i="27"/>
  <c r="A1187" i="27"/>
  <c r="G1186" i="27"/>
  <c r="I1186" i="27" s="1"/>
  <c r="A1186" i="27"/>
  <c r="G1185" i="27"/>
  <c r="I1185" i="27" s="1"/>
  <c r="A1185" i="27"/>
  <c r="G1184" i="27"/>
  <c r="I1184" i="27" s="1"/>
  <c r="A1184" i="27"/>
  <c r="G1183" i="27"/>
  <c r="I1183" i="27" s="1"/>
  <c r="A1183" i="27"/>
  <c r="G1182" i="27"/>
  <c r="I1182" i="27" s="1"/>
  <c r="A1182" i="27"/>
  <c r="G1181" i="27"/>
  <c r="I1181" i="27" s="1"/>
  <c r="A1181" i="27"/>
  <c r="G1180" i="27"/>
  <c r="I1180" i="27" s="1"/>
  <c r="A1180" i="27"/>
  <c r="I1179" i="27"/>
  <c r="G1179" i="27"/>
  <c r="A1179" i="27"/>
  <c r="I1178" i="27"/>
  <c r="G1178" i="27"/>
  <c r="A1178" i="27"/>
  <c r="G1177" i="27"/>
  <c r="I1177" i="27" s="1"/>
  <c r="A1177" i="27"/>
  <c r="I1176" i="27"/>
  <c r="G1176" i="27"/>
  <c r="A1176" i="27"/>
  <c r="G1175" i="27"/>
  <c r="I1175" i="27" s="1"/>
  <c r="A1175" i="27"/>
  <c r="I1174" i="27"/>
  <c r="G1174" i="27"/>
  <c r="A1174" i="27"/>
  <c r="G1173" i="27"/>
  <c r="I1173" i="27" s="1"/>
  <c r="A1173" i="27"/>
  <c r="I1172" i="27"/>
  <c r="G1172" i="27"/>
  <c r="A1172" i="27"/>
  <c r="G1171" i="27"/>
  <c r="I1171" i="27" s="1"/>
  <c r="A1171" i="27"/>
  <c r="G1170" i="27"/>
  <c r="I1170" i="27" s="1"/>
  <c r="A1170" i="27"/>
  <c r="G1169" i="27"/>
  <c r="I1169" i="27" s="1"/>
  <c r="A1169" i="27"/>
  <c r="I1168" i="27"/>
  <c r="G1168" i="27"/>
  <c r="A1168" i="27"/>
  <c r="I1167" i="27"/>
  <c r="G1167" i="27"/>
  <c r="A1167" i="27"/>
  <c r="I1166" i="27"/>
  <c r="G1166" i="27"/>
  <c r="A1166" i="27"/>
  <c r="G1165" i="27"/>
  <c r="I1165" i="27" s="1"/>
  <c r="A1165" i="27"/>
  <c r="I1164" i="27"/>
  <c r="G1164" i="27"/>
  <c r="A1164" i="27"/>
  <c r="G1163" i="27"/>
  <c r="I1163" i="27" s="1"/>
  <c r="A1163" i="27"/>
  <c r="G1162" i="27"/>
  <c r="I1162" i="27" s="1"/>
  <c r="A1162" i="27"/>
  <c r="G1161" i="27"/>
  <c r="I1161" i="27" s="1"/>
  <c r="A1161" i="27"/>
  <c r="G1160" i="27"/>
  <c r="I1160" i="27" s="1"/>
  <c r="A1160" i="27"/>
  <c r="I1159" i="27"/>
  <c r="G1159" i="27"/>
  <c r="A1159" i="27"/>
  <c r="G1158" i="27"/>
  <c r="I1158" i="27" s="1"/>
  <c r="A1158" i="27"/>
  <c r="G1157" i="27"/>
  <c r="I1157" i="27" s="1"/>
  <c r="A1157" i="27"/>
  <c r="I1156" i="27"/>
  <c r="G1156" i="27"/>
  <c r="A1156" i="27"/>
  <c r="G1155" i="27"/>
  <c r="I1155" i="27" s="1"/>
  <c r="A1155" i="27"/>
  <c r="I1154" i="27"/>
  <c r="G1154" i="27"/>
  <c r="A1154" i="27"/>
  <c r="G1153" i="27"/>
  <c r="I1153" i="27" s="1"/>
  <c r="A1153" i="27"/>
  <c r="G1152" i="27"/>
  <c r="I1152" i="27" s="1"/>
  <c r="A1152" i="27"/>
  <c r="I1151" i="27"/>
  <c r="G1151" i="27"/>
  <c r="A1151" i="27"/>
  <c r="G1150" i="27"/>
  <c r="I1150" i="27" s="1"/>
  <c r="A1150" i="27"/>
  <c r="G1149" i="27"/>
  <c r="I1149" i="27" s="1"/>
  <c r="A1149" i="27"/>
  <c r="G1148" i="27"/>
  <c r="I1148" i="27" s="1"/>
  <c r="A1148" i="27"/>
  <c r="G1147" i="27"/>
  <c r="I1147" i="27" s="1"/>
  <c r="A1147" i="27"/>
  <c r="I1146" i="27"/>
  <c r="G1146" i="27"/>
  <c r="A1146" i="27"/>
  <c r="G1145" i="27"/>
  <c r="I1145" i="27" s="1"/>
  <c r="A1145" i="27"/>
  <c r="I1144" i="27"/>
  <c r="G1144" i="27"/>
  <c r="A1144" i="27"/>
  <c r="I1143" i="27"/>
  <c r="G1143" i="27"/>
  <c r="A1143" i="27"/>
  <c r="I1142" i="27"/>
  <c r="G1142" i="27"/>
  <c r="A1142" i="27"/>
  <c r="G1141" i="27"/>
  <c r="I1141" i="27" s="1"/>
  <c r="A1141" i="27"/>
  <c r="G1140" i="27"/>
  <c r="I1140" i="27" s="1"/>
  <c r="A1140" i="27"/>
  <c r="I1139" i="27"/>
  <c r="G1139" i="27"/>
  <c r="A1139" i="27"/>
  <c r="G1138" i="27"/>
  <c r="I1138" i="27" s="1"/>
  <c r="A1138" i="27"/>
  <c r="G1137" i="27"/>
  <c r="I1137" i="27" s="1"/>
  <c r="A1137" i="27"/>
  <c r="G1136" i="27"/>
  <c r="I1136" i="27" s="1"/>
  <c r="A1136" i="27"/>
  <c r="G1135" i="27"/>
  <c r="I1135" i="27" s="1"/>
  <c r="A1135" i="27"/>
  <c r="G1134" i="27"/>
  <c r="I1134" i="27" s="1"/>
  <c r="A1134" i="27"/>
  <c r="G1133" i="27"/>
  <c r="I1133" i="27" s="1"/>
  <c r="A1133" i="27"/>
  <c r="G1132" i="27"/>
  <c r="I1132" i="27" s="1"/>
  <c r="A1132" i="27"/>
  <c r="I1131" i="27"/>
  <c r="G1131" i="27"/>
  <c r="A1131" i="27"/>
  <c r="I1130" i="27"/>
  <c r="G1130" i="27"/>
  <c r="A1130" i="27"/>
  <c r="G1129" i="27"/>
  <c r="I1129" i="27" s="1"/>
  <c r="A1129" i="27"/>
  <c r="G1128" i="27"/>
  <c r="I1128" i="27" s="1"/>
  <c r="A1128" i="27"/>
  <c r="G1127" i="27"/>
  <c r="I1127" i="27" s="1"/>
  <c r="A1127" i="27"/>
  <c r="G1126" i="27"/>
  <c r="I1126" i="27" s="1"/>
  <c r="A1126" i="27"/>
  <c r="G1125" i="27"/>
  <c r="I1125" i="27" s="1"/>
  <c r="A1125" i="27"/>
  <c r="I1124" i="27"/>
  <c r="G1124" i="27"/>
  <c r="A1124" i="27"/>
  <c r="G1123" i="27"/>
  <c r="I1123" i="27" s="1"/>
  <c r="A1123" i="27"/>
  <c r="G1122" i="27"/>
  <c r="I1122" i="27" s="1"/>
  <c r="A1122" i="27"/>
  <c r="G1121" i="27"/>
  <c r="I1121" i="27" s="1"/>
  <c r="A1121" i="27"/>
  <c r="G1120" i="27"/>
  <c r="I1120" i="27" s="1"/>
  <c r="A1120" i="27"/>
  <c r="I1119" i="27"/>
  <c r="G1119" i="27"/>
  <c r="A1119" i="27"/>
  <c r="I1118" i="27"/>
  <c r="G1118" i="27"/>
  <c r="A1118" i="27"/>
  <c r="G1117" i="27"/>
  <c r="I1117" i="27" s="1"/>
  <c r="A1117" i="27"/>
  <c r="I1116" i="27"/>
  <c r="G1116" i="27"/>
  <c r="A1116" i="27"/>
  <c r="G1115" i="27"/>
  <c r="I1115" i="27" s="1"/>
  <c r="A1115" i="27"/>
  <c r="G1114" i="27"/>
  <c r="I1114" i="27" s="1"/>
  <c r="A1114" i="27"/>
  <c r="G1113" i="27"/>
  <c r="I1113" i="27" s="1"/>
  <c r="A1113" i="27"/>
  <c r="G1112" i="27"/>
  <c r="I1112" i="27" s="1"/>
  <c r="A1112" i="27"/>
  <c r="I1111" i="27"/>
  <c r="G1111" i="27"/>
  <c r="A1111" i="27"/>
  <c r="I1110" i="27"/>
  <c r="G1110" i="27"/>
  <c r="A1110" i="27"/>
  <c r="G1109" i="27"/>
  <c r="I1109" i="27" s="1"/>
  <c r="A1109" i="27"/>
  <c r="I1108" i="27"/>
  <c r="G1108" i="27"/>
  <c r="A1108" i="27"/>
  <c r="I1107" i="27"/>
  <c r="G1107" i="27"/>
  <c r="A1107" i="27"/>
  <c r="G1106" i="27"/>
  <c r="I1106" i="27" s="1"/>
  <c r="A1106" i="27"/>
  <c r="G1105" i="27"/>
  <c r="I1105" i="27" s="1"/>
  <c r="A1105" i="27"/>
  <c r="I1104" i="27"/>
  <c r="G1104" i="27"/>
  <c r="A1104" i="27"/>
  <c r="G1103" i="27"/>
  <c r="I1103" i="27" s="1"/>
  <c r="A1103" i="27"/>
  <c r="G1102" i="27"/>
  <c r="I1102" i="27" s="1"/>
  <c r="A1102" i="27"/>
  <c r="G1101" i="27"/>
  <c r="I1101" i="27" s="1"/>
  <c r="A1101" i="27"/>
  <c r="G1100" i="27"/>
  <c r="I1100" i="27" s="1"/>
  <c r="A1100" i="27"/>
  <c r="G1099" i="27"/>
  <c r="I1099" i="27" s="1"/>
  <c r="A1099" i="27"/>
  <c r="I1098" i="27"/>
  <c r="G1098" i="27"/>
  <c r="A1098" i="27"/>
  <c r="G1097" i="27"/>
  <c r="I1097" i="27" s="1"/>
  <c r="A1097" i="27"/>
  <c r="I1096" i="27"/>
  <c r="G1096" i="27"/>
  <c r="A1096" i="27"/>
  <c r="I1095" i="27"/>
  <c r="G1095" i="27"/>
  <c r="A1095" i="27"/>
  <c r="G1094" i="27"/>
  <c r="I1094" i="27" s="1"/>
  <c r="A1094" i="27"/>
  <c r="G1093" i="27"/>
  <c r="I1093" i="27" s="1"/>
  <c r="A1093" i="27"/>
  <c r="G1092" i="27"/>
  <c r="I1092" i="27" s="1"/>
  <c r="A1092" i="27"/>
  <c r="G1091" i="27"/>
  <c r="I1091" i="27" s="1"/>
  <c r="A1091" i="27"/>
  <c r="I1090" i="27"/>
  <c r="G1090" i="27"/>
  <c r="A1090" i="27"/>
  <c r="G1089" i="27"/>
  <c r="I1089" i="27" s="1"/>
  <c r="A1089" i="27"/>
  <c r="G1088" i="27"/>
  <c r="I1088" i="27" s="1"/>
  <c r="A1088" i="27"/>
  <c r="G1087" i="27"/>
  <c r="I1087" i="27" s="1"/>
  <c r="A1087" i="27"/>
  <c r="G1086" i="27"/>
  <c r="I1086" i="27" s="1"/>
  <c r="A1086" i="27"/>
  <c r="G1085" i="27"/>
  <c r="I1085" i="27" s="1"/>
  <c r="A1085" i="27"/>
  <c r="G1084" i="27"/>
  <c r="I1084" i="27" s="1"/>
  <c r="A1084" i="27"/>
  <c r="I1083" i="27"/>
  <c r="G1083" i="27"/>
  <c r="A1083" i="27"/>
  <c r="I1082" i="27"/>
  <c r="G1082" i="27"/>
  <c r="A1082" i="27"/>
  <c r="G1081" i="27"/>
  <c r="I1081" i="27" s="1"/>
  <c r="A1081" i="27"/>
  <c r="G1080" i="27"/>
  <c r="I1080" i="27" s="1"/>
  <c r="A1080" i="27"/>
  <c r="G1079" i="27"/>
  <c r="I1079" i="27" s="1"/>
  <c r="A1079" i="27"/>
  <c r="G1078" i="27"/>
  <c r="I1078" i="27" s="1"/>
  <c r="A1078" i="27"/>
  <c r="G1077" i="27"/>
  <c r="I1077" i="27" s="1"/>
  <c r="A1077" i="27"/>
  <c r="I1076" i="27"/>
  <c r="G1076" i="27"/>
  <c r="A1076" i="27"/>
  <c r="G1075" i="27"/>
  <c r="I1075" i="27" s="1"/>
  <c r="A1075" i="27"/>
  <c r="G1074" i="27"/>
  <c r="I1074" i="27" s="1"/>
  <c r="A1074" i="27"/>
  <c r="G1073" i="27"/>
  <c r="I1073" i="27" s="1"/>
  <c r="A1073" i="27"/>
  <c r="I1072" i="27"/>
  <c r="G1072" i="27"/>
  <c r="A1072" i="27"/>
  <c r="G1071" i="27"/>
  <c r="I1071" i="27" s="1"/>
  <c r="A1071" i="27"/>
  <c r="I1070" i="27"/>
  <c r="G1070" i="27"/>
  <c r="A1070" i="27"/>
  <c r="G1069" i="27"/>
  <c r="I1069" i="27" s="1"/>
  <c r="A1069" i="27"/>
  <c r="G1068" i="27"/>
  <c r="I1068" i="27" s="1"/>
  <c r="A1068" i="27"/>
  <c r="G1067" i="27"/>
  <c r="I1067" i="27" s="1"/>
  <c r="A1067" i="27"/>
  <c r="G1066" i="27"/>
  <c r="I1066" i="27" s="1"/>
  <c r="A1066" i="27"/>
  <c r="G1065" i="27"/>
  <c r="I1065" i="27" s="1"/>
  <c r="A1065" i="27"/>
  <c r="G1064" i="27"/>
  <c r="I1064" i="27" s="1"/>
  <c r="A1064" i="27"/>
  <c r="I1063" i="27"/>
  <c r="G1063" i="27"/>
  <c r="A1063" i="27"/>
  <c r="G1062" i="27"/>
  <c r="I1062" i="27" s="1"/>
  <c r="A1062" i="27"/>
  <c r="G1061" i="27"/>
  <c r="I1061" i="27" s="1"/>
  <c r="A1061" i="27"/>
  <c r="I1060" i="27"/>
  <c r="G1060" i="27"/>
  <c r="A1060" i="27"/>
  <c r="I1059" i="27"/>
  <c r="G1059" i="27"/>
  <c r="A1059" i="27"/>
  <c r="I1058" i="27"/>
  <c r="G1058" i="27"/>
  <c r="A1058" i="27"/>
  <c r="G1057" i="27"/>
  <c r="I1057" i="27" s="1"/>
  <c r="A1057" i="27"/>
  <c r="I1056" i="27"/>
  <c r="G1056" i="27"/>
  <c r="A1056" i="27"/>
  <c r="G1055" i="27"/>
  <c r="I1055" i="27" s="1"/>
  <c r="A1055" i="27"/>
  <c r="G1054" i="27"/>
  <c r="I1054" i="27" s="1"/>
  <c r="A1054" i="27"/>
  <c r="G1053" i="27"/>
  <c r="I1053" i="27" s="1"/>
  <c r="A1053" i="27"/>
  <c r="G1052" i="27"/>
  <c r="I1052" i="27" s="1"/>
  <c r="A1052" i="27"/>
  <c r="G1051" i="27"/>
  <c r="I1051" i="27" s="1"/>
  <c r="A1051" i="27"/>
  <c r="I1050" i="27"/>
  <c r="G1050" i="27"/>
  <c r="A1050" i="27"/>
  <c r="G1049" i="27"/>
  <c r="I1049" i="27" s="1"/>
  <c r="A1049" i="27"/>
  <c r="I1048" i="27"/>
  <c r="G1048" i="27"/>
  <c r="A1048" i="27"/>
  <c r="I1047" i="27"/>
  <c r="G1047" i="27"/>
  <c r="A1047" i="27"/>
  <c r="G1046" i="27"/>
  <c r="I1046" i="27" s="1"/>
  <c r="A1046" i="27"/>
  <c r="G1045" i="27"/>
  <c r="I1045" i="27" s="1"/>
  <c r="A1045" i="27"/>
  <c r="G1044" i="27"/>
  <c r="I1044" i="27" s="1"/>
  <c r="A1044" i="27"/>
  <c r="I1043" i="27"/>
  <c r="G1043" i="27"/>
  <c r="A1043" i="27"/>
  <c r="G1042" i="27"/>
  <c r="I1042" i="27" s="1"/>
  <c r="A1042" i="27"/>
  <c r="G1041" i="27"/>
  <c r="I1041" i="27" s="1"/>
  <c r="A1041" i="27"/>
  <c r="G1040" i="27"/>
  <c r="I1040" i="27" s="1"/>
  <c r="A1040" i="27"/>
  <c r="G1039" i="27"/>
  <c r="I1039" i="27" s="1"/>
  <c r="A1039" i="27"/>
  <c r="G1038" i="27"/>
  <c r="I1038" i="27" s="1"/>
  <c r="A1038" i="27"/>
  <c r="G1037" i="27"/>
  <c r="I1037" i="27" s="1"/>
  <c r="A1037" i="27"/>
  <c r="G1036" i="27"/>
  <c r="I1036" i="27" s="1"/>
  <c r="A1036" i="27"/>
  <c r="I1035" i="27"/>
  <c r="G1035" i="27"/>
  <c r="A1035" i="27"/>
  <c r="I1034" i="27"/>
  <c r="G1034" i="27"/>
  <c r="A1034" i="27"/>
  <c r="G1033" i="27"/>
  <c r="I1033" i="27" s="1"/>
  <c r="A1033" i="27"/>
  <c r="I1032" i="27"/>
  <c r="G1032" i="27"/>
  <c r="A1032" i="27"/>
  <c r="G1031" i="27"/>
  <c r="I1031" i="27" s="1"/>
  <c r="A1031" i="27"/>
  <c r="I1030" i="27"/>
  <c r="G1030" i="27"/>
  <c r="A1030" i="27"/>
  <c r="G1029" i="27"/>
  <c r="I1029" i="27" s="1"/>
  <c r="A1029" i="27"/>
  <c r="I1028" i="27"/>
  <c r="G1028" i="27"/>
  <c r="A1028" i="27"/>
  <c r="I1027" i="27"/>
  <c r="G1027" i="27"/>
  <c r="A1027" i="27"/>
  <c r="G1026" i="27"/>
  <c r="I1026" i="27" s="1"/>
  <c r="A1026" i="27"/>
  <c r="G1025" i="27"/>
  <c r="I1025" i="27" s="1"/>
  <c r="A1025" i="27"/>
  <c r="G1024" i="27"/>
  <c r="I1024" i="27" s="1"/>
  <c r="A1024" i="27"/>
  <c r="G1023" i="27"/>
  <c r="I1023" i="27" s="1"/>
  <c r="A1023" i="27"/>
  <c r="I1022" i="27"/>
  <c r="G1022" i="27"/>
  <c r="A1022" i="27"/>
  <c r="G1021" i="27"/>
  <c r="I1021" i="27" s="1"/>
  <c r="A1021" i="27"/>
  <c r="I1020" i="27"/>
  <c r="G1020" i="27"/>
  <c r="A1020" i="27"/>
  <c r="G1019" i="27"/>
  <c r="I1019" i="27" s="1"/>
  <c r="A1019" i="27"/>
  <c r="G1018" i="27"/>
  <c r="I1018" i="27" s="1"/>
  <c r="A1018" i="27"/>
  <c r="G1017" i="27"/>
  <c r="I1017" i="27" s="1"/>
  <c r="A1017" i="27"/>
  <c r="G1016" i="27"/>
  <c r="I1016" i="27" s="1"/>
  <c r="A1016" i="27"/>
  <c r="I1015" i="27"/>
  <c r="G1015" i="27"/>
  <c r="A1015" i="27"/>
  <c r="G1014" i="27"/>
  <c r="I1014" i="27" s="1"/>
  <c r="A1014" i="27"/>
  <c r="G1013" i="27"/>
  <c r="I1013" i="27" s="1"/>
  <c r="A1013" i="27"/>
  <c r="I1012" i="27"/>
  <c r="G1012" i="27"/>
  <c r="A1012" i="27"/>
  <c r="G1011" i="27"/>
  <c r="I1011" i="27" s="1"/>
  <c r="A1011" i="27"/>
  <c r="I1010" i="27"/>
  <c r="G1010" i="27"/>
  <c r="A1010" i="27"/>
  <c r="G1009" i="27"/>
  <c r="I1009" i="27" s="1"/>
  <c r="A1009" i="27"/>
  <c r="G1008" i="27"/>
  <c r="I1008" i="27" s="1"/>
  <c r="A1008" i="27"/>
  <c r="I1007" i="27"/>
  <c r="G1007" i="27"/>
  <c r="A1007" i="27"/>
  <c r="G1006" i="27"/>
  <c r="I1006" i="27" s="1"/>
  <c r="A1006" i="27"/>
  <c r="G1005" i="27"/>
  <c r="I1005" i="27" s="1"/>
  <c r="A1005" i="27"/>
  <c r="G1004" i="27"/>
  <c r="I1004" i="27" s="1"/>
  <c r="A1004" i="27"/>
  <c r="G1003" i="27"/>
  <c r="I1003" i="27" s="1"/>
  <c r="A1003" i="27"/>
  <c r="I1002" i="27"/>
  <c r="G1002" i="27"/>
  <c r="A1002" i="27"/>
  <c r="G1001" i="27"/>
  <c r="I1001" i="27" s="1"/>
  <c r="A1001" i="27"/>
  <c r="I1000" i="27"/>
  <c r="G1000" i="27"/>
  <c r="A1000" i="27"/>
  <c r="I999" i="27"/>
  <c r="G999" i="27"/>
  <c r="A999" i="27"/>
  <c r="I998" i="27"/>
  <c r="G998" i="27"/>
  <c r="A998" i="27"/>
  <c r="G997" i="27"/>
  <c r="I997" i="27" s="1"/>
  <c r="A997" i="27"/>
  <c r="G996" i="27"/>
  <c r="I996" i="27" s="1"/>
  <c r="A996" i="27"/>
  <c r="I995" i="27"/>
  <c r="G995" i="27"/>
  <c r="A995" i="27"/>
  <c r="I994" i="27"/>
  <c r="G994" i="27"/>
  <c r="A994" i="27"/>
  <c r="G993" i="27"/>
  <c r="I993" i="27" s="1"/>
  <c r="A993" i="27"/>
  <c r="G992" i="27"/>
  <c r="I992" i="27" s="1"/>
  <c r="A992" i="27"/>
  <c r="G991" i="27"/>
  <c r="I991" i="27" s="1"/>
  <c r="A991" i="27"/>
  <c r="G990" i="27"/>
  <c r="I990" i="27" s="1"/>
  <c r="A990" i="27"/>
  <c r="G989" i="27"/>
  <c r="I989" i="27" s="1"/>
  <c r="A989" i="27"/>
  <c r="G988" i="27"/>
  <c r="I988" i="27" s="1"/>
  <c r="A988" i="27"/>
  <c r="I987" i="27"/>
  <c r="G987" i="27"/>
  <c r="A987" i="27"/>
  <c r="I986" i="27"/>
  <c r="G986" i="27"/>
  <c r="A986" i="27"/>
  <c r="G985" i="27"/>
  <c r="I985" i="27" s="1"/>
  <c r="A985" i="27"/>
  <c r="I984" i="27"/>
  <c r="G984" i="27"/>
  <c r="A984" i="27"/>
  <c r="G983" i="27"/>
  <c r="I983" i="27" s="1"/>
  <c r="A983" i="27"/>
  <c r="I982" i="27"/>
  <c r="G982" i="27"/>
  <c r="A982" i="27"/>
  <c r="G981" i="27"/>
  <c r="I981" i="27" s="1"/>
  <c r="A981" i="27"/>
  <c r="I980" i="27"/>
  <c r="G980" i="27"/>
  <c r="A980" i="27"/>
  <c r="I979" i="27"/>
  <c r="G979" i="27"/>
  <c r="A979" i="27"/>
  <c r="G978" i="27"/>
  <c r="I978" i="27" s="1"/>
  <c r="A978" i="27"/>
  <c r="G977" i="27"/>
  <c r="I977" i="27" s="1"/>
  <c r="A977" i="27"/>
  <c r="G976" i="27"/>
  <c r="I976" i="27" s="1"/>
  <c r="A976" i="27"/>
  <c r="G975" i="27"/>
  <c r="I975" i="27" s="1"/>
  <c r="A975" i="27"/>
  <c r="I974" i="27"/>
  <c r="G974" i="27"/>
  <c r="A974" i="27"/>
  <c r="G973" i="27"/>
  <c r="I973" i="27" s="1"/>
  <c r="A973" i="27"/>
  <c r="G972" i="27"/>
  <c r="I972" i="27" s="1"/>
  <c r="A972" i="27"/>
  <c r="I971" i="27"/>
  <c r="G971" i="27"/>
  <c r="A971" i="27"/>
  <c r="G970" i="27"/>
  <c r="I970" i="27" s="1"/>
  <c r="A970" i="27"/>
  <c r="G969" i="27"/>
  <c r="I969" i="27" s="1"/>
  <c r="A969" i="27"/>
  <c r="G968" i="27"/>
  <c r="I968" i="27" s="1"/>
  <c r="A968" i="27"/>
  <c r="I967" i="27"/>
  <c r="G967" i="27"/>
  <c r="A967" i="27"/>
  <c r="G966" i="27"/>
  <c r="I966" i="27" s="1"/>
  <c r="A966" i="27"/>
  <c r="G965" i="27"/>
  <c r="I965" i="27" s="1"/>
  <c r="A965" i="27"/>
  <c r="I964" i="27"/>
  <c r="G964" i="27"/>
  <c r="A964" i="27"/>
  <c r="G963" i="27"/>
  <c r="I963" i="27" s="1"/>
  <c r="A963" i="27"/>
  <c r="G962" i="27"/>
  <c r="I962" i="27" s="1"/>
  <c r="A962" i="27"/>
  <c r="G961" i="27"/>
  <c r="I961" i="27" s="1"/>
  <c r="A961" i="27"/>
  <c r="G960" i="27"/>
  <c r="I960" i="27" s="1"/>
  <c r="A960" i="27"/>
  <c r="G959" i="27"/>
  <c r="I959" i="27" s="1"/>
  <c r="A959" i="27"/>
  <c r="G958" i="27"/>
  <c r="I958" i="27" s="1"/>
  <c r="A958" i="27"/>
  <c r="G957" i="27"/>
  <c r="I957" i="27" s="1"/>
  <c r="A957" i="27"/>
  <c r="G956" i="27"/>
  <c r="I956" i="27" s="1"/>
  <c r="A956" i="27"/>
  <c r="G955" i="27"/>
  <c r="I955" i="27" s="1"/>
  <c r="A955" i="27"/>
  <c r="I954" i="27"/>
  <c r="G954" i="27"/>
  <c r="A954" i="27"/>
  <c r="G953" i="27"/>
  <c r="I953" i="27" s="1"/>
  <c r="A953" i="27"/>
  <c r="I952" i="27"/>
  <c r="G952" i="27"/>
  <c r="A952" i="27"/>
  <c r="I951" i="27"/>
  <c r="G951" i="27"/>
  <c r="A951" i="27"/>
  <c r="G950" i="27"/>
  <c r="I950" i="27" s="1"/>
  <c r="A950" i="27"/>
  <c r="G949" i="27"/>
  <c r="I949" i="27" s="1"/>
  <c r="A949" i="27"/>
  <c r="G948" i="27"/>
  <c r="I948" i="27" s="1"/>
  <c r="A948" i="27"/>
  <c r="G947" i="27"/>
  <c r="I947" i="27" s="1"/>
  <c r="A947" i="27"/>
  <c r="I946" i="27"/>
  <c r="G946" i="27"/>
  <c r="A946" i="27"/>
  <c r="G945" i="27"/>
  <c r="I945" i="27" s="1"/>
  <c r="A945" i="27"/>
  <c r="G944" i="27"/>
  <c r="I944" i="27" s="1"/>
  <c r="A944" i="27"/>
  <c r="I943" i="27"/>
  <c r="G943" i="27"/>
  <c r="A943" i="27"/>
  <c r="I942" i="27"/>
  <c r="G942" i="27"/>
  <c r="A942" i="27"/>
  <c r="G941" i="27"/>
  <c r="I941" i="27" s="1"/>
  <c r="A941" i="27"/>
  <c r="G940" i="27"/>
  <c r="I940" i="27" s="1"/>
  <c r="A940" i="27"/>
  <c r="I939" i="27"/>
  <c r="G939" i="27"/>
  <c r="A939" i="27"/>
  <c r="G938" i="27"/>
  <c r="I938" i="27" s="1"/>
  <c r="A938" i="27"/>
  <c r="G937" i="27"/>
  <c r="I937" i="27" s="1"/>
  <c r="A937" i="27"/>
  <c r="G936" i="27"/>
  <c r="I936" i="27" s="1"/>
  <c r="A936" i="27"/>
  <c r="I935" i="27"/>
  <c r="G935" i="27"/>
  <c r="A935" i="27"/>
  <c r="G934" i="27"/>
  <c r="I934" i="27" s="1"/>
  <c r="A934" i="27"/>
  <c r="G933" i="27"/>
  <c r="I933" i="27" s="1"/>
  <c r="A933" i="27"/>
  <c r="G932" i="27"/>
  <c r="I932" i="27" s="1"/>
  <c r="A932" i="27"/>
  <c r="G931" i="27"/>
  <c r="I931" i="27" s="1"/>
  <c r="A931" i="27"/>
  <c r="I930" i="27"/>
  <c r="G930" i="27"/>
  <c r="A930" i="27"/>
  <c r="G929" i="27"/>
  <c r="I929" i="27" s="1"/>
  <c r="A929" i="27"/>
  <c r="G928" i="27"/>
  <c r="I928" i="27" s="1"/>
  <c r="A928" i="27"/>
  <c r="I927" i="27"/>
  <c r="G927" i="27"/>
  <c r="A927" i="27"/>
  <c r="G926" i="27"/>
  <c r="I926" i="27" s="1"/>
  <c r="A926" i="27"/>
  <c r="G925" i="27"/>
  <c r="I925" i="27" s="1"/>
  <c r="A925" i="27"/>
  <c r="G924" i="27"/>
  <c r="I924" i="27" s="1"/>
  <c r="A924" i="27"/>
  <c r="G923" i="27"/>
  <c r="I923" i="27" s="1"/>
  <c r="A923" i="27"/>
  <c r="I922" i="27"/>
  <c r="G922" i="27"/>
  <c r="A922" i="27"/>
  <c r="G921" i="27"/>
  <c r="I921" i="27" s="1"/>
  <c r="A921" i="27"/>
  <c r="G920" i="27"/>
  <c r="I920" i="27" s="1"/>
  <c r="A920" i="27"/>
  <c r="I919" i="27"/>
  <c r="G919" i="27"/>
  <c r="A919" i="27"/>
  <c r="G918" i="27"/>
  <c r="I918" i="27" s="1"/>
  <c r="A918" i="27"/>
  <c r="G917" i="27"/>
  <c r="I917" i="27" s="1"/>
  <c r="A917" i="27"/>
  <c r="G916" i="27"/>
  <c r="I916" i="27" s="1"/>
  <c r="A916" i="27"/>
  <c r="I915" i="27"/>
  <c r="G915" i="27"/>
  <c r="A915" i="27"/>
  <c r="G914" i="27"/>
  <c r="I914" i="27" s="1"/>
  <c r="A914" i="27"/>
  <c r="G913" i="27"/>
  <c r="I913" i="27" s="1"/>
  <c r="A913" i="27"/>
  <c r="G912" i="27"/>
  <c r="I912" i="27" s="1"/>
  <c r="A912" i="27"/>
  <c r="G911" i="27"/>
  <c r="I911" i="27" s="1"/>
  <c r="A911" i="27"/>
  <c r="G910" i="27"/>
  <c r="I910" i="27" s="1"/>
  <c r="A910" i="27"/>
  <c r="G909" i="27"/>
  <c r="I909" i="27" s="1"/>
  <c r="A909" i="27"/>
  <c r="G908" i="27"/>
  <c r="I908" i="27" s="1"/>
  <c r="A908" i="27"/>
  <c r="G907" i="27"/>
  <c r="I907" i="27" s="1"/>
  <c r="A907" i="27"/>
  <c r="I906" i="27"/>
  <c r="G906" i="27"/>
  <c r="A906" i="27"/>
  <c r="G905" i="27"/>
  <c r="I905" i="27" s="1"/>
  <c r="A905" i="27"/>
  <c r="G904" i="27"/>
  <c r="I904" i="27" s="1"/>
  <c r="A904" i="27"/>
  <c r="I903" i="27"/>
  <c r="G903" i="27"/>
  <c r="A903" i="27"/>
  <c r="G902" i="27"/>
  <c r="I902" i="27" s="1"/>
  <c r="A902" i="27"/>
  <c r="G901" i="27"/>
  <c r="I901" i="27" s="1"/>
  <c r="A901" i="27"/>
  <c r="G900" i="27"/>
  <c r="I900" i="27" s="1"/>
  <c r="A900" i="27"/>
  <c r="G899" i="27"/>
  <c r="I899" i="27" s="1"/>
  <c r="A899" i="27"/>
  <c r="I898" i="27"/>
  <c r="G898" i="27"/>
  <c r="A898" i="27"/>
  <c r="G897" i="27"/>
  <c r="I897" i="27" s="1"/>
  <c r="A897" i="27"/>
  <c r="G896" i="27"/>
  <c r="I896" i="27" s="1"/>
  <c r="A896" i="27"/>
  <c r="I895" i="27"/>
  <c r="G895" i="27"/>
  <c r="A895" i="27"/>
  <c r="G894" i="27"/>
  <c r="I894" i="27" s="1"/>
  <c r="A894" i="27"/>
  <c r="G893" i="27"/>
  <c r="I893" i="27" s="1"/>
  <c r="A893" i="27"/>
  <c r="G892" i="27"/>
  <c r="I892" i="27" s="1"/>
  <c r="A892" i="27"/>
  <c r="I891" i="27"/>
  <c r="G891" i="27"/>
  <c r="A891" i="27"/>
  <c r="G890" i="27"/>
  <c r="I890" i="27" s="1"/>
  <c r="A890" i="27"/>
  <c r="G889" i="27"/>
  <c r="I889" i="27" s="1"/>
  <c r="A889" i="27"/>
  <c r="G888" i="27"/>
  <c r="I888" i="27" s="1"/>
  <c r="A888" i="27"/>
  <c r="G887" i="27"/>
  <c r="I887" i="27" s="1"/>
  <c r="A887" i="27"/>
  <c r="G886" i="27"/>
  <c r="I886" i="27" s="1"/>
  <c r="A886" i="27"/>
  <c r="G885" i="27"/>
  <c r="I885" i="27" s="1"/>
  <c r="A885" i="27"/>
  <c r="G884" i="27"/>
  <c r="I884" i="27" s="1"/>
  <c r="A884" i="27"/>
  <c r="G883" i="27"/>
  <c r="I883" i="27" s="1"/>
  <c r="A883" i="27"/>
  <c r="G882" i="27"/>
  <c r="I882" i="27" s="1"/>
  <c r="A882" i="27"/>
  <c r="G881" i="27"/>
  <c r="I881" i="27" s="1"/>
  <c r="A881" i="27"/>
  <c r="G880" i="27"/>
  <c r="I880" i="27" s="1"/>
  <c r="A880" i="27"/>
  <c r="I879" i="27"/>
  <c r="G879" i="27"/>
  <c r="A879" i="27"/>
  <c r="G878" i="27"/>
  <c r="I878" i="27" s="1"/>
  <c r="A878" i="27"/>
  <c r="G877" i="27"/>
  <c r="I877" i="27" s="1"/>
  <c r="A877" i="27"/>
  <c r="G876" i="27"/>
  <c r="I876" i="27" s="1"/>
  <c r="A876" i="27"/>
  <c r="G875" i="27"/>
  <c r="I875" i="27" s="1"/>
  <c r="A875" i="27"/>
  <c r="I874" i="27"/>
  <c r="G874" i="27"/>
  <c r="A874" i="27"/>
  <c r="G873" i="27"/>
  <c r="I873" i="27" s="1"/>
  <c r="A873" i="27"/>
  <c r="G872" i="27"/>
  <c r="I872" i="27" s="1"/>
  <c r="A872" i="27"/>
  <c r="I871" i="27"/>
  <c r="G871" i="27"/>
  <c r="A871" i="27"/>
  <c r="G870" i="27"/>
  <c r="I870" i="27" s="1"/>
  <c r="A870" i="27"/>
  <c r="G869" i="27"/>
  <c r="I869" i="27" s="1"/>
  <c r="A869" i="27"/>
  <c r="G868" i="27"/>
  <c r="I868" i="27" s="1"/>
  <c r="A868" i="27"/>
  <c r="I867" i="27"/>
  <c r="G867" i="27"/>
  <c r="A867" i="27"/>
  <c r="G866" i="27"/>
  <c r="I866" i="27" s="1"/>
  <c r="A866" i="27"/>
  <c r="G865" i="27"/>
  <c r="I865" i="27" s="1"/>
  <c r="A865" i="27"/>
  <c r="G864" i="27"/>
  <c r="I864" i="27" s="1"/>
  <c r="A864" i="27"/>
  <c r="I863" i="27"/>
  <c r="G863" i="27"/>
  <c r="A863" i="27"/>
  <c r="G862" i="27"/>
  <c r="I862" i="27" s="1"/>
  <c r="A862" i="27"/>
  <c r="G861" i="27"/>
  <c r="I861" i="27" s="1"/>
  <c r="A861" i="27"/>
  <c r="G860" i="27"/>
  <c r="I860" i="27" s="1"/>
  <c r="A860" i="27"/>
  <c r="G859" i="27"/>
  <c r="I859" i="27" s="1"/>
  <c r="A859" i="27"/>
  <c r="I858" i="27"/>
  <c r="G858" i="27"/>
  <c r="A858" i="27"/>
  <c r="G857" i="27"/>
  <c r="I857" i="27" s="1"/>
  <c r="A857" i="27"/>
  <c r="G856" i="27"/>
  <c r="I856" i="27" s="1"/>
  <c r="A856" i="27"/>
  <c r="I855" i="27"/>
  <c r="G855" i="27"/>
  <c r="A855" i="27"/>
  <c r="G854" i="27"/>
  <c r="I854" i="27" s="1"/>
  <c r="A854" i="27"/>
  <c r="G853" i="27"/>
  <c r="I853" i="27" s="1"/>
  <c r="A853" i="27"/>
  <c r="G852" i="27"/>
  <c r="I852" i="27" s="1"/>
  <c r="A852" i="27"/>
  <c r="G851" i="27"/>
  <c r="I851" i="27" s="1"/>
  <c r="A851" i="27"/>
  <c r="I850" i="27"/>
  <c r="G850" i="27"/>
  <c r="A850" i="27"/>
  <c r="G849" i="27"/>
  <c r="I849" i="27" s="1"/>
  <c r="A849" i="27"/>
  <c r="G848" i="27"/>
  <c r="I848" i="27" s="1"/>
  <c r="A848" i="27"/>
  <c r="I847" i="27"/>
  <c r="G847" i="27"/>
  <c r="A847" i="27"/>
  <c r="I846" i="27"/>
  <c r="G846" i="27"/>
  <c r="A846" i="27"/>
  <c r="G845" i="27"/>
  <c r="I845" i="27" s="1"/>
  <c r="A845" i="27"/>
  <c r="G844" i="27"/>
  <c r="I844" i="27" s="1"/>
  <c r="A844" i="27"/>
  <c r="I843" i="27"/>
  <c r="G843" i="27"/>
  <c r="A843" i="27"/>
  <c r="G842" i="27"/>
  <c r="I842" i="27" s="1"/>
  <c r="A842" i="27"/>
  <c r="G841" i="27"/>
  <c r="I841" i="27" s="1"/>
  <c r="A841" i="27"/>
  <c r="G840" i="27"/>
  <c r="I840" i="27" s="1"/>
  <c r="A840" i="27"/>
  <c r="G839" i="27"/>
  <c r="I839" i="27" s="1"/>
  <c r="A839" i="27"/>
  <c r="G838" i="27"/>
  <c r="I838" i="27" s="1"/>
  <c r="A838" i="27"/>
  <c r="G837" i="27"/>
  <c r="I837" i="27" s="1"/>
  <c r="A837" i="27"/>
  <c r="G836" i="27"/>
  <c r="I836" i="27" s="1"/>
  <c r="A836" i="27"/>
  <c r="G835" i="27"/>
  <c r="I835" i="27" s="1"/>
  <c r="A835" i="27"/>
  <c r="I834" i="27"/>
  <c r="G834" i="27"/>
  <c r="A834" i="27"/>
  <c r="G833" i="27"/>
  <c r="I833" i="27" s="1"/>
  <c r="A833" i="27"/>
  <c r="G832" i="27"/>
  <c r="I832" i="27" s="1"/>
  <c r="A832" i="27"/>
  <c r="I831" i="27"/>
  <c r="G831" i="27"/>
  <c r="A831" i="27"/>
  <c r="G830" i="27"/>
  <c r="I830" i="27" s="1"/>
  <c r="A830" i="27"/>
  <c r="G829" i="27"/>
  <c r="I829" i="27" s="1"/>
  <c r="A829" i="27"/>
  <c r="G828" i="27"/>
  <c r="I828" i="27" s="1"/>
  <c r="A828" i="27"/>
  <c r="G827" i="27"/>
  <c r="I827" i="27" s="1"/>
  <c r="A827" i="27"/>
  <c r="I826" i="27"/>
  <c r="G826" i="27"/>
  <c r="A826" i="27"/>
  <c r="G825" i="27"/>
  <c r="I825" i="27" s="1"/>
  <c r="A825" i="27"/>
  <c r="G824" i="27"/>
  <c r="I824" i="27" s="1"/>
  <c r="A824" i="27"/>
  <c r="I823" i="27"/>
  <c r="G823" i="27"/>
  <c r="A823" i="27"/>
  <c r="I822" i="27"/>
  <c r="G822" i="27"/>
  <c r="A822" i="27"/>
  <c r="G821" i="27"/>
  <c r="I821" i="27" s="1"/>
  <c r="A821" i="27"/>
  <c r="G820" i="27"/>
  <c r="I820" i="27" s="1"/>
  <c r="A820" i="27"/>
  <c r="I819" i="27"/>
  <c r="G819" i="27"/>
  <c r="A819" i="27"/>
  <c r="G818" i="27"/>
  <c r="I818" i="27" s="1"/>
  <c r="A818" i="27"/>
  <c r="G817" i="27"/>
  <c r="I817" i="27" s="1"/>
  <c r="A817" i="27"/>
  <c r="G816" i="27"/>
  <c r="I816" i="27" s="1"/>
  <c r="A816" i="27"/>
  <c r="G815" i="27"/>
  <c r="I815" i="27" s="1"/>
  <c r="A815" i="27"/>
  <c r="G814" i="27"/>
  <c r="I814" i="27" s="1"/>
  <c r="A814" i="27"/>
  <c r="G813" i="27"/>
  <c r="I813" i="27" s="1"/>
  <c r="A813" i="27"/>
  <c r="G812" i="27"/>
  <c r="I812" i="27" s="1"/>
  <c r="A812" i="27"/>
  <c r="G811" i="27"/>
  <c r="I811" i="27" s="1"/>
  <c r="A811" i="27"/>
  <c r="G810" i="27"/>
  <c r="I810" i="27" s="1"/>
  <c r="A810" i="27"/>
  <c r="G809" i="27"/>
  <c r="I809" i="27" s="1"/>
  <c r="A809" i="27"/>
  <c r="G808" i="27"/>
  <c r="I808" i="27" s="1"/>
  <c r="A808" i="27"/>
  <c r="I807" i="27"/>
  <c r="G807" i="27"/>
  <c r="A807" i="27"/>
  <c r="G806" i="27"/>
  <c r="I806" i="27" s="1"/>
  <c r="A806" i="27"/>
  <c r="G805" i="27"/>
  <c r="I805" i="27" s="1"/>
  <c r="A805" i="27"/>
  <c r="G804" i="27"/>
  <c r="I804" i="27" s="1"/>
  <c r="A804" i="27"/>
  <c r="G803" i="27"/>
  <c r="I803" i="27" s="1"/>
  <c r="A803" i="27"/>
  <c r="I802" i="27"/>
  <c r="G802" i="27"/>
  <c r="A802" i="27"/>
  <c r="G801" i="27"/>
  <c r="I801" i="27" s="1"/>
  <c r="A801" i="27"/>
  <c r="G800" i="27"/>
  <c r="I800" i="27" s="1"/>
  <c r="A800" i="27"/>
  <c r="I799" i="27"/>
  <c r="G799" i="27"/>
  <c r="A799" i="27"/>
  <c r="G798" i="27"/>
  <c r="I798" i="27" s="1"/>
  <c r="A798" i="27"/>
  <c r="G797" i="27"/>
  <c r="I797" i="27" s="1"/>
  <c r="A797" i="27"/>
  <c r="G796" i="27"/>
  <c r="I796" i="27" s="1"/>
  <c r="A796" i="27"/>
  <c r="I795" i="27"/>
  <c r="G795" i="27"/>
  <c r="A795" i="27"/>
  <c r="G794" i="27"/>
  <c r="I794" i="27" s="1"/>
  <c r="A794" i="27"/>
  <c r="G793" i="27"/>
  <c r="I793" i="27" s="1"/>
  <c r="A793" i="27"/>
  <c r="G792" i="27"/>
  <c r="I792" i="27" s="1"/>
  <c r="A792" i="27"/>
  <c r="I791" i="27"/>
  <c r="G791" i="27"/>
  <c r="A791" i="27"/>
  <c r="G790" i="27"/>
  <c r="I790" i="27" s="1"/>
  <c r="A790" i="27"/>
  <c r="G789" i="27"/>
  <c r="I789" i="27" s="1"/>
  <c r="A789" i="27"/>
  <c r="G788" i="27"/>
  <c r="I788" i="27" s="1"/>
  <c r="A788" i="27"/>
  <c r="G787" i="27"/>
  <c r="I787" i="27" s="1"/>
  <c r="A787" i="27"/>
  <c r="I786" i="27"/>
  <c r="G786" i="27"/>
  <c r="A786" i="27"/>
  <c r="G785" i="27"/>
  <c r="I785" i="27" s="1"/>
  <c r="A785" i="27"/>
  <c r="G784" i="27"/>
  <c r="I784" i="27" s="1"/>
  <c r="A784" i="27"/>
  <c r="I783" i="27"/>
  <c r="G783" i="27"/>
  <c r="A783" i="27"/>
  <c r="G782" i="27"/>
  <c r="I782" i="27" s="1"/>
  <c r="A782" i="27"/>
  <c r="G781" i="27"/>
  <c r="I781" i="27" s="1"/>
  <c r="A781" i="27"/>
  <c r="G780" i="27"/>
  <c r="I780" i="27" s="1"/>
  <c r="A780" i="27"/>
  <c r="G779" i="27"/>
  <c r="I779" i="27" s="1"/>
  <c r="A779" i="27"/>
  <c r="I778" i="27"/>
  <c r="G778" i="27"/>
  <c r="A778" i="27"/>
  <c r="G777" i="27"/>
  <c r="I777" i="27" s="1"/>
  <c r="A777" i="27"/>
  <c r="G776" i="27"/>
  <c r="I776" i="27" s="1"/>
  <c r="A776" i="27"/>
  <c r="I775" i="27"/>
  <c r="G775" i="27"/>
  <c r="A775" i="27"/>
  <c r="I774" i="27"/>
  <c r="G774" i="27"/>
  <c r="A774" i="27"/>
  <c r="G773" i="27"/>
  <c r="I773" i="27" s="1"/>
  <c r="A773" i="27"/>
  <c r="G772" i="27"/>
  <c r="I772" i="27" s="1"/>
  <c r="A772" i="27"/>
  <c r="I771" i="27"/>
  <c r="G771" i="27"/>
  <c r="A771" i="27"/>
  <c r="G770" i="27"/>
  <c r="I770" i="27" s="1"/>
  <c r="A770" i="27"/>
  <c r="G769" i="27"/>
  <c r="I769" i="27" s="1"/>
  <c r="A769" i="27"/>
  <c r="G768" i="27"/>
  <c r="I768" i="27" s="1"/>
  <c r="A768" i="27"/>
  <c r="G767" i="27"/>
  <c r="I767" i="27" s="1"/>
  <c r="A767" i="27"/>
  <c r="G766" i="27"/>
  <c r="I766" i="27" s="1"/>
  <c r="A766" i="27"/>
  <c r="G765" i="27"/>
  <c r="I765" i="27" s="1"/>
  <c r="A765" i="27"/>
  <c r="G764" i="27"/>
  <c r="I764" i="27" s="1"/>
  <c r="A764" i="27"/>
  <c r="G763" i="27"/>
  <c r="I763" i="27" s="1"/>
  <c r="A763" i="27"/>
  <c r="I762" i="27"/>
  <c r="G762" i="27"/>
  <c r="A762" i="27"/>
  <c r="G761" i="27"/>
  <c r="I761" i="27" s="1"/>
  <c r="A761" i="27"/>
  <c r="G760" i="27"/>
  <c r="I760" i="27" s="1"/>
  <c r="A760" i="27"/>
  <c r="I759" i="27"/>
  <c r="G759" i="27"/>
  <c r="A759" i="27"/>
  <c r="G758" i="27"/>
  <c r="I758" i="27" s="1"/>
  <c r="A758" i="27"/>
  <c r="G757" i="27"/>
  <c r="I757" i="27" s="1"/>
  <c r="A757" i="27"/>
  <c r="G756" i="27"/>
  <c r="I756" i="27" s="1"/>
  <c r="A756" i="27"/>
  <c r="G755" i="27"/>
  <c r="I755" i="27" s="1"/>
  <c r="A755" i="27"/>
  <c r="I754" i="27"/>
  <c r="G754" i="27"/>
  <c r="A754" i="27"/>
  <c r="G753" i="27"/>
  <c r="I753" i="27" s="1"/>
  <c r="A753" i="27"/>
  <c r="G752" i="27"/>
  <c r="I752" i="27" s="1"/>
  <c r="A752" i="27"/>
  <c r="I751" i="27"/>
  <c r="G751" i="27"/>
  <c r="A751" i="27"/>
  <c r="I750" i="27"/>
  <c r="G750" i="27"/>
  <c r="A750" i="27"/>
  <c r="G749" i="27"/>
  <c r="I749" i="27" s="1"/>
  <c r="A749" i="27"/>
  <c r="G748" i="27"/>
  <c r="I748" i="27" s="1"/>
  <c r="A748" i="27"/>
  <c r="I747" i="27"/>
  <c r="G747" i="27"/>
  <c r="A747" i="27"/>
  <c r="G746" i="27"/>
  <c r="I746" i="27" s="1"/>
  <c r="A746" i="27"/>
  <c r="G745" i="27"/>
  <c r="I745" i="27" s="1"/>
  <c r="A745" i="27"/>
  <c r="G744" i="27"/>
  <c r="I744" i="27" s="1"/>
  <c r="A744" i="27"/>
  <c r="I743" i="27"/>
  <c r="G743" i="27"/>
  <c r="A743" i="27"/>
  <c r="G742" i="27"/>
  <c r="I742" i="27" s="1"/>
  <c r="A742" i="27"/>
  <c r="G741" i="27"/>
  <c r="I741" i="27" s="1"/>
  <c r="A741" i="27"/>
  <c r="G740" i="27"/>
  <c r="I740" i="27" s="1"/>
  <c r="A740" i="27"/>
  <c r="G739" i="27"/>
  <c r="I739" i="27" s="1"/>
  <c r="A739" i="27"/>
  <c r="I738" i="27"/>
  <c r="G738" i="27"/>
  <c r="A738" i="27"/>
  <c r="G737" i="27"/>
  <c r="I737" i="27" s="1"/>
  <c r="A737" i="27"/>
  <c r="G736" i="27"/>
  <c r="I736" i="27" s="1"/>
  <c r="A736" i="27"/>
  <c r="I735" i="27"/>
  <c r="G735" i="27"/>
  <c r="A735" i="27"/>
  <c r="G734" i="27"/>
  <c r="I734" i="27" s="1"/>
  <c r="A734" i="27"/>
  <c r="G733" i="27"/>
  <c r="I733" i="27" s="1"/>
  <c r="A733" i="27"/>
  <c r="G732" i="27"/>
  <c r="I732" i="27" s="1"/>
  <c r="A732" i="27"/>
  <c r="G731" i="27"/>
  <c r="I731" i="27" s="1"/>
  <c r="A731" i="27"/>
  <c r="I730" i="27"/>
  <c r="G730" i="27"/>
  <c r="A730" i="27"/>
  <c r="G729" i="27"/>
  <c r="I729" i="27" s="1"/>
  <c r="A729" i="27"/>
  <c r="G728" i="27"/>
  <c r="I728" i="27" s="1"/>
  <c r="A728" i="27"/>
  <c r="I727" i="27"/>
  <c r="G727" i="27"/>
  <c r="A727" i="27"/>
  <c r="G726" i="27"/>
  <c r="I726" i="27" s="1"/>
  <c r="A726" i="27"/>
  <c r="G725" i="27"/>
  <c r="I725" i="27" s="1"/>
  <c r="A725" i="27"/>
  <c r="G724" i="27"/>
  <c r="I724" i="27" s="1"/>
  <c r="A724" i="27"/>
  <c r="I723" i="27"/>
  <c r="G723" i="27"/>
  <c r="A723" i="27"/>
  <c r="G722" i="27"/>
  <c r="I722" i="27" s="1"/>
  <c r="A722" i="27"/>
  <c r="G721" i="27"/>
  <c r="I721" i="27" s="1"/>
  <c r="A721" i="27"/>
  <c r="G720" i="27"/>
  <c r="I720" i="27" s="1"/>
  <c r="A720" i="27"/>
  <c r="G719" i="27"/>
  <c r="I719" i="27" s="1"/>
  <c r="A719" i="27"/>
  <c r="G718" i="27"/>
  <c r="I718" i="27" s="1"/>
  <c r="A718" i="27"/>
  <c r="G717" i="27"/>
  <c r="I717" i="27" s="1"/>
  <c r="A717" i="27"/>
  <c r="G716" i="27"/>
  <c r="I716" i="27" s="1"/>
  <c r="A716" i="27"/>
  <c r="G715" i="27"/>
  <c r="I715" i="27" s="1"/>
  <c r="A715" i="27"/>
  <c r="G714" i="27"/>
  <c r="I714" i="27" s="1"/>
  <c r="A714" i="27"/>
  <c r="G713" i="27"/>
  <c r="I713" i="27" s="1"/>
  <c r="A713" i="27"/>
  <c r="G712" i="27"/>
  <c r="I712" i="27" s="1"/>
  <c r="A712" i="27"/>
  <c r="I711" i="27"/>
  <c r="G711" i="27"/>
  <c r="A711" i="27"/>
  <c r="G710" i="27"/>
  <c r="I710" i="27" s="1"/>
  <c r="A710" i="27"/>
  <c r="G709" i="27"/>
  <c r="I709" i="27" s="1"/>
  <c r="A709" i="27"/>
  <c r="G708" i="27"/>
  <c r="I708" i="27" s="1"/>
  <c r="A708" i="27"/>
  <c r="G707" i="27"/>
  <c r="I707" i="27" s="1"/>
  <c r="A707" i="27"/>
  <c r="I706" i="27"/>
  <c r="G706" i="27"/>
  <c r="A706" i="27"/>
  <c r="G705" i="27"/>
  <c r="I705" i="27" s="1"/>
  <c r="A705" i="27"/>
  <c r="G704" i="27"/>
  <c r="I704" i="27" s="1"/>
  <c r="A704" i="27"/>
  <c r="I703" i="27"/>
  <c r="G703" i="27"/>
  <c r="A703" i="27"/>
  <c r="I702" i="27"/>
  <c r="G702" i="27"/>
  <c r="A702" i="27"/>
  <c r="G701" i="27"/>
  <c r="I701" i="27" s="1"/>
  <c r="A701" i="27"/>
  <c r="G700" i="27"/>
  <c r="I700" i="27" s="1"/>
  <c r="A700" i="27"/>
  <c r="I699" i="27"/>
  <c r="G699" i="27"/>
  <c r="A699" i="27"/>
  <c r="G698" i="27"/>
  <c r="I698" i="27" s="1"/>
  <c r="A698" i="27"/>
  <c r="G697" i="27"/>
  <c r="I697" i="27" s="1"/>
  <c r="A697" i="27"/>
  <c r="G696" i="27"/>
  <c r="I696" i="27" s="1"/>
  <c r="A696" i="27"/>
  <c r="G695" i="27"/>
  <c r="I695" i="27" s="1"/>
  <c r="A695" i="27"/>
  <c r="G694" i="27"/>
  <c r="I694" i="27" s="1"/>
  <c r="A694" i="27"/>
  <c r="G693" i="27"/>
  <c r="I693" i="27" s="1"/>
  <c r="A693" i="27"/>
  <c r="I692" i="27"/>
  <c r="G692" i="27"/>
  <c r="A692" i="27"/>
  <c r="G691" i="27"/>
  <c r="I691" i="27" s="1"/>
  <c r="A691" i="27"/>
  <c r="I690" i="27"/>
  <c r="G690" i="27"/>
  <c r="A690" i="27"/>
  <c r="G689" i="27"/>
  <c r="I689" i="27" s="1"/>
  <c r="A689" i="27"/>
  <c r="I688" i="27"/>
  <c r="G688" i="27"/>
  <c r="A688" i="27"/>
  <c r="G687" i="27"/>
  <c r="I687" i="27" s="1"/>
  <c r="A687" i="27"/>
  <c r="I686" i="27"/>
  <c r="G686" i="27"/>
  <c r="A686" i="27"/>
  <c r="G685" i="27"/>
  <c r="I685" i="27" s="1"/>
  <c r="A685" i="27"/>
  <c r="G684" i="27"/>
  <c r="I684" i="27" s="1"/>
  <c r="A684" i="27"/>
  <c r="I683" i="27"/>
  <c r="G683" i="27"/>
  <c r="A683" i="27"/>
  <c r="I682" i="27"/>
  <c r="G682" i="27"/>
  <c r="A682" i="27"/>
  <c r="G681" i="27"/>
  <c r="I681" i="27" s="1"/>
  <c r="A681" i="27"/>
  <c r="G680" i="27"/>
  <c r="I680" i="27" s="1"/>
  <c r="A680" i="27"/>
  <c r="I679" i="27"/>
  <c r="G679" i="27"/>
  <c r="A679" i="27"/>
  <c r="G678" i="27"/>
  <c r="I678" i="27" s="1"/>
  <c r="A678" i="27"/>
  <c r="G677" i="27"/>
  <c r="I677" i="27" s="1"/>
  <c r="A677" i="27"/>
  <c r="G676" i="27"/>
  <c r="I676" i="27" s="1"/>
  <c r="A676" i="27"/>
  <c r="I675" i="27"/>
  <c r="G675" i="27"/>
  <c r="A675" i="27"/>
  <c r="G674" i="27"/>
  <c r="I674" i="27" s="1"/>
  <c r="A674" i="27"/>
  <c r="G673" i="27"/>
  <c r="I673" i="27" s="1"/>
  <c r="A673" i="27"/>
  <c r="G672" i="27"/>
  <c r="I672" i="27" s="1"/>
  <c r="A672" i="27"/>
  <c r="I671" i="27"/>
  <c r="G671" i="27"/>
  <c r="A671" i="27"/>
  <c r="I670" i="27"/>
  <c r="G670" i="27"/>
  <c r="A670" i="27"/>
  <c r="G669" i="27"/>
  <c r="I669" i="27" s="1"/>
  <c r="A669" i="27"/>
  <c r="G668" i="27"/>
  <c r="I668" i="27" s="1"/>
  <c r="A668" i="27"/>
  <c r="I667" i="27"/>
  <c r="G667" i="27"/>
  <c r="A667" i="27"/>
  <c r="G666" i="27"/>
  <c r="I666" i="27" s="1"/>
  <c r="A666" i="27"/>
  <c r="G665" i="27"/>
  <c r="I665" i="27" s="1"/>
  <c r="A665" i="27"/>
  <c r="G664" i="27"/>
  <c r="I664" i="27" s="1"/>
  <c r="A664" i="27"/>
  <c r="I663" i="27"/>
  <c r="G663" i="27"/>
  <c r="A663" i="27"/>
  <c r="I662" i="27"/>
  <c r="G662" i="27"/>
  <c r="A662" i="27"/>
  <c r="G661" i="27"/>
  <c r="I661" i="27" s="1"/>
  <c r="A661" i="27"/>
  <c r="G660" i="27"/>
  <c r="I660" i="27" s="1"/>
  <c r="A660" i="27"/>
  <c r="I659" i="27"/>
  <c r="G659" i="27"/>
  <c r="A659" i="27"/>
  <c r="I658" i="27"/>
  <c r="G658" i="27"/>
  <c r="A658" i="27"/>
  <c r="G657" i="27"/>
  <c r="I657" i="27" s="1"/>
  <c r="A657" i="27"/>
  <c r="G656" i="27"/>
  <c r="I656" i="27" s="1"/>
  <c r="A656" i="27"/>
  <c r="I655" i="27"/>
  <c r="G655" i="27"/>
  <c r="A655" i="27"/>
  <c r="I654" i="27"/>
  <c r="G654" i="27"/>
  <c r="A654" i="27"/>
  <c r="G653" i="27"/>
  <c r="I653" i="27" s="1"/>
  <c r="A653" i="27"/>
  <c r="G652" i="27"/>
  <c r="I652" i="27" s="1"/>
  <c r="A652" i="27"/>
  <c r="I651" i="27"/>
  <c r="G651" i="27"/>
  <c r="A651" i="27"/>
  <c r="G650" i="27"/>
  <c r="I650" i="27" s="1"/>
  <c r="A650" i="27"/>
  <c r="G649" i="27"/>
  <c r="I649" i="27" s="1"/>
  <c r="A649" i="27"/>
  <c r="G648" i="27"/>
  <c r="I648" i="27" s="1"/>
  <c r="A648" i="27"/>
  <c r="I647" i="27"/>
  <c r="G647" i="27"/>
  <c r="A647" i="27"/>
  <c r="I646" i="27"/>
  <c r="G646" i="27"/>
  <c r="A646" i="27"/>
  <c r="G645" i="27"/>
  <c r="I645" i="27" s="1"/>
  <c r="A645" i="27"/>
  <c r="G644" i="27"/>
  <c r="I644" i="27" s="1"/>
  <c r="A644" i="27"/>
  <c r="I643" i="27"/>
  <c r="G643" i="27"/>
  <c r="A643" i="27"/>
  <c r="G642" i="27"/>
  <c r="I642" i="27" s="1"/>
  <c r="A642" i="27"/>
  <c r="G641" i="27"/>
  <c r="I641" i="27" s="1"/>
  <c r="A641" i="27"/>
  <c r="G640" i="27"/>
  <c r="I640" i="27" s="1"/>
  <c r="A640" i="27"/>
  <c r="I639" i="27"/>
  <c r="G639" i="27"/>
  <c r="A639" i="27"/>
  <c r="I638" i="27"/>
  <c r="G638" i="27"/>
  <c r="A638" i="27"/>
  <c r="G637" i="27"/>
  <c r="I637" i="27" s="1"/>
  <c r="A637" i="27"/>
  <c r="G636" i="27"/>
  <c r="I636" i="27" s="1"/>
  <c r="A636" i="27"/>
  <c r="I635" i="27"/>
  <c r="G635" i="27"/>
  <c r="A635" i="27"/>
  <c r="I634" i="27"/>
  <c r="G634" i="27"/>
  <c r="A634" i="27"/>
  <c r="G633" i="27"/>
  <c r="I633" i="27" s="1"/>
  <c r="A633" i="27"/>
  <c r="G632" i="27"/>
  <c r="I632" i="27" s="1"/>
  <c r="A632" i="27"/>
  <c r="I631" i="27"/>
  <c r="G631" i="27"/>
  <c r="A631" i="27"/>
  <c r="I630" i="27"/>
  <c r="G630" i="27"/>
  <c r="A630" i="27"/>
  <c r="G629" i="27"/>
  <c r="I629" i="27" s="1"/>
  <c r="A629" i="27"/>
  <c r="G628" i="27"/>
  <c r="I628" i="27" s="1"/>
  <c r="A628" i="27"/>
  <c r="I627" i="27"/>
  <c r="G627" i="27"/>
  <c r="A627" i="27"/>
  <c r="G626" i="27"/>
  <c r="I626" i="27" s="1"/>
  <c r="A626" i="27"/>
  <c r="G625" i="27"/>
  <c r="I625" i="27" s="1"/>
  <c r="A625" i="27"/>
  <c r="G624" i="27"/>
  <c r="I624" i="27" s="1"/>
  <c r="A624" i="27"/>
  <c r="I623" i="27"/>
  <c r="G623" i="27"/>
  <c r="A623" i="27"/>
  <c r="I622" i="27"/>
  <c r="G622" i="27"/>
  <c r="A622" i="27"/>
  <c r="G621" i="27"/>
  <c r="I621" i="27" s="1"/>
  <c r="A621" i="27"/>
  <c r="G620" i="27"/>
  <c r="I620" i="27" s="1"/>
  <c r="A620" i="27"/>
  <c r="I619" i="27"/>
  <c r="G619" i="27"/>
  <c r="A619" i="27"/>
  <c r="G618" i="27"/>
  <c r="I618" i="27" s="1"/>
  <c r="A618" i="27"/>
  <c r="G617" i="27"/>
  <c r="I617" i="27" s="1"/>
  <c r="A617" i="27"/>
  <c r="G616" i="27"/>
  <c r="I616" i="27" s="1"/>
  <c r="A616" i="27"/>
  <c r="I615" i="27"/>
  <c r="G615" i="27"/>
  <c r="A615" i="27"/>
  <c r="I614" i="27"/>
  <c r="G614" i="27"/>
  <c r="A614" i="27"/>
  <c r="G613" i="27"/>
  <c r="I613" i="27" s="1"/>
  <c r="A613" i="27"/>
  <c r="G612" i="27"/>
  <c r="I612" i="27" s="1"/>
  <c r="A612" i="27"/>
  <c r="I611" i="27"/>
  <c r="G611" i="27"/>
  <c r="A611" i="27"/>
  <c r="I610" i="27"/>
  <c r="G610" i="27"/>
  <c r="A610" i="27"/>
  <c r="G609" i="27"/>
  <c r="I609" i="27" s="1"/>
  <c r="A609" i="27"/>
  <c r="G608" i="27"/>
  <c r="I608" i="27" s="1"/>
  <c r="A608" i="27"/>
  <c r="I607" i="27"/>
  <c r="G607" i="27"/>
  <c r="A607" i="27"/>
  <c r="G606" i="27"/>
  <c r="I606" i="27" s="1"/>
  <c r="A606" i="27"/>
  <c r="G605" i="27"/>
  <c r="I605" i="27" s="1"/>
  <c r="A605" i="27"/>
  <c r="G604" i="27"/>
  <c r="I604" i="27" s="1"/>
  <c r="A604" i="27"/>
  <c r="G603" i="27"/>
  <c r="I603" i="27" s="1"/>
  <c r="A603" i="27"/>
  <c r="G602" i="27"/>
  <c r="I602" i="27" s="1"/>
  <c r="A602" i="27"/>
  <c r="G601" i="27"/>
  <c r="I601" i="27" s="1"/>
  <c r="A601" i="27"/>
  <c r="G600" i="27"/>
  <c r="I600" i="27" s="1"/>
  <c r="A600" i="27"/>
  <c r="I599" i="27"/>
  <c r="G599" i="27"/>
  <c r="A599" i="27"/>
  <c r="G598" i="27"/>
  <c r="I598" i="27" s="1"/>
  <c r="A598" i="27"/>
  <c r="G597" i="27"/>
  <c r="I597" i="27" s="1"/>
  <c r="A597" i="27"/>
  <c r="G596" i="27"/>
  <c r="I596" i="27" s="1"/>
  <c r="A596" i="27"/>
  <c r="G595" i="27"/>
  <c r="I595" i="27" s="1"/>
  <c r="A595" i="27"/>
  <c r="I594" i="27"/>
  <c r="G594" i="27"/>
  <c r="A594" i="27"/>
  <c r="G593" i="27"/>
  <c r="I593" i="27" s="1"/>
  <c r="A593" i="27"/>
  <c r="G592" i="27"/>
  <c r="I592" i="27" s="1"/>
  <c r="A592" i="27"/>
  <c r="G591" i="27"/>
  <c r="I591" i="27" s="1"/>
  <c r="A591" i="27"/>
  <c r="G590" i="27"/>
  <c r="I590" i="27" s="1"/>
  <c r="A590" i="27"/>
  <c r="G589" i="27"/>
  <c r="I589" i="27" s="1"/>
  <c r="A589" i="27"/>
  <c r="G588" i="27"/>
  <c r="I588" i="27" s="1"/>
  <c r="A588" i="27"/>
  <c r="G587" i="27"/>
  <c r="I587" i="27" s="1"/>
  <c r="A587" i="27"/>
  <c r="G586" i="27"/>
  <c r="I586" i="27" s="1"/>
  <c r="A586" i="27"/>
  <c r="G585" i="27"/>
  <c r="I585" i="27" s="1"/>
  <c r="A585" i="27"/>
  <c r="G584" i="27"/>
  <c r="I584" i="27" s="1"/>
  <c r="A584" i="27"/>
  <c r="G583" i="27"/>
  <c r="I583" i="27" s="1"/>
  <c r="A583" i="27"/>
  <c r="G582" i="27"/>
  <c r="I582" i="27" s="1"/>
  <c r="A582" i="27"/>
  <c r="G581" i="27"/>
  <c r="I581" i="27" s="1"/>
  <c r="A581" i="27"/>
  <c r="G580" i="27"/>
  <c r="I580" i="27" s="1"/>
  <c r="A580" i="27"/>
  <c r="G579" i="27"/>
  <c r="I579" i="27" s="1"/>
  <c r="A579" i="27"/>
  <c r="I578" i="27"/>
  <c r="G578" i="27"/>
  <c r="A578" i="27"/>
  <c r="G577" i="27"/>
  <c r="I577" i="27" s="1"/>
  <c r="A577" i="27"/>
  <c r="G576" i="27"/>
  <c r="I576" i="27" s="1"/>
  <c r="A576" i="27"/>
  <c r="G575" i="27"/>
  <c r="I575" i="27" s="1"/>
  <c r="A575" i="27"/>
  <c r="G574" i="27"/>
  <c r="I574" i="27" s="1"/>
  <c r="A574" i="27"/>
  <c r="G573" i="27"/>
  <c r="I573" i="27" s="1"/>
  <c r="A573" i="27"/>
  <c r="G572" i="27"/>
  <c r="I572" i="27" s="1"/>
  <c r="A572" i="27"/>
  <c r="G571" i="27"/>
  <c r="I571" i="27" s="1"/>
  <c r="A571" i="27"/>
  <c r="G570" i="27"/>
  <c r="I570" i="27" s="1"/>
  <c r="A570" i="27"/>
  <c r="G569" i="27"/>
  <c r="I569" i="27" s="1"/>
  <c r="A569" i="27"/>
  <c r="G568" i="27"/>
  <c r="I568" i="27" s="1"/>
  <c r="A568" i="27"/>
  <c r="G567" i="27"/>
  <c r="I567" i="27" s="1"/>
  <c r="A567" i="27"/>
  <c r="I566" i="27"/>
  <c r="G566" i="27"/>
  <c r="A566" i="27"/>
  <c r="G565" i="27"/>
  <c r="I565" i="27" s="1"/>
  <c r="A565" i="27"/>
  <c r="G564" i="27"/>
  <c r="I564" i="27" s="1"/>
  <c r="A564" i="27"/>
  <c r="G563" i="27"/>
  <c r="I563" i="27" s="1"/>
  <c r="A563" i="27"/>
  <c r="I562" i="27"/>
  <c r="G562" i="27"/>
  <c r="A562" i="27"/>
  <c r="G561" i="27"/>
  <c r="I561" i="27" s="1"/>
  <c r="A561" i="27"/>
  <c r="G560" i="27"/>
  <c r="I560" i="27" s="1"/>
  <c r="A560" i="27"/>
  <c r="G559" i="27"/>
  <c r="I559" i="27" s="1"/>
  <c r="A559" i="27"/>
  <c r="I558" i="27"/>
  <c r="G558" i="27"/>
  <c r="A558" i="27"/>
  <c r="G557" i="27"/>
  <c r="I557" i="27" s="1"/>
  <c r="A557" i="27"/>
  <c r="G556" i="27"/>
  <c r="I556" i="27" s="1"/>
  <c r="A556" i="27"/>
  <c r="G555" i="27"/>
  <c r="I555" i="27" s="1"/>
  <c r="A555" i="27"/>
  <c r="G554" i="27"/>
  <c r="I554" i="27" s="1"/>
  <c r="A554" i="27"/>
  <c r="G553" i="27"/>
  <c r="I553" i="27" s="1"/>
  <c r="A553" i="27"/>
  <c r="G552" i="27"/>
  <c r="I552" i="27" s="1"/>
  <c r="A552" i="27"/>
  <c r="G551" i="27"/>
  <c r="I551" i="27" s="1"/>
  <c r="A551" i="27"/>
  <c r="I550" i="27"/>
  <c r="G550" i="27"/>
  <c r="A550" i="27"/>
  <c r="G549" i="27"/>
  <c r="I549" i="27" s="1"/>
  <c r="A549" i="27"/>
  <c r="G548" i="27"/>
  <c r="I548" i="27" s="1"/>
  <c r="A548" i="27"/>
  <c r="G547" i="27"/>
  <c r="I547" i="27" s="1"/>
  <c r="A547" i="27"/>
  <c r="I546" i="27"/>
  <c r="G546" i="27"/>
  <c r="A546" i="27"/>
  <c r="G545" i="27"/>
  <c r="I545" i="27" s="1"/>
  <c r="A545" i="27"/>
  <c r="G544" i="27"/>
  <c r="I544" i="27" s="1"/>
  <c r="A544" i="27"/>
  <c r="G543" i="27"/>
  <c r="I543" i="27" s="1"/>
  <c r="A543" i="27"/>
  <c r="I542" i="27"/>
  <c r="G542" i="27"/>
  <c r="A542" i="27"/>
  <c r="G541" i="27"/>
  <c r="I541" i="27" s="1"/>
  <c r="A541" i="27"/>
  <c r="G540" i="27"/>
  <c r="I540" i="27" s="1"/>
  <c r="A540" i="27"/>
  <c r="G539" i="27"/>
  <c r="I539" i="27" s="1"/>
  <c r="A539" i="27"/>
  <c r="G538" i="27"/>
  <c r="I538" i="27" s="1"/>
  <c r="A538" i="27"/>
  <c r="G537" i="27"/>
  <c r="I537" i="27" s="1"/>
  <c r="A537" i="27"/>
  <c r="G536" i="27"/>
  <c r="I536" i="27" s="1"/>
  <c r="A536" i="27"/>
  <c r="G535" i="27"/>
  <c r="I535" i="27" s="1"/>
  <c r="A535" i="27"/>
  <c r="G534" i="27"/>
  <c r="I534" i="27" s="1"/>
  <c r="A534" i="27"/>
  <c r="G533" i="27"/>
  <c r="I533" i="27" s="1"/>
  <c r="A533" i="27"/>
  <c r="G532" i="27"/>
  <c r="I532" i="27" s="1"/>
  <c r="A532" i="27"/>
  <c r="G531" i="27"/>
  <c r="I531" i="27" s="1"/>
  <c r="A531" i="27"/>
  <c r="I530" i="27"/>
  <c r="G530" i="27"/>
  <c r="A530" i="27"/>
  <c r="G529" i="27"/>
  <c r="I529" i="27" s="1"/>
  <c r="A529" i="27"/>
  <c r="G528" i="27"/>
  <c r="I528" i="27" s="1"/>
  <c r="A528" i="27"/>
  <c r="G527" i="27"/>
  <c r="I527" i="27" s="1"/>
  <c r="A527" i="27"/>
  <c r="G526" i="27"/>
  <c r="I526" i="27" s="1"/>
  <c r="A526" i="27"/>
  <c r="G525" i="27"/>
  <c r="I525" i="27" s="1"/>
  <c r="A525" i="27"/>
  <c r="G524" i="27"/>
  <c r="I524" i="27" s="1"/>
  <c r="A524" i="27"/>
  <c r="G523" i="27"/>
  <c r="I523" i="27" s="1"/>
  <c r="A523" i="27"/>
  <c r="G522" i="27"/>
  <c r="I522" i="27" s="1"/>
  <c r="A522" i="27"/>
  <c r="G521" i="27"/>
  <c r="I521" i="27" s="1"/>
  <c r="A521" i="27"/>
  <c r="G520" i="27"/>
  <c r="I520" i="27" s="1"/>
  <c r="A520" i="27"/>
  <c r="G519" i="27"/>
  <c r="I519" i="27" s="1"/>
  <c r="A519" i="27"/>
  <c r="G518" i="27"/>
  <c r="I518" i="27" s="1"/>
  <c r="A518" i="27"/>
  <c r="G517" i="27"/>
  <c r="I517" i="27" s="1"/>
  <c r="A517" i="27"/>
  <c r="G516" i="27"/>
  <c r="I516" i="27" s="1"/>
  <c r="A516" i="27"/>
  <c r="G515" i="27"/>
  <c r="I515" i="27" s="1"/>
  <c r="A515" i="27"/>
  <c r="I514" i="27"/>
  <c r="G514" i="27"/>
  <c r="A514" i="27"/>
  <c r="G513" i="27"/>
  <c r="I513" i="27" s="1"/>
  <c r="A513" i="27"/>
  <c r="G512" i="27"/>
  <c r="I512" i="27" s="1"/>
  <c r="A512" i="27"/>
  <c r="G511" i="27"/>
  <c r="I511" i="27" s="1"/>
  <c r="A511" i="27"/>
  <c r="G510" i="27"/>
  <c r="I510" i="27" s="1"/>
  <c r="A510" i="27"/>
  <c r="G509" i="27"/>
  <c r="I509" i="27" s="1"/>
  <c r="A509" i="27"/>
  <c r="G508" i="27"/>
  <c r="I508" i="27" s="1"/>
  <c r="A508" i="27"/>
  <c r="G507" i="27"/>
  <c r="I507" i="27" s="1"/>
  <c r="A507" i="27"/>
  <c r="G506" i="27"/>
  <c r="I506" i="27" s="1"/>
  <c r="A506" i="27"/>
  <c r="G505" i="27"/>
  <c r="I505" i="27" s="1"/>
  <c r="A505" i="27"/>
  <c r="G504" i="27"/>
  <c r="I504" i="27" s="1"/>
  <c r="A504" i="27"/>
  <c r="G503" i="27"/>
  <c r="I503" i="27" s="1"/>
  <c r="A503" i="27"/>
  <c r="G502" i="27"/>
  <c r="I502" i="27" s="1"/>
  <c r="A502" i="27"/>
  <c r="G501" i="27"/>
  <c r="I501" i="27" s="1"/>
  <c r="A501" i="27"/>
  <c r="G500" i="27"/>
  <c r="I500" i="27" s="1"/>
  <c r="A500" i="27"/>
  <c r="G499" i="27"/>
  <c r="I499" i="27" s="1"/>
  <c r="A499" i="27"/>
  <c r="I498" i="27"/>
  <c r="G498" i="27"/>
  <c r="A498" i="27"/>
  <c r="G497" i="27"/>
  <c r="I497" i="27" s="1"/>
  <c r="A497" i="27"/>
  <c r="G496" i="27"/>
  <c r="I496" i="27" s="1"/>
  <c r="A496" i="27"/>
  <c r="G495" i="27"/>
  <c r="I495" i="27" s="1"/>
  <c r="A495" i="27"/>
  <c r="G494" i="27"/>
  <c r="I494" i="27" s="1"/>
  <c r="A494" i="27"/>
  <c r="G493" i="27"/>
  <c r="I493" i="27" s="1"/>
  <c r="A493" i="27"/>
  <c r="G492" i="27"/>
  <c r="I492" i="27" s="1"/>
  <c r="A492" i="27"/>
  <c r="G491" i="27"/>
  <c r="I491" i="27" s="1"/>
  <c r="A491" i="27"/>
  <c r="G490" i="27"/>
  <c r="I490" i="27" s="1"/>
  <c r="A490" i="27"/>
  <c r="G489" i="27"/>
  <c r="I489" i="27" s="1"/>
  <c r="A489" i="27"/>
  <c r="G488" i="27"/>
  <c r="I488" i="27" s="1"/>
  <c r="A488" i="27"/>
  <c r="G487" i="27"/>
  <c r="I487" i="27" s="1"/>
  <c r="A487" i="27"/>
  <c r="G486" i="27"/>
  <c r="I486" i="27" s="1"/>
  <c r="A486" i="27"/>
  <c r="G485" i="27"/>
  <c r="I485" i="27" s="1"/>
  <c r="A485" i="27"/>
  <c r="G484" i="27"/>
  <c r="I484" i="27" s="1"/>
  <c r="A484" i="27"/>
  <c r="G483" i="27"/>
  <c r="I483" i="27" s="1"/>
  <c r="A483" i="27"/>
  <c r="I482" i="27"/>
  <c r="G482" i="27"/>
  <c r="A482" i="27"/>
  <c r="G481" i="27"/>
  <c r="I481" i="27" s="1"/>
  <c r="A481" i="27"/>
  <c r="G480" i="27"/>
  <c r="I480" i="27" s="1"/>
  <c r="A480" i="27"/>
  <c r="G479" i="27"/>
  <c r="I479" i="27" s="1"/>
  <c r="A479" i="27"/>
  <c r="I478" i="27"/>
  <c r="G478" i="27"/>
  <c r="A478" i="27"/>
  <c r="G477" i="27"/>
  <c r="I477" i="27" s="1"/>
  <c r="A477" i="27"/>
  <c r="G476" i="27"/>
  <c r="I476" i="27" s="1"/>
  <c r="A476" i="27"/>
  <c r="G475" i="27"/>
  <c r="I475" i="27" s="1"/>
  <c r="A475" i="27"/>
  <c r="G474" i="27"/>
  <c r="I474" i="27" s="1"/>
  <c r="A474" i="27"/>
  <c r="G473" i="27"/>
  <c r="I473" i="27" s="1"/>
  <c r="A473" i="27"/>
  <c r="G472" i="27"/>
  <c r="I472" i="27" s="1"/>
  <c r="A472" i="27"/>
  <c r="G471" i="27"/>
  <c r="I471" i="27" s="1"/>
  <c r="A471" i="27"/>
  <c r="I470" i="27"/>
  <c r="G470" i="27"/>
  <c r="A470" i="27"/>
  <c r="G469" i="27"/>
  <c r="I469" i="27" s="1"/>
  <c r="A469" i="27"/>
  <c r="G468" i="27"/>
  <c r="I468" i="27" s="1"/>
  <c r="A468" i="27"/>
  <c r="G467" i="27"/>
  <c r="I467" i="27" s="1"/>
  <c r="A467" i="27"/>
  <c r="I466" i="27"/>
  <c r="G466" i="27"/>
  <c r="A466" i="27"/>
  <c r="G465" i="27"/>
  <c r="I465" i="27" s="1"/>
  <c r="A465" i="27"/>
  <c r="G464" i="27"/>
  <c r="I464" i="27" s="1"/>
  <c r="A464" i="27"/>
  <c r="G463" i="27"/>
  <c r="I463" i="27" s="1"/>
  <c r="A463" i="27"/>
  <c r="I462" i="27"/>
  <c r="G462" i="27"/>
  <c r="A462" i="27"/>
  <c r="G461" i="27"/>
  <c r="I461" i="27" s="1"/>
  <c r="A461" i="27"/>
  <c r="G460" i="27"/>
  <c r="I460" i="27" s="1"/>
  <c r="A460" i="27"/>
  <c r="G459" i="27"/>
  <c r="I459" i="27" s="1"/>
  <c r="A459" i="27"/>
  <c r="G458" i="27"/>
  <c r="I458" i="27" s="1"/>
  <c r="A458" i="27"/>
  <c r="G457" i="27"/>
  <c r="I457" i="27" s="1"/>
  <c r="A457" i="27"/>
  <c r="G456" i="27"/>
  <c r="I456" i="27" s="1"/>
  <c r="A456" i="27"/>
  <c r="G455" i="27"/>
  <c r="I455" i="27" s="1"/>
  <c r="A455" i="27"/>
  <c r="G454" i="27"/>
  <c r="I454" i="27" s="1"/>
  <c r="A454" i="27"/>
  <c r="G453" i="27"/>
  <c r="I453" i="27" s="1"/>
  <c r="A453" i="27"/>
  <c r="G452" i="27"/>
  <c r="I452" i="27" s="1"/>
  <c r="A452" i="27"/>
  <c r="G451" i="27"/>
  <c r="I451" i="27" s="1"/>
  <c r="A451" i="27"/>
  <c r="I450" i="27"/>
  <c r="G450" i="27"/>
  <c r="A450" i="27"/>
  <c r="G449" i="27"/>
  <c r="I449" i="27" s="1"/>
  <c r="A449" i="27"/>
  <c r="G448" i="27"/>
  <c r="I448" i="27" s="1"/>
  <c r="A448" i="27"/>
  <c r="G447" i="27"/>
  <c r="I447" i="27" s="1"/>
  <c r="A447" i="27"/>
  <c r="G446" i="27"/>
  <c r="I446" i="27" s="1"/>
  <c r="A446" i="27"/>
  <c r="G445" i="27"/>
  <c r="I445" i="27" s="1"/>
  <c r="A445" i="27"/>
  <c r="G444" i="27"/>
  <c r="I444" i="27" s="1"/>
  <c r="A444" i="27"/>
  <c r="G443" i="27"/>
  <c r="I443" i="27" s="1"/>
  <c r="A443" i="27"/>
  <c r="G442" i="27"/>
  <c r="I442" i="27" s="1"/>
  <c r="A442" i="27"/>
  <c r="G441" i="27"/>
  <c r="I441" i="27" s="1"/>
  <c r="A441" i="27"/>
  <c r="G440" i="27"/>
  <c r="I440" i="27" s="1"/>
  <c r="A440" i="27"/>
  <c r="G439" i="27"/>
  <c r="I439" i="27" s="1"/>
  <c r="A439" i="27"/>
  <c r="I438" i="27"/>
  <c r="G438" i="27"/>
  <c r="A438" i="27"/>
  <c r="G437" i="27"/>
  <c r="I437" i="27" s="1"/>
  <c r="A437" i="27"/>
  <c r="G436" i="27"/>
  <c r="I436" i="27" s="1"/>
  <c r="A436" i="27"/>
  <c r="G435" i="27"/>
  <c r="I435" i="27" s="1"/>
  <c r="A435" i="27"/>
  <c r="G434" i="27"/>
  <c r="I434" i="27" s="1"/>
  <c r="A434" i="27"/>
  <c r="G433" i="27"/>
  <c r="I433" i="27" s="1"/>
  <c r="A433" i="27"/>
  <c r="G432" i="27"/>
  <c r="I432" i="27" s="1"/>
  <c r="A432" i="27"/>
  <c r="G431" i="27"/>
  <c r="I431" i="27" s="1"/>
  <c r="A431" i="27"/>
  <c r="G430" i="27"/>
  <c r="I430" i="27" s="1"/>
  <c r="A430" i="27"/>
  <c r="G429" i="27"/>
  <c r="I429" i="27" s="1"/>
  <c r="A429" i="27"/>
  <c r="G428" i="27"/>
  <c r="I428" i="27" s="1"/>
  <c r="A428" i="27"/>
  <c r="G427" i="27"/>
  <c r="I427" i="27" s="1"/>
  <c r="A427" i="27"/>
  <c r="G426" i="27"/>
  <c r="I426" i="27" s="1"/>
  <c r="A426" i="27"/>
  <c r="G425" i="27"/>
  <c r="I425" i="27" s="1"/>
  <c r="A425" i="27"/>
  <c r="G424" i="27"/>
  <c r="I424" i="27" s="1"/>
  <c r="A424" i="27"/>
  <c r="G423" i="27"/>
  <c r="I423" i="27" s="1"/>
  <c r="A423" i="27"/>
  <c r="G422" i="27"/>
  <c r="I422" i="27" s="1"/>
  <c r="A422" i="27"/>
  <c r="G421" i="27"/>
  <c r="I421" i="27" s="1"/>
  <c r="A421" i="27"/>
  <c r="G420" i="27"/>
  <c r="I420" i="27" s="1"/>
  <c r="A420" i="27"/>
  <c r="G419" i="27"/>
  <c r="I419" i="27" s="1"/>
  <c r="A419" i="27"/>
  <c r="G418" i="27"/>
  <c r="I418" i="27" s="1"/>
  <c r="A418" i="27"/>
  <c r="I417" i="27"/>
  <c r="G417" i="27"/>
  <c r="A417" i="27"/>
  <c r="G416" i="27"/>
  <c r="I416" i="27" s="1"/>
  <c r="A416" i="27"/>
  <c r="G415" i="27"/>
  <c r="I415" i="27" s="1"/>
  <c r="A415" i="27"/>
  <c r="I414" i="27"/>
  <c r="G414" i="27"/>
  <c r="A414" i="27"/>
  <c r="G413" i="27"/>
  <c r="I413" i="27" s="1"/>
  <c r="A413" i="27"/>
  <c r="G412" i="27"/>
  <c r="I412" i="27" s="1"/>
  <c r="A412" i="27"/>
  <c r="G411" i="27"/>
  <c r="I411" i="27" s="1"/>
  <c r="A411" i="27"/>
  <c r="AI176" i="17" s="1"/>
  <c r="G410" i="27"/>
  <c r="I410" i="27" s="1"/>
  <c r="A410" i="27"/>
  <c r="I409" i="27"/>
  <c r="G409" i="27"/>
  <c r="A409" i="27"/>
  <c r="G408" i="27"/>
  <c r="I408" i="27" s="1"/>
  <c r="A408" i="27"/>
  <c r="G407" i="27"/>
  <c r="I407" i="27" s="1"/>
  <c r="A407" i="27"/>
  <c r="G406" i="27"/>
  <c r="I406" i="27" s="1"/>
  <c r="A406" i="27"/>
  <c r="G405" i="27"/>
  <c r="I405" i="27" s="1"/>
  <c r="A405" i="27"/>
  <c r="G404" i="27"/>
  <c r="I404" i="27" s="1"/>
  <c r="A404" i="27"/>
  <c r="G403" i="27"/>
  <c r="I403" i="27" s="1"/>
  <c r="A403" i="27"/>
  <c r="I402" i="27"/>
  <c r="G402" i="27"/>
  <c r="A402" i="27"/>
  <c r="G401" i="27"/>
  <c r="I401" i="27" s="1"/>
  <c r="A401" i="27"/>
  <c r="I400" i="27"/>
  <c r="G400" i="27"/>
  <c r="A400" i="27"/>
  <c r="G399" i="27"/>
  <c r="I399" i="27" s="1"/>
  <c r="A399" i="27"/>
  <c r="I398" i="27"/>
  <c r="G398" i="27"/>
  <c r="A398" i="27"/>
  <c r="G397" i="27"/>
  <c r="I397" i="27" s="1"/>
  <c r="A397" i="27"/>
  <c r="I396" i="27"/>
  <c r="G396" i="27"/>
  <c r="A396" i="27"/>
  <c r="G395" i="27"/>
  <c r="I395" i="27" s="1"/>
  <c r="A395" i="27"/>
  <c r="I394" i="27"/>
  <c r="G394" i="27"/>
  <c r="A394" i="27"/>
  <c r="I393" i="27"/>
  <c r="G393" i="27"/>
  <c r="A393" i="27"/>
  <c r="I392" i="27"/>
  <c r="G392" i="27"/>
  <c r="A392" i="27"/>
  <c r="G391" i="27"/>
  <c r="I391" i="27" s="1"/>
  <c r="A391" i="27"/>
  <c r="I390" i="27"/>
  <c r="G390" i="27"/>
  <c r="A390" i="27"/>
  <c r="I389" i="27"/>
  <c r="G389" i="27"/>
  <c r="A389" i="27"/>
  <c r="I388" i="27"/>
  <c r="G388" i="27"/>
  <c r="A388" i="27"/>
  <c r="G387" i="27"/>
  <c r="I387" i="27" s="1"/>
  <c r="A387" i="27"/>
  <c r="I386" i="27"/>
  <c r="G386" i="27"/>
  <c r="A386" i="27"/>
  <c r="G385" i="27"/>
  <c r="I385" i="27" s="1"/>
  <c r="A385" i="27"/>
  <c r="I384" i="27"/>
  <c r="G384" i="27"/>
  <c r="A384" i="27"/>
  <c r="G383" i="27"/>
  <c r="I383" i="27" s="1"/>
  <c r="A383" i="27"/>
  <c r="I382" i="27"/>
  <c r="G382" i="27"/>
  <c r="A382" i="27"/>
  <c r="I381" i="27"/>
  <c r="G381" i="27"/>
  <c r="A381" i="27"/>
  <c r="I380" i="27"/>
  <c r="G380" i="27"/>
  <c r="A380" i="27"/>
  <c r="G379" i="27"/>
  <c r="I379" i="27" s="1"/>
  <c r="A379" i="27"/>
  <c r="I378" i="27"/>
  <c r="G378" i="27"/>
  <c r="A378" i="27"/>
  <c r="G377" i="27"/>
  <c r="I377" i="27" s="1"/>
  <c r="A377" i="27"/>
  <c r="I376" i="27"/>
  <c r="G376" i="27"/>
  <c r="A376" i="27"/>
  <c r="G375" i="27"/>
  <c r="I375" i="27" s="1"/>
  <c r="A375" i="27"/>
  <c r="I374" i="27"/>
  <c r="G374" i="27"/>
  <c r="A374" i="27"/>
  <c r="G373" i="27"/>
  <c r="I373" i="27" s="1"/>
  <c r="A373" i="27"/>
  <c r="I372" i="27"/>
  <c r="G372" i="27"/>
  <c r="A372" i="27"/>
  <c r="G371" i="27"/>
  <c r="I371" i="27" s="1"/>
  <c r="A371" i="27"/>
  <c r="I370" i="27"/>
  <c r="G370" i="27"/>
  <c r="A370" i="27"/>
  <c r="G369" i="27"/>
  <c r="I369" i="27" s="1"/>
  <c r="A369" i="27"/>
  <c r="I368" i="27"/>
  <c r="G368" i="27"/>
  <c r="A368" i="27"/>
  <c r="G367" i="27"/>
  <c r="I367" i="27" s="1"/>
  <c r="A367" i="27"/>
  <c r="I366" i="27"/>
  <c r="G366" i="27"/>
  <c r="A366" i="27"/>
  <c r="I365" i="27"/>
  <c r="G365" i="27"/>
  <c r="A365" i="27"/>
  <c r="I364" i="27"/>
  <c r="G364" i="27"/>
  <c r="A364" i="27"/>
  <c r="G363" i="27"/>
  <c r="I363" i="27" s="1"/>
  <c r="A363" i="27"/>
  <c r="I362" i="27"/>
  <c r="G362" i="27"/>
  <c r="A362" i="27"/>
  <c r="I361" i="27"/>
  <c r="G361" i="27"/>
  <c r="A361" i="27"/>
  <c r="I360" i="27"/>
  <c r="G360" i="27"/>
  <c r="A360" i="27"/>
  <c r="G359" i="27"/>
  <c r="I359" i="27" s="1"/>
  <c r="A359" i="27"/>
  <c r="I358" i="27"/>
  <c r="G358" i="27"/>
  <c r="A358" i="27"/>
  <c r="I357" i="27"/>
  <c r="G357" i="27"/>
  <c r="A357" i="27"/>
  <c r="I356" i="27"/>
  <c r="G356" i="27"/>
  <c r="A356" i="27"/>
  <c r="G355" i="27"/>
  <c r="I355" i="27" s="1"/>
  <c r="A355" i="27"/>
  <c r="I354" i="27"/>
  <c r="G354" i="27"/>
  <c r="A354" i="27"/>
  <c r="G353" i="27"/>
  <c r="I353" i="27" s="1"/>
  <c r="A353" i="27"/>
  <c r="I352" i="27"/>
  <c r="G352" i="27"/>
  <c r="A352" i="27"/>
  <c r="G351" i="27"/>
  <c r="I351" i="27" s="1"/>
  <c r="A351" i="27"/>
  <c r="I350" i="27"/>
  <c r="G350" i="27"/>
  <c r="A350" i="27"/>
  <c r="G349" i="27"/>
  <c r="I349" i="27" s="1"/>
  <c r="A349" i="27"/>
  <c r="I348" i="27"/>
  <c r="G348" i="27"/>
  <c r="A348" i="27"/>
  <c r="G347" i="27"/>
  <c r="I347" i="27" s="1"/>
  <c r="A347" i="27"/>
  <c r="I346" i="27"/>
  <c r="G346" i="27"/>
  <c r="A346" i="27"/>
  <c r="I345" i="27"/>
  <c r="G345" i="27"/>
  <c r="A345" i="27"/>
  <c r="I344" i="27"/>
  <c r="G344" i="27"/>
  <c r="A344" i="27"/>
  <c r="G343" i="27"/>
  <c r="I343" i="27" s="1"/>
  <c r="A343" i="27"/>
  <c r="I342" i="27"/>
  <c r="G342" i="27"/>
  <c r="A342" i="27"/>
  <c r="I341" i="27"/>
  <c r="G341" i="27"/>
  <c r="A341" i="27"/>
  <c r="I340" i="27"/>
  <c r="G340" i="27"/>
  <c r="A340" i="27"/>
  <c r="G339" i="27"/>
  <c r="I339" i="27" s="1"/>
  <c r="A339" i="27"/>
  <c r="I338" i="27"/>
  <c r="G338" i="27"/>
  <c r="A338" i="27"/>
  <c r="I337" i="27"/>
  <c r="G337" i="27"/>
  <c r="A337" i="27"/>
  <c r="I336" i="27"/>
  <c r="G336" i="27"/>
  <c r="A336" i="27"/>
  <c r="G335" i="27"/>
  <c r="I335" i="27" s="1"/>
  <c r="A335" i="27"/>
  <c r="I334" i="27"/>
  <c r="G334" i="27"/>
  <c r="A334" i="27"/>
  <c r="G333" i="27"/>
  <c r="I333" i="27" s="1"/>
  <c r="A333" i="27"/>
  <c r="I332" i="27"/>
  <c r="G332" i="27"/>
  <c r="A332" i="27"/>
  <c r="G331" i="27"/>
  <c r="I331" i="27" s="1"/>
  <c r="A331" i="27"/>
  <c r="I330" i="27"/>
  <c r="G330" i="27"/>
  <c r="A330" i="27"/>
  <c r="G329" i="27"/>
  <c r="I329" i="27" s="1"/>
  <c r="A329" i="27"/>
  <c r="I328" i="27"/>
  <c r="G328" i="27"/>
  <c r="A328" i="27"/>
  <c r="G327" i="27"/>
  <c r="I327" i="27" s="1"/>
  <c r="A327" i="27"/>
  <c r="I326" i="27"/>
  <c r="G326" i="27"/>
  <c r="A326" i="27"/>
  <c r="G325" i="27"/>
  <c r="I325" i="27" s="1"/>
  <c r="A325" i="27"/>
  <c r="I324" i="27"/>
  <c r="G324" i="27"/>
  <c r="A324" i="27"/>
  <c r="G323" i="27"/>
  <c r="I323" i="27" s="1"/>
  <c r="A323" i="27"/>
  <c r="I322" i="27"/>
  <c r="G322" i="27"/>
  <c r="A322" i="27"/>
  <c r="G321" i="27"/>
  <c r="I321" i="27" s="1"/>
  <c r="A321" i="27"/>
  <c r="I320" i="27"/>
  <c r="G320" i="27"/>
  <c r="A320" i="27"/>
  <c r="G319" i="27"/>
  <c r="I319" i="27" s="1"/>
  <c r="A319" i="27"/>
  <c r="I318" i="27"/>
  <c r="G318" i="27"/>
  <c r="A318" i="27"/>
  <c r="I317" i="27"/>
  <c r="G317" i="27"/>
  <c r="A317" i="27"/>
  <c r="I316" i="27"/>
  <c r="G316" i="27"/>
  <c r="A316" i="27"/>
  <c r="G315" i="27"/>
  <c r="I315" i="27" s="1"/>
  <c r="A315" i="27"/>
  <c r="I314" i="27"/>
  <c r="G314" i="27"/>
  <c r="A314" i="27"/>
  <c r="G313" i="27"/>
  <c r="I313" i="27" s="1"/>
  <c r="A313" i="27"/>
  <c r="I312" i="27"/>
  <c r="G312" i="27"/>
  <c r="A312" i="27"/>
  <c r="G311" i="27"/>
  <c r="I311" i="27" s="1"/>
  <c r="A311" i="27"/>
  <c r="I310" i="27"/>
  <c r="G310" i="27"/>
  <c r="A310" i="27"/>
  <c r="I309" i="27"/>
  <c r="G309" i="27"/>
  <c r="A309" i="27"/>
  <c r="I308" i="27"/>
  <c r="G308" i="27"/>
  <c r="A308" i="27"/>
  <c r="G307" i="27"/>
  <c r="I307" i="27" s="1"/>
  <c r="A307" i="27"/>
  <c r="I306" i="27"/>
  <c r="G306" i="27"/>
  <c r="A306" i="27"/>
  <c r="G305" i="27"/>
  <c r="I305" i="27" s="1"/>
  <c r="A305" i="27"/>
  <c r="I304" i="27"/>
  <c r="G304" i="27"/>
  <c r="A304" i="27"/>
  <c r="G303" i="27"/>
  <c r="I303" i="27" s="1"/>
  <c r="A303" i="27"/>
  <c r="I302" i="27"/>
  <c r="G302" i="27"/>
  <c r="A302" i="27"/>
  <c r="G301" i="27"/>
  <c r="I301" i="27" s="1"/>
  <c r="A301" i="27"/>
  <c r="I300" i="27"/>
  <c r="G300" i="27"/>
  <c r="A300" i="27"/>
  <c r="G299" i="27"/>
  <c r="I299" i="27" s="1"/>
  <c r="A299" i="27"/>
  <c r="I298" i="27"/>
  <c r="G298" i="27"/>
  <c r="A298" i="27"/>
  <c r="I297" i="27"/>
  <c r="G297" i="27"/>
  <c r="A297" i="27"/>
  <c r="I296" i="27"/>
  <c r="G296" i="27"/>
  <c r="A296" i="27"/>
  <c r="G295" i="27"/>
  <c r="I295" i="27" s="1"/>
  <c r="A295" i="27"/>
  <c r="I294" i="27"/>
  <c r="G294" i="27"/>
  <c r="A294" i="27"/>
  <c r="I293" i="27"/>
  <c r="G293" i="27"/>
  <c r="A293" i="27"/>
  <c r="I292" i="27"/>
  <c r="G292" i="27"/>
  <c r="A292" i="27"/>
  <c r="G291" i="27"/>
  <c r="I291" i="27" s="1"/>
  <c r="A291" i="27"/>
  <c r="I290" i="27"/>
  <c r="G290" i="27"/>
  <c r="A290" i="27"/>
  <c r="I289" i="27"/>
  <c r="G289" i="27"/>
  <c r="A289" i="27"/>
  <c r="I288" i="27"/>
  <c r="G288" i="27"/>
  <c r="A288" i="27"/>
  <c r="G287" i="27"/>
  <c r="I287" i="27" s="1"/>
  <c r="A287" i="27"/>
  <c r="I286" i="27"/>
  <c r="G286" i="27"/>
  <c r="A286" i="27"/>
  <c r="I285" i="27"/>
  <c r="G285" i="27"/>
  <c r="A285" i="27"/>
  <c r="I284" i="27"/>
  <c r="G284" i="27"/>
  <c r="A284" i="27"/>
  <c r="G283" i="27"/>
  <c r="I283" i="27" s="1"/>
  <c r="A283" i="27"/>
  <c r="I282" i="27"/>
  <c r="G282" i="27"/>
  <c r="A282" i="27"/>
  <c r="G281" i="27"/>
  <c r="I281" i="27" s="1"/>
  <c r="A281" i="27"/>
  <c r="I280" i="27"/>
  <c r="G280" i="27"/>
  <c r="A280" i="27"/>
  <c r="G279" i="27"/>
  <c r="I279" i="27" s="1"/>
  <c r="A279" i="27"/>
  <c r="I278" i="27"/>
  <c r="G278" i="27"/>
  <c r="A278" i="27"/>
  <c r="G277" i="27"/>
  <c r="I277" i="27" s="1"/>
  <c r="A277" i="27"/>
  <c r="I276" i="27"/>
  <c r="G276" i="27"/>
  <c r="A276" i="27"/>
  <c r="G275" i="27"/>
  <c r="I275" i="27" s="1"/>
  <c r="A275" i="27"/>
  <c r="I274" i="27"/>
  <c r="G274" i="27"/>
  <c r="A274" i="27"/>
  <c r="G273" i="27"/>
  <c r="I273" i="27" s="1"/>
  <c r="A273" i="27"/>
  <c r="I272" i="27"/>
  <c r="G272" i="27"/>
  <c r="A272" i="27"/>
  <c r="G271" i="27"/>
  <c r="I271" i="27" s="1"/>
  <c r="A271" i="27"/>
  <c r="I270" i="27"/>
  <c r="G270" i="27"/>
  <c r="A270" i="27"/>
  <c r="I269" i="27"/>
  <c r="G269" i="27"/>
  <c r="A269" i="27"/>
  <c r="I268" i="27"/>
  <c r="G268" i="27"/>
  <c r="A268" i="27"/>
  <c r="G267" i="27"/>
  <c r="I267" i="27" s="1"/>
  <c r="A267" i="27"/>
  <c r="I266" i="27"/>
  <c r="G266" i="27"/>
  <c r="A266" i="27"/>
  <c r="G265" i="27"/>
  <c r="I265" i="27" s="1"/>
  <c r="A265" i="27"/>
  <c r="I264" i="27"/>
  <c r="G264" i="27"/>
  <c r="A264" i="27"/>
  <c r="G263" i="27"/>
  <c r="I263" i="27" s="1"/>
  <c r="A263" i="27"/>
  <c r="I262" i="27"/>
  <c r="G262" i="27"/>
  <c r="A262" i="27"/>
  <c r="G261" i="27"/>
  <c r="I261" i="27" s="1"/>
  <c r="A261" i="27"/>
  <c r="I260" i="27"/>
  <c r="G260" i="27"/>
  <c r="A260" i="27"/>
  <c r="G259" i="27"/>
  <c r="I259" i="27" s="1"/>
  <c r="A259" i="27"/>
  <c r="I258" i="27"/>
  <c r="G258" i="27"/>
  <c r="A258" i="27"/>
  <c r="G257" i="27"/>
  <c r="I257" i="27" s="1"/>
  <c r="A257" i="27"/>
  <c r="I256" i="27"/>
  <c r="G256" i="27"/>
  <c r="A256" i="27"/>
  <c r="G255" i="27"/>
  <c r="I255" i="27" s="1"/>
  <c r="A255" i="27"/>
  <c r="I254" i="27"/>
  <c r="G254" i="27"/>
  <c r="A254" i="27"/>
  <c r="G253" i="27"/>
  <c r="I253" i="27" s="1"/>
  <c r="A253" i="27"/>
  <c r="I252" i="27"/>
  <c r="G252" i="27"/>
  <c r="A252" i="27"/>
  <c r="G251" i="27"/>
  <c r="I251" i="27" s="1"/>
  <c r="A251" i="27"/>
  <c r="I250" i="27"/>
  <c r="G250" i="27"/>
  <c r="A250" i="27"/>
  <c r="I249" i="27"/>
  <c r="G249" i="27"/>
  <c r="A249" i="27"/>
  <c r="I248" i="27"/>
  <c r="G248" i="27"/>
  <c r="A248" i="27"/>
  <c r="G247" i="27"/>
  <c r="I247" i="27" s="1"/>
  <c r="A247" i="27"/>
  <c r="I246" i="27"/>
  <c r="G246" i="27"/>
  <c r="A246" i="27"/>
  <c r="I245" i="27"/>
  <c r="G245" i="27"/>
  <c r="A245" i="27"/>
  <c r="I244" i="27"/>
  <c r="G244" i="27"/>
  <c r="A244" i="27"/>
  <c r="G243" i="27"/>
  <c r="I243" i="27" s="1"/>
  <c r="A243" i="27"/>
  <c r="I242" i="27"/>
  <c r="G242" i="27"/>
  <c r="A242" i="27"/>
  <c r="I241" i="27"/>
  <c r="G241" i="27"/>
  <c r="A241" i="27"/>
  <c r="I240" i="27"/>
  <c r="G240" i="27"/>
  <c r="A240" i="27"/>
  <c r="G239" i="27"/>
  <c r="I239" i="27" s="1"/>
  <c r="A239" i="27"/>
  <c r="I238" i="27"/>
  <c r="G238" i="27"/>
  <c r="A238" i="27"/>
  <c r="G237" i="27"/>
  <c r="I237" i="27" s="1"/>
  <c r="A237" i="27"/>
  <c r="I236" i="27"/>
  <c r="G236" i="27"/>
  <c r="A236" i="27"/>
  <c r="G235" i="27"/>
  <c r="I235" i="27" s="1"/>
  <c r="A235" i="27"/>
  <c r="I234" i="27"/>
  <c r="G234" i="27"/>
  <c r="A234" i="27"/>
  <c r="G233" i="27"/>
  <c r="I233" i="27" s="1"/>
  <c r="A233" i="27"/>
  <c r="I232" i="27"/>
  <c r="G232" i="27"/>
  <c r="A232" i="27"/>
  <c r="G231" i="27"/>
  <c r="I231" i="27" s="1"/>
  <c r="A231" i="27"/>
  <c r="I230" i="27"/>
  <c r="G230" i="27"/>
  <c r="A230" i="27"/>
  <c r="G229" i="27"/>
  <c r="I229" i="27" s="1"/>
  <c r="A229" i="27"/>
  <c r="I228" i="27"/>
  <c r="G228" i="27"/>
  <c r="A228" i="27"/>
  <c r="G227" i="27"/>
  <c r="I227" i="27" s="1"/>
  <c r="A227" i="27"/>
  <c r="I226" i="27"/>
  <c r="G226" i="27"/>
  <c r="A226" i="27"/>
  <c r="G225" i="27"/>
  <c r="I225" i="27" s="1"/>
  <c r="A225" i="27"/>
  <c r="I224" i="27"/>
  <c r="G224" i="27"/>
  <c r="A224" i="27"/>
  <c r="G223" i="27"/>
  <c r="I223" i="27" s="1"/>
  <c r="A223" i="27"/>
  <c r="I222" i="27"/>
  <c r="G222" i="27"/>
  <c r="A222" i="27"/>
  <c r="I221" i="27"/>
  <c r="G221" i="27"/>
  <c r="A221" i="27"/>
  <c r="I220" i="27"/>
  <c r="G220" i="27"/>
  <c r="A220" i="27"/>
  <c r="G219" i="27"/>
  <c r="I219" i="27" s="1"/>
  <c r="A219" i="27"/>
  <c r="I218" i="27"/>
  <c r="G218" i="27"/>
  <c r="A218" i="27"/>
  <c r="G217" i="27"/>
  <c r="I217" i="27" s="1"/>
  <c r="A217" i="27"/>
  <c r="I216" i="27"/>
  <c r="G216" i="27"/>
  <c r="A216" i="27"/>
  <c r="G215" i="27"/>
  <c r="I215" i="27" s="1"/>
  <c r="A215" i="27"/>
  <c r="I214" i="27"/>
  <c r="G214" i="27"/>
  <c r="A214" i="27"/>
  <c r="G213" i="27"/>
  <c r="I213" i="27" s="1"/>
  <c r="A213" i="27"/>
  <c r="I212" i="27"/>
  <c r="G212" i="27"/>
  <c r="A212" i="27"/>
  <c r="G211" i="27"/>
  <c r="I211" i="27" s="1"/>
  <c r="A211" i="27"/>
  <c r="I210" i="27"/>
  <c r="G210" i="27"/>
  <c r="A210" i="27"/>
  <c r="G209" i="27"/>
  <c r="I209" i="27" s="1"/>
  <c r="A209" i="27"/>
  <c r="I208" i="27"/>
  <c r="G208" i="27"/>
  <c r="A208" i="27"/>
  <c r="G207" i="27"/>
  <c r="I207" i="27" s="1"/>
  <c r="A207" i="27"/>
  <c r="I206" i="27"/>
  <c r="G206" i="27"/>
  <c r="A206" i="27"/>
  <c r="G205" i="27"/>
  <c r="I205" i="27" s="1"/>
  <c r="A205" i="27"/>
  <c r="I204" i="27"/>
  <c r="G204" i="27"/>
  <c r="A204" i="27"/>
  <c r="G203" i="27"/>
  <c r="I203" i="27" s="1"/>
  <c r="A203" i="27"/>
  <c r="I202" i="27"/>
  <c r="G202" i="27"/>
  <c r="A202" i="27"/>
  <c r="I201" i="27"/>
  <c r="G201" i="27"/>
  <c r="A201" i="27"/>
  <c r="I200" i="27"/>
  <c r="G200" i="27"/>
  <c r="A200" i="27"/>
  <c r="G199" i="27"/>
  <c r="I199" i="27" s="1"/>
  <c r="A199" i="27"/>
  <c r="I198" i="27"/>
  <c r="G198" i="27"/>
  <c r="A198" i="27"/>
  <c r="I197" i="27"/>
  <c r="G197" i="27"/>
  <c r="A197" i="27"/>
  <c r="I196" i="27"/>
  <c r="G196" i="27"/>
  <c r="A196" i="27"/>
  <c r="G195" i="27"/>
  <c r="I195" i="27" s="1"/>
  <c r="A195" i="27"/>
  <c r="I194" i="27"/>
  <c r="G194" i="27"/>
  <c r="A194" i="27"/>
  <c r="G193" i="27"/>
  <c r="I193" i="27" s="1"/>
  <c r="A193" i="27"/>
  <c r="I192" i="27"/>
  <c r="G192" i="27"/>
  <c r="A192" i="27"/>
  <c r="G191" i="27"/>
  <c r="I191" i="27" s="1"/>
  <c r="A191" i="27"/>
  <c r="I190" i="27"/>
  <c r="G190" i="27"/>
  <c r="A190" i="27"/>
  <c r="G189" i="27"/>
  <c r="I189" i="27" s="1"/>
  <c r="A189" i="27"/>
  <c r="I188" i="27"/>
  <c r="G188" i="27"/>
  <c r="A188" i="27"/>
  <c r="G187" i="27"/>
  <c r="I187" i="27" s="1"/>
  <c r="A187" i="27"/>
  <c r="I186" i="27"/>
  <c r="G186" i="27"/>
  <c r="A186" i="27"/>
  <c r="G185" i="27"/>
  <c r="I185" i="27" s="1"/>
  <c r="A185" i="27"/>
  <c r="I184" i="27"/>
  <c r="G184" i="27"/>
  <c r="A184" i="27"/>
  <c r="G183" i="27"/>
  <c r="I183" i="27" s="1"/>
  <c r="A183" i="27"/>
  <c r="I182" i="27"/>
  <c r="G182" i="27"/>
  <c r="A182" i="27"/>
  <c r="G181" i="27"/>
  <c r="I181" i="27" s="1"/>
  <c r="A181" i="27"/>
  <c r="I180" i="27"/>
  <c r="G180" i="27"/>
  <c r="A180" i="27"/>
  <c r="G179" i="27"/>
  <c r="I179" i="27" s="1"/>
  <c r="A179" i="27"/>
  <c r="I178" i="27"/>
  <c r="G178" i="27"/>
  <c r="A178" i="27"/>
  <c r="G177" i="27"/>
  <c r="I177" i="27" s="1"/>
  <c r="A177" i="27"/>
  <c r="I176" i="27"/>
  <c r="G176" i="27"/>
  <c r="A176" i="27"/>
  <c r="G175" i="27"/>
  <c r="I175" i="27" s="1"/>
  <c r="A175" i="27"/>
  <c r="I174" i="27"/>
  <c r="G174" i="27"/>
  <c r="A174" i="27"/>
  <c r="I173" i="27"/>
  <c r="G173" i="27"/>
  <c r="A173" i="27"/>
  <c r="I172" i="27"/>
  <c r="G172" i="27"/>
  <c r="A172" i="27"/>
  <c r="G171" i="27"/>
  <c r="I171" i="27" s="1"/>
  <c r="A171" i="27"/>
  <c r="I170" i="27"/>
  <c r="G170" i="27"/>
  <c r="A170" i="27"/>
  <c r="I169" i="27"/>
  <c r="G169" i="27"/>
  <c r="A169" i="27"/>
  <c r="I168" i="27"/>
  <c r="G168" i="27"/>
  <c r="A168" i="27"/>
  <c r="G167" i="27"/>
  <c r="I167" i="27" s="1"/>
  <c r="A167" i="27"/>
  <c r="I166" i="27"/>
  <c r="G166" i="27"/>
  <c r="A166" i="27"/>
  <c r="G165" i="27"/>
  <c r="I165" i="27" s="1"/>
  <c r="A165" i="27"/>
  <c r="I164" i="27"/>
  <c r="G164" i="27"/>
  <c r="A164" i="27"/>
  <c r="G163" i="27"/>
  <c r="I163" i="27" s="1"/>
  <c r="A163" i="27"/>
  <c r="I162" i="27"/>
  <c r="G162" i="27"/>
  <c r="A162" i="27"/>
  <c r="G161" i="27"/>
  <c r="I161" i="27" s="1"/>
  <c r="A161" i="27"/>
  <c r="I160" i="27"/>
  <c r="G160" i="27"/>
  <c r="A160" i="27"/>
  <c r="G159" i="27"/>
  <c r="I159" i="27" s="1"/>
  <c r="A159" i="27"/>
  <c r="I158" i="27"/>
  <c r="G158" i="27"/>
  <c r="A158" i="27"/>
  <c r="G157" i="27"/>
  <c r="I157" i="27" s="1"/>
  <c r="A157" i="27"/>
  <c r="I156" i="27"/>
  <c r="G156" i="27"/>
  <c r="A156" i="27"/>
  <c r="G155" i="27"/>
  <c r="I155" i="27" s="1"/>
  <c r="A155" i="27"/>
  <c r="I154" i="27"/>
  <c r="G154" i="27"/>
  <c r="A154" i="27"/>
  <c r="I153" i="27"/>
  <c r="G153" i="27"/>
  <c r="A153" i="27"/>
  <c r="I152" i="27"/>
  <c r="G152" i="27"/>
  <c r="A152" i="27"/>
  <c r="G151" i="27"/>
  <c r="I151" i="27" s="1"/>
  <c r="A151" i="27"/>
  <c r="I150" i="27"/>
  <c r="G150" i="27"/>
  <c r="A150" i="27"/>
  <c r="I149" i="27"/>
  <c r="G149" i="27"/>
  <c r="A149" i="27"/>
  <c r="I148" i="27"/>
  <c r="G148" i="27"/>
  <c r="A148" i="27"/>
  <c r="G147" i="27"/>
  <c r="I147" i="27" s="1"/>
  <c r="A147" i="27"/>
  <c r="I146" i="27"/>
  <c r="G146" i="27"/>
  <c r="A146" i="27"/>
  <c r="I145" i="27"/>
  <c r="G145" i="27"/>
  <c r="A145" i="27"/>
  <c r="I144" i="27"/>
  <c r="G144" i="27"/>
  <c r="A144" i="27"/>
  <c r="G143" i="27"/>
  <c r="I143" i="27" s="1"/>
  <c r="A143" i="27"/>
  <c r="I142" i="27"/>
  <c r="G142" i="27"/>
  <c r="A142" i="27"/>
  <c r="G141" i="27"/>
  <c r="I141" i="27" s="1"/>
  <c r="A141" i="27"/>
  <c r="I140" i="27"/>
  <c r="G140" i="27"/>
  <c r="A140" i="27"/>
  <c r="G139" i="27"/>
  <c r="I139" i="27" s="1"/>
  <c r="A139" i="27"/>
  <c r="I138" i="27"/>
  <c r="G138" i="27"/>
  <c r="A138" i="27"/>
  <c r="G137" i="27"/>
  <c r="I137" i="27" s="1"/>
  <c r="A137" i="27"/>
  <c r="I136" i="27"/>
  <c r="G136" i="27"/>
  <c r="A136" i="27"/>
  <c r="G135" i="27"/>
  <c r="I135" i="27" s="1"/>
  <c r="A135" i="27"/>
  <c r="I134" i="27"/>
  <c r="G134" i="27"/>
  <c r="A134" i="27"/>
  <c r="G133" i="27"/>
  <c r="I133" i="27" s="1"/>
  <c r="A133" i="27"/>
  <c r="I132" i="27"/>
  <c r="G132" i="27"/>
  <c r="A132" i="27"/>
  <c r="G131" i="27"/>
  <c r="I131" i="27" s="1"/>
  <c r="A131" i="27"/>
  <c r="I130" i="27"/>
  <c r="G130" i="27"/>
  <c r="A130" i="27"/>
  <c r="G129" i="27"/>
  <c r="I129" i="27" s="1"/>
  <c r="A129" i="27"/>
  <c r="I128" i="27"/>
  <c r="G128" i="27"/>
  <c r="A128" i="27"/>
  <c r="G127" i="27"/>
  <c r="I127" i="27" s="1"/>
  <c r="A127" i="27"/>
  <c r="I126" i="27"/>
  <c r="G126" i="27"/>
  <c r="A126" i="27"/>
  <c r="I125" i="27"/>
  <c r="G125" i="27"/>
  <c r="A125" i="27"/>
  <c r="I124" i="27"/>
  <c r="G124" i="27"/>
  <c r="A124" i="27"/>
  <c r="G123" i="27"/>
  <c r="I123" i="27" s="1"/>
  <c r="A123" i="27"/>
  <c r="I122" i="27"/>
  <c r="G122" i="27"/>
  <c r="A122" i="27"/>
  <c r="I121" i="27"/>
  <c r="G121" i="27"/>
  <c r="A121" i="27"/>
  <c r="I120" i="27"/>
  <c r="G120" i="27"/>
  <c r="A120" i="27"/>
  <c r="G119" i="27"/>
  <c r="I119" i="27" s="1"/>
  <c r="A119" i="27"/>
  <c r="I118" i="27"/>
  <c r="G118" i="27"/>
  <c r="A118" i="27"/>
  <c r="I117" i="27"/>
  <c r="G117" i="27"/>
  <c r="A117" i="27"/>
  <c r="I116" i="27"/>
  <c r="G116" i="27"/>
  <c r="A116" i="27"/>
  <c r="G115" i="27"/>
  <c r="I115" i="27" s="1"/>
  <c r="A115" i="27"/>
  <c r="I114" i="27"/>
  <c r="G114" i="27"/>
  <c r="A114" i="27"/>
  <c r="G113" i="27"/>
  <c r="I113" i="27" s="1"/>
  <c r="A113" i="27"/>
  <c r="I112" i="27"/>
  <c r="G112" i="27"/>
  <c r="A112" i="27"/>
  <c r="G111" i="27"/>
  <c r="I111" i="27" s="1"/>
  <c r="A111" i="27"/>
  <c r="I110" i="27"/>
  <c r="G110" i="27"/>
  <c r="A110" i="27"/>
  <c r="G109" i="27"/>
  <c r="I109" i="27" s="1"/>
  <c r="A109" i="27"/>
  <c r="I108" i="27"/>
  <c r="G108" i="27"/>
  <c r="A108" i="27"/>
  <c r="G107" i="27"/>
  <c r="I107" i="27" s="1"/>
  <c r="A107" i="27"/>
  <c r="I106" i="27"/>
  <c r="G106" i="27"/>
  <c r="A106" i="27"/>
  <c r="I105" i="27"/>
  <c r="G105" i="27"/>
  <c r="A105" i="27"/>
  <c r="I104" i="27"/>
  <c r="G104" i="27"/>
  <c r="A104" i="27"/>
  <c r="G103" i="27"/>
  <c r="I103" i="27" s="1"/>
  <c r="A103" i="27"/>
  <c r="I102" i="27"/>
  <c r="G102" i="27"/>
  <c r="A102" i="27"/>
  <c r="I101" i="27"/>
  <c r="G101" i="27"/>
  <c r="A101" i="27"/>
  <c r="I100" i="27"/>
  <c r="G100" i="27"/>
  <c r="A100" i="27"/>
  <c r="G99" i="27"/>
  <c r="I99" i="27" s="1"/>
  <c r="A99" i="27"/>
  <c r="I98" i="27"/>
  <c r="G98" i="27"/>
  <c r="A98" i="27"/>
  <c r="G97" i="27"/>
  <c r="I97" i="27" s="1"/>
  <c r="A97" i="27"/>
  <c r="I96" i="27"/>
  <c r="G96" i="27"/>
  <c r="A96" i="27"/>
  <c r="G95" i="27"/>
  <c r="I95" i="27" s="1"/>
  <c r="A95" i="27"/>
  <c r="I94" i="27"/>
  <c r="G94" i="27"/>
  <c r="A94" i="27"/>
  <c r="G93" i="27"/>
  <c r="I93" i="27" s="1"/>
  <c r="A93" i="27"/>
  <c r="I92" i="27"/>
  <c r="G92" i="27"/>
  <c r="A92" i="27"/>
  <c r="G91" i="27"/>
  <c r="I91" i="27" s="1"/>
  <c r="A91" i="27"/>
  <c r="I90" i="27"/>
  <c r="G90" i="27"/>
  <c r="A90" i="27"/>
  <c r="G89" i="27"/>
  <c r="I89" i="27" s="1"/>
  <c r="A89" i="27"/>
  <c r="I88" i="27"/>
  <c r="G88" i="27"/>
  <c r="A88" i="27"/>
  <c r="G87" i="27"/>
  <c r="I87" i="27" s="1"/>
  <c r="A87" i="27"/>
  <c r="I86" i="27"/>
  <c r="G86" i="27"/>
  <c r="A86" i="27"/>
  <c r="G85" i="27"/>
  <c r="I85" i="27" s="1"/>
  <c r="A85" i="27"/>
  <c r="I84" i="27"/>
  <c r="G84" i="27"/>
  <c r="A84" i="27"/>
  <c r="G83" i="27"/>
  <c r="I83" i="27" s="1"/>
  <c r="A83" i="27"/>
  <c r="I82" i="27"/>
  <c r="G82" i="27"/>
  <c r="A82" i="27"/>
  <c r="G81" i="27"/>
  <c r="I81" i="27" s="1"/>
  <c r="A81" i="27"/>
  <c r="I80" i="27"/>
  <c r="G80" i="27"/>
  <c r="A80" i="27"/>
  <c r="G79" i="27"/>
  <c r="I79" i="27" s="1"/>
  <c r="A79" i="27"/>
  <c r="I78" i="27"/>
  <c r="G78" i="27"/>
  <c r="A78" i="27"/>
  <c r="I77" i="27"/>
  <c r="G77" i="27"/>
  <c r="A77" i="27"/>
  <c r="I76" i="27"/>
  <c r="G76" i="27"/>
  <c r="A76" i="27"/>
  <c r="G75" i="27"/>
  <c r="I75" i="27" s="1"/>
  <c r="A75" i="27"/>
  <c r="I74" i="27"/>
  <c r="G74" i="27"/>
  <c r="A74" i="27"/>
  <c r="G73" i="27"/>
  <c r="I73" i="27" s="1"/>
  <c r="A73" i="27"/>
  <c r="I72" i="27"/>
  <c r="G72" i="27"/>
  <c r="A72" i="27"/>
  <c r="G71" i="27"/>
  <c r="I71" i="27" s="1"/>
  <c r="A71" i="27"/>
  <c r="I70" i="27"/>
  <c r="G70" i="27"/>
  <c r="A70" i="27"/>
  <c r="I69" i="27"/>
  <c r="G69" i="27"/>
  <c r="A69" i="27"/>
  <c r="G68" i="27"/>
  <c r="I68" i="27" s="1"/>
  <c r="A68" i="27"/>
  <c r="G67" i="27"/>
  <c r="I67" i="27" s="1"/>
  <c r="A67" i="27"/>
  <c r="I66" i="27"/>
  <c r="G66" i="27"/>
  <c r="A66" i="27"/>
  <c r="G65" i="27"/>
  <c r="I65" i="27" s="1"/>
  <c r="A65" i="27"/>
  <c r="I64" i="27"/>
  <c r="G64" i="27"/>
  <c r="A64" i="27"/>
  <c r="I63" i="27"/>
  <c r="G63" i="27"/>
  <c r="A63" i="27"/>
  <c r="I62" i="27"/>
  <c r="G62" i="27"/>
  <c r="A62" i="27"/>
  <c r="G61" i="27"/>
  <c r="I61" i="27" s="1"/>
  <c r="A61" i="27"/>
  <c r="I60" i="27"/>
  <c r="G60" i="27"/>
  <c r="A60" i="27"/>
  <c r="G59" i="27"/>
  <c r="I59" i="27" s="1"/>
  <c r="A59" i="27"/>
  <c r="I58" i="27"/>
  <c r="G58" i="27"/>
  <c r="A58" i="27"/>
  <c r="G57" i="27"/>
  <c r="I57" i="27" s="1"/>
  <c r="A57" i="27"/>
  <c r="I56" i="27"/>
  <c r="G56" i="27"/>
  <c r="A56" i="27"/>
  <c r="G55" i="27"/>
  <c r="I55" i="27" s="1"/>
  <c r="A55" i="27"/>
  <c r="I54" i="27"/>
  <c r="G54" i="27"/>
  <c r="A54" i="27"/>
  <c r="G53" i="27"/>
  <c r="I53" i="27" s="1"/>
  <c r="A53" i="27"/>
  <c r="I52" i="27"/>
  <c r="G52" i="27"/>
  <c r="A52" i="27"/>
  <c r="I51" i="27"/>
  <c r="G51" i="27"/>
  <c r="A51" i="27"/>
  <c r="I50" i="27"/>
  <c r="G50" i="27"/>
  <c r="A50" i="27"/>
  <c r="G49" i="27"/>
  <c r="I49" i="27" s="1"/>
  <c r="A49" i="27"/>
  <c r="I48" i="27"/>
  <c r="G48" i="27"/>
  <c r="A48" i="27"/>
  <c r="G47" i="27"/>
  <c r="I47" i="27" s="1"/>
  <c r="A47" i="27"/>
  <c r="I46" i="27"/>
  <c r="G46" i="27"/>
  <c r="A46" i="27"/>
  <c r="G45" i="27"/>
  <c r="I45" i="27" s="1"/>
  <c r="A45" i="27"/>
  <c r="I44" i="27"/>
  <c r="G44" i="27"/>
  <c r="A44" i="27"/>
  <c r="I43" i="27"/>
  <c r="G43" i="27"/>
  <c r="A43" i="27"/>
  <c r="I42" i="27"/>
  <c r="G42" i="27"/>
  <c r="A42" i="27"/>
  <c r="G41" i="27"/>
  <c r="I41" i="27" s="1"/>
  <c r="A41" i="27"/>
  <c r="I40" i="27"/>
  <c r="G40" i="27"/>
  <c r="A40" i="27"/>
  <c r="G39" i="27"/>
  <c r="I39" i="27" s="1"/>
  <c r="A39" i="27"/>
  <c r="I38" i="27"/>
  <c r="G38" i="27"/>
  <c r="A38" i="27"/>
  <c r="G37" i="27"/>
  <c r="I37" i="27" s="1"/>
  <c r="A37" i="27"/>
  <c r="I36" i="27"/>
  <c r="G36" i="27"/>
  <c r="A36" i="27"/>
  <c r="G35" i="27"/>
  <c r="I35" i="27" s="1"/>
  <c r="A35" i="27"/>
  <c r="I34" i="27"/>
  <c r="G34" i="27"/>
  <c r="A34" i="27"/>
  <c r="G33" i="27"/>
  <c r="I33" i="27" s="1"/>
  <c r="A33" i="27"/>
  <c r="I32" i="27"/>
  <c r="G32" i="27"/>
  <c r="A32" i="27"/>
  <c r="G31" i="27"/>
  <c r="I31" i="27" s="1"/>
  <c r="A31" i="27"/>
  <c r="I30" i="27"/>
  <c r="G30" i="27"/>
  <c r="A30" i="27"/>
  <c r="G29" i="27"/>
  <c r="I29" i="27" s="1"/>
  <c r="A29" i="27"/>
  <c r="I28" i="27"/>
  <c r="G28" i="27"/>
  <c r="A28" i="27"/>
  <c r="G27" i="27"/>
  <c r="I27" i="27" s="1"/>
  <c r="A27" i="27"/>
  <c r="I26" i="27"/>
  <c r="G26" i="27"/>
  <c r="A26" i="27"/>
  <c r="G25" i="27"/>
  <c r="I25" i="27" s="1"/>
  <c r="A25" i="27"/>
  <c r="I24" i="27"/>
  <c r="G24" i="27"/>
  <c r="A24" i="27"/>
  <c r="I23" i="27"/>
  <c r="G23" i="27"/>
  <c r="A23" i="27"/>
  <c r="I22" i="27"/>
  <c r="G22" i="27"/>
  <c r="A22" i="27"/>
  <c r="G21" i="27"/>
  <c r="I21" i="27" s="1"/>
  <c r="A21" i="27"/>
  <c r="I20" i="27"/>
  <c r="G20" i="27"/>
  <c r="A20" i="27"/>
  <c r="G19" i="27"/>
  <c r="I19" i="27" s="1"/>
  <c r="AK714" i="17" s="1"/>
  <c r="A19" i="27"/>
  <c r="I18" i="27"/>
  <c r="G18" i="27"/>
  <c r="A18" i="27"/>
  <c r="G17" i="27"/>
  <c r="I17" i="27" s="1"/>
  <c r="A17" i="27"/>
  <c r="I16" i="27"/>
  <c r="G16" i="27"/>
  <c r="A16" i="27"/>
  <c r="G15" i="27"/>
  <c r="I15" i="27" s="1"/>
  <c r="A15" i="27"/>
  <c r="I14" i="27"/>
  <c r="G14" i="27"/>
  <c r="A14" i="27"/>
  <c r="G13" i="27"/>
  <c r="I13" i="27" s="1"/>
  <c r="A13" i="27"/>
  <c r="I12" i="27"/>
  <c r="G12" i="27"/>
  <c r="A12" i="27"/>
  <c r="I11" i="27"/>
  <c r="G11" i="27"/>
  <c r="A11" i="27"/>
  <c r="I10" i="27"/>
  <c r="G10" i="27"/>
  <c r="A10" i="27"/>
  <c r="G9" i="27"/>
  <c r="I9" i="27" s="1"/>
  <c r="A9" i="27"/>
  <c r="I8" i="27"/>
  <c r="G8" i="27"/>
  <c r="A8" i="27"/>
  <c r="G7" i="27"/>
  <c r="I7" i="27" s="1"/>
  <c r="A7" i="27"/>
  <c r="I6" i="27"/>
  <c r="G6" i="27"/>
  <c r="A6" i="27"/>
  <c r="G5" i="27"/>
  <c r="I5" i="27" s="1"/>
  <c r="A5" i="27"/>
  <c r="I4" i="27"/>
  <c r="G4" i="27"/>
  <c r="A4" i="27"/>
  <c r="I3" i="27"/>
  <c r="G3" i="27"/>
  <c r="A3" i="27"/>
  <c r="I2" i="27"/>
  <c r="G2" i="27"/>
  <c r="A2" i="27"/>
  <c r="AE769" i="17"/>
  <c r="B769" i="17"/>
  <c r="A769" i="17"/>
  <c r="AR768" i="17"/>
  <c r="AE768" i="17"/>
  <c r="B768" i="17"/>
  <c r="A768" i="17"/>
  <c r="AE767" i="17"/>
  <c r="B767" i="17"/>
  <c r="A767" i="17"/>
  <c r="AE766" i="17"/>
  <c r="B766" i="17"/>
  <c r="A766" i="17"/>
  <c r="AR765" i="17"/>
  <c r="AQ765" i="17"/>
  <c r="AP765" i="17"/>
  <c r="AO765" i="17"/>
  <c r="AN765" i="17"/>
  <c r="AM765" i="17"/>
  <c r="AK765" i="17"/>
  <c r="AL765" i="17" s="1"/>
  <c r="Z765" i="17" s="1"/>
  <c r="AS765" i="17" s="1"/>
  <c r="AJ765" i="17"/>
  <c r="AI765" i="17"/>
  <c r="AH765" i="17"/>
  <c r="AG765" i="17"/>
  <c r="AF765" i="17"/>
  <c r="AE765" i="17"/>
  <c r="B765" i="17"/>
  <c r="A765" i="17"/>
  <c r="AR764" i="17"/>
  <c r="AQ764" i="17"/>
  <c r="AP764" i="17"/>
  <c r="AO764" i="17"/>
  <c r="AN764" i="17"/>
  <c r="AM764" i="17"/>
  <c r="AK764" i="17"/>
  <c r="AJ764" i="17"/>
  <c r="AI764" i="17"/>
  <c r="AH764" i="17"/>
  <c r="AG764" i="17"/>
  <c r="AF764" i="17"/>
  <c r="AE764" i="17"/>
  <c r="B764" i="17"/>
  <c r="A764" i="17"/>
  <c r="AR763" i="17"/>
  <c r="AQ763" i="17"/>
  <c r="AP763" i="17"/>
  <c r="AO763" i="17"/>
  <c r="AN763" i="17"/>
  <c r="AM763" i="17"/>
  <c r="AK763" i="17"/>
  <c r="AJ763" i="17"/>
  <c r="AI763" i="17"/>
  <c r="AH763" i="17"/>
  <c r="AG763" i="17"/>
  <c r="AF763" i="17"/>
  <c r="AL763" i="17" s="1"/>
  <c r="Z763" i="17" s="1"/>
  <c r="AS763" i="17" s="1"/>
  <c r="AE763" i="17"/>
  <c r="B763" i="17"/>
  <c r="A763" i="17"/>
  <c r="AR762" i="17"/>
  <c r="AQ762" i="17"/>
  <c r="AP762" i="17"/>
  <c r="AO762" i="17"/>
  <c r="AN762" i="17"/>
  <c r="AM762" i="17"/>
  <c r="AK762" i="17"/>
  <c r="AJ762" i="17"/>
  <c r="AL762" i="17" s="1"/>
  <c r="AI762" i="17"/>
  <c r="AH762" i="17"/>
  <c r="AG762" i="17"/>
  <c r="AF762" i="17"/>
  <c r="AE762" i="17"/>
  <c r="Z762" i="17"/>
  <c r="AS762" i="17" s="1"/>
  <c r="B762" i="17"/>
  <c r="A762" i="17"/>
  <c r="AR761" i="17"/>
  <c r="AQ761" i="17"/>
  <c r="AP761" i="17"/>
  <c r="AO761" i="17"/>
  <c r="AN761" i="17"/>
  <c r="AM761" i="17"/>
  <c r="AK761" i="17"/>
  <c r="AJ761" i="17"/>
  <c r="AI761" i="17"/>
  <c r="AH761" i="17"/>
  <c r="AG761" i="17"/>
  <c r="AF761" i="17"/>
  <c r="AE761" i="17"/>
  <c r="B761" i="17"/>
  <c r="A761" i="17"/>
  <c r="AR760" i="17"/>
  <c r="AQ760" i="17"/>
  <c r="AP760" i="17"/>
  <c r="AO760" i="17"/>
  <c r="AE760" i="17"/>
  <c r="B760" i="17"/>
  <c r="A760" i="17"/>
  <c r="AR759" i="17"/>
  <c r="AQ759" i="17"/>
  <c r="AP759" i="17"/>
  <c r="AO759" i="17"/>
  <c r="AE759" i="17"/>
  <c r="B759" i="17"/>
  <c r="A759" i="17"/>
  <c r="AR758" i="17"/>
  <c r="AQ758" i="17"/>
  <c r="AP758" i="17"/>
  <c r="AO758" i="17"/>
  <c r="AN758" i="17"/>
  <c r="AM758" i="17"/>
  <c r="AK758" i="17"/>
  <c r="AJ758" i="17"/>
  <c r="AI758" i="17"/>
  <c r="AH758" i="17"/>
  <c r="AG758" i="17"/>
  <c r="AF758" i="17"/>
  <c r="AL758" i="17" s="1"/>
  <c r="Z758" i="17" s="1"/>
  <c r="AS758" i="17" s="1"/>
  <c r="AE758" i="17"/>
  <c r="B758" i="17"/>
  <c r="A758" i="17"/>
  <c r="AR757" i="17"/>
  <c r="AQ757" i="17"/>
  <c r="AP757" i="17"/>
  <c r="AO757" i="17"/>
  <c r="AN757" i="17"/>
  <c r="AM757" i="17"/>
  <c r="AL757" i="17"/>
  <c r="Z757" i="17" s="1"/>
  <c r="AS757" i="17" s="1"/>
  <c r="AK757" i="17"/>
  <c r="AJ757" i="17"/>
  <c r="AI757" i="17"/>
  <c r="AH757" i="17"/>
  <c r="AG757" i="17"/>
  <c r="AF757" i="17"/>
  <c r="AE757" i="17"/>
  <c r="B757" i="17"/>
  <c r="A757" i="17"/>
  <c r="AR756" i="17"/>
  <c r="AQ756" i="17"/>
  <c r="AP756" i="17"/>
  <c r="AO756" i="17"/>
  <c r="AN756" i="17"/>
  <c r="AM756" i="17"/>
  <c r="AK756" i="17"/>
  <c r="AJ756" i="17"/>
  <c r="AI756" i="17"/>
  <c r="AH756" i="17"/>
  <c r="AG756" i="17"/>
  <c r="AF756" i="17"/>
  <c r="AL756" i="17" s="1"/>
  <c r="AE756" i="17"/>
  <c r="Z756" i="17"/>
  <c r="AS756" i="17" s="1"/>
  <c r="B756" i="17"/>
  <c r="A756" i="17"/>
  <c r="AR755" i="17"/>
  <c r="AQ755" i="17"/>
  <c r="AP755" i="17"/>
  <c r="AO755" i="17"/>
  <c r="AN755" i="17"/>
  <c r="AM755" i="17"/>
  <c r="AK755" i="17"/>
  <c r="AJ755" i="17"/>
  <c r="AI755" i="17"/>
  <c r="AH755" i="17"/>
  <c r="AG755" i="17"/>
  <c r="AF755" i="17"/>
  <c r="AE755" i="17"/>
  <c r="B755" i="17"/>
  <c r="A755" i="17"/>
  <c r="AR754" i="17"/>
  <c r="AQ754" i="17"/>
  <c r="AP754" i="17"/>
  <c r="AO754" i="17"/>
  <c r="AN754" i="17"/>
  <c r="AM754" i="17"/>
  <c r="AK754" i="17"/>
  <c r="AJ754" i="17"/>
  <c r="AL754" i="17" s="1"/>
  <c r="Z754" i="17" s="1"/>
  <c r="AS754" i="17" s="1"/>
  <c r="AI754" i="17"/>
  <c r="AH754" i="17"/>
  <c r="AG754" i="17"/>
  <c r="AF754" i="17"/>
  <c r="AE754" i="17"/>
  <c r="B754" i="17"/>
  <c r="A754" i="17"/>
  <c r="AR753" i="17"/>
  <c r="AQ753" i="17"/>
  <c r="AP753" i="17"/>
  <c r="AO753" i="17"/>
  <c r="AN753" i="17"/>
  <c r="AM753" i="17"/>
  <c r="AK753" i="17"/>
  <c r="AJ753" i="17"/>
  <c r="AI753" i="17"/>
  <c r="AH753" i="17"/>
  <c r="AG753" i="17"/>
  <c r="AF753" i="17"/>
  <c r="AE753" i="17"/>
  <c r="B753" i="17"/>
  <c r="A753" i="17"/>
  <c r="AR752" i="17"/>
  <c r="AQ752" i="17"/>
  <c r="AP752" i="17"/>
  <c r="AO752" i="17"/>
  <c r="AN752" i="17"/>
  <c r="AM752" i="17"/>
  <c r="AK752" i="17"/>
  <c r="AJ752" i="17"/>
  <c r="AL752" i="17" s="1"/>
  <c r="Z752" i="17" s="1"/>
  <c r="AS752" i="17" s="1"/>
  <c r="AI752" i="17"/>
  <c r="AH752" i="17"/>
  <c r="AG752" i="17"/>
  <c r="AF752" i="17"/>
  <c r="AE752" i="17"/>
  <c r="B752" i="17"/>
  <c r="A752" i="17"/>
  <c r="AR751" i="17"/>
  <c r="AQ751" i="17"/>
  <c r="AP751" i="17"/>
  <c r="AO751" i="17"/>
  <c r="AN751" i="17"/>
  <c r="AM751" i="17"/>
  <c r="AK751" i="17"/>
  <c r="AJ751" i="17"/>
  <c r="AI751" i="17"/>
  <c r="AH751" i="17"/>
  <c r="AG751" i="17"/>
  <c r="AF751" i="17"/>
  <c r="AL751" i="17" s="1"/>
  <c r="AE751" i="17"/>
  <c r="B751" i="17"/>
  <c r="A751" i="17"/>
  <c r="AR750" i="17"/>
  <c r="AQ750" i="17"/>
  <c r="AP750" i="17"/>
  <c r="AO750" i="17"/>
  <c r="AN750" i="17"/>
  <c r="AM750" i="17"/>
  <c r="AK750" i="17"/>
  <c r="AJ750" i="17"/>
  <c r="AI750" i="17"/>
  <c r="AH750" i="17"/>
  <c r="AG750" i="17"/>
  <c r="AL750" i="17" s="1"/>
  <c r="Z750" i="17" s="1"/>
  <c r="AS750" i="17" s="1"/>
  <c r="AF750" i="17"/>
  <c r="AE750" i="17"/>
  <c r="B750" i="17"/>
  <c r="A750" i="17"/>
  <c r="AR749" i="17"/>
  <c r="AQ749" i="17"/>
  <c r="AP749" i="17"/>
  <c r="AO749" i="17"/>
  <c r="AN749" i="17"/>
  <c r="AM749" i="17"/>
  <c r="AL749" i="17"/>
  <c r="Z749" i="17" s="1"/>
  <c r="AS749" i="17" s="1"/>
  <c r="AK749" i="17"/>
  <c r="AJ749" i="17"/>
  <c r="AI749" i="17"/>
  <c r="AH749" i="17"/>
  <c r="AG749" i="17"/>
  <c r="AF749" i="17"/>
  <c r="AE749" i="17"/>
  <c r="B749" i="17"/>
  <c r="A749" i="17"/>
  <c r="AR748" i="17"/>
  <c r="AQ748" i="17"/>
  <c r="AP748" i="17"/>
  <c r="AO748" i="17"/>
  <c r="AN748" i="17"/>
  <c r="AM748" i="17"/>
  <c r="AL748" i="17"/>
  <c r="Z748" i="17" s="1"/>
  <c r="AS748" i="17" s="1"/>
  <c r="AK748" i="17"/>
  <c r="AJ748" i="17"/>
  <c r="AI748" i="17"/>
  <c r="AH748" i="17"/>
  <c r="AG748" i="17"/>
  <c r="AF748" i="17"/>
  <c r="AE748" i="17"/>
  <c r="B748" i="17"/>
  <c r="A748" i="17"/>
  <c r="AR747" i="17"/>
  <c r="AQ747" i="17"/>
  <c r="AP747" i="17"/>
  <c r="Z747" i="17" s="1"/>
  <c r="AS747" i="17" s="1"/>
  <c r="AO747" i="17"/>
  <c r="AN747" i="17"/>
  <c r="AM747" i="17"/>
  <c r="AK747" i="17"/>
  <c r="AJ747" i="17"/>
  <c r="AI747" i="17"/>
  <c r="AH747" i="17"/>
  <c r="AG747" i="17"/>
  <c r="AF747" i="17"/>
  <c r="AL747" i="17" s="1"/>
  <c r="AE747" i="17"/>
  <c r="B747" i="17"/>
  <c r="A747" i="17"/>
  <c r="AR746" i="17"/>
  <c r="AQ746" i="17"/>
  <c r="AP746" i="17"/>
  <c r="AO746" i="17"/>
  <c r="AN746" i="17"/>
  <c r="AM746" i="17"/>
  <c r="AL746" i="17"/>
  <c r="Z746" i="17" s="1"/>
  <c r="AS746" i="17" s="1"/>
  <c r="AK746" i="17"/>
  <c r="AJ746" i="17"/>
  <c r="AI746" i="17"/>
  <c r="AH746" i="17"/>
  <c r="AG746" i="17"/>
  <c r="AF746" i="17"/>
  <c r="AE746" i="17"/>
  <c r="B746" i="17"/>
  <c r="A746" i="17"/>
  <c r="AR745" i="17"/>
  <c r="AQ745" i="17"/>
  <c r="AP745" i="17"/>
  <c r="AO745" i="17"/>
  <c r="AN745" i="17"/>
  <c r="AM745" i="17"/>
  <c r="AK745" i="17"/>
  <c r="AJ745" i="17"/>
  <c r="AI745" i="17"/>
  <c r="AH745" i="17"/>
  <c r="AG745" i="17"/>
  <c r="AF745" i="17"/>
  <c r="AE745" i="17"/>
  <c r="B745" i="17"/>
  <c r="A745" i="17"/>
  <c r="AR744" i="17"/>
  <c r="AQ744" i="17"/>
  <c r="AP744" i="17"/>
  <c r="AO744" i="17"/>
  <c r="AN744" i="17"/>
  <c r="AM744" i="17"/>
  <c r="AK744" i="17"/>
  <c r="AJ744" i="17"/>
  <c r="AL744" i="17" s="1"/>
  <c r="Z744" i="17" s="1"/>
  <c r="AS744" i="17" s="1"/>
  <c r="AI744" i="17"/>
  <c r="AH744" i="17"/>
  <c r="AG744" i="17"/>
  <c r="AF744" i="17"/>
  <c r="AE744" i="17"/>
  <c r="B744" i="17"/>
  <c r="A744" i="17"/>
  <c r="AR743" i="17"/>
  <c r="AQ743" i="17"/>
  <c r="AP743" i="17"/>
  <c r="AO743" i="17"/>
  <c r="AN743" i="17"/>
  <c r="AM743" i="17"/>
  <c r="AK743" i="17"/>
  <c r="AJ743" i="17"/>
  <c r="AL743" i="17" s="1"/>
  <c r="AI743" i="17"/>
  <c r="AH743" i="17"/>
  <c r="AG743" i="17"/>
  <c r="AF743" i="17"/>
  <c r="AE743" i="17"/>
  <c r="Z743" i="17"/>
  <c r="AS743" i="17" s="1"/>
  <c r="B743" i="17"/>
  <c r="A743" i="17"/>
  <c r="AR742" i="17"/>
  <c r="AQ742" i="17"/>
  <c r="AP742" i="17"/>
  <c r="AO742" i="17"/>
  <c r="AN742" i="17"/>
  <c r="AM742" i="17"/>
  <c r="AK742" i="17"/>
  <c r="AJ742" i="17"/>
  <c r="AI742" i="17"/>
  <c r="AH742" i="17"/>
  <c r="AG742" i="17"/>
  <c r="AF742" i="17"/>
  <c r="AE742" i="17"/>
  <c r="B742" i="17"/>
  <c r="A742" i="17"/>
  <c r="AR741" i="17"/>
  <c r="AQ741" i="17"/>
  <c r="AP741" i="17"/>
  <c r="Z741" i="17" s="1"/>
  <c r="AS741" i="17" s="1"/>
  <c r="AO741" i="17"/>
  <c r="AN741" i="17"/>
  <c r="AM741" i="17"/>
  <c r="AK741" i="17"/>
  <c r="AJ741" i="17"/>
  <c r="AL741" i="17" s="1"/>
  <c r="AI741" i="17"/>
  <c r="AH741" i="17"/>
  <c r="AG741" i="17"/>
  <c r="AF741" i="17"/>
  <c r="AE741" i="17"/>
  <c r="B741" i="17"/>
  <c r="A741" i="17"/>
  <c r="AR740" i="17"/>
  <c r="AQ740" i="17"/>
  <c r="AE740" i="17"/>
  <c r="B740" i="17"/>
  <c r="A740" i="17"/>
  <c r="AR739" i="17"/>
  <c r="AQ739" i="17"/>
  <c r="AP739" i="17"/>
  <c r="AO739" i="17"/>
  <c r="AE739" i="17"/>
  <c r="B739" i="17"/>
  <c r="A739" i="17"/>
  <c r="AR738" i="17"/>
  <c r="AE738" i="17"/>
  <c r="B738" i="17"/>
  <c r="A738" i="17"/>
  <c r="AR737" i="17"/>
  <c r="AQ737" i="17"/>
  <c r="AF737" i="17"/>
  <c r="AE737" i="17"/>
  <c r="B737" i="17"/>
  <c r="A737" i="17"/>
  <c r="AR736" i="17"/>
  <c r="AQ736" i="17"/>
  <c r="AP736" i="17"/>
  <c r="AO736" i="17"/>
  <c r="AE736" i="17"/>
  <c r="B736" i="17"/>
  <c r="A736" i="17"/>
  <c r="AR735" i="17"/>
  <c r="AQ735" i="17"/>
  <c r="AP735" i="17"/>
  <c r="AO735" i="17"/>
  <c r="AN735" i="17"/>
  <c r="AM735" i="17"/>
  <c r="AK735" i="17"/>
  <c r="AJ735" i="17"/>
  <c r="AI735" i="17"/>
  <c r="AH735" i="17"/>
  <c r="AG735" i="17"/>
  <c r="AF735" i="17"/>
  <c r="AL735" i="17" s="1"/>
  <c r="Z735" i="17" s="1"/>
  <c r="AS735" i="17" s="1"/>
  <c r="AE735" i="17"/>
  <c r="B735" i="17"/>
  <c r="A735" i="17"/>
  <c r="AE734" i="17"/>
  <c r="B734" i="17"/>
  <c r="A734" i="17"/>
  <c r="AE733" i="17"/>
  <c r="B733" i="17"/>
  <c r="A733" i="17"/>
  <c r="AE732" i="17"/>
  <c r="B732" i="17"/>
  <c r="A732" i="17"/>
  <c r="AE731" i="17"/>
  <c r="B731" i="17"/>
  <c r="A731" i="17"/>
  <c r="AR730" i="17"/>
  <c r="AQ730" i="17"/>
  <c r="AE730" i="17"/>
  <c r="B730" i="17"/>
  <c r="A730" i="17"/>
  <c r="AE729" i="17"/>
  <c r="B729" i="17"/>
  <c r="A729" i="17"/>
  <c r="AR728" i="17"/>
  <c r="AQ728" i="17"/>
  <c r="AE728" i="17"/>
  <c r="B728" i="17"/>
  <c r="A728" i="17"/>
  <c r="AR727" i="17"/>
  <c r="AQ727" i="17"/>
  <c r="AP727" i="17"/>
  <c r="AO727" i="17"/>
  <c r="AN727" i="17"/>
  <c r="AM727" i="17"/>
  <c r="AK727" i="17"/>
  <c r="AJ727" i="17"/>
  <c r="AI727" i="17"/>
  <c r="AH727" i="17"/>
  <c r="AG727" i="17"/>
  <c r="AF727" i="17"/>
  <c r="AL727" i="17" s="1"/>
  <c r="Z727" i="17" s="1"/>
  <c r="AS727" i="17" s="1"/>
  <c r="AE727" i="17"/>
  <c r="B727" i="17"/>
  <c r="A727" i="17"/>
  <c r="AR726" i="17"/>
  <c r="AQ726" i="17"/>
  <c r="AP726" i="17"/>
  <c r="AO726" i="17"/>
  <c r="AN726" i="17"/>
  <c r="AM726" i="17"/>
  <c r="AK726" i="17"/>
  <c r="AJ726" i="17"/>
  <c r="AL726" i="17" s="1"/>
  <c r="Z726" i="17" s="1"/>
  <c r="AS726" i="17" s="1"/>
  <c r="AI726" i="17"/>
  <c r="AH726" i="17"/>
  <c r="AG726" i="17"/>
  <c r="AF726" i="17"/>
  <c r="AE726" i="17"/>
  <c r="B726" i="17"/>
  <c r="A726" i="17"/>
  <c r="AR725" i="17"/>
  <c r="AQ725" i="17"/>
  <c r="AP725" i="17"/>
  <c r="AO725" i="17"/>
  <c r="AN725" i="17"/>
  <c r="AM725" i="17"/>
  <c r="AK725" i="17"/>
  <c r="AJ725" i="17"/>
  <c r="AI725" i="17"/>
  <c r="AH725" i="17"/>
  <c r="AG725" i="17"/>
  <c r="AF725" i="17"/>
  <c r="AE725" i="17"/>
  <c r="B725" i="17"/>
  <c r="A725" i="17"/>
  <c r="AR724" i="17"/>
  <c r="AQ724" i="17"/>
  <c r="AE724" i="17"/>
  <c r="B724" i="17"/>
  <c r="A724" i="17"/>
  <c r="AR723" i="17"/>
  <c r="AE723" i="17"/>
  <c r="B723" i="17"/>
  <c r="A723" i="17"/>
  <c r="AR722" i="17"/>
  <c r="AQ722" i="17"/>
  <c r="AP722" i="17"/>
  <c r="AO722" i="17"/>
  <c r="AE722" i="17"/>
  <c r="B722" i="17"/>
  <c r="A722" i="17"/>
  <c r="AR721" i="17"/>
  <c r="AQ721" i="17"/>
  <c r="AP721" i="17"/>
  <c r="AO721" i="17"/>
  <c r="AN721" i="17"/>
  <c r="AM721" i="17"/>
  <c r="AK721" i="17"/>
  <c r="AJ721" i="17"/>
  <c r="AI721" i="17"/>
  <c r="AH721" i="17"/>
  <c r="AG721" i="17"/>
  <c r="AF721" i="17"/>
  <c r="AE721" i="17"/>
  <c r="B721" i="17"/>
  <c r="A721" i="17"/>
  <c r="AR720" i="17"/>
  <c r="AQ720" i="17"/>
  <c r="AP720" i="17"/>
  <c r="Z720" i="17" s="1"/>
  <c r="AS720" i="17" s="1"/>
  <c r="AO720" i="17"/>
  <c r="AN720" i="17"/>
  <c r="AM720" i="17"/>
  <c r="AK720" i="17"/>
  <c r="AJ720" i="17"/>
  <c r="AL720" i="17" s="1"/>
  <c r="AI720" i="17"/>
  <c r="AH720" i="17"/>
  <c r="AG720" i="17"/>
  <c r="AF720" i="17"/>
  <c r="AE720" i="17"/>
  <c r="B720" i="17"/>
  <c r="A720" i="17"/>
  <c r="AR719" i="17"/>
  <c r="AQ719" i="17"/>
  <c r="AP719" i="17"/>
  <c r="AO719" i="17"/>
  <c r="AE719" i="17"/>
  <c r="B719" i="17"/>
  <c r="A719" i="17"/>
  <c r="AR718" i="17"/>
  <c r="AQ718" i="17"/>
  <c r="AP718" i="17"/>
  <c r="AO718" i="17"/>
  <c r="AE718" i="17"/>
  <c r="B718" i="17"/>
  <c r="A718" i="17"/>
  <c r="AE717" i="17"/>
  <c r="B717" i="17"/>
  <c r="A717" i="17"/>
  <c r="AE716" i="17"/>
  <c r="B716" i="17"/>
  <c r="A716" i="17"/>
  <c r="AE715" i="17"/>
  <c r="B715" i="17"/>
  <c r="A715" i="17"/>
  <c r="AR714" i="17"/>
  <c r="AE714" i="17"/>
  <c r="B714" i="17"/>
  <c r="A714" i="17"/>
  <c r="AE713" i="17"/>
  <c r="B713" i="17"/>
  <c r="A713" i="17"/>
  <c r="AR712" i="17"/>
  <c r="AF712" i="17"/>
  <c r="AE712" i="17"/>
  <c r="B712" i="17"/>
  <c r="A712" i="17"/>
  <c r="AJ711" i="17"/>
  <c r="AF711" i="17"/>
  <c r="AE711" i="17"/>
  <c r="B711" i="17"/>
  <c r="A711" i="17"/>
  <c r="AR710" i="17"/>
  <c r="AQ710" i="17"/>
  <c r="AG710" i="17"/>
  <c r="AE710" i="17"/>
  <c r="B710" i="17"/>
  <c r="A710" i="17"/>
  <c r="AR709" i="17"/>
  <c r="AQ709" i="17"/>
  <c r="AP709" i="17"/>
  <c r="AO709" i="17"/>
  <c r="AN709" i="17"/>
  <c r="AM709" i="17"/>
  <c r="AK709" i="17"/>
  <c r="AJ709" i="17"/>
  <c r="AI709" i="17"/>
  <c r="AH709" i="17"/>
  <c r="AG709" i="17"/>
  <c r="AF709" i="17"/>
  <c r="AL709" i="17" s="1"/>
  <c r="Z709" i="17" s="1"/>
  <c r="AS709" i="17" s="1"/>
  <c r="AE709" i="17"/>
  <c r="B709" i="17"/>
  <c r="A709" i="17"/>
  <c r="AE708" i="17"/>
  <c r="B708" i="17"/>
  <c r="A708" i="17"/>
  <c r="AR707" i="17"/>
  <c r="AQ707" i="17"/>
  <c r="AP707" i="17"/>
  <c r="AE707" i="17"/>
  <c r="B707" i="17"/>
  <c r="A707" i="17"/>
  <c r="AR706" i="17"/>
  <c r="AQ706" i="17"/>
  <c r="AP706" i="17"/>
  <c r="AO706" i="17"/>
  <c r="AM706" i="17"/>
  <c r="AE706" i="17"/>
  <c r="B706" i="17"/>
  <c r="A706" i="17"/>
  <c r="AR705" i="17"/>
  <c r="AQ705" i="17"/>
  <c r="AP705" i="17"/>
  <c r="AE705" i="17"/>
  <c r="B705" i="17"/>
  <c r="A705" i="17"/>
  <c r="AR704" i="17"/>
  <c r="AQ704" i="17"/>
  <c r="AG704" i="17"/>
  <c r="AE704" i="17"/>
  <c r="B704" i="17"/>
  <c r="A704" i="17"/>
  <c r="AR703" i="17"/>
  <c r="AQ703" i="17"/>
  <c r="AE703" i="17"/>
  <c r="B703" i="17"/>
  <c r="A703" i="17"/>
  <c r="AR702" i="17"/>
  <c r="AQ702" i="17"/>
  <c r="AE702" i="17"/>
  <c r="B702" i="17"/>
  <c r="A702" i="17"/>
  <c r="AR701" i="17"/>
  <c r="AQ701" i="17"/>
  <c r="AP701" i="17"/>
  <c r="AO701" i="17"/>
  <c r="AN701" i="17"/>
  <c r="AM701" i="17"/>
  <c r="AK701" i="17"/>
  <c r="AJ701" i="17"/>
  <c r="AI701" i="17"/>
  <c r="AH701" i="17"/>
  <c r="AG701" i="17"/>
  <c r="AF701" i="17"/>
  <c r="AL701" i="17" s="1"/>
  <c r="Z701" i="17" s="1"/>
  <c r="AS701" i="17" s="1"/>
  <c r="AE701" i="17"/>
  <c r="B701" i="17"/>
  <c r="A701" i="17"/>
  <c r="AR700" i="17"/>
  <c r="AQ700" i="17"/>
  <c r="AG700" i="17"/>
  <c r="AE700" i="17"/>
  <c r="B700" i="17"/>
  <c r="A700" i="17"/>
  <c r="AR699" i="17"/>
  <c r="AQ699" i="17"/>
  <c r="AE699" i="17"/>
  <c r="B699" i="17"/>
  <c r="A699" i="17"/>
  <c r="AR698" i="17"/>
  <c r="AQ698" i="17"/>
  <c r="AP698" i="17"/>
  <c r="AF698" i="17"/>
  <c r="AE698" i="17"/>
  <c r="B698" i="17"/>
  <c r="A698" i="17"/>
  <c r="AR697" i="17"/>
  <c r="AQ697" i="17"/>
  <c r="AE697" i="17"/>
  <c r="B697" i="17"/>
  <c r="A697" i="17"/>
  <c r="AR696" i="17"/>
  <c r="AQ696" i="17"/>
  <c r="AE696" i="17"/>
  <c r="B696" i="17"/>
  <c r="A696" i="17"/>
  <c r="AE695" i="17"/>
  <c r="B695" i="17"/>
  <c r="A695" i="17"/>
  <c r="AE694" i="17"/>
  <c r="B694" i="17"/>
  <c r="A694" i="17"/>
  <c r="AE693" i="17"/>
  <c r="B693" i="17"/>
  <c r="A693" i="17"/>
  <c r="AR692" i="17"/>
  <c r="AE692" i="17"/>
  <c r="B692" i="17"/>
  <c r="A692" i="17"/>
  <c r="AR691" i="17"/>
  <c r="AE691" i="17"/>
  <c r="B691" i="17"/>
  <c r="A691" i="17"/>
  <c r="AR690" i="17"/>
  <c r="AQ690" i="17"/>
  <c r="AO690" i="17"/>
  <c r="AE690" i="17"/>
  <c r="B690" i="17"/>
  <c r="A690" i="17"/>
  <c r="AR689" i="17"/>
  <c r="AE689" i="17"/>
  <c r="B689" i="17"/>
  <c r="A689" i="17"/>
  <c r="AR688" i="17"/>
  <c r="AQ688" i="17"/>
  <c r="AP688" i="17"/>
  <c r="AI688" i="17"/>
  <c r="AH688" i="17"/>
  <c r="AE688" i="17"/>
  <c r="B688" i="17"/>
  <c r="A688" i="17"/>
  <c r="AR687" i="17"/>
  <c r="AQ687" i="17"/>
  <c r="AP687" i="17"/>
  <c r="AO687" i="17"/>
  <c r="AG687" i="17"/>
  <c r="AE687" i="17"/>
  <c r="B687" i="17"/>
  <c r="A687" i="17"/>
  <c r="AR686" i="17"/>
  <c r="AE686" i="17"/>
  <c r="B686" i="17"/>
  <c r="A686" i="17"/>
  <c r="AR685" i="17"/>
  <c r="AQ685" i="17"/>
  <c r="AK685" i="17"/>
  <c r="AE685" i="17"/>
  <c r="B685" i="17"/>
  <c r="A685" i="17"/>
  <c r="AR684" i="17"/>
  <c r="AQ684" i="17"/>
  <c r="AE684" i="17"/>
  <c r="B684" i="17"/>
  <c r="A684" i="17"/>
  <c r="AR683" i="17"/>
  <c r="AE683" i="17"/>
  <c r="B683" i="17"/>
  <c r="A683" i="17"/>
  <c r="AR682" i="17"/>
  <c r="AE682" i="17"/>
  <c r="B682" i="17"/>
  <c r="A682" i="17"/>
  <c r="AR681" i="17"/>
  <c r="AQ681" i="17"/>
  <c r="AP681" i="17"/>
  <c r="AO681" i="17"/>
  <c r="AN681" i="17"/>
  <c r="AM681" i="17"/>
  <c r="AK681" i="17"/>
  <c r="AJ681" i="17"/>
  <c r="AI681" i="17"/>
  <c r="AH681" i="17"/>
  <c r="AG681" i="17"/>
  <c r="AF681" i="17"/>
  <c r="AL681" i="17" s="1"/>
  <c r="AE681" i="17"/>
  <c r="B681" i="17"/>
  <c r="A681" i="17"/>
  <c r="AR680" i="17"/>
  <c r="AQ680" i="17"/>
  <c r="AE680" i="17"/>
  <c r="B680" i="17"/>
  <c r="A680" i="17"/>
  <c r="AR679" i="17"/>
  <c r="AG679" i="17"/>
  <c r="AF679" i="17"/>
  <c r="AE679" i="17"/>
  <c r="B679" i="17"/>
  <c r="A679" i="17"/>
  <c r="AR678" i="17"/>
  <c r="AQ678" i="17"/>
  <c r="AP678" i="17"/>
  <c r="AO678" i="17"/>
  <c r="AN678" i="17"/>
  <c r="AM678" i="17"/>
  <c r="AL678" i="17"/>
  <c r="Z678" i="17" s="1"/>
  <c r="AS678" i="17" s="1"/>
  <c r="AK678" i="17"/>
  <c r="AJ678" i="17"/>
  <c r="AI678" i="17"/>
  <c r="AH678" i="17"/>
  <c r="AG678" i="17"/>
  <c r="AF678" i="17"/>
  <c r="AE678" i="17"/>
  <c r="B678" i="17"/>
  <c r="A678" i="17"/>
  <c r="AR677" i="17"/>
  <c r="AQ677" i="17"/>
  <c r="AN677" i="17"/>
  <c r="AM677" i="17"/>
  <c r="AE677" i="17"/>
  <c r="B677" i="17"/>
  <c r="A677" i="17"/>
  <c r="AR676" i="17"/>
  <c r="AQ676" i="17"/>
  <c r="AP676" i="17"/>
  <c r="AO676" i="17"/>
  <c r="AE676" i="17"/>
  <c r="B676" i="17"/>
  <c r="A676" i="17"/>
  <c r="AR675" i="17"/>
  <c r="AE675" i="17"/>
  <c r="B675" i="17"/>
  <c r="A675" i="17"/>
  <c r="AR674" i="17"/>
  <c r="AQ674" i="17"/>
  <c r="AP674" i="17"/>
  <c r="AO674" i="17"/>
  <c r="AH674" i="17"/>
  <c r="AE674" i="17"/>
  <c r="B674" i="17"/>
  <c r="A674" i="17"/>
  <c r="AR673" i="17"/>
  <c r="AQ673" i="17"/>
  <c r="AF673" i="17"/>
  <c r="AE673" i="17"/>
  <c r="B673" i="17"/>
  <c r="A673" i="17"/>
  <c r="AR672" i="17"/>
  <c r="AE672" i="17"/>
  <c r="B672" i="17"/>
  <c r="A672" i="17"/>
  <c r="AE671" i="17"/>
  <c r="B671" i="17"/>
  <c r="A671" i="17"/>
  <c r="AR670" i="17"/>
  <c r="AQ670" i="17"/>
  <c r="AH670" i="17"/>
  <c r="AG670" i="17"/>
  <c r="AE670" i="17"/>
  <c r="B670" i="17"/>
  <c r="A670" i="17"/>
  <c r="AR669" i="17"/>
  <c r="AH669" i="17"/>
  <c r="AE669" i="17"/>
  <c r="B669" i="17"/>
  <c r="A669" i="17"/>
  <c r="AR668" i="17"/>
  <c r="AO668" i="17"/>
  <c r="AE668" i="17"/>
  <c r="B668" i="17"/>
  <c r="A668" i="17"/>
  <c r="AR667" i="17"/>
  <c r="AQ667" i="17"/>
  <c r="AO667" i="17"/>
  <c r="AN667" i="17"/>
  <c r="AG667" i="17"/>
  <c r="AE667" i="17"/>
  <c r="B667" i="17"/>
  <c r="A667" i="17"/>
  <c r="AR666" i="17"/>
  <c r="AQ666" i="17"/>
  <c r="AI666" i="17"/>
  <c r="AE666" i="17"/>
  <c r="B666" i="17"/>
  <c r="A666" i="17"/>
  <c r="AE665" i="17"/>
  <c r="B665" i="17"/>
  <c r="A665" i="17"/>
  <c r="AE664" i="17"/>
  <c r="B664" i="17"/>
  <c r="A664" i="17"/>
  <c r="AE663" i="17"/>
  <c r="B663" i="17"/>
  <c r="A663" i="17"/>
  <c r="AE662" i="17"/>
  <c r="B662" i="17"/>
  <c r="A662" i="17"/>
  <c r="AE661" i="17"/>
  <c r="B661" i="17"/>
  <c r="A661" i="17"/>
  <c r="AE660" i="17"/>
  <c r="B660" i="17"/>
  <c r="A660" i="17"/>
  <c r="AE659" i="17"/>
  <c r="B659" i="17"/>
  <c r="A659" i="17"/>
  <c r="AE658" i="17"/>
  <c r="B658" i="17"/>
  <c r="A658" i="17"/>
  <c r="AE657" i="17"/>
  <c r="B657" i="17"/>
  <c r="A657" i="17"/>
  <c r="AE656" i="17"/>
  <c r="B656" i="17"/>
  <c r="A656" i="17"/>
  <c r="AE655" i="17"/>
  <c r="B655" i="17"/>
  <c r="A655" i="17"/>
  <c r="AE654" i="17"/>
  <c r="B654" i="17"/>
  <c r="A654" i="17"/>
  <c r="AE653" i="17"/>
  <c r="B653" i="17"/>
  <c r="A653" i="17"/>
  <c r="AE652" i="17"/>
  <c r="B652" i="17"/>
  <c r="A652" i="17"/>
  <c r="AE651" i="17"/>
  <c r="B651" i="17"/>
  <c r="A651" i="17"/>
  <c r="AE650" i="17"/>
  <c r="B650" i="17"/>
  <c r="A650" i="17"/>
  <c r="AE649" i="17"/>
  <c r="B649" i="17"/>
  <c r="A649" i="17"/>
  <c r="AE648" i="17"/>
  <c r="B648" i="17"/>
  <c r="A648" i="17"/>
  <c r="AE647" i="17"/>
  <c r="B647" i="17"/>
  <c r="A647" i="17"/>
  <c r="AE646" i="17"/>
  <c r="B646" i="17"/>
  <c r="A646" i="17"/>
  <c r="AE645" i="17"/>
  <c r="B645" i="17"/>
  <c r="A645" i="17"/>
  <c r="AE644" i="17"/>
  <c r="B644" i="17"/>
  <c r="A644" i="17"/>
  <c r="AE643" i="17"/>
  <c r="B643" i="17"/>
  <c r="A643" i="17"/>
  <c r="AN642" i="17"/>
  <c r="AM642" i="17"/>
  <c r="AJ642" i="17"/>
  <c r="AI642" i="17"/>
  <c r="AH642" i="17"/>
  <c r="AG642" i="17"/>
  <c r="AF642" i="17"/>
  <c r="AE642" i="17"/>
  <c r="B642" i="17"/>
  <c r="A642" i="17"/>
  <c r="AR641" i="17"/>
  <c r="AN641" i="17"/>
  <c r="AE641" i="17"/>
  <c r="B641" i="17"/>
  <c r="A641" i="17"/>
  <c r="AR640" i="17"/>
  <c r="AQ640" i="17"/>
  <c r="AM640" i="17"/>
  <c r="AJ640" i="17"/>
  <c r="AI640" i="17"/>
  <c r="AH640" i="17"/>
  <c r="AE640" i="17"/>
  <c r="B640" i="17"/>
  <c r="A640" i="17"/>
  <c r="AR639" i="17"/>
  <c r="AQ639" i="17"/>
  <c r="AP639" i="17"/>
  <c r="AO639" i="17"/>
  <c r="AM639" i="17"/>
  <c r="AH639" i="17"/>
  <c r="AE639" i="17"/>
  <c r="B639" i="17"/>
  <c r="A639" i="17"/>
  <c r="AR638" i="17"/>
  <c r="AM638" i="17"/>
  <c r="AJ638" i="17"/>
  <c r="AI638" i="17"/>
  <c r="AH638" i="17"/>
  <c r="AE638" i="17"/>
  <c r="B638" i="17"/>
  <c r="A638" i="17"/>
  <c r="AR637" i="17"/>
  <c r="AQ637" i="17"/>
  <c r="AP637" i="17"/>
  <c r="AO637" i="17"/>
  <c r="AN637" i="17"/>
  <c r="AM637" i="17"/>
  <c r="AK637" i="17"/>
  <c r="AJ637" i="17"/>
  <c r="AI637" i="17"/>
  <c r="AH637" i="17"/>
  <c r="AG637" i="17"/>
  <c r="AF637" i="17"/>
  <c r="AL637" i="17" s="1"/>
  <c r="Z637" i="17" s="1"/>
  <c r="AS637" i="17" s="1"/>
  <c r="AE637" i="17"/>
  <c r="B637" i="17"/>
  <c r="A637" i="17"/>
  <c r="AR636" i="17"/>
  <c r="AN636" i="17"/>
  <c r="AE636" i="17"/>
  <c r="B636" i="17"/>
  <c r="A636" i="17"/>
  <c r="AR635" i="17"/>
  <c r="AQ635" i="17"/>
  <c r="AP635" i="17"/>
  <c r="AG635" i="17"/>
  <c r="AE635" i="17"/>
  <c r="B635" i="17"/>
  <c r="A635" i="17"/>
  <c r="AR634" i="17"/>
  <c r="AH634" i="17"/>
  <c r="AE634" i="17"/>
  <c r="B634" i="17"/>
  <c r="A634" i="17"/>
  <c r="AR633" i="17"/>
  <c r="AH633" i="17"/>
  <c r="AE633" i="17"/>
  <c r="B633" i="17"/>
  <c r="A633" i="17"/>
  <c r="AR632" i="17"/>
  <c r="AQ632" i="17"/>
  <c r="AJ632" i="17"/>
  <c r="AG632" i="17"/>
  <c r="AE632" i="17"/>
  <c r="B632" i="17"/>
  <c r="A632" i="17"/>
  <c r="AR631" i="17"/>
  <c r="AQ631" i="17"/>
  <c r="AN631" i="17"/>
  <c r="AH631" i="17"/>
  <c r="AG631" i="17"/>
  <c r="AE631" i="17"/>
  <c r="B631" i="17"/>
  <c r="A631" i="17"/>
  <c r="AE630" i="17"/>
  <c r="B630" i="17"/>
  <c r="A630" i="17"/>
  <c r="AE629" i="17"/>
  <c r="B629" i="17"/>
  <c r="A629" i="17"/>
  <c r="AE628" i="17"/>
  <c r="B628" i="17"/>
  <c r="A628" i="17"/>
  <c r="AE627" i="17"/>
  <c r="B627" i="17"/>
  <c r="A627" i="17"/>
  <c r="AE626" i="17"/>
  <c r="B626" i="17"/>
  <c r="A626" i="17"/>
  <c r="AE625" i="17"/>
  <c r="B625" i="17"/>
  <c r="A625" i="17"/>
  <c r="AE624" i="17"/>
  <c r="B624" i="17"/>
  <c r="A624" i="17"/>
  <c r="AR623" i="17"/>
  <c r="AQ623" i="17"/>
  <c r="AP623" i="17"/>
  <c r="AO623" i="17"/>
  <c r="AN623" i="17"/>
  <c r="AM623" i="17"/>
  <c r="AK623" i="17"/>
  <c r="AJ623" i="17"/>
  <c r="AI623" i="17"/>
  <c r="AH623" i="17"/>
  <c r="AG623" i="17"/>
  <c r="AF623" i="17"/>
  <c r="AE623" i="17"/>
  <c r="B623" i="17"/>
  <c r="A623" i="17"/>
  <c r="AE622" i="17"/>
  <c r="B622" i="17"/>
  <c r="A622" i="17"/>
  <c r="AE621" i="17"/>
  <c r="B621" i="17"/>
  <c r="A621" i="17"/>
  <c r="AE620" i="17"/>
  <c r="B620" i="17"/>
  <c r="A620" i="17"/>
  <c r="AE619" i="17"/>
  <c r="B619" i="17"/>
  <c r="A619" i="17"/>
  <c r="AE618" i="17"/>
  <c r="B618" i="17"/>
  <c r="A618" i="17"/>
  <c r="AE617" i="17"/>
  <c r="B617" i="17"/>
  <c r="A617" i="17"/>
  <c r="AE616" i="17"/>
  <c r="B616" i="17"/>
  <c r="A616" i="17"/>
  <c r="AR615" i="17"/>
  <c r="AQ615" i="17"/>
  <c r="AP615" i="17"/>
  <c r="AO615" i="17"/>
  <c r="AN615" i="17"/>
  <c r="AM615" i="17"/>
  <c r="AK615" i="17"/>
  <c r="AJ615" i="17"/>
  <c r="AI615" i="17"/>
  <c r="AH615" i="17"/>
  <c r="AG615" i="17"/>
  <c r="AF615" i="17"/>
  <c r="AE615" i="17"/>
  <c r="B615" i="17"/>
  <c r="A615" i="17"/>
  <c r="AR614" i="17"/>
  <c r="AQ614" i="17"/>
  <c r="AP614" i="17"/>
  <c r="AO614" i="17"/>
  <c r="AJ614" i="17"/>
  <c r="AE614" i="17"/>
  <c r="B614" i="17"/>
  <c r="A614" i="17"/>
  <c r="AR613" i="17"/>
  <c r="AQ613" i="17"/>
  <c r="AP613" i="17"/>
  <c r="AO613" i="17"/>
  <c r="AI613" i="17"/>
  <c r="AF613" i="17"/>
  <c r="AE613" i="17"/>
  <c r="B613" i="17"/>
  <c r="A613" i="17"/>
  <c r="AR612" i="17"/>
  <c r="AQ612" i="17"/>
  <c r="AP612" i="17"/>
  <c r="AO612" i="17"/>
  <c r="AE612" i="17"/>
  <c r="B612" i="17"/>
  <c r="A612" i="17"/>
  <c r="AR611" i="17"/>
  <c r="AQ611" i="17"/>
  <c r="AP611" i="17"/>
  <c r="AO611" i="17"/>
  <c r="AI611" i="17"/>
  <c r="AF611" i="17"/>
  <c r="AE611" i="17"/>
  <c r="B611" i="17"/>
  <c r="A611" i="17"/>
  <c r="AR610" i="17"/>
  <c r="AQ610" i="17"/>
  <c r="AO610" i="17"/>
  <c r="AK610" i="17"/>
  <c r="AJ610" i="17"/>
  <c r="AI610" i="17"/>
  <c r="AE610" i="17"/>
  <c r="B610" i="17"/>
  <c r="A610" i="17"/>
  <c r="AR609" i="17"/>
  <c r="AQ609" i="17"/>
  <c r="AP609" i="17"/>
  <c r="AO609" i="17"/>
  <c r="AF609" i="17"/>
  <c r="AE609" i="17"/>
  <c r="B609" i="17"/>
  <c r="A609" i="17"/>
  <c r="AR608" i="17"/>
  <c r="AQ608" i="17"/>
  <c r="AP608" i="17"/>
  <c r="AO608" i="17"/>
  <c r="AN608" i="17"/>
  <c r="AM608" i="17"/>
  <c r="AK608" i="17"/>
  <c r="AJ608" i="17"/>
  <c r="AI608" i="17"/>
  <c r="AL608" i="17" s="1"/>
  <c r="Z608" i="17" s="1"/>
  <c r="AS608" i="17" s="1"/>
  <c r="AH608" i="17"/>
  <c r="AG608" i="17"/>
  <c r="AF608" i="17"/>
  <c r="AE608" i="17"/>
  <c r="B608" i="17"/>
  <c r="A608" i="17"/>
  <c r="AR607" i="17"/>
  <c r="AQ607" i="17"/>
  <c r="AP607" i="17"/>
  <c r="AO607" i="17"/>
  <c r="AN607" i="17"/>
  <c r="AM607" i="17"/>
  <c r="AK607" i="17"/>
  <c r="AJ607" i="17"/>
  <c r="AI607" i="17"/>
  <c r="AH607" i="17"/>
  <c r="AG607" i="17"/>
  <c r="AF607" i="17"/>
  <c r="AE607" i="17"/>
  <c r="B607" i="17"/>
  <c r="A607" i="17"/>
  <c r="AO606" i="17"/>
  <c r="AN606" i="17"/>
  <c r="AM606" i="17"/>
  <c r="AK606" i="17"/>
  <c r="AJ606" i="17"/>
  <c r="AI606" i="17"/>
  <c r="AL606" i="17" s="1"/>
  <c r="AH606" i="17"/>
  <c r="AG606" i="17"/>
  <c r="AF606" i="17"/>
  <c r="AE606" i="17"/>
  <c r="B606" i="17"/>
  <c r="A606" i="17"/>
  <c r="AE605" i="17"/>
  <c r="B605" i="17"/>
  <c r="A605" i="17"/>
  <c r="AE604" i="17"/>
  <c r="B604" i="17"/>
  <c r="A604" i="17"/>
  <c r="AE603" i="17"/>
  <c r="B603" i="17"/>
  <c r="A603" i="17"/>
  <c r="AE602" i="17"/>
  <c r="B602" i="17"/>
  <c r="A602" i="17"/>
  <c r="AE601" i="17"/>
  <c r="B601" i="17"/>
  <c r="A601" i="17"/>
  <c r="AE600" i="17"/>
  <c r="B600" i="17"/>
  <c r="A600" i="17"/>
  <c r="AE599" i="17"/>
  <c r="B599" i="17"/>
  <c r="A599" i="17"/>
  <c r="AE598" i="17"/>
  <c r="B598" i="17"/>
  <c r="A598" i="17"/>
  <c r="AE597" i="17"/>
  <c r="B597" i="17"/>
  <c r="A597" i="17"/>
  <c r="AE596" i="17"/>
  <c r="B596" i="17"/>
  <c r="A596" i="17"/>
  <c r="AE595" i="17"/>
  <c r="B595" i="17"/>
  <c r="A595" i="17"/>
  <c r="AR594" i="17"/>
  <c r="AQ594" i="17"/>
  <c r="AP594" i="17"/>
  <c r="AO594" i="17"/>
  <c r="AN594" i="17"/>
  <c r="AM594" i="17"/>
  <c r="AK594" i="17"/>
  <c r="AJ594" i="17"/>
  <c r="AI594" i="17"/>
  <c r="AH594" i="17"/>
  <c r="AL594" i="17" s="1"/>
  <c r="AG594" i="17"/>
  <c r="AF594" i="17"/>
  <c r="AE594" i="17"/>
  <c r="B594" i="17"/>
  <c r="A594" i="17"/>
  <c r="AE593" i="17"/>
  <c r="B593" i="17"/>
  <c r="A593" i="17"/>
  <c r="AR592" i="17"/>
  <c r="AO592" i="17"/>
  <c r="AN592" i="17"/>
  <c r="AK592" i="17"/>
  <c r="AJ592" i="17"/>
  <c r="AI592" i="17"/>
  <c r="AH592" i="17"/>
  <c r="AE592" i="17"/>
  <c r="B592" i="17"/>
  <c r="A592" i="17"/>
  <c r="AE591" i="17"/>
  <c r="B591" i="17"/>
  <c r="A591" i="17"/>
  <c r="AE590" i="17"/>
  <c r="B590" i="17"/>
  <c r="A590" i="17"/>
  <c r="AE589" i="17"/>
  <c r="B589" i="17"/>
  <c r="A589" i="17"/>
  <c r="AE588" i="17"/>
  <c r="B588" i="17"/>
  <c r="A588" i="17"/>
  <c r="AR587" i="17"/>
  <c r="AQ587" i="17"/>
  <c r="AE587" i="17"/>
  <c r="B587" i="17"/>
  <c r="A587" i="17"/>
  <c r="AR586" i="17"/>
  <c r="AE586" i="17"/>
  <c r="B586" i="17"/>
  <c r="A586" i="17"/>
  <c r="AE585" i="17"/>
  <c r="B585" i="17"/>
  <c r="A585" i="17"/>
  <c r="AE584" i="17"/>
  <c r="B584" i="17"/>
  <c r="A584" i="17"/>
  <c r="AE583" i="17"/>
  <c r="B583" i="17"/>
  <c r="A583" i="17"/>
  <c r="AE582" i="17"/>
  <c r="B582" i="17"/>
  <c r="A582" i="17"/>
  <c r="AE581" i="17"/>
  <c r="B581" i="17"/>
  <c r="A581" i="17"/>
  <c r="AE580" i="17"/>
  <c r="B580" i="17"/>
  <c r="A580" i="17"/>
  <c r="AE579" i="17"/>
  <c r="B579" i="17"/>
  <c r="A579" i="17"/>
  <c r="AE578" i="17"/>
  <c r="B578" i="17"/>
  <c r="A578" i="17"/>
  <c r="AR577" i="17"/>
  <c r="AQ577" i="17"/>
  <c r="AE577" i="17"/>
  <c r="B577" i="17"/>
  <c r="A577" i="17"/>
  <c r="AR576" i="17"/>
  <c r="AE576" i="17"/>
  <c r="B576" i="17"/>
  <c r="A576" i="17"/>
  <c r="AR575" i="17"/>
  <c r="AQ575" i="17"/>
  <c r="AP575" i="17"/>
  <c r="AO575" i="17"/>
  <c r="AE575" i="17"/>
  <c r="B575" i="17"/>
  <c r="A575" i="17"/>
  <c r="AR574" i="17"/>
  <c r="AQ574" i="17"/>
  <c r="AE574" i="17"/>
  <c r="B574" i="17"/>
  <c r="A574" i="17"/>
  <c r="AR573" i="17"/>
  <c r="AQ573" i="17"/>
  <c r="AE573" i="17"/>
  <c r="B573" i="17"/>
  <c r="A573" i="17"/>
  <c r="AR572" i="17"/>
  <c r="AQ572" i="17"/>
  <c r="AE572" i="17"/>
  <c r="B572" i="17"/>
  <c r="A572" i="17"/>
  <c r="AR571" i="17"/>
  <c r="AQ571" i="17"/>
  <c r="AP571" i="17"/>
  <c r="AE571" i="17"/>
  <c r="B571" i="17"/>
  <c r="A571" i="17"/>
  <c r="AR570" i="17"/>
  <c r="AQ570" i="17"/>
  <c r="AP570" i="17"/>
  <c r="AE570" i="17"/>
  <c r="B570" i="17"/>
  <c r="A570" i="17"/>
  <c r="AR569" i="17"/>
  <c r="AQ569" i="17"/>
  <c r="AP569" i="17"/>
  <c r="AE569" i="17"/>
  <c r="B569" i="17"/>
  <c r="A569" i="17"/>
  <c r="AR568" i="17"/>
  <c r="AQ568" i="17"/>
  <c r="AP568" i="17"/>
  <c r="AO568" i="17"/>
  <c r="AE568" i="17"/>
  <c r="B568" i="17"/>
  <c r="A568" i="17"/>
  <c r="AR567" i="17"/>
  <c r="AQ567" i="17"/>
  <c r="AP567" i="17"/>
  <c r="AO567" i="17"/>
  <c r="AE567" i="17"/>
  <c r="B567" i="17"/>
  <c r="A567" i="17"/>
  <c r="AR566" i="17"/>
  <c r="AQ566" i="17"/>
  <c r="AP566" i="17"/>
  <c r="AE566" i="17"/>
  <c r="B566" i="17"/>
  <c r="A566" i="17"/>
  <c r="AR565" i="17"/>
  <c r="AQ565" i="17"/>
  <c r="AP565" i="17"/>
  <c r="AE565" i="17"/>
  <c r="B565" i="17"/>
  <c r="A565" i="17"/>
  <c r="AR564" i="17"/>
  <c r="AQ564" i="17"/>
  <c r="AP564" i="17"/>
  <c r="AO564" i="17"/>
  <c r="AE564" i="17"/>
  <c r="B564" i="17"/>
  <c r="A564" i="17"/>
  <c r="AR563" i="17"/>
  <c r="AQ563" i="17"/>
  <c r="AE563" i="17"/>
  <c r="B563" i="17"/>
  <c r="A563" i="17"/>
  <c r="AR562" i="17"/>
  <c r="AQ562" i="17"/>
  <c r="AE562" i="17"/>
  <c r="B562" i="17"/>
  <c r="A562" i="17"/>
  <c r="AR561" i="17"/>
  <c r="AQ561" i="17"/>
  <c r="AP561" i="17"/>
  <c r="AE561" i="17"/>
  <c r="B561" i="17"/>
  <c r="A561" i="17"/>
  <c r="AR560" i="17"/>
  <c r="AQ560" i="17"/>
  <c r="AP560" i="17"/>
  <c r="AE560" i="17"/>
  <c r="B560" i="17"/>
  <c r="A560" i="17"/>
  <c r="AR559" i="17"/>
  <c r="AQ559" i="17"/>
  <c r="AP559" i="17"/>
  <c r="AE559" i="17"/>
  <c r="B559" i="17"/>
  <c r="A559" i="17"/>
  <c r="AR558" i="17"/>
  <c r="AQ558" i="17"/>
  <c r="AE558" i="17"/>
  <c r="B558" i="17"/>
  <c r="A558" i="17"/>
  <c r="AR557" i="17"/>
  <c r="AQ557" i="17"/>
  <c r="AP557" i="17"/>
  <c r="AE557" i="17"/>
  <c r="B557" i="17"/>
  <c r="A557" i="17"/>
  <c r="AR556" i="17"/>
  <c r="AQ556" i="17"/>
  <c r="AP556" i="17"/>
  <c r="AE556" i="17"/>
  <c r="B556" i="17"/>
  <c r="A556" i="17"/>
  <c r="AR555" i="17"/>
  <c r="AQ555" i="17"/>
  <c r="AE555" i="17"/>
  <c r="B555" i="17"/>
  <c r="A555" i="17"/>
  <c r="AR554" i="17"/>
  <c r="AQ554" i="17"/>
  <c r="AP554" i="17"/>
  <c r="AE554" i="17"/>
  <c r="B554" i="17"/>
  <c r="A554" i="17"/>
  <c r="AR553" i="17"/>
  <c r="AQ553" i="17"/>
  <c r="AP553" i="17"/>
  <c r="AE553" i="17"/>
  <c r="B553" i="17"/>
  <c r="A553" i="17"/>
  <c r="AR552" i="17"/>
  <c r="AQ552" i="17"/>
  <c r="AP552" i="17"/>
  <c r="AE552" i="17"/>
  <c r="B552" i="17"/>
  <c r="A552" i="17"/>
  <c r="AR551" i="17"/>
  <c r="AQ551" i="17"/>
  <c r="AE551" i="17"/>
  <c r="B551" i="17"/>
  <c r="A551" i="17"/>
  <c r="AR550" i="17"/>
  <c r="AQ550" i="17"/>
  <c r="AP550" i="17"/>
  <c r="AE550" i="17"/>
  <c r="B550" i="17"/>
  <c r="A550" i="17"/>
  <c r="AR549" i="17"/>
  <c r="AQ549" i="17"/>
  <c r="AE549" i="17"/>
  <c r="B549" i="17"/>
  <c r="A549" i="17"/>
  <c r="AR548" i="17"/>
  <c r="AQ548" i="17"/>
  <c r="AE548" i="17"/>
  <c r="B548" i="17"/>
  <c r="A548" i="17"/>
  <c r="AR547" i="17"/>
  <c r="AQ547" i="17"/>
  <c r="AP547" i="17"/>
  <c r="AE547" i="17"/>
  <c r="B547" i="17"/>
  <c r="A547" i="17"/>
  <c r="AR546" i="17"/>
  <c r="AQ546" i="17"/>
  <c r="AP546" i="17"/>
  <c r="AE546" i="17"/>
  <c r="B546" i="17"/>
  <c r="A546" i="17"/>
  <c r="AR545" i="17"/>
  <c r="AQ545" i="17"/>
  <c r="AP545" i="17"/>
  <c r="AO545" i="17"/>
  <c r="AE545" i="17"/>
  <c r="B545" i="17"/>
  <c r="A545" i="17"/>
  <c r="AR544" i="17"/>
  <c r="AQ544" i="17"/>
  <c r="AP544" i="17"/>
  <c r="AO544" i="17"/>
  <c r="AE544" i="17"/>
  <c r="B544" i="17"/>
  <c r="A544" i="17"/>
  <c r="AR543" i="17"/>
  <c r="AQ543" i="17"/>
  <c r="AP543" i="17"/>
  <c r="AO543" i="17"/>
  <c r="AE543" i="17"/>
  <c r="B543" i="17"/>
  <c r="A543" i="17"/>
  <c r="AE542" i="17"/>
  <c r="B542" i="17"/>
  <c r="A542" i="17"/>
  <c r="AE541" i="17"/>
  <c r="B541" i="17"/>
  <c r="A541" i="17"/>
  <c r="AR540" i="17"/>
  <c r="AQ540" i="17"/>
  <c r="AP540" i="17"/>
  <c r="AO540" i="17"/>
  <c r="AN540" i="17"/>
  <c r="AM540" i="17"/>
  <c r="AK540" i="17"/>
  <c r="AJ540" i="17"/>
  <c r="AI540" i="17"/>
  <c r="AH540" i="17"/>
  <c r="AG540" i="17"/>
  <c r="AF540" i="17"/>
  <c r="AE540" i="17"/>
  <c r="B540" i="17"/>
  <c r="A540" i="17"/>
  <c r="AE539" i="17"/>
  <c r="B539" i="17"/>
  <c r="A539" i="17"/>
  <c r="AR538" i="17"/>
  <c r="AQ538" i="17"/>
  <c r="AP538" i="17"/>
  <c r="AO538" i="17"/>
  <c r="AN538" i="17"/>
  <c r="AM538" i="17"/>
  <c r="AK538" i="17"/>
  <c r="AJ538" i="17"/>
  <c r="AI538" i="17"/>
  <c r="AH538" i="17"/>
  <c r="AG538" i="17"/>
  <c r="AL538" i="17" s="1"/>
  <c r="Z538" i="17" s="1"/>
  <c r="AS538" i="17" s="1"/>
  <c r="AF538" i="17"/>
  <c r="AE538" i="17"/>
  <c r="B538" i="17"/>
  <c r="A538" i="17"/>
  <c r="AE537" i="17"/>
  <c r="B537" i="17"/>
  <c r="A537" i="17"/>
  <c r="AE536" i="17"/>
  <c r="B536" i="17"/>
  <c r="A536" i="17"/>
  <c r="AR535" i="17"/>
  <c r="AQ535" i="17"/>
  <c r="AP535" i="17"/>
  <c r="AO535" i="17"/>
  <c r="AN535" i="17"/>
  <c r="AM535" i="17"/>
  <c r="AK535" i="17"/>
  <c r="AJ535" i="17"/>
  <c r="AI535" i="17"/>
  <c r="AH535" i="17"/>
  <c r="AG535" i="17"/>
  <c r="AF535" i="17"/>
  <c r="AE535" i="17"/>
  <c r="B535" i="17"/>
  <c r="A535" i="17"/>
  <c r="AE534" i="17"/>
  <c r="B534" i="17"/>
  <c r="A534" i="17"/>
  <c r="AE533" i="17"/>
  <c r="B533" i="17"/>
  <c r="A533" i="17"/>
  <c r="AE532" i="17"/>
  <c r="B532" i="17"/>
  <c r="A532" i="17"/>
  <c r="AR531" i="17"/>
  <c r="AQ531" i="17"/>
  <c r="AP531" i="17"/>
  <c r="AO531" i="17"/>
  <c r="AN531" i="17"/>
  <c r="AM531" i="17"/>
  <c r="AK531" i="17"/>
  <c r="AJ531" i="17"/>
  <c r="AI531" i="17"/>
  <c r="AH531" i="17"/>
  <c r="AG531" i="17"/>
  <c r="AF531" i="17"/>
  <c r="AE531" i="17"/>
  <c r="B531" i="17"/>
  <c r="A531" i="17"/>
  <c r="AE530" i="17"/>
  <c r="B530" i="17"/>
  <c r="A530" i="17"/>
  <c r="AE529" i="17"/>
  <c r="B529" i="17"/>
  <c r="A529" i="17"/>
  <c r="AE528" i="17"/>
  <c r="B528" i="17"/>
  <c r="A528" i="17"/>
  <c r="AR527" i="17"/>
  <c r="AQ527" i="17"/>
  <c r="AP527" i="17"/>
  <c r="AO527" i="17"/>
  <c r="AN527" i="17"/>
  <c r="AM527" i="17"/>
  <c r="AK527" i="17"/>
  <c r="AJ527" i="17"/>
  <c r="AI527" i="17"/>
  <c r="AH527" i="17"/>
  <c r="AG527" i="17"/>
  <c r="AF527" i="17"/>
  <c r="AE527" i="17"/>
  <c r="B527" i="17"/>
  <c r="A527" i="17"/>
  <c r="AE526" i="17"/>
  <c r="B526" i="17"/>
  <c r="A526" i="17"/>
  <c r="AE525" i="17"/>
  <c r="B525" i="17"/>
  <c r="A525" i="17"/>
  <c r="AR524" i="17"/>
  <c r="AQ524" i="17"/>
  <c r="AP524" i="17"/>
  <c r="AO524" i="17"/>
  <c r="AN524" i="17"/>
  <c r="AM524" i="17"/>
  <c r="AL524" i="17"/>
  <c r="Z524" i="17" s="1"/>
  <c r="AS524" i="17" s="1"/>
  <c r="AK524" i="17"/>
  <c r="AJ524" i="17"/>
  <c r="AI524" i="17"/>
  <c r="AH524" i="17"/>
  <c r="AG524" i="17"/>
  <c r="AF524" i="17"/>
  <c r="AE524" i="17"/>
  <c r="B524" i="17"/>
  <c r="A524" i="17"/>
  <c r="AE523" i="17"/>
  <c r="B523" i="17"/>
  <c r="A523" i="17"/>
  <c r="AE522" i="17"/>
  <c r="B522" i="17"/>
  <c r="A522" i="17"/>
  <c r="AE521" i="17"/>
  <c r="B521" i="17"/>
  <c r="A521" i="17"/>
  <c r="AR520" i="17"/>
  <c r="AQ520" i="17"/>
  <c r="AP520" i="17"/>
  <c r="AO520" i="17"/>
  <c r="AN520" i="17"/>
  <c r="AM520" i="17"/>
  <c r="AK520" i="17"/>
  <c r="AJ520" i="17"/>
  <c r="AI520" i="17"/>
  <c r="AH520" i="17"/>
  <c r="AG520" i="17"/>
  <c r="AF520" i="17"/>
  <c r="AE520" i="17"/>
  <c r="B520" i="17"/>
  <c r="A520" i="17"/>
  <c r="AE519" i="17"/>
  <c r="B519" i="17"/>
  <c r="A519" i="17"/>
  <c r="AR518" i="17"/>
  <c r="AQ518" i="17"/>
  <c r="AP518" i="17"/>
  <c r="AO518" i="17"/>
  <c r="AN518" i="17"/>
  <c r="AM518" i="17"/>
  <c r="AL518" i="17"/>
  <c r="Z518" i="17" s="1"/>
  <c r="AS518" i="17" s="1"/>
  <c r="AK518" i="17"/>
  <c r="AJ518" i="17"/>
  <c r="AI518" i="17"/>
  <c r="AH518" i="17"/>
  <c r="AG518" i="17"/>
  <c r="AF518" i="17"/>
  <c r="AE518" i="17"/>
  <c r="B518" i="17"/>
  <c r="A518" i="17"/>
  <c r="AE517" i="17"/>
  <c r="B517" i="17"/>
  <c r="A517" i="17"/>
  <c r="AR516" i="17"/>
  <c r="AQ516" i="17"/>
  <c r="AP516" i="17"/>
  <c r="AO516" i="17"/>
  <c r="AN516" i="17"/>
  <c r="AM516" i="17"/>
  <c r="AK516" i="17"/>
  <c r="AJ516" i="17"/>
  <c r="AI516" i="17"/>
  <c r="AH516" i="17"/>
  <c r="AG516" i="17"/>
  <c r="AF516" i="17"/>
  <c r="AL516" i="17" s="1"/>
  <c r="Z516" i="17" s="1"/>
  <c r="AS516" i="17" s="1"/>
  <c r="AE516" i="17"/>
  <c r="B516" i="17"/>
  <c r="A516" i="17"/>
  <c r="AE515" i="17"/>
  <c r="B515" i="17"/>
  <c r="A515" i="17"/>
  <c r="AR514" i="17"/>
  <c r="AQ514" i="17"/>
  <c r="AP514" i="17"/>
  <c r="AO514" i="17"/>
  <c r="AN514" i="17"/>
  <c r="AM514" i="17"/>
  <c r="AK514" i="17"/>
  <c r="AJ514" i="17"/>
  <c r="AI514" i="17"/>
  <c r="AH514" i="17"/>
  <c r="AL514" i="17" s="1"/>
  <c r="Z514" i="17" s="1"/>
  <c r="AS514" i="17" s="1"/>
  <c r="AG514" i="17"/>
  <c r="AF514" i="17"/>
  <c r="AE514" i="17"/>
  <c r="B514" i="17"/>
  <c r="A514" i="17"/>
  <c r="AE513" i="17"/>
  <c r="B513" i="17"/>
  <c r="A513" i="17"/>
  <c r="AR512" i="17"/>
  <c r="AQ512" i="17"/>
  <c r="AP512" i="17"/>
  <c r="AO512" i="17"/>
  <c r="AN512" i="17"/>
  <c r="AM512" i="17"/>
  <c r="AK512" i="17"/>
  <c r="AJ512" i="17"/>
  <c r="AI512" i="17"/>
  <c r="AH512" i="17"/>
  <c r="AG512" i="17"/>
  <c r="AF512" i="17"/>
  <c r="AL512" i="17" s="1"/>
  <c r="AE512" i="17"/>
  <c r="B512" i="17"/>
  <c r="A512" i="17"/>
  <c r="AE511" i="17"/>
  <c r="B511" i="17"/>
  <c r="A511" i="17"/>
  <c r="AR510" i="17"/>
  <c r="AQ510" i="17"/>
  <c r="AP510" i="17"/>
  <c r="AO510" i="17"/>
  <c r="AN510" i="17"/>
  <c r="AM510" i="17"/>
  <c r="AK510" i="17"/>
  <c r="AJ510" i="17"/>
  <c r="AI510" i="17"/>
  <c r="AH510" i="17"/>
  <c r="AG510" i="17"/>
  <c r="AL510" i="17" s="1"/>
  <c r="Z510" i="17" s="1"/>
  <c r="AS510" i="17" s="1"/>
  <c r="AF510" i="17"/>
  <c r="AE510" i="17"/>
  <c r="B510" i="17"/>
  <c r="A510" i="17"/>
  <c r="AE509" i="17"/>
  <c r="B509" i="17"/>
  <c r="A509" i="17"/>
  <c r="AR508" i="17"/>
  <c r="AQ508" i="17"/>
  <c r="AP508" i="17"/>
  <c r="AO508" i="17"/>
  <c r="AN508" i="17"/>
  <c r="AM508" i="17"/>
  <c r="AK508" i="17"/>
  <c r="AJ508" i="17"/>
  <c r="AI508" i="17"/>
  <c r="AH508" i="17"/>
  <c r="AG508" i="17"/>
  <c r="AF508" i="17"/>
  <c r="AL508" i="17" s="1"/>
  <c r="AE508" i="17"/>
  <c r="B508" i="17"/>
  <c r="A508" i="17"/>
  <c r="AE507" i="17"/>
  <c r="B507" i="17"/>
  <c r="A507" i="17"/>
  <c r="AE506" i="17"/>
  <c r="B506" i="17"/>
  <c r="A506" i="17"/>
  <c r="AR505" i="17"/>
  <c r="AQ505" i="17"/>
  <c r="AP505" i="17"/>
  <c r="AO505" i="17"/>
  <c r="AN505" i="17"/>
  <c r="AM505" i="17"/>
  <c r="AK505" i="17"/>
  <c r="AJ505" i="17"/>
  <c r="AI505" i="17"/>
  <c r="AH505" i="17"/>
  <c r="AG505" i="17"/>
  <c r="AF505" i="17"/>
  <c r="AE505" i="17"/>
  <c r="B505" i="17"/>
  <c r="A505" i="17"/>
  <c r="AR504" i="17"/>
  <c r="AQ504" i="17"/>
  <c r="AP504" i="17"/>
  <c r="AO504" i="17"/>
  <c r="AN504" i="17"/>
  <c r="AM504" i="17"/>
  <c r="AK504" i="17"/>
  <c r="AJ504" i="17"/>
  <c r="AI504" i="17"/>
  <c r="AH504" i="17"/>
  <c r="AG504" i="17"/>
  <c r="AF504" i="17"/>
  <c r="AL504" i="17" s="1"/>
  <c r="Z504" i="17" s="1"/>
  <c r="AS504" i="17" s="1"/>
  <c r="AE504" i="17"/>
  <c r="B504" i="17"/>
  <c r="A504" i="17"/>
  <c r="AE503" i="17"/>
  <c r="B503" i="17"/>
  <c r="A503" i="17"/>
  <c r="AJ502" i="17"/>
  <c r="AI502" i="17"/>
  <c r="AE502" i="17"/>
  <c r="B502" i="17"/>
  <c r="A502" i="17"/>
  <c r="AE501" i="17"/>
  <c r="B501" i="17"/>
  <c r="A501" i="17"/>
  <c r="AE500" i="17"/>
  <c r="B500" i="17"/>
  <c r="A500" i="17"/>
  <c r="AE499" i="17"/>
  <c r="B499" i="17"/>
  <c r="A499" i="17"/>
  <c r="AR498" i="17"/>
  <c r="AQ498" i="17"/>
  <c r="AP498" i="17"/>
  <c r="AO498" i="17"/>
  <c r="AN498" i="17"/>
  <c r="AM498" i="17"/>
  <c r="AK498" i="17"/>
  <c r="AJ498" i="17"/>
  <c r="AI498" i="17"/>
  <c r="AL498" i="17" s="1"/>
  <c r="AH498" i="17"/>
  <c r="AG498" i="17"/>
  <c r="AF498" i="17"/>
  <c r="AE498" i="17"/>
  <c r="B498" i="17"/>
  <c r="A498" i="17"/>
  <c r="AR497" i="17"/>
  <c r="AQ497" i="17"/>
  <c r="AP497" i="17"/>
  <c r="AO497" i="17"/>
  <c r="AN497" i="17"/>
  <c r="AM497" i="17"/>
  <c r="AK497" i="17"/>
  <c r="AJ497" i="17"/>
  <c r="AI497" i="17"/>
  <c r="AH497" i="17"/>
  <c r="AG497" i="17"/>
  <c r="AF497" i="17"/>
  <c r="AE497" i="17"/>
  <c r="B497" i="17"/>
  <c r="A497" i="17"/>
  <c r="AE496" i="17"/>
  <c r="B496" i="17"/>
  <c r="A496" i="17"/>
  <c r="AR495" i="17"/>
  <c r="AQ495" i="17"/>
  <c r="AP495" i="17"/>
  <c r="AO495" i="17"/>
  <c r="AN495" i="17"/>
  <c r="AM495" i="17"/>
  <c r="AK495" i="17"/>
  <c r="AJ495" i="17"/>
  <c r="AI495" i="17"/>
  <c r="AH495" i="17"/>
  <c r="AG495" i="17"/>
  <c r="AF495" i="17"/>
  <c r="AL495" i="17" s="1"/>
  <c r="Z495" i="17" s="1"/>
  <c r="AS495" i="17" s="1"/>
  <c r="AE495" i="17"/>
  <c r="B495" i="17"/>
  <c r="A495" i="17"/>
  <c r="AE494" i="17"/>
  <c r="B494" i="17"/>
  <c r="A494" i="17"/>
  <c r="AE493" i="17"/>
  <c r="B493" i="17"/>
  <c r="A493" i="17"/>
  <c r="AR492" i="17"/>
  <c r="AQ492" i="17"/>
  <c r="AP492" i="17"/>
  <c r="AO492" i="17"/>
  <c r="AN492" i="17"/>
  <c r="AM492" i="17"/>
  <c r="AK492" i="17"/>
  <c r="AJ492" i="17"/>
  <c r="AI492" i="17"/>
  <c r="AH492" i="17"/>
  <c r="AG492" i="17"/>
  <c r="AF492" i="17"/>
  <c r="AE492" i="17"/>
  <c r="B492" i="17"/>
  <c r="A492" i="17"/>
  <c r="AR491" i="17"/>
  <c r="AQ491" i="17"/>
  <c r="AP491" i="17"/>
  <c r="AO491" i="17"/>
  <c r="AN491" i="17"/>
  <c r="AM491" i="17"/>
  <c r="AK491" i="17"/>
  <c r="AJ491" i="17"/>
  <c r="AI491" i="17"/>
  <c r="AH491" i="17"/>
  <c r="AG491" i="17"/>
  <c r="AF491" i="17"/>
  <c r="AE491" i="17"/>
  <c r="B491" i="17"/>
  <c r="A491" i="17"/>
  <c r="AR490" i="17"/>
  <c r="AQ490" i="17"/>
  <c r="AP490" i="17"/>
  <c r="AO490" i="17"/>
  <c r="AN490" i="17"/>
  <c r="AM490" i="17"/>
  <c r="AK490" i="17"/>
  <c r="AJ490" i="17"/>
  <c r="AI490" i="17"/>
  <c r="AL490" i="17" s="1"/>
  <c r="Z490" i="17" s="1"/>
  <c r="AS490" i="17" s="1"/>
  <c r="AH490" i="17"/>
  <c r="AG490" i="17"/>
  <c r="AF490" i="17"/>
  <c r="AE490" i="17"/>
  <c r="B490" i="17"/>
  <c r="A490" i="17"/>
  <c r="AE489" i="17"/>
  <c r="B489" i="17"/>
  <c r="A489" i="17"/>
  <c r="AR488" i="17"/>
  <c r="AQ488" i="17"/>
  <c r="AP488" i="17"/>
  <c r="AO488" i="17"/>
  <c r="AN488" i="17"/>
  <c r="AM488" i="17"/>
  <c r="AK488" i="17"/>
  <c r="AJ488" i="17"/>
  <c r="AI488" i="17"/>
  <c r="AH488" i="17"/>
  <c r="AG488" i="17"/>
  <c r="AF488" i="17"/>
  <c r="AE488" i="17"/>
  <c r="B488" i="17"/>
  <c r="A488" i="17"/>
  <c r="AE487" i="17"/>
  <c r="B487" i="17"/>
  <c r="A487" i="17"/>
  <c r="AR486" i="17"/>
  <c r="AQ486" i="17"/>
  <c r="AP486" i="17"/>
  <c r="AO486" i="17"/>
  <c r="AN486" i="17"/>
  <c r="AM486" i="17"/>
  <c r="AK486" i="17"/>
  <c r="AJ486" i="17"/>
  <c r="AI486" i="17"/>
  <c r="AH486" i="17"/>
  <c r="AG486" i="17"/>
  <c r="AF486" i="17"/>
  <c r="AE486" i="17"/>
  <c r="B486" i="17"/>
  <c r="A486" i="17"/>
  <c r="AE485" i="17"/>
  <c r="B485" i="17"/>
  <c r="A485" i="17"/>
  <c r="AR484" i="17"/>
  <c r="AQ484" i="17"/>
  <c r="AP484" i="17"/>
  <c r="AO484" i="17"/>
  <c r="AN484" i="17"/>
  <c r="AM484" i="17"/>
  <c r="AK484" i="17"/>
  <c r="AJ484" i="17"/>
  <c r="AI484" i="17"/>
  <c r="AH484" i="17"/>
  <c r="AG484" i="17"/>
  <c r="AF484" i="17"/>
  <c r="AE484" i="17"/>
  <c r="B484" i="17"/>
  <c r="A484" i="17"/>
  <c r="AE483" i="17"/>
  <c r="B483" i="17"/>
  <c r="A483" i="17"/>
  <c r="AR482" i="17"/>
  <c r="AQ482" i="17"/>
  <c r="AP482" i="17"/>
  <c r="AO482" i="17"/>
  <c r="AN482" i="17"/>
  <c r="AM482" i="17"/>
  <c r="AK482" i="17"/>
  <c r="AJ482" i="17"/>
  <c r="AI482" i="17"/>
  <c r="AL482" i="17" s="1"/>
  <c r="Z482" i="17" s="1"/>
  <c r="AS482" i="17" s="1"/>
  <c r="AH482" i="17"/>
  <c r="AG482" i="17"/>
  <c r="AF482" i="17"/>
  <c r="AE482" i="17"/>
  <c r="B482" i="17"/>
  <c r="A482" i="17"/>
  <c r="AE481" i="17"/>
  <c r="B481" i="17"/>
  <c r="A481" i="17"/>
  <c r="AR480" i="17"/>
  <c r="AQ480" i="17"/>
  <c r="AP480" i="17"/>
  <c r="AO480" i="17"/>
  <c r="AN480" i="17"/>
  <c r="AM480" i="17"/>
  <c r="AK480" i="17"/>
  <c r="AJ480" i="17"/>
  <c r="AI480" i="17"/>
  <c r="AL480" i="17" s="1"/>
  <c r="Z480" i="17" s="1"/>
  <c r="AS480" i="17" s="1"/>
  <c r="AH480" i="17"/>
  <c r="AG480" i="17"/>
  <c r="AF480" i="17"/>
  <c r="AE480" i="17"/>
  <c r="B480" i="17"/>
  <c r="A480" i="17"/>
  <c r="AE479" i="17"/>
  <c r="B479" i="17"/>
  <c r="A479" i="17"/>
  <c r="AR478" i="17"/>
  <c r="AQ478" i="17"/>
  <c r="AP478" i="17"/>
  <c r="AO478" i="17"/>
  <c r="AN478" i="17"/>
  <c r="AM478" i="17"/>
  <c r="AK478" i="17"/>
  <c r="AJ478" i="17"/>
  <c r="AL478" i="17" s="1"/>
  <c r="Z478" i="17" s="1"/>
  <c r="AS478" i="17" s="1"/>
  <c r="AI478" i="17"/>
  <c r="AH478" i="17"/>
  <c r="AG478" i="17"/>
  <c r="AF478" i="17"/>
  <c r="AE478" i="17"/>
  <c r="B478" i="17"/>
  <c r="A478" i="17"/>
  <c r="AR477" i="17"/>
  <c r="AQ477" i="17"/>
  <c r="AE477" i="17"/>
  <c r="B477" i="17"/>
  <c r="A477" i="17"/>
  <c r="AR476" i="17"/>
  <c r="AQ476" i="17"/>
  <c r="AE476" i="17"/>
  <c r="B476" i="17"/>
  <c r="A476" i="17"/>
  <c r="AR475" i="17"/>
  <c r="AQ475" i="17"/>
  <c r="AE475" i="17"/>
  <c r="B475" i="17"/>
  <c r="A475" i="17"/>
  <c r="AR474" i="17"/>
  <c r="AQ474" i="17"/>
  <c r="AE474" i="17"/>
  <c r="B474" i="17"/>
  <c r="A474" i="17"/>
  <c r="AE473" i="17"/>
  <c r="B473" i="17"/>
  <c r="A473" i="17"/>
  <c r="AE472" i="17"/>
  <c r="B472" i="17"/>
  <c r="A472" i="17"/>
  <c r="AR471" i="17"/>
  <c r="AQ471" i="17"/>
  <c r="AP471" i="17"/>
  <c r="AO471" i="17"/>
  <c r="Z471" i="17" s="1"/>
  <c r="AS471" i="17" s="1"/>
  <c r="AN471" i="17"/>
  <c r="AM471" i="17"/>
  <c r="AK471" i="17"/>
  <c r="AJ471" i="17"/>
  <c r="AI471" i="17"/>
  <c r="AH471" i="17"/>
  <c r="AG471" i="17"/>
  <c r="AF471" i="17"/>
  <c r="AL471" i="17" s="1"/>
  <c r="AE471" i="17"/>
  <c r="B471" i="17"/>
  <c r="A471" i="17"/>
  <c r="AE470" i="17"/>
  <c r="B470" i="17"/>
  <c r="A470" i="17"/>
  <c r="AE469" i="17"/>
  <c r="B469" i="17"/>
  <c r="A469" i="17"/>
  <c r="AR468" i="17"/>
  <c r="AQ468" i="17"/>
  <c r="AP468" i="17"/>
  <c r="AO468" i="17"/>
  <c r="AN468" i="17"/>
  <c r="AM468" i="17"/>
  <c r="AK468" i="17"/>
  <c r="AJ468" i="17"/>
  <c r="AI468" i="17"/>
  <c r="AL468" i="17" s="1"/>
  <c r="Z468" i="17" s="1"/>
  <c r="AS468" i="17" s="1"/>
  <c r="AH468" i="17"/>
  <c r="AG468" i="17"/>
  <c r="AF468" i="17"/>
  <c r="AE468" i="17"/>
  <c r="B468" i="17"/>
  <c r="A468" i="17"/>
  <c r="AE467" i="17"/>
  <c r="B467" i="17"/>
  <c r="A467" i="17"/>
  <c r="AR466" i="17"/>
  <c r="AQ466" i="17"/>
  <c r="AP466" i="17"/>
  <c r="AO466" i="17"/>
  <c r="AN466" i="17"/>
  <c r="AM466" i="17"/>
  <c r="AK466" i="17"/>
  <c r="AJ466" i="17"/>
  <c r="AL466" i="17" s="1"/>
  <c r="Z466" i="17" s="1"/>
  <c r="AS466" i="17" s="1"/>
  <c r="AI466" i="17"/>
  <c r="AH466" i="17"/>
  <c r="AG466" i="17"/>
  <c r="AF466" i="17"/>
  <c r="AE466" i="17"/>
  <c r="B466" i="17"/>
  <c r="A466" i="17"/>
  <c r="AR465" i="17"/>
  <c r="AQ465" i="17"/>
  <c r="AP465" i="17"/>
  <c r="AO465" i="17"/>
  <c r="AN465" i="17"/>
  <c r="AM465" i="17"/>
  <c r="AK465" i="17"/>
  <c r="AJ465" i="17"/>
  <c r="AI465" i="17"/>
  <c r="AH465" i="17"/>
  <c r="AG465" i="17"/>
  <c r="AF465" i="17"/>
  <c r="AL465" i="17" s="1"/>
  <c r="Z465" i="17" s="1"/>
  <c r="AS465" i="17" s="1"/>
  <c r="AE465" i="17"/>
  <c r="B465" i="17"/>
  <c r="A465" i="17"/>
  <c r="AR464" i="17"/>
  <c r="AQ464" i="17"/>
  <c r="AE464" i="17"/>
  <c r="B464" i="17"/>
  <c r="A464" i="17"/>
  <c r="AR463" i="17"/>
  <c r="AQ463" i="17"/>
  <c r="AE463" i="17"/>
  <c r="B463" i="17"/>
  <c r="A463" i="17"/>
  <c r="AR462" i="17"/>
  <c r="AQ462" i="17"/>
  <c r="AE462" i="17"/>
  <c r="B462" i="17"/>
  <c r="A462" i="17"/>
  <c r="AR461" i="17"/>
  <c r="AQ461" i="17"/>
  <c r="AE461" i="17"/>
  <c r="B461" i="17"/>
  <c r="A461" i="17"/>
  <c r="AR460" i="17"/>
  <c r="AQ460" i="17"/>
  <c r="AE460" i="17"/>
  <c r="B460" i="17"/>
  <c r="A460" i="17"/>
  <c r="AR459" i="17"/>
  <c r="AQ459" i="17"/>
  <c r="AE459" i="17"/>
  <c r="B459" i="17"/>
  <c r="A459" i="17"/>
  <c r="AR458" i="17"/>
  <c r="AQ458" i="17"/>
  <c r="AE458" i="17"/>
  <c r="B458" i="17"/>
  <c r="A458" i="17"/>
  <c r="AR457" i="17"/>
  <c r="AQ457" i="17"/>
  <c r="AE457" i="17"/>
  <c r="B457" i="17"/>
  <c r="A457" i="17"/>
  <c r="AR456" i="17"/>
  <c r="AQ456" i="17"/>
  <c r="AE456" i="17"/>
  <c r="B456" i="17"/>
  <c r="A456" i="17"/>
  <c r="AR455" i="17"/>
  <c r="AQ455" i="17"/>
  <c r="AE455" i="17"/>
  <c r="B455" i="17"/>
  <c r="A455" i="17"/>
  <c r="AE454" i="17"/>
  <c r="B454" i="17"/>
  <c r="A454" i="17"/>
  <c r="AE453" i="17"/>
  <c r="B453" i="17"/>
  <c r="A453" i="17"/>
  <c r="AR452" i="17"/>
  <c r="AQ452" i="17"/>
  <c r="AP452" i="17"/>
  <c r="AO452" i="17"/>
  <c r="Z452" i="17" s="1"/>
  <c r="AS452" i="17" s="1"/>
  <c r="AN452" i="17"/>
  <c r="AM452" i="17"/>
  <c r="AL452" i="17"/>
  <c r="AK452" i="17"/>
  <c r="AJ452" i="17"/>
  <c r="AI452" i="17"/>
  <c r="AH452" i="17"/>
  <c r="AG452" i="17"/>
  <c r="AF452" i="17"/>
  <c r="AE452" i="17"/>
  <c r="B452" i="17"/>
  <c r="A452" i="17"/>
  <c r="AE451" i="17"/>
  <c r="B451" i="17"/>
  <c r="A451" i="17"/>
  <c r="AR450" i="17"/>
  <c r="AQ450" i="17"/>
  <c r="AP450" i="17"/>
  <c r="AO450" i="17"/>
  <c r="AN450" i="17"/>
  <c r="AM450" i="17"/>
  <c r="AK450" i="17"/>
  <c r="AJ450" i="17"/>
  <c r="AL450" i="17" s="1"/>
  <c r="Z450" i="17" s="1"/>
  <c r="AS450" i="17" s="1"/>
  <c r="AI450" i="17"/>
  <c r="AH450" i="17"/>
  <c r="AG450" i="17"/>
  <c r="AF450" i="17"/>
  <c r="AE450" i="17"/>
  <c r="B450" i="17"/>
  <c r="A450" i="17"/>
  <c r="AE449" i="17"/>
  <c r="B449" i="17"/>
  <c r="A449" i="17"/>
  <c r="AE448" i="17"/>
  <c r="B448" i="17"/>
  <c r="A448" i="17"/>
  <c r="AE447" i="17"/>
  <c r="B447" i="17"/>
  <c r="A447" i="17"/>
  <c r="AR446" i="17"/>
  <c r="AQ446" i="17"/>
  <c r="AP446" i="17"/>
  <c r="AO446" i="17"/>
  <c r="AN446" i="17"/>
  <c r="AM446" i="17"/>
  <c r="Z446" i="17" s="1"/>
  <c r="AS446" i="17" s="1"/>
  <c r="AL446" i="17"/>
  <c r="AK446" i="17"/>
  <c r="AJ446" i="17"/>
  <c r="AI446" i="17"/>
  <c r="AH446" i="17"/>
  <c r="AG446" i="17"/>
  <c r="AF446" i="17"/>
  <c r="AE446" i="17"/>
  <c r="B446" i="17"/>
  <c r="A446" i="17"/>
  <c r="AE445" i="17"/>
  <c r="B445" i="17"/>
  <c r="A445" i="17"/>
  <c r="AR444" i="17"/>
  <c r="AQ444" i="17"/>
  <c r="AP444" i="17"/>
  <c r="AO444" i="17"/>
  <c r="AN444" i="17"/>
  <c r="AM444" i="17"/>
  <c r="AK444" i="17"/>
  <c r="AJ444" i="17"/>
  <c r="AL444" i="17" s="1"/>
  <c r="Z444" i="17" s="1"/>
  <c r="AS444" i="17" s="1"/>
  <c r="AI444" i="17"/>
  <c r="AH444" i="17"/>
  <c r="AG444" i="17"/>
  <c r="AF444" i="17"/>
  <c r="AE444" i="17"/>
  <c r="B444" i="17"/>
  <c r="A444" i="17"/>
  <c r="AE443" i="17"/>
  <c r="B443" i="17"/>
  <c r="A443" i="17"/>
  <c r="AE442" i="17"/>
  <c r="B442" i="17"/>
  <c r="A442" i="17"/>
  <c r="AE441" i="17"/>
  <c r="B441" i="17"/>
  <c r="A441" i="17"/>
  <c r="AE440" i="17"/>
  <c r="B440" i="17"/>
  <c r="A440" i="17"/>
  <c r="AR439" i="17"/>
  <c r="AQ439" i="17"/>
  <c r="AP439" i="17"/>
  <c r="Z439" i="17" s="1"/>
  <c r="AS439" i="17" s="1"/>
  <c r="AO439" i="17"/>
  <c r="AN439" i="17"/>
  <c r="AM439" i="17"/>
  <c r="AK439" i="17"/>
  <c r="AJ439" i="17"/>
  <c r="AI439" i="17"/>
  <c r="AH439" i="17"/>
  <c r="AG439" i="17"/>
  <c r="AF439" i="17"/>
  <c r="AL439" i="17" s="1"/>
  <c r="AE439" i="17"/>
  <c r="B439" i="17"/>
  <c r="A439" i="17"/>
  <c r="AE438" i="17"/>
  <c r="B438" i="17"/>
  <c r="A438" i="17"/>
  <c r="AE437" i="17"/>
  <c r="B437" i="17"/>
  <c r="A437" i="17"/>
  <c r="AE436" i="17"/>
  <c r="B436" i="17"/>
  <c r="A436" i="17"/>
  <c r="AR435" i="17"/>
  <c r="AQ435" i="17"/>
  <c r="AP435" i="17"/>
  <c r="AO435" i="17"/>
  <c r="AN435" i="17"/>
  <c r="AM435" i="17"/>
  <c r="AK435" i="17"/>
  <c r="AJ435" i="17"/>
  <c r="AI435" i="17"/>
  <c r="AH435" i="17"/>
  <c r="AG435" i="17"/>
  <c r="AF435" i="17"/>
  <c r="AE435" i="17"/>
  <c r="B435" i="17"/>
  <c r="A435" i="17"/>
  <c r="AE434" i="17"/>
  <c r="B434" i="17"/>
  <c r="A434" i="17"/>
  <c r="AR433" i="17"/>
  <c r="AQ433" i="17"/>
  <c r="AP433" i="17"/>
  <c r="AO433" i="17"/>
  <c r="AN433" i="17"/>
  <c r="AM433" i="17"/>
  <c r="AK433" i="17"/>
  <c r="AJ433" i="17"/>
  <c r="AI433" i="17"/>
  <c r="AH433" i="17"/>
  <c r="AG433" i="17"/>
  <c r="AF433" i="17"/>
  <c r="AE433" i="17"/>
  <c r="B433" i="17"/>
  <c r="A433" i="17"/>
  <c r="AR432" i="17"/>
  <c r="AQ432" i="17"/>
  <c r="AP432" i="17"/>
  <c r="Z432" i="17" s="1"/>
  <c r="AS432" i="17" s="1"/>
  <c r="AO432" i="17"/>
  <c r="AN432" i="17"/>
  <c r="AM432" i="17"/>
  <c r="AK432" i="17"/>
  <c r="AJ432" i="17"/>
  <c r="AI432" i="17"/>
  <c r="AH432" i="17"/>
  <c r="AL432" i="17" s="1"/>
  <c r="AG432" i="17"/>
  <c r="AF432" i="17"/>
  <c r="AE432" i="17"/>
  <c r="B432" i="17"/>
  <c r="A432" i="17"/>
  <c r="AE431" i="17"/>
  <c r="B431" i="17"/>
  <c r="A431" i="17"/>
  <c r="AE430" i="17"/>
  <c r="B430" i="17"/>
  <c r="A430" i="17"/>
  <c r="AR429" i="17"/>
  <c r="AQ429" i="17"/>
  <c r="AP429" i="17"/>
  <c r="Z429" i="17" s="1"/>
  <c r="AS429" i="17" s="1"/>
  <c r="AO429" i="17"/>
  <c r="AN429" i="17"/>
  <c r="AM429" i="17"/>
  <c r="AK429" i="17"/>
  <c r="AJ429" i="17"/>
  <c r="AI429" i="17"/>
  <c r="AH429" i="17"/>
  <c r="AG429" i="17"/>
  <c r="AF429" i="17"/>
  <c r="AL429" i="17" s="1"/>
  <c r="AE429" i="17"/>
  <c r="B429" i="17"/>
  <c r="A429" i="17"/>
  <c r="AE428" i="17"/>
  <c r="B428" i="17"/>
  <c r="A428" i="17"/>
  <c r="AE427" i="17"/>
  <c r="B427" i="17"/>
  <c r="A427" i="17"/>
  <c r="AE426" i="17"/>
  <c r="B426" i="17"/>
  <c r="A426" i="17"/>
  <c r="AE425" i="17"/>
  <c r="B425" i="17"/>
  <c r="A425" i="17"/>
  <c r="AR424" i="17"/>
  <c r="AQ424" i="17"/>
  <c r="AP424" i="17"/>
  <c r="AO424" i="17"/>
  <c r="AN424" i="17"/>
  <c r="AM424" i="17"/>
  <c r="AK424" i="17"/>
  <c r="AJ424" i="17"/>
  <c r="AI424" i="17"/>
  <c r="AH424" i="17"/>
  <c r="AL424" i="17" s="1"/>
  <c r="Z424" i="17" s="1"/>
  <c r="AS424" i="17" s="1"/>
  <c r="AG424" i="17"/>
  <c r="AF424" i="17"/>
  <c r="AE424" i="17"/>
  <c r="B424" i="17"/>
  <c r="A424" i="17"/>
  <c r="AE423" i="17"/>
  <c r="B423" i="17"/>
  <c r="A423" i="17"/>
  <c r="AR422" i="17"/>
  <c r="AQ422" i="17"/>
  <c r="AP422" i="17"/>
  <c r="AO422" i="17"/>
  <c r="AN422" i="17"/>
  <c r="AM422" i="17"/>
  <c r="AK422" i="17"/>
  <c r="AJ422" i="17"/>
  <c r="AI422" i="17"/>
  <c r="AH422" i="17"/>
  <c r="AG422" i="17"/>
  <c r="AF422" i="17"/>
  <c r="AL422" i="17" s="1"/>
  <c r="AE422" i="17"/>
  <c r="B422" i="17"/>
  <c r="A422" i="17"/>
  <c r="AE421" i="17"/>
  <c r="B421" i="17"/>
  <c r="A421" i="17"/>
  <c r="AR420" i="17"/>
  <c r="AQ420" i="17"/>
  <c r="AP420" i="17"/>
  <c r="AO420" i="17"/>
  <c r="AN420" i="17"/>
  <c r="AM420" i="17"/>
  <c r="AK420" i="17"/>
  <c r="AJ420" i="17"/>
  <c r="AI420" i="17"/>
  <c r="AH420" i="17"/>
  <c r="AG420" i="17"/>
  <c r="AF420" i="17"/>
  <c r="AL420" i="17" s="1"/>
  <c r="AE420" i="17"/>
  <c r="Z420" i="17"/>
  <c r="AS420" i="17" s="1"/>
  <c r="B420" i="17"/>
  <c r="A420" i="17"/>
  <c r="AE419" i="17"/>
  <c r="B419" i="17"/>
  <c r="A419" i="17"/>
  <c r="AE418" i="17"/>
  <c r="B418" i="17"/>
  <c r="A418" i="17"/>
  <c r="AE417" i="17"/>
  <c r="B417" i="17"/>
  <c r="A417" i="17"/>
  <c r="AE416" i="17"/>
  <c r="B416" i="17"/>
  <c r="A416" i="17"/>
  <c r="AE415" i="17"/>
  <c r="B415" i="17"/>
  <c r="A415" i="17"/>
  <c r="AE414" i="17"/>
  <c r="B414" i="17"/>
  <c r="A414" i="17"/>
  <c r="AE413" i="17"/>
  <c r="B413" i="17"/>
  <c r="A413" i="17"/>
  <c r="AE412" i="17"/>
  <c r="B412" i="17"/>
  <c r="A412" i="17"/>
  <c r="AE411" i="17"/>
  <c r="B411" i="17"/>
  <c r="A411" i="17"/>
  <c r="AE410" i="17"/>
  <c r="B410" i="17"/>
  <c r="A410" i="17"/>
  <c r="AE409" i="17"/>
  <c r="B409" i="17"/>
  <c r="A409" i="17"/>
  <c r="AE408" i="17"/>
  <c r="B408" i="17"/>
  <c r="A408" i="17"/>
  <c r="AE407" i="17"/>
  <c r="B407" i="17"/>
  <c r="A407" i="17"/>
  <c r="AE406" i="17"/>
  <c r="B406" i="17"/>
  <c r="A406" i="17"/>
  <c r="AE405" i="17"/>
  <c r="B405" i="17"/>
  <c r="A405" i="17"/>
  <c r="AE404" i="17"/>
  <c r="B404" i="17"/>
  <c r="A404" i="17"/>
  <c r="AE403" i="17"/>
  <c r="B403" i="17"/>
  <c r="A403" i="17"/>
  <c r="AE402" i="17"/>
  <c r="B402" i="17"/>
  <c r="A402" i="17"/>
  <c r="AE401" i="17"/>
  <c r="B401" i="17"/>
  <c r="A401" i="17"/>
  <c r="AE400" i="17"/>
  <c r="B400" i="17"/>
  <c r="A400" i="17"/>
  <c r="AE399" i="17"/>
  <c r="B399" i="17"/>
  <c r="A399" i="17"/>
  <c r="AE398" i="17"/>
  <c r="B398" i="17"/>
  <c r="A398" i="17"/>
  <c r="AE397" i="17"/>
  <c r="B397" i="17"/>
  <c r="A397" i="17"/>
  <c r="AR396" i="17"/>
  <c r="AQ396" i="17"/>
  <c r="AP396" i="17"/>
  <c r="AO396" i="17"/>
  <c r="AN396" i="17"/>
  <c r="AM396" i="17"/>
  <c r="AK396" i="17"/>
  <c r="AJ396" i="17"/>
  <c r="AI396" i="17"/>
  <c r="AH396" i="17"/>
  <c r="AL396" i="17" s="1"/>
  <c r="Z396" i="17" s="1"/>
  <c r="AS396" i="17" s="1"/>
  <c r="AG396" i="17"/>
  <c r="AF396" i="17"/>
  <c r="AE396" i="17"/>
  <c r="B396" i="17"/>
  <c r="A396" i="17"/>
  <c r="AE395" i="17"/>
  <c r="B395" i="17"/>
  <c r="A395" i="17"/>
  <c r="AR394" i="17"/>
  <c r="AQ394" i="17"/>
  <c r="AP394" i="17"/>
  <c r="AO394" i="17"/>
  <c r="AN394" i="17"/>
  <c r="AM394" i="17"/>
  <c r="AL394" i="17"/>
  <c r="AK394" i="17"/>
  <c r="AJ394" i="17"/>
  <c r="AI394" i="17"/>
  <c r="AH394" i="17"/>
  <c r="AG394" i="17"/>
  <c r="AF394" i="17"/>
  <c r="AE394" i="17"/>
  <c r="B394" i="17"/>
  <c r="A394" i="17"/>
  <c r="AE393" i="17"/>
  <c r="B393" i="17"/>
  <c r="A393" i="17"/>
  <c r="AR392" i="17"/>
  <c r="AQ392" i="17"/>
  <c r="AP392" i="17"/>
  <c r="AO392" i="17"/>
  <c r="AN392" i="17"/>
  <c r="AM392" i="17"/>
  <c r="AK392" i="17"/>
  <c r="AL392" i="17" s="1"/>
  <c r="Z392" i="17" s="1"/>
  <c r="AS392" i="17" s="1"/>
  <c r="AJ392" i="17"/>
  <c r="AI392" i="17"/>
  <c r="AH392" i="17"/>
  <c r="AG392" i="17"/>
  <c r="AF392" i="17"/>
  <c r="AE392" i="17"/>
  <c r="B392" i="17"/>
  <c r="A392" i="17"/>
  <c r="AE391" i="17"/>
  <c r="B391" i="17"/>
  <c r="A391" i="17"/>
  <c r="AR390" i="17"/>
  <c r="AQ390" i="17"/>
  <c r="AP390" i="17"/>
  <c r="AO390" i="17"/>
  <c r="AN390" i="17"/>
  <c r="AM390" i="17"/>
  <c r="AL390" i="17"/>
  <c r="Z390" i="17" s="1"/>
  <c r="AS390" i="17" s="1"/>
  <c r="AK390" i="17"/>
  <c r="AJ390" i="17"/>
  <c r="AI390" i="17"/>
  <c r="AH390" i="17"/>
  <c r="AG390" i="17"/>
  <c r="AF390" i="17"/>
  <c r="AE390" i="17"/>
  <c r="B390" i="17"/>
  <c r="A390" i="17"/>
  <c r="AE389" i="17"/>
  <c r="B389" i="17"/>
  <c r="A389" i="17"/>
  <c r="AR388" i="17"/>
  <c r="AQ388" i="17"/>
  <c r="AP388" i="17"/>
  <c r="AO388" i="17"/>
  <c r="AN388" i="17"/>
  <c r="AM388" i="17"/>
  <c r="AL388" i="17"/>
  <c r="Z388" i="17" s="1"/>
  <c r="AS388" i="17" s="1"/>
  <c r="AK388" i="17"/>
  <c r="AJ388" i="17"/>
  <c r="AI388" i="17"/>
  <c r="AH388" i="17"/>
  <c r="AG388" i="17"/>
  <c r="AF388" i="17"/>
  <c r="AE388" i="17"/>
  <c r="B388" i="17"/>
  <c r="A388" i="17"/>
  <c r="AR387" i="17"/>
  <c r="AQ387" i="17"/>
  <c r="AP387" i="17"/>
  <c r="AO387" i="17"/>
  <c r="AN387" i="17"/>
  <c r="AM387" i="17"/>
  <c r="AK387" i="17"/>
  <c r="AJ387" i="17"/>
  <c r="AI387" i="17"/>
  <c r="AH387" i="17"/>
  <c r="AG387" i="17"/>
  <c r="AF387" i="17"/>
  <c r="AL387" i="17" s="1"/>
  <c r="AE387" i="17"/>
  <c r="B387" i="17"/>
  <c r="A387" i="17"/>
  <c r="AR386" i="17"/>
  <c r="AQ386" i="17"/>
  <c r="AP386" i="17"/>
  <c r="AO386" i="17"/>
  <c r="AN386" i="17"/>
  <c r="AM386" i="17"/>
  <c r="AL386" i="17"/>
  <c r="Z386" i="17" s="1"/>
  <c r="AS386" i="17" s="1"/>
  <c r="AK386" i="17"/>
  <c r="AJ386" i="17"/>
  <c r="AI386" i="17"/>
  <c r="AH386" i="17"/>
  <c r="AG386" i="17"/>
  <c r="AF386" i="17"/>
  <c r="AE386" i="17"/>
  <c r="B386" i="17"/>
  <c r="A386" i="17"/>
  <c r="AR385" i="17"/>
  <c r="AQ385" i="17"/>
  <c r="AP385" i="17"/>
  <c r="AO385" i="17"/>
  <c r="AN385" i="17"/>
  <c r="AM385" i="17"/>
  <c r="AK385" i="17"/>
  <c r="AJ385" i="17"/>
  <c r="AI385" i="17"/>
  <c r="AH385" i="17"/>
  <c r="AG385" i="17"/>
  <c r="AF385" i="17"/>
  <c r="AL385" i="17" s="1"/>
  <c r="AE385" i="17"/>
  <c r="B385" i="17"/>
  <c r="A385" i="17"/>
  <c r="AR384" i="17"/>
  <c r="AQ384" i="17"/>
  <c r="AP384" i="17"/>
  <c r="AO384" i="17"/>
  <c r="AN384" i="17"/>
  <c r="AM384" i="17"/>
  <c r="AK384" i="17"/>
  <c r="AL384" i="17" s="1"/>
  <c r="Z384" i="17" s="1"/>
  <c r="AS384" i="17" s="1"/>
  <c r="AJ384" i="17"/>
  <c r="AI384" i="17"/>
  <c r="AH384" i="17"/>
  <c r="AG384" i="17"/>
  <c r="AF384" i="17"/>
  <c r="AE384" i="17"/>
  <c r="B384" i="17"/>
  <c r="A384" i="17"/>
  <c r="AR383" i="17"/>
  <c r="AQ383" i="17"/>
  <c r="AP383" i="17"/>
  <c r="AO383" i="17"/>
  <c r="AN383" i="17"/>
  <c r="AM383" i="17"/>
  <c r="AK383" i="17"/>
  <c r="AJ383" i="17"/>
  <c r="AI383" i="17"/>
  <c r="AH383" i="17"/>
  <c r="AG383" i="17"/>
  <c r="AF383" i="17"/>
  <c r="AL383" i="17" s="1"/>
  <c r="AE383" i="17"/>
  <c r="B383" i="17"/>
  <c r="A383" i="17"/>
  <c r="AR382" i="17"/>
  <c r="AQ382" i="17"/>
  <c r="AP382" i="17"/>
  <c r="AO382" i="17"/>
  <c r="AN382" i="17"/>
  <c r="AM382" i="17"/>
  <c r="AK382" i="17"/>
  <c r="AL382" i="17" s="1"/>
  <c r="Z382" i="17" s="1"/>
  <c r="AS382" i="17" s="1"/>
  <c r="AJ382" i="17"/>
  <c r="AI382" i="17"/>
  <c r="AH382" i="17"/>
  <c r="AG382" i="17"/>
  <c r="AF382" i="17"/>
  <c r="AE382" i="17"/>
  <c r="B382" i="17"/>
  <c r="A382" i="17"/>
  <c r="AR381" i="17"/>
  <c r="AQ381" i="17"/>
  <c r="AP381" i="17"/>
  <c r="AO381" i="17"/>
  <c r="AN381" i="17"/>
  <c r="AM381" i="17"/>
  <c r="AK381" i="17"/>
  <c r="AJ381" i="17"/>
  <c r="AI381" i="17"/>
  <c r="AH381" i="17"/>
  <c r="AG381" i="17"/>
  <c r="AF381" i="17"/>
  <c r="AL381" i="17" s="1"/>
  <c r="AE381" i="17"/>
  <c r="B381" i="17"/>
  <c r="A381" i="17"/>
  <c r="AR380" i="17"/>
  <c r="AQ380" i="17"/>
  <c r="AP380" i="17"/>
  <c r="AO380" i="17"/>
  <c r="AN380" i="17"/>
  <c r="AM380" i="17"/>
  <c r="AK380" i="17"/>
  <c r="AL380" i="17" s="1"/>
  <c r="Z380" i="17" s="1"/>
  <c r="AS380" i="17" s="1"/>
  <c r="AJ380" i="17"/>
  <c r="AI380" i="17"/>
  <c r="AH380" i="17"/>
  <c r="AG380" i="17"/>
  <c r="AF380" i="17"/>
  <c r="AE380" i="17"/>
  <c r="B380" i="17"/>
  <c r="A380" i="17"/>
  <c r="AR379" i="17"/>
  <c r="AQ379" i="17"/>
  <c r="AP379" i="17"/>
  <c r="AO379" i="17"/>
  <c r="AN379" i="17"/>
  <c r="AM379" i="17"/>
  <c r="AK379" i="17"/>
  <c r="AJ379" i="17"/>
  <c r="AI379" i="17"/>
  <c r="AH379" i="17"/>
  <c r="AG379" i="17"/>
  <c r="AF379" i="17"/>
  <c r="AL379" i="17" s="1"/>
  <c r="AE379" i="17"/>
  <c r="B379" i="17"/>
  <c r="A379" i="17"/>
  <c r="AR378" i="17"/>
  <c r="AQ378" i="17"/>
  <c r="AP378" i="17"/>
  <c r="AO378" i="17"/>
  <c r="AN378" i="17"/>
  <c r="AM378" i="17"/>
  <c r="AK378" i="17"/>
  <c r="AL378" i="17" s="1"/>
  <c r="Z378" i="17" s="1"/>
  <c r="AS378" i="17" s="1"/>
  <c r="AJ378" i="17"/>
  <c r="AI378" i="17"/>
  <c r="AH378" i="17"/>
  <c r="AG378" i="17"/>
  <c r="AF378" i="17"/>
  <c r="AE378" i="17"/>
  <c r="B378" i="17"/>
  <c r="A378" i="17"/>
  <c r="AR377" i="17"/>
  <c r="AQ377" i="17"/>
  <c r="AP377" i="17"/>
  <c r="AO377" i="17"/>
  <c r="AN377" i="17"/>
  <c r="AM377" i="17"/>
  <c r="AK377" i="17"/>
  <c r="AJ377" i="17"/>
  <c r="AI377" i="17"/>
  <c r="AH377" i="17"/>
  <c r="AG377" i="17"/>
  <c r="AF377" i="17"/>
  <c r="AL377" i="17" s="1"/>
  <c r="AE377" i="17"/>
  <c r="B377" i="17"/>
  <c r="A377" i="17"/>
  <c r="AR376" i="17"/>
  <c r="AQ376" i="17"/>
  <c r="AP376" i="17"/>
  <c r="AO376" i="17"/>
  <c r="AN376" i="17"/>
  <c r="AM376" i="17"/>
  <c r="AK376" i="17"/>
  <c r="AL376" i="17" s="1"/>
  <c r="Z376" i="17" s="1"/>
  <c r="AS376" i="17" s="1"/>
  <c r="AJ376" i="17"/>
  <c r="AI376" i="17"/>
  <c r="AH376" i="17"/>
  <c r="AG376" i="17"/>
  <c r="AF376" i="17"/>
  <c r="AE376" i="17"/>
  <c r="B376" i="17"/>
  <c r="A376" i="17"/>
  <c r="AR375" i="17"/>
  <c r="AQ375" i="17"/>
  <c r="AP375" i="17"/>
  <c r="AO375" i="17"/>
  <c r="AN375" i="17"/>
  <c r="AM375" i="17"/>
  <c r="AK375" i="17"/>
  <c r="AJ375" i="17"/>
  <c r="AI375" i="17"/>
  <c r="AH375" i="17"/>
  <c r="AG375" i="17"/>
  <c r="AF375" i="17"/>
  <c r="AL375" i="17" s="1"/>
  <c r="Z375" i="17" s="1"/>
  <c r="AS375" i="17" s="1"/>
  <c r="AE375" i="17"/>
  <c r="B375" i="17"/>
  <c r="A375" i="17"/>
  <c r="AR374" i="17"/>
  <c r="AQ374" i="17"/>
  <c r="AP374" i="17"/>
  <c r="AO374" i="17"/>
  <c r="AN374" i="17"/>
  <c r="AM374" i="17"/>
  <c r="AK374" i="17"/>
  <c r="AL374" i="17" s="1"/>
  <c r="Z374" i="17" s="1"/>
  <c r="AS374" i="17" s="1"/>
  <c r="AJ374" i="17"/>
  <c r="AI374" i="17"/>
  <c r="AH374" i="17"/>
  <c r="AG374" i="17"/>
  <c r="AF374" i="17"/>
  <c r="AE374" i="17"/>
  <c r="B374" i="17"/>
  <c r="A374" i="17"/>
  <c r="AR373" i="17"/>
  <c r="AQ373" i="17"/>
  <c r="AP373" i="17"/>
  <c r="AO373" i="17"/>
  <c r="AN373" i="17"/>
  <c r="AM373" i="17"/>
  <c r="AK373" i="17"/>
  <c r="AJ373" i="17"/>
  <c r="AI373" i="17"/>
  <c r="AH373" i="17"/>
  <c r="AG373" i="17"/>
  <c r="AF373" i="17"/>
  <c r="AL373" i="17" s="1"/>
  <c r="AE373" i="17"/>
  <c r="B373" i="17"/>
  <c r="A373" i="17"/>
  <c r="AR372" i="17"/>
  <c r="AQ372" i="17"/>
  <c r="AP372" i="17"/>
  <c r="AO372" i="17"/>
  <c r="AN372" i="17"/>
  <c r="AM372" i="17"/>
  <c r="AL372" i="17"/>
  <c r="Z372" i="17" s="1"/>
  <c r="AS372" i="17" s="1"/>
  <c r="AK372" i="17"/>
  <c r="AJ372" i="17"/>
  <c r="AI372" i="17"/>
  <c r="AH372" i="17"/>
  <c r="AG372" i="17"/>
  <c r="AF372" i="17"/>
  <c r="AE372" i="17"/>
  <c r="B372" i="17"/>
  <c r="A372" i="17"/>
  <c r="AR371" i="17"/>
  <c r="AQ371" i="17"/>
  <c r="AP371" i="17"/>
  <c r="AO371" i="17"/>
  <c r="AN371" i="17"/>
  <c r="AM371" i="17"/>
  <c r="AK371" i="17"/>
  <c r="AJ371" i="17"/>
  <c r="AI371" i="17"/>
  <c r="AH371" i="17"/>
  <c r="AG371" i="17"/>
  <c r="AF371" i="17"/>
  <c r="AL371" i="17" s="1"/>
  <c r="Z371" i="17" s="1"/>
  <c r="AS371" i="17" s="1"/>
  <c r="AE371" i="17"/>
  <c r="B371" i="17"/>
  <c r="A371" i="17"/>
  <c r="AR370" i="17"/>
  <c r="AQ370" i="17"/>
  <c r="AP370" i="17"/>
  <c r="AO370" i="17"/>
  <c r="AN370" i="17"/>
  <c r="AM370" i="17"/>
  <c r="AL370" i="17"/>
  <c r="Z370" i="17" s="1"/>
  <c r="AS370" i="17" s="1"/>
  <c r="AK370" i="17"/>
  <c r="AJ370" i="17"/>
  <c r="AI370" i="17"/>
  <c r="AH370" i="17"/>
  <c r="AG370" i="17"/>
  <c r="AF370" i="17"/>
  <c r="AE370" i="17"/>
  <c r="B370" i="17"/>
  <c r="A370" i="17"/>
  <c r="AR369" i="17"/>
  <c r="AQ369" i="17"/>
  <c r="AP369" i="17"/>
  <c r="AO369" i="17"/>
  <c r="AN369" i="17"/>
  <c r="AM369" i="17"/>
  <c r="AK369" i="17"/>
  <c r="AJ369" i="17"/>
  <c r="AI369" i="17"/>
  <c r="AH369" i="17"/>
  <c r="AG369" i="17"/>
  <c r="AF369" i="17"/>
  <c r="AL369" i="17" s="1"/>
  <c r="AE369" i="17"/>
  <c r="B369" i="17"/>
  <c r="A369" i="17"/>
  <c r="AE368" i="17"/>
  <c r="B368" i="17"/>
  <c r="A368" i="17"/>
  <c r="AE367" i="17"/>
  <c r="B367" i="17"/>
  <c r="A367" i="17"/>
  <c r="AR366" i="17"/>
  <c r="AQ366" i="17"/>
  <c r="AP366" i="17"/>
  <c r="AO366" i="17"/>
  <c r="AN366" i="17"/>
  <c r="AM366" i="17"/>
  <c r="AK366" i="17"/>
  <c r="AL366" i="17" s="1"/>
  <c r="Z366" i="17" s="1"/>
  <c r="AS366" i="17" s="1"/>
  <c r="AJ366" i="17"/>
  <c r="AI366" i="17"/>
  <c r="AH366" i="17"/>
  <c r="AG366" i="17"/>
  <c r="AF366" i="17"/>
  <c r="AE366" i="17"/>
  <c r="B366" i="17"/>
  <c r="A366" i="17"/>
  <c r="AR365" i="17"/>
  <c r="AQ365" i="17"/>
  <c r="AP365" i="17"/>
  <c r="AO365" i="17"/>
  <c r="AN365" i="17"/>
  <c r="AM365" i="17"/>
  <c r="AK365" i="17"/>
  <c r="AJ365" i="17"/>
  <c r="AI365" i="17"/>
  <c r="AH365" i="17"/>
  <c r="AG365" i="17"/>
  <c r="AF365" i="17"/>
  <c r="AL365" i="17" s="1"/>
  <c r="AE365" i="17"/>
  <c r="B365" i="17"/>
  <c r="A365" i="17"/>
  <c r="AR364" i="17"/>
  <c r="AQ364" i="17"/>
  <c r="AP364" i="17"/>
  <c r="AO364" i="17"/>
  <c r="AN364" i="17"/>
  <c r="AM364" i="17"/>
  <c r="AK364" i="17"/>
  <c r="AL364" i="17" s="1"/>
  <c r="Z364" i="17" s="1"/>
  <c r="AS364" i="17" s="1"/>
  <c r="AJ364" i="17"/>
  <c r="AI364" i="17"/>
  <c r="AH364" i="17"/>
  <c r="AG364" i="17"/>
  <c r="AF364" i="17"/>
  <c r="AE364" i="17"/>
  <c r="B364" i="17"/>
  <c r="A364" i="17"/>
  <c r="AR363" i="17"/>
  <c r="AQ363" i="17"/>
  <c r="AP363" i="17"/>
  <c r="AO363" i="17"/>
  <c r="AN363" i="17"/>
  <c r="AM363" i="17"/>
  <c r="AK363" i="17"/>
  <c r="AJ363" i="17"/>
  <c r="AI363" i="17"/>
  <c r="AH363" i="17"/>
  <c r="AG363" i="17"/>
  <c r="AF363" i="17"/>
  <c r="AL363" i="17" s="1"/>
  <c r="AE363" i="17"/>
  <c r="B363" i="17"/>
  <c r="A363" i="17"/>
  <c r="AR362" i="17"/>
  <c r="AQ362" i="17"/>
  <c r="AP362" i="17"/>
  <c r="AO362" i="17"/>
  <c r="AE362" i="17"/>
  <c r="B362" i="17"/>
  <c r="A362" i="17"/>
  <c r="AR361" i="17"/>
  <c r="AQ361" i="17"/>
  <c r="AP361" i="17"/>
  <c r="AO361" i="17"/>
  <c r="AN361" i="17"/>
  <c r="AM361" i="17"/>
  <c r="AK361" i="17"/>
  <c r="AJ361" i="17"/>
  <c r="AI361" i="17"/>
  <c r="AH361" i="17"/>
  <c r="AG361" i="17"/>
  <c r="AF361" i="17"/>
  <c r="AL361" i="17" s="1"/>
  <c r="AE361" i="17"/>
  <c r="B361" i="17"/>
  <c r="A361" i="17"/>
  <c r="AR360" i="17"/>
  <c r="AQ360" i="17"/>
  <c r="AP360" i="17"/>
  <c r="AO360" i="17"/>
  <c r="AN360" i="17"/>
  <c r="AM360" i="17"/>
  <c r="AK360" i="17"/>
  <c r="AL360" i="17" s="1"/>
  <c r="Z360" i="17" s="1"/>
  <c r="AS360" i="17" s="1"/>
  <c r="AJ360" i="17"/>
  <c r="AI360" i="17"/>
  <c r="AH360" i="17"/>
  <c r="AG360" i="17"/>
  <c r="AF360" i="17"/>
  <c r="AE360" i="17"/>
  <c r="B360" i="17"/>
  <c r="A360" i="17"/>
  <c r="AR359" i="17"/>
  <c r="AQ359" i="17"/>
  <c r="AP359" i="17"/>
  <c r="AO359" i="17"/>
  <c r="AN359" i="17"/>
  <c r="AM359" i="17"/>
  <c r="AK359" i="17"/>
  <c r="AJ359" i="17"/>
  <c r="AI359" i="17"/>
  <c r="AH359" i="17"/>
  <c r="AG359" i="17"/>
  <c r="AF359" i="17"/>
  <c r="AL359" i="17" s="1"/>
  <c r="AE359" i="17"/>
  <c r="B359" i="17"/>
  <c r="A359" i="17"/>
  <c r="AR358" i="17"/>
  <c r="AQ358" i="17"/>
  <c r="AP358" i="17"/>
  <c r="AO358" i="17"/>
  <c r="AN358" i="17"/>
  <c r="AM358" i="17"/>
  <c r="AK358" i="17"/>
  <c r="AL358" i="17" s="1"/>
  <c r="Z358" i="17" s="1"/>
  <c r="AS358" i="17" s="1"/>
  <c r="AJ358" i="17"/>
  <c r="AI358" i="17"/>
  <c r="AH358" i="17"/>
  <c r="AG358" i="17"/>
  <c r="AF358" i="17"/>
  <c r="AE358" i="17"/>
  <c r="B358" i="17"/>
  <c r="A358" i="17"/>
  <c r="AR357" i="17"/>
  <c r="AQ357" i="17"/>
  <c r="AP357" i="17"/>
  <c r="AO357" i="17"/>
  <c r="AN357" i="17"/>
  <c r="AM357" i="17"/>
  <c r="AK357" i="17"/>
  <c r="AJ357" i="17"/>
  <c r="AI357" i="17"/>
  <c r="AH357" i="17"/>
  <c r="AG357" i="17"/>
  <c r="AF357" i="17"/>
  <c r="AL357" i="17" s="1"/>
  <c r="Z357" i="17" s="1"/>
  <c r="AS357" i="17" s="1"/>
  <c r="AE357" i="17"/>
  <c r="B357" i="17"/>
  <c r="A357" i="17"/>
  <c r="AR356" i="17"/>
  <c r="AQ356" i="17"/>
  <c r="AP356" i="17"/>
  <c r="AO356" i="17"/>
  <c r="AN356" i="17"/>
  <c r="AM356" i="17"/>
  <c r="AK356" i="17"/>
  <c r="AL356" i="17" s="1"/>
  <c r="Z356" i="17" s="1"/>
  <c r="AS356" i="17" s="1"/>
  <c r="AJ356" i="17"/>
  <c r="AI356" i="17"/>
  <c r="AH356" i="17"/>
  <c r="AG356" i="17"/>
  <c r="AF356" i="17"/>
  <c r="AE356" i="17"/>
  <c r="B356" i="17"/>
  <c r="A356" i="17"/>
  <c r="AR355" i="17"/>
  <c r="AQ355" i="17"/>
  <c r="AP355" i="17"/>
  <c r="AO355" i="17"/>
  <c r="AN355" i="17"/>
  <c r="AM355" i="17"/>
  <c r="AK355" i="17"/>
  <c r="AJ355" i="17"/>
  <c r="AI355" i="17"/>
  <c r="AH355" i="17"/>
  <c r="AG355" i="17"/>
  <c r="AF355" i="17"/>
  <c r="AL355" i="17" s="1"/>
  <c r="AE355" i="17"/>
  <c r="B355" i="17"/>
  <c r="A355" i="17"/>
  <c r="AR354" i="17"/>
  <c r="AQ354" i="17"/>
  <c r="AP354" i="17"/>
  <c r="AO354" i="17"/>
  <c r="AN354" i="17"/>
  <c r="AM354" i="17"/>
  <c r="AL354" i="17"/>
  <c r="Z354" i="17" s="1"/>
  <c r="AS354" i="17" s="1"/>
  <c r="AK354" i="17"/>
  <c r="AJ354" i="17"/>
  <c r="AI354" i="17"/>
  <c r="AH354" i="17"/>
  <c r="AG354" i="17"/>
  <c r="AF354" i="17"/>
  <c r="AE354" i="17"/>
  <c r="B354" i="17"/>
  <c r="A354" i="17"/>
  <c r="AR353" i="17"/>
  <c r="AQ353" i="17"/>
  <c r="AP353" i="17"/>
  <c r="AO353" i="17"/>
  <c r="AN353" i="17"/>
  <c r="AM353" i="17"/>
  <c r="AK353" i="17"/>
  <c r="AJ353" i="17"/>
  <c r="AI353" i="17"/>
  <c r="AH353" i="17"/>
  <c r="AG353" i="17"/>
  <c r="AF353" i="17"/>
  <c r="AL353" i="17" s="1"/>
  <c r="Z353" i="17" s="1"/>
  <c r="AS353" i="17" s="1"/>
  <c r="AE353" i="17"/>
  <c r="B353" i="17"/>
  <c r="A353" i="17"/>
  <c r="AR352" i="17"/>
  <c r="AQ352" i="17"/>
  <c r="AP352" i="17"/>
  <c r="AO352" i="17"/>
  <c r="AN352" i="17"/>
  <c r="AM352" i="17"/>
  <c r="AL352" i="17"/>
  <c r="Z352" i="17" s="1"/>
  <c r="AS352" i="17" s="1"/>
  <c r="AK352" i="17"/>
  <c r="AJ352" i="17"/>
  <c r="AI352" i="17"/>
  <c r="AH352" i="17"/>
  <c r="AG352" i="17"/>
  <c r="AF352" i="17"/>
  <c r="AE352" i="17"/>
  <c r="B352" i="17"/>
  <c r="A352" i="17"/>
  <c r="AR351" i="17"/>
  <c r="AQ351" i="17"/>
  <c r="AP351" i="17"/>
  <c r="AO351" i="17"/>
  <c r="AN351" i="17"/>
  <c r="AM351" i="17"/>
  <c r="AK351" i="17"/>
  <c r="AJ351" i="17"/>
  <c r="AI351" i="17"/>
  <c r="AH351" i="17"/>
  <c r="AG351" i="17"/>
  <c r="AF351" i="17"/>
  <c r="AL351" i="17" s="1"/>
  <c r="AE351" i="17"/>
  <c r="B351" i="17"/>
  <c r="A351" i="17"/>
  <c r="AR350" i="17"/>
  <c r="AQ350" i="17"/>
  <c r="AP350" i="17"/>
  <c r="AO350" i="17"/>
  <c r="AN350" i="17"/>
  <c r="AM350" i="17"/>
  <c r="AL350" i="17"/>
  <c r="Z350" i="17" s="1"/>
  <c r="AS350" i="17" s="1"/>
  <c r="AK350" i="17"/>
  <c r="AJ350" i="17"/>
  <c r="AI350" i="17"/>
  <c r="AH350" i="17"/>
  <c r="AG350" i="17"/>
  <c r="AF350" i="17"/>
  <c r="AE350" i="17"/>
  <c r="B350" i="17"/>
  <c r="A350" i="17"/>
  <c r="AR349" i="17"/>
  <c r="AQ349" i="17"/>
  <c r="AP349" i="17"/>
  <c r="AO349" i="17"/>
  <c r="AN349" i="17"/>
  <c r="AM349" i="17"/>
  <c r="AK349" i="17"/>
  <c r="AJ349" i="17"/>
  <c r="AI349" i="17"/>
  <c r="AH349" i="17"/>
  <c r="AG349" i="17"/>
  <c r="AF349" i="17"/>
  <c r="AL349" i="17" s="1"/>
  <c r="Z349" i="17" s="1"/>
  <c r="AS349" i="17" s="1"/>
  <c r="AE349" i="17"/>
  <c r="B349" i="17"/>
  <c r="A349" i="17"/>
  <c r="AR348" i="17"/>
  <c r="AQ348" i="17"/>
  <c r="AP348" i="17"/>
  <c r="AO348" i="17"/>
  <c r="AN348" i="17"/>
  <c r="AM348" i="17"/>
  <c r="AL348" i="17"/>
  <c r="Z348" i="17" s="1"/>
  <c r="AS348" i="17" s="1"/>
  <c r="AK348" i="17"/>
  <c r="AJ348" i="17"/>
  <c r="AI348" i="17"/>
  <c r="AH348" i="17"/>
  <c r="AG348" i="17"/>
  <c r="AF348" i="17"/>
  <c r="AE348" i="17"/>
  <c r="B348" i="17"/>
  <c r="A348" i="17"/>
  <c r="AR347" i="17"/>
  <c r="AQ347" i="17"/>
  <c r="AP347" i="17"/>
  <c r="AO347" i="17"/>
  <c r="AN347" i="17"/>
  <c r="AM347" i="17"/>
  <c r="AK347" i="17"/>
  <c r="AJ347" i="17"/>
  <c r="AI347" i="17"/>
  <c r="AH347" i="17"/>
  <c r="AG347" i="17"/>
  <c r="AF347" i="17"/>
  <c r="AL347" i="17" s="1"/>
  <c r="Z347" i="17" s="1"/>
  <c r="AS347" i="17" s="1"/>
  <c r="AE347" i="17"/>
  <c r="B347" i="17"/>
  <c r="A347" i="17"/>
  <c r="AR346" i="17"/>
  <c r="AQ346" i="17"/>
  <c r="AP346" i="17"/>
  <c r="AO346" i="17"/>
  <c r="AN346" i="17"/>
  <c r="AM346" i="17"/>
  <c r="AL346" i="17"/>
  <c r="Z346" i="17" s="1"/>
  <c r="AS346" i="17" s="1"/>
  <c r="AK346" i="17"/>
  <c r="AJ346" i="17"/>
  <c r="AI346" i="17"/>
  <c r="AH346" i="17"/>
  <c r="AG346" i="17"/>
  <c r="AF346" i="17"/>
  <c r="AE346" i="17"/>
  <c r="B346" i="17"/>
  <c r="A346" i="17"/>
  <c r="AR345" i="17"/>
  <c r="AQ345" i="17"/>
  <c r="AP345" i="17"/>
  <c r="AO345" i="17"/>
  <c r="AN345" i="17"/>
  <c r="AM345" i="17"/>
  <c r="AK345" i="17"/>
  <c r="AJ345" i="17"/>
  <c r="AI345" i="17"/>
  <c r="AH345" i="17"/>
  <c r="AG345" i="17"/>
  <c r="AF345" i="17"/>
  <c r="AL345" i="17" s="1"/>
  <c r="AE345" i="17"/>
  <c r="B345" i="17"/>
  <c r="A345" i="17"/>
  <c r="AR344" i="17"/>
  <c r="AQ344" i="17"/>
  <c r="AP344" i="17"/>
  <c r="AE344" i="17"/>
  <c r="B344" i="17"/>
  <c r="A344" i="17"/>
  <c r="AR343" i="17"/>
  <c r="AQ343" i="17"/>
  <c r="AP343" i="17"/>
  <c r="AE343" i="17"/>
  <c r="B343" i="17"/>
  <c r="A343" i="17"/>
  <c r="AR342" i="17"/>
  <c r="AQ342" i="17"/>
  <c r="AP342" i="17"/>
  <c r="AO342" i="17"/>
  <c r="AN342" i="17"/>
  <c r="AM342" i="17"/>
  <c r="AL342" i="17"/>
  <c r="Z342" i="17" s="1"/>
  <c r="AS342" i="17" s="1"/>
  <c r="AK342" i="17"/>
  <c r="AJ342" i="17"/>
  <c r="AI342" i="17"/>
  <c r="AH342" i="17"/>
  <c r="AG342" i="17"/>
  <c r="AF342" i="17"/>
  <c r="AE342" i="17"/>
  <c r="B342" i="17"/>
  <c r="A342" i="17"/>
  <c r="AR341" i="17"/>
  <c r="AQ341" i="17"/>
  <c r="AP341" i="17"/>
  <c r="AE341" i="17"/>
  <c r="B341" i="17"/>
  <c r="A341" i="17"/>
  <c r="AR340" i="17"/>
  <c r="AQ340" i="17"/>
  <c r="AP340" i="17"/>
  <c r="AE340" i="17"/>
  <c r="B340" i="17"/>
  <c r="A340" i="17"/>
  <c r="AR339" i="17"/>
  <c r="AQ339" i="17"/>
  <c r="AP339" i="17"/>
  <c r="AO339" i="17"/>
  <c r="AN339" i="17"/>
  <c r="AM339" i="17"/>
  <c r="AK339" i="17"/>
  <c r="AJ339" i="17"/>
  <c r="AI339" i="17"/>
  <c r="AH339" i="17"/>
  <c r="AG339" i="17"/>
  <c r="AF339" i="17"/>
  <c r="AL339" i="17" s="1"/>
  <c r="AE339" i="17"/>
  <c r="B339" i="17"/>
  <c r="A339" i="17"/>
  <c r="AR338" i="17"/>
  <c r="AQ338" i="17"/>
  <c r="AP338" i="17"/>
  <c r="AO338" i="17"/>
  <c r="AE338" i="17"/>
  <c r="B338" i="17"/>
  <c r="A338" i="17"/>
  <c r="AR337" i="17"/>
  <c r="AQ337" i="17"/>
  <c r="AM337" i="17"/>
  <c r="AK337" i="17"/>
  <c r="AJ337" i="17"/>
  <c r="AI337" i="17"/>
  <c r="AH337" i="17"/>
  <c r="AG337" i="17"/>
  <c r="AF337" i="17"/>
  <c r="AL337" i="17" s="1"/>
  <c r="AE337" i="17"/>
  <c r="B337" i="17"/>
  <c r="A337" i="17"/>
  <c r="AR336" i="17"/>
  <c r="AQ336" i="17"/>
  <c r="AP336" i="17"/>
  <c r="AO336" i="17"/>
  <c r="AN336" i="17"/>
  <c r="AM336" i="17"/>
  <c r="AL336" i="17"/>
  <c r="Z336" i="17" s="1"/>
  <c r="AS336" i="17" s="1"/>
  <c r="AK336" i="17"/>
  <c r="AJ336" i="17"/>
  <c r="AI336" i="17"/>
  <c r="AH336" i="17"/>
  <c r="AG336" i="17"/>
  <c r="AF336" i="17"/>
  <c r="AE336" i="17"/>
  <c r="B336" i="17"/>
  <c r="A336" i="17"/>
  <c r="AR335" i="17"/>
  <c r="AQ335" i="17"/>
  <c r="AP335" i="17"/>
  <c r="AO335" i="17"/>
  <c r="AE335" i="17"/>
  <c r="B335" i="17"/>
  <c r="A335" i="17"/>
  <c r="AR334" i="17"/>
  <c r="AQ334" i="17"/>
  <c r="AP334" i="17"/>
  <c r="AO334" i="17"/>
  <c r="AN334" i="17"/>
  <c r="AM334" i="17"/>
  <c r="AL334" i="17"/>
  <c r="Z334" i="17" s="1"/>
  <c r="AS334" i="17" s="1"/>
  <c r="AK334" i="17"/>
  <c r="AJ334" i="17"/>
  <c r="AI334" i="17"/>
  <c r="AH334" i="17"/>
  <c r="AG334" i="17"/>
  <c r="AF334" i="17"/>
  <c r="AE334" i="17"/>
  <c r="B334" i="17"/>
  <c r="A334" i="17"/>
  <c r="AR333" i="17"/>
  <c r="AQ333" i="17"/>
  <c r="AM333" i="17"/>
  <c r="AK333" i="17"/>
  <c r="AJ333" i="17"/>
  <c r="AI333" i="17"/>
  <c r="AH333" i="17"/>
  <c r="AG333" i="17"/>
  <c r="AF333" i="17"/>
  <c r="AL333" i="17" s="1"/>
  <c r="AE333" i="17"/>
  <c r="B333" i="17"/>
  <c r="A333" i="17"/>
  <c r="AR332" i="17"/>
  <c r="AQ332" i="17"/>
  <c r="AP332" i="17"/>
  <c r="AO332" i="17"/>
  <c r="AN332" i="17"/>
  <c r="AM332" i="17"/>
  <c r="AK332" i="17"/>
  <c r="AL332" i="17" s="1"/>
  <c r="Z332" i="17" s="1"/>
  <c r="AS332" i="17" s="1"/>
  <c r="AJ332" i="17"/>
  <c r="AI332" i="17"/>
  <c r="AH332" i="17"/>
  <c r="AG332" i="17"/>
  <c r="AF332" i="17"/>
  <c r="AE332" i="17"/>
  <c r="B332" i="17"/>
  <c r="A332" i="17"/>
  <c r="AR331" i="17"/>
  <c r="AQ331" i="17"/>
  <c r="AM331" i="17"/>
  <c r="AK331" i="17"/>
  <c r="AJ331" i="17"/>
  <c r="AI331" i="17"/>
  <c r="AH331" i="17"/>
  <c r="AG331" i="17"/>
  <c r="AF331" i="17"/>
  <c r="AL331" i="17" s="1"/>
  <c r="AE331" i="17"/>
  <c r="B331" i="17"/>
  <c r="A331" i="17"/>
  <c r="AR330" i="17"/>
  <c r="AQ330" i="17"/>
  <c r="AP330" i="17"/>
  <c r="AO330" i="17"/>
  <c r="AN330" i="17"/>
  <c r="AM330" i="17"/>
  <c r="AK330" i="17"/>
  <c r="AL330" i="17" s="1"/>
  <c r="Z330" i="17" s="1"/>
  <c r="AS330" i="17" s="1"/>
  <c r="AJ330" i="17"/>
  <c r="AI330" i="17"/>
  <c r="AH330" i="17"/>
  <c r="AG330" i="17"/>
  <c r="AF330" i="17"/>
  <c r="AE330" i="17"/>
  <c r="B330" i="17"/>
  <c r="A330" i="17"/>
  <c r="AR329" i="17"/>
  <c r="AQ329" i="17"/>
  <c r="AP329" i="17"/>
  <c r="AO329" i="17"/>
  <c r="AN329" i="17"/>
  <c r="AM329" i="17"/>
  <c r="AK329" i="17"/>
  <c r="AJ329" i="17"/>
  <c r="AI329" i="17"/>
  <c r="AH329" i="17"/>
  <c r="AG329" i="17"/>
  <c r="AF329" i="17"/>
  <c r="AL329" i="17" s="1"/>
  <c r="AE329" i="17"/>
  <c r="B329" i="17"/>
  <c r="A329" i="17"/>
  <c r="AR328" i="17"/>
  <c r="AQ328" i="17"/>
  <c r="AP328" i="17"/>
  <c r="AO328" i="17"/>
  <c r="AN328" i="17"/>
  <c r="AM328" i="17"/>
  <c r="AL328" i="17"/>
  <c r="Z328" i="17" s="1"/>
  <c r="AS328" i="17" s="1"/>
  <c r="AK328" i="17"/>
  <c r="AJ328" i="17"/>
  <c r="AI328" i="17"/>
  <c r="AH328" i="17"/>
  <c r="AG328" i="17"/>
  <c r="AF328" i="17"/>
  <c r="AE328" i="17"/>
  <c r="B328" i="17"/>
  <c r="A328" i="17"/>
  <c r="AR327" i="17"/>
  <c r="AQ327" i="17"/>
  <c r="AP327" i="17"/>
  <c r="AE327" i="17"/>
  <c r="B327" i="17"/>
  <c r="A327" i="17"/>
  <c r="AR326" i="17"/>
  <c r="AQ326" i="17"/>
  <c r="AE326" i="17"/>
  <c r="B326" i="17"/>
  <c r="A326" i="17"/>
  <c r="AR325" i="17"/>
  <c r="AQ325" i="17"/>
  <c r="AP325" i="17"/>
  <c r="AE325" i="17"/>
  <c r="B325" i="17"/>
  <c r="A325" i="17"/>
  <c r="AR324" i="17"/>
  <c r="AQ324" i="17"/>
  <c r="AP324" i="17"/>
  <c r="AO324" i="17"/>
  <c r="AN324" i="17"/>
  <c r="AM324" i="17"/>
  <c r="AK324" i="17"/>
  <c r="AL324" i="17" s="1"/>
  <c r="Z324" i="17" s="1"/>
  <c r="AS324" i="17" s="1"/>
  <c r="AJ324" i="17"/>
  <c r="AI324" i="17"/>
  <c r="AH324" i="17"/>
  <c r="AG324" i="17"/>
  <c r="AF324" i="17"/>
  <c r="AE324" i="17"/>
  <c r="B324" i="17"/>
  <c r="A324" i="17"/>
  <c r="AR323" i="17"/>
  <c r="AQ323" i="17"/>
  <c r="AP323" i="17"/>
  <c r="AO323" i="17"/>
  <c r="AN323" i="17"/>
  <c r="AM323" i="17"/>
  <c r="AK323" i="17"/>
  <c r="AJ323" i="17"/>
  <c r="AI323" i="17"/>
  <c r="AH323" i="17"/>
  <c r="AG323" i="17"/>
  <c r="AF323" i="17"/>
  <c r="AL323" i="17" s="1"/>
  <c r="AE323" i="17"/>
  <c r="B323" i="17"/>
  <c r="A323" i="17"/>
  <c r="AR322" i="17"/>
  <c r="AQ322" i="17"/>
  <c r="AP322" i="17"/>
  <c r="AE322" i="17"/>
  <c r="B322" i="17"/>
  <c r="A322" i="17"/>
  <c r="AR321" i="17"/>
  <c r="AQ321" i="17"/>
  <c r="AM321" i="17"/>
  <c r="AK321" i="17"/>
  <c r="AJ321" i="17"/>
  <c r="AI321" i="17"/>
  <c r="AH321" i="17"/>
  <c r="AG321" i="17"/>
  <c r="AF321" i="17"/>
  <c r="AL321" i="17" s="1"/>
  <c r="AE321" i="17"/>
  <c r="B321" i="17"/>
  <c r="A321" i="17"/>
  <c r="AR320" i="17"/>
  <c r="AQ320" i="17"/>
  <c r="AP320" i="17"/>
  <c r="AO320" i="17"/>
  <c r="AN320" i="17"/>
  <c r="AM320" i="17"/>
  <c r="AL320" i="17"/>
  <c r="Z320" i="17" s="1"/>
  <c r="AS320" i="17" s="1"/>
  <c r="AK320" i="17"/>
  <c r="AJ320" i="17"/>
  <c r="AI320" i="17"/>
  <c r="AH320" i="17"/>
  <c r="AG320" i="17"/>
  <c r="AF320" i="17"/>
  <c r="AE320" i="17"/>
  <c r="B320" i="17"/>
  <c r="A320" i="17"/>
  <c r="AR319" i="17"/>
  <c r="AQ319" i="17"/>
  <c r="AP319" i="17"/>
  <c r="AE319" i="17"/>
  <c r="B319" i="17"/>
  <c r="A319" i="17"/>
  <c r="AR318" i="17"/>
  <c r="AQ318" i="17"/>
  <c r="AP318" i="17"/>
  <c r="AE318" i="17"/>
  <c r="B318" i="17"/>
  <c r="A318" i="17"/>
  <c r="AR317" i="17"/>
  <c r="AQ317" i="17"/>
  <c r="AP317" i="17"/>
  <c r="AO317" i="17"/>
  <c r="AE317" i="17"/>
  <c r="B317" i="17"/>
  <c r="A317" i="17"/>
  <c r="AR316" i="17"/>
  <c r="AQ316" i="17"/>
  <c r="AP316" i="17"/>
  <c r="AO316" i="17"/>
  <c r="AE316" i="17"/>
  <c r="B316" i="17"/>
  <c r="A316" i="17"/>
  <c r="AR315" i="17"/>
  <c r="AQ315" i="17"/>
  <c r="AP315" i="17"/>
  <c r="AO315" i="17"/>
  <c r="AE315" i="17"/>
  <c r="B315" i="17"/>
  <c r="A315" i="17"/>
  <c r="AR314" i="17"/>
  <c r="AQ314" i="17"/>
  <c r="AP314" i="17"/>
  <c r="AO314" i="17"/>
  <c r="AE314" i="17"/>
  <c r="B314" i="17"/>
  <c r="A314" i="17"/>
  <c r="AR313" i="17"/>
  <c r="AQ313" i="17"/>
  <c r="AP313" i="17"/>
  <c r="AO313" i="17"/>
  <c r="AE313" i="17"/>
  <c r="B313" i="17"/>
  <c r="A313" i="17"/>
  <c r="AR312" i="17"/>
  <c r="AQ312" i="17"/>
  <c r="AP312" i="17"/>
  <c r="AO312" i="17"/>
  <c r="AE312" i="17"/>
  <c r="B312" i="17"/>
  <c r="A312" i="17"/>
  <c r="AR311" i="17"/>
  <c r="AQ311" i="17"/>
  <c r="AP311" i="17"/>
  <c r="AO311" i="17"/>
  <c r="AE311" i="17"/>
  <c r="B311" i="17"/>
  <c r="A311" i="17"/>
  <c r="AR310" i="17"/>
  <c r="AQ310" i="17"/>
  <c r="AP310" i="17"/>
  <c r="AO310" i="17"/>
  <c r="AE310" i="17"/>
  <c r="B310" i="17"/>
  <c r="A310" i="17"/>
  <c r="AR309" i="17"/>
  <c r="AQ309" i="17"/>
  <c r="AP309" i="17"/>
  <c r="AO309" i="17"/>
  <c r="AE309" i="17"/>
  <c r="B309" i="17"/>
  <c r="A309" i="17"/>
  <c r="AR308" i="17"/>
  <c r="AQ308" i="17"/>
  <c r="AP308" i="17"/>
  <c r="AO308" i="17"/>
  <c r="AE308" i="17"/>
  <c r="B308" i="17"/>
  <c r="A308" i="17"/>
  <c r="AE307" i="17"/>
  <c r="B307" i="17"/>
  <c r="A307" i="17"/>
  <c r="AE306" i="17"/>
  <c r="B306" i="17"/>
  <c r="A306" i="17"/>
  <c r="AE305" i="17"/>
  <c r="B305" i="17"/>
  <c r="A305" i="17"/>
  <c r="AE304" i="17"/>
  <c r="B304" i="17"/>
  <c r="A304" i="17"/>
  <c r="AE303" i="17"/>
  <c r="B303" i="17"/>
  <c r="A303" i="17"/>
  <c r="AE302" i="17"/>
  <c r="B302" i="17"/>
  <c r="A302" i="17"/>
  <c r="AE301" i="17"/>
  <c r="B301" i="17"/>
  <c r="A301" i="17"/>
  <c r="AE300" i="17"/>
  <c r="B300" i="17"/>
  <c r="A300" i="17"/>
  <c r="AE299" i="17"/>
  <c r="B299" i="17"/>
  <c r="A299" i="17"/>
  <c r="AR298" i="17"/>
  <c r="AE298" i="17"/>
  <c r="B298" i="17"/>
  <c r="A298" i="17"/>
  <c r="AE297" i="17"/>
  <c r="B297" i="17"/>
  <c r="A297" i="17"/>
  <c r="AE296" i="17"/>
  <c r="B296" i="17"/>
  <c r="A296" i="17"/>
  <c r="AE295" i="17"/>
  <c r="B295" i="17"/>
  <c r="A295" i="17"/>
  <c r="AE294" i="17"/>
  <c r="B294" i="17"/>
  <c r="A294" i="17"/>
  <c r="AE293" i="17"/>
  <c r="B293" i="17"/>
  <c r="A293" i="17"/>
  <c r="AE292" i="17"/>
  <c r="B292" i="17"/>
  <c r="A292" i="17"/>
  <c r="AR291" i="17"/>
  <c r="AQ291" i="17"/>
  <c r="AE291" i="17"/>
  <c r="B291" i="17"/>
  <c r="A291" i="17"/>
  <c r="AE290" i="17"/>
  <c r="B290" i="17"/>
  <c r="A290" i="17"/>
  <c r="AE289" i="17"/>
  <c r="B289" i="17"/>
  <c r="A289" i="17"/>
  <c r="AE288" i="17"/>
  <c r="B288" i="17"/>
  <c r="A288" i="17"/>
  <c r="AE287" i="17"/>
  <c r="B287" i="17"/>
  <c r="A287" i="17"/>
  <c r="AE286" i="17"/>
  <c r="B286" i="17"/>
  <c r="A286" i="17"/>
  <c r="AE285" i="17"/>
  <c r="B285" i="17"/>
  <c r="A285" i="17"/>
  <c r="AE284" i="17"/>
  <c r="B284" i="17"/>
  <c r="A284" i="17"/>
  <c r="AE283" i="17"/>
  <c r="B283" i="17"/>
  <c r="A283" i="17"/>
  <c r="AE282" i="17"/>
  <c r="B282" i="17"/>
  <c r="A282" i="17"/>
  <c r="AE281" i="17"/>
  <c r="B281" i="17"/>
  <c r="A281" i="17"/>
  <c r="AE280" i="17"/>
  <c r="B280" i="17"/>
  <c r="A280" i="17"/>
  <c r="AE279" i="17"/>
  <c r="B279" i="17"/>
  <c r="A279" i="17"/>
  <c r="AE278" i="17"/>
  <c r="B278" i="17"/>
  <c r="A278" i="17"/>
  <c r="AR277" i="17"/>
  <c r="AE277" i="17"/>
  <c r="B277" i="17"/>
  <c r="A277" i="17"/>
  <c r="AE276" i="17"/>
  <c r="B276" i="17"/>
  <c r="A276" i="17"/>
  <c r="AE275" i="17"/>
  <c r="B275" i="17"/>
  <c r="A275" i="17"/>
  <c r="AE274" i="17"/>
  <c r="B274" i="17"/>
  <c r="A274" i="17"/>
  <c r="AE273" i="17"/>
  <c r="B273" i="17"/>
  <c r="A273" i="17"/>
  <c r="AE272" i="17"/>
  <c r="B272" i="17"/>
  <c r="A272" i="17"/>
  <c r="AE271" i="17"/>
  <c r="B271" i="17"/>
  <c r="A271" i="17"/>
  <c r="AE270" i="17"/>
  <c r="B270" i="17"/>
  <c r="A270" i="17"/>
  <c r="AE269" i="17"/>
  <c r="B269" i="17"/>
  <c r="A269" i="17"/>
  <c r="AE268" i="17"/>
  <c r="B268" i="17"/>
  <c r="A268" i="17"/>
  <c r="AR267" i="17"/>
  <c r="AQ267" i="17"/>
  <c r="AP267" i="17"/>
  <c r="AO267" i="17"/>
  <c r="AN267" i="17"/>
  <c r="AM267" i="17"/>
  <c r="AK267" i="17"/>
  <c r="AJ267" i="17"/>
  <c r="AI267" i="17"/>
  <c r="AH267" i="17"/>
  <c r="AG267" i="17"/>
  <c r="AF267" i="17"/>
  <c r="AL267" i="17" s="1"/>
  <c r="Z267" i="17" s="1"/>
  <c r="AS267" i="17" s="1"/>
  <c r="AE267" i="17"/>
  <c r="B267" i="17"/>
  <c r="A267" i="17"/>
  <c r="AR266" i="17"/>
  <c r="AQ266" i="17"/>
  <c r="AP266" i="17"/>
  <c r="AO266" i="17"/>
  <c r="AN266" i="17"/>
  <c r="AM266" i="17"/>
  <c r="AK266" i="17"/>
  <c r="AL266" i="17" s="1"/>
  <c r="Z266" i="17" s="1"/>
  <c r="AS266" i="17" s="1"/>
  <c r="AJ266" i="17"/>
  <c r="AI266" i="17"/>
  <c r="AH266" i="17"/>
  <c r="AG266" i="17"/>
  <c r="AF266" i="17"/>
  <c r="AE266" i="17"/>
  <c r="B266" i="17"/>
  <c r="A266" i="17"/>
  <c r="AR265" i="17"/>
  <c r="AQ265" i="17"/>
  <c r="AP265" i="17"/>
  <c r="AO265" i="17"/>
  <c r="AN265" i="17"/>
  <c r="AM265" i="17"/>
  <c r="AK265" i="17"/>
  <c r="AJ265" i="17"/>
  <c r="AI265" i="17"/>
  <c r="AH265" i="17"/>
  <c r="AG265" i="17"/>
  <c r="AF265" i="17"/>
  <c r="AL265" i="17" s="1"/>
  <c r="Z265" i="17" s="1"/>
  <c r="AS265" i="17" s="1"/>
  <c r="AE265" i="17"/>
  <c r="B265" i="17"/>
  <c r="A265" i="17"/>
  <c r="AE264" i="17"/>
  <c r="B264" i="17"/>
  <c r="A264" i="17"/>
  <c r="AE263" i="17"/>
  <c r="B263" i="17"/>
  <c r="A263" i="17"/>
  <c r="AR262" i="17"/>
  <c r="AQ262" i="17"/>
  <c r="AP262" i="17"/>
  <c r="AO262" i="17"/>
  <c r="AN262" i="17"/>
  <c r="AM262" i="17"/>
  <c r="AK262" i="17"/>
  <c r="AJ262" i="17"/>
  <c r="AI262" i="17"/>
  <c r="AH262" i="17"/>
  <c r="AG262" i="17"/>
  <c r="AF262" i="17"/>
  <c r="AL262" i="17" s="1"/>
  <c r="AE262" i="17"/>
  <c r="B262" i="17"/>
  <c r="A262" i="17"/>
  <c r="AR261" i="17"/>
  <c r="AQ261" i="17"/>
  <c r="AP261" i="17"/>
  <c r="AO261" i="17"/>
  <c r="AN261" i="17"/>
  <c r="AM261" i="17"/>
  <c r="AK261" i="17"/>
  <c r="AL261" i="17" s="1"/>
  <c r="Z261" i="17" s="1"/>
  <c r="AS261" i="17" s="1"/>
  <c r="AJ261" i="17"/>
  <c r="AI261" i="17"/>
  <c r="AH261" i="17"/>
  <c r="AG261" i="17"/>
  <c r="AF261" i="17"/>
  <c r="AE261" i="17"/>
  <c r="B261" i="17"/>
  <c r="A261" i="17"/>
  <c r="AE260" i="17"/>
  <c r="B260" i="17"/>
  <c r="A260" i="17"/>
  <c r="AE259" i="17"/>
  <c r="B259" i="17"/>
  <c r="A259" i="17"/>
  <c r="AR258" i="17"/>
  <c r="AQ258" i="17"/>
  <c r="AP258" i="17"/>
  <c r="AO258" i="17"/>
  <c r="AN258" i="17"/>
  <c r="AM258" i="17"/>
  <c r="AL258" i="17"/>
  <c r="Z258" i="17" s="1"/>
  <c r="AS258" i="17" s="1"/>
  <c r="AK258" i="17"/>
  <c r="AJ258" i="17"/>
  <c r="AI258" i="17"/>
  <c r="AH258" i="17"/>
  <c r="AG258" i="17"/>
  <c r="AF258" i="17"/>
  <c r="AE258" i="17"/>
  <c r="B258" i="17"/>
  <c r="A258" i="17"/>
  <c r="AR257" i="17"/>
  <c r="AQ257" i="17"/>
  <c r="AP257" i="17"/>
  <c r="AO257" i="17"/>
  <c r="AN257" i="17"/>
  <c r="AM257" i="17"/>
  <c r="AK257" i="17"/>
  <c r="AJ257" i="17"/>
  <c r="AI257" i="17"/>
  <c r="AH257" i="17"/>
  <c r="AG257" i="17"/>
  <c r="AF257" i="17"/>
  <c r="AL257" i="17" s="1"/>
  <c r="Z257" i="17" s="1"/>
  <c r="AS257" i="17" s="1"/>
  <c r="AE257" i="17"/>
  <c r="B257" i="17"/>
  <c r="A257" i="17"/>
  <c r="AE256" i="17"/>
  <c r="B256" i="17"/>
  <c r="A256" i="17"/>
  <c r="AR255" i="17"/>
  <c r="AQ255" i="17"/>
  <c r="AP255" i="17"/>
  <c r="AO255" i="17"/>
  <c r="AN255" i="17"/>
  <c r="AM255" i="17"/>
  <c r="AK255" i="17"/>
  <c r="AJ255" i="17"/>
  <c r="AI255" i="17"/>
  <c r="AH255" i="17"/>
  <c r="AG255" i="17"/>
  <c r="AF255" i="17"/>
  <c r="AL255" i="17" s="1"/>
  <c r="AE255" i="17"/>
  <c r="B255" i="17"/>
  <c r="A255" i="17"/>
  <c r="AR254" i="17"/>
  <c r="AQ254" i="17"/>
  <c r="AP254" i="17"/>
  <c r="AO254" i="17"/>
  <c r="AN254" i="17"/>
  <c r="AM254" i="17"/>
  <c r="AK254" i="17"/>
  <c r="AJ254" i="17"/>
  <c r="AI254" i="17"/>
  <c r="AH254" i="17"/>
  <c r="AG254" i="17"/>
  <c r="AL254" i="17" s="1"/>
  <c r="Z254" i="17" s="1"/>
  <c r="AS254" i="17" s="1"/>
  <c r="AF254" i="17"/>
  <c r="AE254" i="17"/>
  <c r="B254" i="17"/>
  <c r="A254" i="17"/>
  <c r="AE253" i="17"/>
  <c r="B253" i="17"/>
  <c r="A253" i="17"/>
  <c r="AE252" i="17"/>
  <c r="B252" i="17"/>
  <c r="A252" i="17"/>
  <c r="AR251" i="17"/>
  <c r="AQ251" i="17"/>
  <c r="AP251" i="17"/>
  <c r="AO251" i="17"/>
  <c r="AN251" i="17"/>
  <c r="AM251" i="17"/>
  <c r="AK251" i="17"/>
  <c r="AJ251" i="17"/>
  <c r="AI251" i="17"/>
  <c r="AL251" i="17" s="1"/>
  <c r="Z251" i="17" s="1"/>
  <c r="AS251" i="17" s="1"/>
  <c r="AH251" i="17"/>
  <c r="AG251" i="17"/>
  <c r="AF251" i="17"/>
  <c r="AE251" i="17"/>
  <c r="B251" i="17"/>
  <c r="A251" i="17"/>
  <c r="AR250" i="17"/>
  <c r="AQ250" i="17"/>
  <c r="AP250" i="17"/>
  <c r="AO250" i="17"/>
  <c r="AN250" i="17"/>
  <c r="AM250" i="17"/>
  <c r="AK250" i="17"/>
  <c r="AJ250" i="17"/>
  <c r="AI250" i="17"/>
  <c r="AH250" i="17"/>
  <c r="AG250" i="17"/>
  <c r="AF250" i="17"/>
  <c r="AL250" i="17" s="1"/>
  <c r="Z250" i="17" s="1"/>
  <c r="AS250" i="17" s="1"/>
  <c r="AE250" i="17"/>
  <c r="B250" i="17"/>
  <c r="A250" i="17"/>
  <c r="AE249" i="17"/>
  <c r="B249" i="17"/>
  <c r="A249" i="17"/>
  <c r="AE248" i="17"/>
  <c r="B248" i="17"/>
  <c r="A248" i="17"/>
  <c r="AR247" i="17"/>
  <c r="AQ247" i="17"/>
  <c r="AP247" i="17"/>
  <c r="AO247" i="17"/>
  <c r="AN247" i="17"/>
  <c r="AM247" i="17"/>
  <c r="AK247" i="17"/>
  <c r="AJ247" i="17"/>
  <c r="AI247" i="17"/>
  <c r="AH247" i="17"/>
  <c r="AG247" i="17"/>
  <c r="AF247" i="17"/>
  <c r="AL247" i="17" s="1"/>
  <c r="AE247" i="17"/>
  <c r="B247" i="17"/>
  <c r="A247" i="17"/>
  <c r="AR246" i="17"/>
  <c r="AQ246" i="17"/>
  <c r="AP246" i="17"/>
  <c r="AO246" i="17"/>
  <c r="AN246" i="17"/>
  <c r="AM246" i="17"/>
  <c r="AK246" i="17"/>
  <c r="AL246" i="17" s="1"/>
  <c r="Z246" i="17" s="1"/>
  <c r="AS246" i="17" s="1"/>
  <c r="AJ246" i="17"/>
  <c r="AI246" i="17"/>
  <c r="AH246" i="17"/>
  <c r="AG246" i="17"/>
  <c r="AF246" i="17"/>
  <c r="AE246" i="17"/>
  <c r="B246" i="17"/>
  <c r="A246" i="17"/>
  <c r="AE245" i="17"/>
  <c r="B245" i="17"/>
  <c r="A245" i="17"/>
  <c r="AE244" i="17"/>
  <c r="B244" i="17"/>
  <c r="A244" i="17"/>
  <c r="AR243" i="17"/>
  <c r="AQ243" i="17"/>
  <c r="AP243" i="17"/>
  <c r="AO243" i="17"/>
  <c r="AN243" i="17"/>
  <c r="AM243" i="17"/>
  <c r="AK243" i="17"/>
  <c r="AJ243" i="17"/>
  <c r="AI243" i="17"/>
  <c r="AH243" i="17"/>
  <c r="AG243" i="17"/>
  <c r="AF243" i="17"/>
  <c r="AL243" i="17" s="1"/>
  <c r="AE243" i="17"/>
  <c r="B243" i="17"/>
  <c r="A243" i="17"/>
  <c r="AR242" i="17"/>
  <c r="AQ242" i="17"/>
  <c r="AP242" i="17"/>
  <c r="AO242" i="17"/>
  <c r="AN242" i="17"/>
  <c r="AM242" i="17"/>
  <c r="AK242" i="17"/>
  <c r="AJ242" i="17"/>
  <c r="AI242" i="17"/>
  <c r="AH242" i="17"/>
  <c r="AG242" i="17"/>
  <c r="AL242" i="17" s="1"/>
  <c r="Z242" i="17" s="1"/>
  <c r="AS242" i="17" s="1"/>
  <c r="AF242" i="17"/>
  <c r="AE242" i="17"/>
  <c r="B242" i="17"/>
  <c r="A242" i="17"/>
  <c r="AE241" i="17"/>
  <c r="B241" i="17"/>
  <c r="A241" i="17"/>
  <c r="AE240" i="17"/>
  <c r="B240" i="17"/>
  <c r="A240" i="17"/>
  <c r="AR239" i="17"/>
  <c r="AQ239" i="17"/>
  <c r="AP239" i="17"/>
  <c r="AO239" i="17"/>
  <c r="AN239" i="17"/>
  <c r="AM239" i="17"/>
  <c r="AK239" i="17"/>
  <c r="AJ239" i="17"/>
  <c r="AL239" i="17" s="1"/>
  <c r="Z239" i="17" s="1"/>
  <c r="AS239" i="17" s="1"/>
  <c r="AI239" i="17"/>
  <c r="AH239" i="17"/>
  <c r="AG239" i="17"/>
  <c r="AF239" i="17"/>
  <c r="AE239" i="17"/>
  <c r="B239" i="17"/>
  <c r="A239" i="17"/>
  <c r="AR238" i="17"/>
  <c r="AQ238" i="17"/>
  <c r="AP238" i="17"/>
  <c r="AO238" i="17"/>
  <c r="AN238" i="17"/>
  <c r="AM238" i="17"/>
  <c r="AK238" i="17"/>
  <c r="AJ238" i="17"/>
  <c r="AI238" i="17"/>
  <c r="AH238" i="17"/>
  <c r="AG238" i="17"/>
  <c r="AF238" i="17"/>
  <c r="AL238" i="17" s="1"/>
  <c r="Z238" i="17" s="1"/>
  <c r="AS238" i="17" s="1"/>
  <c r="AE238" i="17"/>
  <c r="B238" i="17"/>
  <c r="A238" i="17"/>
  <c r="AE237" i="17"/>
  <c r="B237" i="17"/>
  <c r="A237" i="17"/>
  <c r="AR236" i="17"/>
  <c r="AQ236" i="17"/>
  <c r="AP236" i="17"/>
  <c r="AO236" i="17"/>
  <c r="AN236" i="17"/>
  <c r="AM236" i="17"/>
  <c r="AK236" i="17"/>
  <c r="AJ236" i="17"/>
  <c r="AI236" i="17"/>
  <c r="AH236" i="17"/>
  <c r="AG236" i="17"/>
  <c r="AF236" i="17"/>
  <c r="AL236" i="17" s="1"/>
  <c r="Z236" i="17" s="1"/>
  <c r="AS236" i="17" s="1"/>
  <c r="AE236" i="17"/>
  <c r="B236" i="17"/>
  <c r="A236" i="17"/>
  <c r="AR235" i="17"/>
  <c r="AQ235" i="17"/>
  <c r="AP235" i="17"/>
  <c r="AO235" i="17"/>
  <c r="AN235" i="17"/>
  <c r="AM235" i="17"/>
  <c r="AK235" i="17"/>
  <c r="AJ235" i="17"/>
  <c r="AL235" i="17" s="1"/>
  <c r="Z235" i="17" s="1"/>
  <c r="AS235" i="17" s="1"/>
  <c r="AI235" i="17"/>
  <c r="AH235" i="17"/>
  <c r="AG235" i="17"/>
  <c r="AF235" i="17"/>
  <c r="AE235" i="17"/>
  <c r="B235" i="17"/>
  <c r="A235" i="17"/>
  <c r="AR234" i="17"/>
  <c r="AQ234" i="17"/>
  <c r="AP234" i="17"/>
  <c r="AO234" i="17"/>
  <c r="AN234" i="17"/>
  <c r="AM234" i="17"/>
  <c r="AK234" i="17"/>
  <c r="AJ234" i="17"/>
  <c r="AI234" i="17"/>
  <c r="AH234" i="17"/>
  <c r="AG234" i="17"/>
  <c r="AF234" i="17"/>
  <c r="AL234" i="17" s="1"/>
  <c r="AE234" i="17"/>
  <c r="Z234" i="17"/>
  <c r="AS234" i="17" s="1"/>
  <c r="B234" i="17"/>
  <c r="A234" i="17"/>
  <c r="AE233" i="17"/>
  <c r="B233" i="17"/>
  <c r="A233" i="17"/>
  <c r="AE232" i="17"/>
  <c r="B232" i="17"/>
  <c r="A232" i="17"/>
  <c r="AR231" i="17"/>
  <c r="AQ231" i="17"/>
  <c r="AP231" i="17"/>
  <c r="AO231" i="17"/>
  <c r="AN231" i="17"/>
  <c r="AM231" i="17"/>
  <c r="AK231" i="17"/>
  <c r="AJ231" i="17"/>
  <c r="AL231" i="17" s="1"/>
  <c r="Z231" i="17" s="1"/>
  <c r="AS231" i="17" s="1"/>
  <c r="AI231" i="17"/>
  <c r="AH231" i="17"/>
  <c r="AG231" i="17"/>
  <c r="AF231" i="17"/>
  <c r="AE231" i="17"/>
  <c r="B231" i="17"/>
  <c r="A231" i="17"/>
  <c r="AR230" i="17"/>
  <c r="AQ230" i="17"/>
  <c r="AP230" i="17"/>
  <c r="AO230" i="17"/>
  <c r="AN230" i="17"/>
  <c r="AM230" i="17"/>
  <c r="AK230" i="17"/>
  <c r="AJ230" i="17"/>
  <c r="AI230" i="17"/>
  <c r="AH230" i="17"/>
  <c r="AG230" i="17"/>
  <c r="AF230" i="17"/>
  <c r="AL230" i="17" s="1"/>
  <c r="Z230" i="17" s="1"/>
  <c r="AS230" i="17" s="1"/>
  <c r="AE230" i="17"/>
  <c r="B230" i="17"/>
  <c r="A230" i="17"/>
  <c r="AE229" i="17"/>
  <c r="B229" i="17"/>
  <c r="A229" i="17"/>
  <c r="AE228" i="17"/>
  <c r="B228" i="17"/>
  <c r="A228" i="17"/>
  <c r="AR227" i="17"/>
  <c r="AQ227" i="17"/>
  <c r="AP227" i="17"/>
  <c r="AO227" i="17"/>
  <c r="AN227" i="17"/>
  <c r="AM227" i="17"/>
  <c r="AK227" i="17"/>
  <c r="AJ227" i="17"/>
  <c r="AL227" i="17" s="1"/>
  <c r="Z227" i="17" s="1"/>
  <c r="AS227" i="17" s="1"/>
  <c r="AI227" i="17"/>
  <c r="AH227" i="17"/>
  <c r="AG227" i="17"/>
  <c r="AF227" i="17"/>
  <c r="AE227" i="17"/>
  <c r="B227" i="17"/>
  <c r="A227" i="17"/>
  <c r="AE226" i="17"/>
  <c r="B226" i="17"/>
  <c r="A226" i="17"/>
  <c r="AE225" i="17"/>
  <c r="B225" i="17"/>
  <c r="A225" i="17"/>
  <c r="AR224" i="17"/>
  <c r="AQ224" i="17"/>
  <c r="AP224" i="17"/>
  <c r="AO224" i="17"/>
  <c r="AN224" i="17"/>
  <c r="AM224" i="17"/>
  <c r="AK224" i="17"/>
  <c r="AJ224" i="17"/>
  <c r="AI224" i="17"/>
  <c r="AH224" i="17"/>
  <c r="AG224" i="17"/>
  <c r="AF224" i="17"/>
  <c r="AL224" i="17" s="1"/>
  <c r="Z224" i="17" s="1"/>
  <c r="AS224" i="17" s="1"/>
  <c r="AE224" i="17"/>
  <c r="B224" i="17"/>
  <c r="A224" i="17"/>
  <c r="AR223" i="17"/>
  <c r="AQ223" i="17"/>
  <c r="AP223" i="17"/>
  <c r="AO223" i="17"/>
  <c r="AN223" i="17"/>
  <c r="AM223" i="17"/>
  <c r="AK223" i="17"/>
  <c r="AJ223" i="17"/>
  <c r="AL223" i="17" s="1"/>
  <c r="Z223" i="17" s="1"/>
  <c r="AS223" i="17" s="1"/>
  <c r="AI223" i="17"/>
  <c r="AH223" i="17"/>
  <c r="AG223" i="17"/>
  <c r="AF223" i="17"/>
  <c r="AE223" i="17"/>
  <c r="B223" i="17"/>
  <c r="A223" i="17"/>
  <c r="AE222" i="17"/>
  <c r="B222" i="17"/>
  <c r="A222" i="17"/>
  <c r="AR221" i="17"/>
  <c r="AQ221" i="17"/>
  <c r="AP221" i="17"/>
  <c r="AO221" i="17"/>
  <c r="AN221" i="17"/>
  <c r="AM221" i="17"/>
  <c r="AK221" i="17"/>
  <c r="AJ221" i="17"/>
  <c r="AI221" i="17"/>
  <c r="AH221" i="17"/>
  <c r="AG221" i="17"/>
  <c r="AF221" i="17"/>
  <c r="AE221" i="17"/>
  <c r="B221" i="17"/>
  <c r="A221" i="17"/>
  <c r="AR220" i="17"/>
  <c r="AQ220" i="17"/>
  <c r="AP220" i="17"/>
  <c r="Z220" i="17" s="1"/>
  <c r="AS220" i="17" s="1"/>
  <c r="AO220" i="17"/>
  <c r="AN220" i="17"/>
  <c r="AM220" i="17"/>
  <c r="AK220" i="17"/>
  <c r="AJ220" i="17"/>
  <c r="AI220" i="17"/>
  <c r="AH220" i="17"/>
  <c r="AG220" i="17"/>
  <c r="AF220" i="17"/>
  <c r="AL220" i="17" s="1"/>
  <c r="AE220" i="17"/>
  <c r="B220" i="17"/>
  <c r="A220" i="17"/>
  <c r="AR219" i="17"/>
  <c r="AQ219" i="17"/>
  <c r="AP219" i="17"/>
  <c r="AO219" i="17"/>
  <c r="AN219" i="17"/>
  <c r="AM219" i="17"/>
  <c r="AK219" i="17"/>
  <c r="AJ219" i="17"/>
  <c r="AI219" i="17"/>
  <c r="AH219" i="17"/>
  <c r="AG219" i="17"/>
  <c r="AF219" i="17"/>
  <c r="AE219" i="17"/>
  <c r="B219" i="17"/>
  <c r="A219" i="17"/>
  <c r="AE218" i="17"/>
  <c r="B218" i="17"/>
  <c r="A218" i="17"/>
  <c r="AE217" i="17"/>
  <c r="B217" i="17"/>
  <c r="A217" i="17"/>
  <c r="AR216" i="17"/>
  <c r="AQ216" i="17"/>
  <c r="AP216" i="17"/>
  <c r="AO216" i="17"/>
  <c r="AN216" i="17"/>
  <c r="AM216" i="17"/>
  <c r="AK216" i="17"/>
  <c r="AJ216" i="17"/>
  <c r="AI216" i="17"/>
  <c r="AH216" i="17"/>
  <c r="AG216" i="17"/>
  <c r="AF216" i="17"/>
  <c r="AL216" i="17" s="1"/>
  <c r="AE216" i="17"/>
  <c r="Z216" i="17"/>
  <c r="AS216" i="17" s="1"/>
  <c r="B216" i="17"/>
  <c r="A216" i="17"/>
  <c r="AR215" i="17"/>
  <c r="AQ215" i="17"/>
  <c r="AP215" i="17"/>
  <c r="AO215" i="17"/>
  <c r="AN215" i="17"/>
  <c r="AM215" i="17"/>
  <c r="AK215" i="17"/>
  <c r="AJ215" i="17"/>
  <c r="AI215" i="17"/>
  <c r="AH215" i="17"/>
  <c r="AG215" i="17"/>
  <c r="AF215" i="17"/>
  <c r="AE215" i="17"/>
  <c r="B215" i="17"/>
  <c r="A215" i="17"/>
  <c r="AE214" i="17"/>
  <c r="B214" i="17"/>
  <c r="A214" i="17"/>
  <c r="AE213" i="17"/>
  <c r="B213" i="17"/>
  <c r="A213" i="17"/>
  <c r="AR212" i="17"/>
  <c r="AQ212" i="17"/>
  <c r="AP212" i="17"/>
  <c r="Z212" i="17" s="1"/>
  <c r="AS212" i="17" s="1"/>
  <c r="AO212" i="17"/>
  <c r="AN212" i="17"/>
  <c r="AM212" i="17"/>
  <c r="AK212" i="17"/>
  <c r="AJ212" i="17"/>
  <c r="AI212" i="17"/>
  <c r="AH212" i="17"/>
  <c r="AG212" i="17"/>
  <c r="AF212" i="17"/>
  <c r="AL212" i="17" s="1"/>
  <c r="AE212" i="17"/>
  <c r="B212" i="17"/>
  <c r="A212" i="17"/>
  <c r="AR211" i="17"/>
  <c r="AQ211" i="17"/>
  <c r="AP211" i="17"/>
  <c r="AO211" i="17"/>
  <c r="AN211" i="17"/>
  <c r="AM211" i="17"/>
  <c r="AK211" i="17"/>
  <c r="AJ211" i="17"/>
  <c r="AI211" i="17"/>
  <c r="AH211" i="17"/>
  <c r="AG211" i="17"/>
  <c r="AF211" i="17"/>
  <c r="AE211" i="17"/>
  <c r="B211" i="17"/>
  <c r="A211" i="17"/>
  <c r="AE210" i="17"/>
  <c r="B210" i="17"/>
  <c r="A210" i="17"/>
  <c r="AR209" i="17"/>
  <c r="AQ209" i="17"/>
  <c r="AP209" i="17"/>
  <c r="AO209" i="17"/>
  <c r="AN209" i="17"/>
  <c r="AM209" i="17"/>
  <c r="AK209" i="17"/>
  <c r="AJ209" i="17"/>
  <c r="AI209" i="17"/>
  <c r="AH209" i="17"/>
  <c r="AG209" i="17"/>
  <c r="AF209" i="17"/>
  <c r="AE209" i="17"/>
  <c r="B209" i="17"/>
  <c r="A209" i="17"/>
  <c r="AE208" i="17"/>
  <c r="B208" i="17"/>
  <c r="A208" i="17"/>
  <c r="AR207" i="17"/>
  <c r="AQ207" i="17"/>
  <c r="AP207" i="17"/>
  <c r="AO207" i="17"/>
  <c r="AN207" i="17"/>
  <c r="AM207" i="17"/>
  <c r="AK207" i="17"/>
  <c r="AJ207" i="17"/>
  <c r="AI207" i="17"/>
  <c r="AH207" i="17"/>
  <c r="AG207" i="17"/>
  <c r="AF207" i="17"/>
  <c r="AE207" i="17"/>
  <c r="B207" i="17"/>
  <c r="A207" i="17"/>
  <c r="AE206" i="17"/>
  <c r="B206" i="17"/>
  <c r="A206" i="17"/>
  <c r="AE205" i="17"/>
  <c r="B205" i="17"/>
  <c r="A205" i="17"/>
  <c r="AR204" i="17"/>
  <c r="AQ204" i="17"/>
  <c r="AP204" i="17"/>
  <c r="Z204" i="17" s="1"/>
  <c r="AS204" i="17" s="1"/>
  <c r="AO204" i="17"/>
  <c r="AN204" i="17"/>
  <c r="AM204" i="17"/>
  <c r="AK204" i="17"/>
  <c r="AJ204" i="17"/>
  <c r="AI204" i="17"/>
  <c r="AH204" i="17"/>
  <c r="AG204" i="17"/>
  <c r="AF204" i="17"/>
  <c r="AL204" i="17" s="1"/>
  <c r="AE204" i="17"/>
  <c r="B204" i="17"/>
  <c r="A204" i="17"/>
  <c r="AR203" i="17"/>
  <c r="AQ203" i="17"/>
  <c r="AP203" i="17"/>
  <c r="AO203" i="17"/>
  <c r="AN203" i="17"/>
  <c r="AM203" i="17"/>
  <c r="AK203" i="17"/>
  <c r="AJ203" i="17"/>
  <c r="AI203" i="17"/>
  <c r="AH203" i="17"/>
  <c r="AG203" i="17"/>
  <c r="AF203" i="17"/>
  <c r="AE203" i="17"/>
  <c r="B203" i="17"/>
  <c r="A203" i="17"/>
  <c r="AR202" i="17"/>
  <c r="AQ202" i="17"/>
  <c r="AP202" i="17"/>
  <c r="AO202" i="17"/>
  <c r="AN202" i="17"/>
  <c r="AM202" i="17"/>
  <c r="AK202" i="17"/>
  <c r="AJ202" i="17"/>
  <c r="AI202" i="17"/>
  <c r="AH202" i="17"/>
  <c r="AG202" i="17"/>
  <c r="AF202" i="17"/>
  <c r="AL202" i="17" s="1"/>
  <c r="AE202" i="17"/>
  <c r="Z202" i="17"/>
  <c r="AS202" i="17" s="1"/>
  <c r="B202" i="17"/>
  <c r="A202" i="17"/>
  <c r="AE201" i="17"/>
  <c r="B201" i="17"/>
  <c r="A201" i="17"/>
  <c r="AR200" i="17"/>
  <c r="AQ200" i="17"/>
  <c r="AP200" i="17"/>
  <c r="AO200" i="17"/>
  <c r="AN200" i="17"/>
  <c r="AM200" i="17"/>
  <c r="AK200" i="17"/>
  <c r="AJ200" i="17"/>
  <c r="AI200" i="17"/>
  <c r="AH200" i="17"/>
  <c r="AG200" i="17"/>
  <c r="AF200" i="17"/>
  <c r="AL200" i="17" s="1"/>
  <c r="Z200" i="17" s="1"/>
  <c r="AS200" i="17" s="1"/>
  <c r="AE200" i="17"/>
  <c r="B200" i="17"/>
  <c r="A200" i="17"/>
  <c r="AE199" i="17"/>
  <c r="B199" i="17"/>
  <c r="A199" i="17"/>
  <c r="AE198" i="17"/>
  <c r="B198" i="17"/>
  <c r="A198" i="17"/>
  <c r="AE197" i="17"/>
  <c r="B197" i="17"/>
  <c r="A197" i="17"/>
  <c r="AR196" i="17"/>
  <c r="AQ196" i="17"/>
  <c r="AP196" i="17"/>
  <c r="Z196" i="17" s="1"/>
  <c r="AS196" i="17" s="1"/>
  <c r="AO196" i="17"/>
  <c r="AN196" i="17"/>
  <c r="AM196" i="17"/>
  <c r="AK196" i="17"/>
  <c r="AJ196" i="17"/>
  <c r="AI196" i="17"/>
  <c r="AH196" i="17"/>
  <c r="AG196" i="17"/>
  <c r="AF196" i="17"/>
  <c r="AL196" i="17" s="1"/>
  <c r="AE196" i="17"/>
  <c r="B196" i="17"/>
  <c r="A196" i="17"/>
  <c r="AR195" i="17"/>
  <c r="AQ195" i="17"/>
  <c r="AP195" i="17"/>
  <c r="AO195" i="17"/>
  <c r="AN195" i="17"/>
  <c r="AM195" i="17"/>
  <c r="AK195" i="17"/>
  <c r="AJ195" i="17"/>
  <c r="AI195" i="17"/>
  <c r="AH195" i="17"/>
  <c r="AG195" i="17"/>
  <c r="AF195" i="17"/>
  <c r="AE195" i="17"/>
  <c r="B195" i="17"/>
  <c r="A195" i="17"/>
  <c r="AR194" i="17"/>
  <c r="AQ194" i="17"/>
  <c r="AP194" i="17"/>
  <c r="Z194" i="17" s="1"/>
  <c r="AS194" i="17" s="1"/>
  <c r="AO194" i="17"/>
  <c r="AN194" i="17"/>
  <c r="AM194" i="17"/>
  <c r="AK194" i="17"/>
  <c r="AJ194" i="17"/>
  <c r="AI194" i="17"/>
  <c r="AH194" i="17"/>
  <c r="AG194" i="17"/>
  <c r="AF194" i="17"/>
  <c r="AL194" i="17" s="1"/>
  <c r="AE194" i="17"/>
  <c r="B194" i="17"/>
  <c r="A194" i="17"/>
  <c r="AR193" i="17"/>
  <c r="AQ193" i="17"/>
  <c r="AP193" i="17"/>
  <c r="AO193" i="17"/>
  <c r="AN193" i="17"/>
  <c r="AM193" i="17"/>
  <c r="AK193" i="17"/>
  <c r="AJ193" i="17"/>
  <c r="AI193" i="17"/>
  <c r="AH193" i="17"/>
  <c r="AG193" i="17"/>
  <c r="AF193" i="17"/>
  <c r="AE193" i="17"/>
  <c r="B193" i="17"/>
  <c r="A193" i="17"/>
  <c r="AE192" i="17"/>
  <c r="B192" i="17"/>
  <c r="A192" i="17"/>
  <c r="AE191" i="17"/>
  <c r="B191" i="17"/>
  <c r="A191" i="17"/>
  <c r="AR190" i="17"/>
  <c r="AQ190" i="17"/>
  <c r="AP190" i="17"/>
  <c r="AO190" i="17"/>
  <c r="AN190" i="17"/>
  <c r="AM190" i="17"/>
  <c r="AK190" i="17"/>
  <c r="AJ190" i="17"/>
  <c r="AI190" i="17"/>
  <c r="AH190" i="17"/>
  <c r="AG190" i="17"/>
  <c r="AF190" i="17"/>
  <c r="AL190" i="17" s="1"/>
  <c r="Z190" i="17" s="1"/>
  <c r="AS190" i="17" s="1"/>
  <c r="AE190" i="17"/>
  <c r="B190" i="17"/>
  <c r="A190" i="17"/>
  <c r="AE189" i="17"/>
  <c r="B189" i="17"/>
  <c r="A189" i="17"/>
  <c r="AE188" i="17"/>
  <c r="B188" i="17"/>
  <c r="A188" i="17"/>
  <c r="AR187" i="17"/>
  <c r="AQ187" i="17"/>
  <c r="AP187" i="17"/>
  <c r="AO187" i="17"/>
  <c r="AN187" i="17"/>
  <c r="AM187" i="17"/>
  <c r="AK187" i="17"/>
  <c r="AJ187" i="17"/>
  <c r="AL187" i="17" s="1"/>
  <c r="Z187" i="17" s="1"/>
  <c r="AS187" i="17" s="1"/>
  <c r="AI187" i="17"/>
  <c r="AH187" i="17"/>
  <c r="AG187" i="17"/>
  <c r="AF187" i="17"/>
  <c r="AE187" i="17"/>
  <c r="B187" i="17"/>
  <c r="A187" i="17"/>
  <c r="AE186" i="17"/>
  <c r="B186" i="17"/>
  <c r="A186" i="17"/>
  <c r="AE185" i="17"/>
  <c r="B185" i="17"/>
  <c r="A185" i="17"/>
  <c r="AR184" i="17"/>
  <c r="AQ184" i="17"/>
  <c r="AP184" i="17"/>
  <c r="AO184" i="17"/>
  <c r="AN184" i="17"/>
  <c r="AM184" i="17"/>
  <c r="AK184" i="17"/>
  <c r="AJ184" i="17"/>
  <c r="AI184" i="17"/>
  <c r="AH184" i="17"/>
  <c r="AG184" i="17"/>
  <c r="AF184" i="17"/>
  <c r="AE184" i="17"/>
  <c r="B184" i="17"/>
  <c r="A184" i="17"/>
  <c r="AR183" i="17"/>
  <c r="AQ183" i="17"/>
  <c r="AP183" i="17"/>
  <c r="AO183" i="17"/>
  <c r="AN183" i="17"/>
  <c r="AM183" i="17"/>
  <c r="AK183" i="17"/>
  <c r="AJ183" i="17"/>
  <c r="AI183" i="17"/>
  <c r="AH183" i="17"/>
  <c r="AG183" i="17"/>
  <c r="AF183" i="17"/>
  <c r="AE183" i="17"/>
  <c r="B183" i="17"/>
  <c r="A183" i="17"/>
  <c r="AE182" i="17"/>
  <c r="B182" i="17"/>
  <c r="A182" i="17"/>
  <c r="AR181" i="17"/>
  <c r="AQ181" i="17"/>
  <c r="AP181" i="17"/>
  <c r="AO181" i="17"/>
  <c r="AN181" i="17"/>
  <c r="AM181" i="17"/>
  <c r="AK181" i="17"/>
  <c r="AJ181" i="17"/>
  <c r="AI181" i="17"/>
  <c r="AH181" i="17"/>
  <c r="AL181" i="17" s="1"/>
  <c r="Z181" i="17" s="1"/>
  <c r="AS181" i="17" s="1"/>
  <c r="AG181" i="17"/>
  <c r="AF181" i="17"/>
  <c r="AE181" i="17"/>
  <c r="B181" i="17"/>
  <c r="A181" i="17"/>
  <c r="AE180" i="17"/>
  <c r="B180" i="17"/>
  <c r="A180" i="17"/>
  <c r="AE179" i="17"/>
  <c r="B179" i="17"/>
  <c r="A179" i="17"/>
  <c r="AR178" i="17"/>
  <c r="AQ178" i="17"/>
  <c r="AP178" i="17"/>
  <c r="AO178" i="17"/>
  <c r="AN178" i="17"/>
  <c r="AM178" i="17"/>
  <c r="AK178" i="17"/>
  <c r="AJ178" i="17"/>
  <c r="AI178" i="17"/>
  <c r="AH178" i="17"/>
  <c r="AG178" i="17"/>
  <c r="AF178" i="17"/>
  <c r="AL178" i="17" s="1"/>
  <c r="AE178" i="17"/>
  <c r="Z178" i="17"/>
  <c r="AS178" i="17" s="1"/>
  <c r="B178" i="17"/>
  <c r="A178" i="17"/>
  <c r="AR177" i="17"/>
  <c r="AQ177" i="17"/>
  <c r="AP177" i="17"/>
  <c r="AO177" i="17"/>
  <c r="AN177" i="17"/>
  <c r="AM177" i="17"/>
  <c r="AK177" i="17"/>
  <c r="AJ177" i="17"/>
  <c r="AI177" i="17"/>
  <c r="AH177" i="17"/>
  <c r="AG177" i="17"/>
  <c r="AF177" i="17"/>
  <c r="AE177" i="17"/>
  <c r="B177" i="17"/>
  <c r="A177" i="17"/>
  <c r="AE176" i="17"/>
  <c r="B176" i="17"/>
  <c r="A176" i="17"/>
  <c r="AE175" i="17"/>
  <c r="B175" i="17"/>
  <c r="A175" i="17"/>
  <c r="AR174" i="17"/>
  <c r="AQ174" i="17"/>
  <c r="AP174" i="17"/>
  <c r="AO174" i="17"/>
  <c r="AN174" i="17"/>
  <c r="AM174" i="17"/>
  <c r="AK174" i="17"/>
  <c r="AJ174" i="17"/>
  <c r="AI174" i="17"/>
  <c r="AH174" i="17"/>
  <c r="AG174" i="17"/>
  <c r="AF174" i="17"/>
  <c r="AE174" i="17"/>
  <c r="B174" i="17"/>
  <c r="A174" i="17"/>
  <c r="AR173" i="17"/>
  <c r="AQ173" i="17"/>
  <c r="AP173" i="17"/>
  <c r="AO173" i="17"/>
  <c r="AN173" i="17"/>
  <c r="AM173" i="17"/>
  <c r="AK173" i="17"/>
  <c r="AJ173" i="17"/>
  <c r="AI173" i="17"/>
  <c r="AH173" i="17"/>
  <c r="AL173" i="17" s="1"/>
  <c r="Z173" i="17" s="1"/>
  <c r="AS173" i="17" s="1"/>
  <c r="AG173" i="17"/>
  <c r="AF173" i="17"/>
  <c r="AE173" i="17"/>
  <c r="B173" i="17"/>
  <c r="A173" i="17"/>
  <c r="AE172" i="17"/>
  <c r="B172" i="17"/>
  <c r="A172" i="17"/>
  <c r="AN171" i="17"/>
  <c r="AE171" i="17"/>
  <c r="B171" i="17"/>
  <c r="A171" i="17"/>
  <c r="AR170" i="17"/>
  <c r="AQ170" i="17"/>
  <c r="AP170" i="17"/>
  <c r="AO170" i="17"/>
  <c r="AN170" i="17"/>
  <c r="AM170" i="17"/>
  <c r="AK170" i="17"/>
  <c r="AJ170" i="17"/>
  <c r="AI170" i="17"/>
  <c r="AH170" i="17"/>
  <c r="AG170" i="17"/>
  <c r="AF170" i="17"/>
  <c r="AE170" i="17"/>
  <c r="B170" i="17"/>
  <c r="A170" i="17"/>
  <c r="AR169" i="17"/>
  <c r="AQ169" i="17"/>
  <c r="AP169" i="17"/>
  <c r="AO169" i="17"/>
  <c r="AN169" i="17"/>
  <c r="AM169" i="17"/>
  <c r="AK169" i="17"/>
  <c r="AJ169" i="17"/>
  <c r="AI169" i="17"/>
  <c r="AH169" i="17"/>
  <c r="AL169" i="17" s="1"/>
  <c r="Z169" i="17" s="1"/>
  <c r="AS169" i="17" s="1"/>
  <c r="AG169" i="17"/>
  <c r="AF169" i="17"/>
  <c r="AE169" i="17"/>
  <c r="B169" i="17"/>
  <c r="A169" i="17"/>
  <c r="AE168" i="17"/>
  <c r="B168" i="17"/>
  <c r="A168" i="17"/>
  <c r="AE167" i="17"/>
  <c r="B167" i="17"/>
  <c r="A167" i="17"/>
  <c r="AR166" i="17"/>
  <c r="AQ166" i="17"/>
  <c r="AP166" i="17"/>
  <c r="AO166" i="17"/>
  <c r="AN166" i="17"/>
  <c r="AM166" i="17"/>
  <c r="AK166" i="17"/>
  <c r="AJ166" i="17"/>
  <c r="AI166" i="17"/>
  <c r="AH166" i="17"/>
  <c r="AG166" i="17"/>
  <c r="AF166" i="17"/>
  <c r="AL166" i="17" s="1"/>
  <c r="Z166" i="17" s="1"/>
  <c r="AS166" i="17" s="1"/>
  <c r="AE166" i="17"/>
  <c r="B166" i="17"/>
  <c r="A166" i="17"/>
  <c r="AR165" i="17"/>
  <c r="AQ165" i="17"/>
  <c r="AP165" i="17"/>
  <c r="AO165" i="17"/>
  <c r="AN165" i="17"/>
  <c r="AM165" i="17"/>
  <c r="AK165" i="17"/>
  <c r="AJ165" i="17"/>
  <c r="AL165" i="17" s="1"/>
  <c r="Z165" i="17" s="1"/>
  <c r="AS165" i="17" s="1"/>
  <c r="AI165" i="17"/>
  <c r="AH165" i="17"/>
  <c r="AG165" i="17"/>
  <c r="AF165" i="17"/>
  <c r="AE165" i="17"/>
  <c r="B165" i="17"/>
  <c r="A165" i="17"/>
  <c r="AE164" i="17"/>
  <c r="B164" i="17"/>
  <c r="A164" i="17"/>
  <c r="AE163" i="17"/>
  <c r="B163" i="17"/>
  <c r="A163" i="17"/>
  <c r="AR162" i="17"/>
  <c r="AQ162" i="17"/>
  <c r="AP162" i="17"/>
  <c r="AO162" i="17"/>
  <c r="AN162" i="17"/>
  <c r="AM162" i="17"/>
  <c r="AL162" i="17"/>
  <c r="Z162" i="17" s="1"/>
  <c r="AS162" i="17" s="1"/>
  <c r="AK162" i="17"/>
  <c r="AJ162" i="17"/>
  <c r="AI162" i="17"/>
  <c r="AH162" i="17"/>
  <c r="AG162" i="17"/>
  <c r="AF162" i="17"/>
  <c r="AE162" i="17"/>
  <c r="B162" i="17"/>
  <c r="A162" i="17"/>
  <c r="AE161" i="17"/>
  <c r="B161" i="17"/>
  <c r="A161" i="17"/>
  <c r="AR160" i="17"/>
  <c r="AQ160" i="17"/>
  <c r="AP160" i="17"/>
  <c r="AO160" i="17"/>
  <c r="AN160" i="17"/>
  <c r="AM160" i="17"/>
  <c r="AK160" i="17"/>
  <c r="AJ160" i="17"/>
  <c r="AI160" i="17"/>
  <c r="AH160" i="17"/>
  <c r="AG160" i="17"/>
  <c r="AL160" i="17" s="1"/>
  <c r="Z160" i="17" s="1"/>
  <c r="AS160" i="17" s="1"/>
  <c r="AF160" i="17"/>
  <c r="AE160" i="17"/>
  <c r="B160" i="17"/>
  <c r="A160" i="17"/>
  <c r="AR159" i="17"/>
  <c r="AQ159" i="17"/>
  <c r="AP159" i="17"/>
  <c r="AO159" i="17"/>
  <c r="AN159" i="17"/>
  <c r="AM159" i="17"/>
  <c r="AK159" i="17"/>
  <c r="AJ159" i="17"/>
  <c r="AI159" i="17"/>
  <c r="AH159" i="17"/>
  <c r="AG159" i="17"/>
  <c r="AF159" i="17"/>
  <c r="AL159" i="17" s="1"/>
  <c r="AE159" i="17"/>
  <c r="B159" i="17"/>
  <c r="A159" i="17"/>
  <c r="AR158" i="17"/>
  <c r="AE158" i="17"/>
  <c r="B158" i="17"/>
  <c r="A158" i="17"/>
  <c r="AE157" i="17"/>
  <c r="B157" i="17"/>
  <c r="A157" i="17"/>
  <c r="AR156" i="17"/>
  <c r="AQ156" i="17"/>
  <c r="AP156" i="17"/>
  <c r="AO156" i="17"/>
  <c r="AN156" i="17"/>
  <c r="AM156" i="17"/>
  <c r="AK156" i="17"/>
  <c r="AJ156" i="17"/>
  <c r="AI156" i="17"/>
  <c r="AH156" i="17"/>
  <c r="AG156" i="17"/>
  <c r="AF156" i="17"/>
  <c r="AL156" i="17" s="1"/>
  <c r="AE156" i="17"/>
  <c r="B156" i="17"/>
  <c r="A156" i="17"/>
  <c r="AR155" i="17"/>
  <c r="AQ155" i="17"/>
  <c r="AP155" i="17"/>
  <c r="AO155" i="17"/>
  <c r="AN155" i="17"/>
  <c r="AM155" i="17"/>
  <c r="AK155" i="17"/>
  <c r="AJ155" i="17"/>
  <c r="AI155" i="17"/>
  <c r="AH155" i="17"/>
  <c r="AG155" i="17"/>
  <c r="AL155" i="17" s="1"/>
  <c r="Z155" i="17" s="1"/>
  <c r="AS155" i="17" s="1"/>
  <c r="AF155" i="17"/>
  <c r="AE155" i="17"/>
  <c r="B155" i="17"/>
  <c r="A155" i="17"/>
  <c r="AE154" i="17"/>
  <c r="B154" i="17"/>
  <c r="A154" i="17"/>
  <c r="AE153" i="17"/>
  <c r="B153" i="17"/>
  <c r="A153" i="17"/>
  <c r="AE152" i="17"/>
  <c r="B152" i="17"/>
  <c r="A152" i="17"/>
  <c r="AR151" i="17"/>
  <c r="AQ151" i="17"/>
  <c r="AP151" i="17"/>
  <c r="AO151" i="17"/>
  <c r="AN151" i="17"/>
  <c r="AM151" i="17"/>
  <c r="AK151" i="17"/>
  <c r="AJ151" i="17"/>
  <c r="AI151" i="17"/>
  <c r="AH151" i="17"/>
  <c r="AG151" i="17"/>
  <c r="AF151" i="17"/>
  <c r="AL151" i="17" s="1"/>
  <c r="Z151" i="17" s="1"/>
  <c r="AS151" i="17" s="1"/>
  <c r="AE151" i="17"/>
  <c r="B151" i="17"/>
  <c r="A151" i="17"/>
  <c r="AR150" i="17"/>
  <c r="AQ150" i="17"/>
  <c r="AP150" i="17"/>
  <c r="AO150" i="17"/>
  <c r="AN150" i="17"/>
  <c r="AM150" i="17"/>
  <c r="AK150" i="17"/>
  <c r="AJ150" i="17"/>
  <c r="AI150" i="17"/>
  <c r="AH150" i="17"/>
  <c r="AG150" i="17"/>
  <c r="AL150" i="17" s="1"/>
  <c r="Z150" i="17" s="1"/>
  <c r="AS150" i="17" s="1"/>
  <c r="AF150" i="17"/>
  <c r="AE150" i="17"/>
  <c r="B150" i="17"/>
  <c r="A150" i="17"/>
  <c r="AE149" i="17"/>
  <c r="B149" i="17"/>
  <c r="A149" i="17"/>
  <c r="AE148" i="17"/>
  <c r="B148" i="17"/>
  <c r="A148" i="17"/>
  <c r="AR147" i="17"/>
  <c r="AQ147" i="17"/>
  <c r="AP147" i="17"/>
  <c r="AO147" i="17"/>
  <c r="AN147" i="17"/>
  <c r="AM147" i="17"/>
  <c r="AL147" i="17"/>
  <c r="Z147" i="17" s="1"/>
  <c r="AS147" i="17" s="1"/>
  <c r="AK147" i="17"/>
  <c r="AJ147" i="17"/>
  <c r="AI147" i="17"/>
  <c r="AH147" i="17"/>
  <c r="AG147" i="17"/>
  <c r="AF147" i="17"/>
  <c r="AE147" i="17"/>
  <c r="B147" i="17"/>
  <c r="A147" i="17"/>
  <c r="AR146" i="17"/>
  <c r="AQ146" i="17"/>
  <c r="AP146" i="17"/>
  <c r="AO146" i="17"/>
  <c r="AN146" i="17"/>
  <c r="AM146" i="17"/>
  <c r="AK146" i="17"/>
  <c r="AJ146" i="17"/>
  <c r="AI146" i="17"/>
  <c r="AH146" i="17"/>
  <c r="AG146" i="17"/>
  <c r="AF146" i="17"/>
  <c r="AL146" i="17" s="1"/>
  <c r="AE146" i="17"/>
  <c r="B146" i="17"/>
  <c r="A146" i="17"/>
  <c r="AE145" i="17"/>
  <c r="B145" i="17"/>
  <c r="A145" i="17"/>
  <c r="AE144" i="17"/>
  <c r="B144" i="17"/>
  <c r="A144" i="17"/>
  <c r="AE143" i="17"/>
  <c r="B143" i="17"/>
  <c r="A143" i="17"/>
  <c r="AE142" i="17"/>
  <c r="B142" i="17"/>
  <c r="A142" i="17"/>
  <c r="AR141" i="17"/>
  <c r="AQ141" i="17"/>
  <c r="AP141" i="17"/>
  <c r="AO141" i="17"/>
  <c r="AN141" i="17"/>
  <c r="AM141" i="17"/>
  <c r="AK141" i="17"/>
  <c r="AJ141" i="17"/>
  <c r="AI141" i="17"/>
  <c r="AH141" i="17"/>
  <c r="AG141" i="17"/>
  <c r="AF141" i="17"/>
  <c r="AL141" i="17" s="1"/>
  <c r="Z141" i="17" s="1"/>
  <c r="AS141" i="17" s="1"/>
  <c r="AE141" i="17"/>
  <c r="B141" i="17"/>
  <c r="A141" i="17"/>
  <c r="AE140" i="17"/>
  <c r="B140" i="17"/>
  <c r="A140" i="17"/>
  <c r="AN139" i="17"/>
  <c r="AE139" i="17"/>
  <c r="B139" i="17"/>
  <c r="A139" i="17"/>
  <c r="AE138" i="17"/>
  <c r="B138" i="17"/>
  <c r="A138" i="17"/>
  <c r="AR137" i="17"/>
  <c r="AQ137" i="17"/>
  <c r="AP137" i="17"/>
  <c r="AO137" i="17"/>
  <c r="AN137" i="17"/>
  <c r="AM137" i="17"/>
  <c r="AL137" i="17"/>
  <c r="Z137" i="17" s="1"/>
  <c r="AS137" i="17" s="1"/>
  <c r="AK137" i="17"/>
  <c r="AJ137" i="17"/>
  <c r="AI137" i="17"/>
  <c r="AH137" i="17"/>
  <c r="AG137" i="17"/>
  <c r="AF137" i="17"/>
  <c r="AE137" i="17"/>
  <c r="B137" i="17"/>
  <c r="A137" i="17"/>
  <c r="AE136" i="17"/>
  <c r="B136" i="17"/>
  <c r="A136" i="17"/>
  <c r="AE135" i="17"/>
  <c r="B135" i="17"/>
  <c r="A135" i="17"/>
  <c r="AE134" i="17"/>
  <c r="B134" i="17"/>
  <c r="A134" i="17"/>
  <c r="AR133" i="17"/>
  <c r="AQ133" i="17"/>
  <c r="AP133" i="17"/>
  <c r="AO133" i="17"/>
  <c r="AN133" i="17"/>
  <c r="AM133" i="17"/>
  <c r="AK133" i="17"/>
  <c r="AJ133" i="17"/>
  <c r="AI133" i="17"/>
  <c r="AH133" i="17"/>
  <c r="AG133" i="17"/>
  <c r="AL133" i="17" s="1"/>
  <c r="Z133" i="17" s="1"/>
  <c r="AS133" i="17" s="1"/>
  <c r="AF133" i="17"/>
  <c r="AE133" i="17"/>
  <c r="B133" i="17"/>
  <c r="A133" i="17"/>
  <c r="AE132" i="17"/>
  <c r="B132" i="17"/>
  <c r="A132" i="17"/>
  <c r="AE131" i="17"/>
  <c r="B131" i="17"/>
  <c r="A131" i="17"/>
  <c r="AE130" i="17"/>
  <c r="B130" i="17"/>
  <c r="A130" i="17"/>
  <c r="AE129" i="17"/>
  <c r="B129" i="17"/>
  <c r="A129" i="17"/>
  <c r="AE128" i="17"/>
  <c r="B128" i="17"/>
  <c r="A128" i="17"/>
  <c r="AE127" i="17"/>
  <c r="B127" i="17"/>
  <c r="A127" i="17"/>
  <c r="AE126" i="17"/>
  <c r="B126" i="17"/>
  <c r="A126" i="17"/>
  <c r="AE125" i="17"/>
  <c r="B125" i="17"/>
  <c r="A125" i="17"/>
  <c r="AR124" i="17"/>
  <c r="AQ124" i="17"/>
  <c r="AP124" i="17"/>
  <c r="AO124" i="17"/>
  <c r="AN124" i="17"/>
  <c r="AM124" i="17"/>
  <c r="AK124" i="17"/>
  <c r="AJ124" i="17"/>
  <c r="AI124" i="17"/>
  <c r="AH124" i="17"/>
  <c r="AG124" i="17"/>
  <c r="AF124" i="17"/>
  <c r="AL124" i="17" s="1"/>
  <c r="Z124" i="17" s="1"/>
  <c r="AS124" i="17" s="1"/>
  <c r="AE124" i="17"/>
  <c r="B124" i="17"/>
  <c r="A124" i="17"/>
  <c r="AR123" i="17"/>
  <c r="AQ123" i="17"/>
  <c r="AP123" i="17"/>
  <c r="AO123" i="17"/>
  <c r="AN123" i="17"/>
  <c r="AM123" i="17"/>
  <c r="AK123" i="17"/>
  <c r="AL123" i="17" s="1"/>
  <c r="Z123" i="17" s="1"/>
  <c r="AS123" i="17" s="1"/>
  <c r="AJ123" i="17"/>
  <c r="AI123" i="17"/>
  <c r="AH123" i="17"/>
  <c r="AG123" i="17"/>
  <c r="AF123" i="17"/>
  <c r="AE123" i="17"/>
  <c r="B123" i="17"/>
  <c r="A123" i="17"/>
  <c r="AR122" i="17"/>
  <c r="AQ122" i="17"/>
  <c r="AP122" i="17"/>
  <c r="AO122" i="17"/>
  <c r="AN122" i="17"/>
  <c r="AM122" i="17"/>
  <c r="AK122" i="17"/>
  <c r="AJ122" i="17"/>
  <c r="AI122" i="17"/>
  <c r="AH122" i="17"/>
  <c r="AG122" i="17"/>
  <c r="AF122" i="17"/>
  <c r="AL122" i="17" s="1"/>
  <c r="AE122" i="17"/>
  <c r="B122" i="17"/>
  <c r="A122" i="17"/>
  <c r="AR121" i="17"/>
  <c r="AQ121" i="17"/>
  <c r="AP121" i="17"/>
  <c r="AO121" i="17"/>
  <c r="AN121" i="17"/>
  <c r="AM121" i="17"/>
  <c r="AK121" i="17"/>
  <c r="AL121" i="17" s="1"/>
  <c r="Z121" i="17" s="1"/>
  <c r="AS121" i="17" s="1"/>
  <c r="AJ121" i="17"/>
  <c r="AI121" i="17"/>
  <c r="AH121" i="17"/>
  <c r="AG121" i="17"/>
  <c r="AF121" i="17"/>
  <c r="AE121" i="17"/>
  <c r="B121" i="17"/>
  <c r="A121" i="17"/>
  <c r="AR120" i="17"/>
  <c r="AQ120" i="17"/>
  <c r="AP120" i="17"/>
  <c r="AO120" i="17"/>
  <c r="AN120" i="17"/>
  <c r="AM120" i="17"/>
  <c r="AK120" i="17"/>
  <c r="AJ120" i="17"/>
  <c r="AI120" i="17"/>
  <c r="AH120" i="17"/>
  <c r="AG120" i="17"/>
  <c r="AF120" i="17"/>
  <c r="AL120" i="17" s="1"/>
  <c r="Z120" i="17" s="1"/>
  <c r="AS120" i="17" s="1"/>
  <c r="AE120" i="17"/>
  <c r="B120" i="17"/>
  <c r="A120" i="17"/>
  <c r="AR119" i="17"/>
  <c r="AQ119" i="17"/>
  <c r="AP119" i="17"/>
  <c r="AO119" i="17"/>
  <c r="AN119" i="17"/>
  <c r="AM119" i="17"/>
  <c r="AK119" i="17"/>
  <c r="AL119" i="17" s="1"/>
  <c r="Z119" i="17" s="1"/>
  <c r="AS119" i="17" s="1"/>
  <c r="AJ119" i="17"/>
  <c r="AI119" i="17"/>
  <c r="AH119" i="17"/>
  <c r="AG119" i="17"/>
  <c r="AF119" i="17"/>
  <c r="AE119" i="17"/>
  <c r="B119" i="17"/>
  <c r="A119" i="17"/>
  <c r="AR118" i="17"/>
  <c r="AQ118" i="17"/>
  <c r="AP118" i="17"/>
  <c r="AO118" i="17"/>
  <c r="AN118" i="17"/>
  <c r="AM118" i="17"/>
  <c r="AK118" i="17"/>
  <c r="AJ118" i="17"/>
  <c r="AI118" i="17"/>
  <c r="AH118" i="17"/>
  <c r="AG118" i="17"/>
  <c r="AF118" i="17"/>
  <c r="AL118" i="17" s="1"/>
  <c r="AE118" i="17"/>
  <c r="B118" i="17"/>
  <c r="A118" i="17"/>
  <c r="AR117" i="17"/>
  <c r="AQ117" i="17"/>
  <c r="AP117" i="17"/>
  <c r="AO117" i="17"/>
  <c r="AN117" i="17"/>
  <c r="AM117" i="17"/>
  <c r="AL117" i="17"/>
  <c r="Z117" i="17" s="1"/>
  <c r="AS117" i="17" s="1"/>
  <c r="AK117" i="17"/>
  <c r="AJ117" i="17"/>
  <c r="AI117" i="17"/>
  <c r="AH117" i="17"/>
  <c r="AG117" i="17"/>
  <c r="AF117" i="17"/>
  <c r="AE117" i="17"/>
  <c r="B117" i="17"/>
  <c r="A117" i="17"/>
  <c r="AR116" i="17"/>
  <c r="AQ116" i="17"/>
  <c r="AP116" i="17"/>
  <c r="AO116" i="17"/>
  <c r="AN116" i="17"/>
  <c r="AM116" i="17"/>
  <c r="AK116" i="17"/>
  <c r="AJ116" i="17"/>
  <c r="AI116" i="17"/>
  <c r="AH116" i="17"/>
  <c r="AG116" i="17"/>
  <c r="AF116" i="17"/>
  <c r="AL116" i="17" s="1"/>
  <c r="AE116" i="17"/>
  <c r="B116" i="17"/>
  <c r="A116" i="17"/>
  <c r="AR115" i="17"/>
  <c r="AQ115" i="17"/>
  <c r="AP115" i="17"/>
  <c r="AO115" i="17"/>
  <c r="AN115" i="17"/>
  <c r="AM115" i="17"/>
  <c r="AK115" i="17"/>
  <c r="AL115" i="17" s="1"/>
  <c r="Z115" i="17" s="1"/>
  <c r="AS115" i="17" s="1"/>
  <c r="AJ115" i="17"/>
  <c r="AI115" i="17"/>
  <c r="AH115" i="17"/>
  <c r="AG115" i="17"/>
  <c r="AF115" i="17"/>
  <c r="AE115" i="17"/>
  <c r="B115" i="17"/>
  <c r="A115" i="17"/>
  <c r="AR114" i="17"/>
  <c r="AQ114" i="17"/>
  <c r="AP114" i="17"/>
  <c r="AO114" i="17"/>
  <c r="AN114" i="17"/>
  <c r="AM114" i="17"/>
  <c r="AK114" i="17"/>
  <c r="AJ114" i="17"/>
  <c r="AI114" i="17"/>
  <c r="AH114" i="17"/>
  <c r="AG114" i="17"/>
  <c r="AF114" i="17"/>
  <c r="AL114" i="17" s="1"/>
  <c r="AE114" i="17"/>
  <c r="B114" i="17"/>
  <c r="A114" i="17"/>
  <c r="AR113" i="17"/>
  <c r="AQ113" i="17"/>
  <c r="AP113" i="17"/>
  <c r="AO113" i="17"/>
  <c r="AN113" i="17"/>
  <c r="AM113" i="17"/>
  <c r="AK113" i="17"/>
  <c r="AL113" i="17" s="1"/>
  <c r="Z113" i="17" s="1"/>
  <c r="AS113" i="17" s="1"/>
  <c r="AJ113" i="17"/>
  <c r="AI113" i="17"/>
  <c r="AH113" i="17"/>
  <c r="AG113" i="17"/>
  <c r="AF113" i="17"/>
  <c r="AE113" i="17"/>
  <c r="B113" i="17"/>
  <c r="A113" i="17"/>
  <c r="AE112" i="17"/>
  <c r="B112" i="17"/>
  <c r="A112" i="17"/>
  <c r="AR111" i="17"/>
  <c r="AQ111" i="17"/>
  <c r="AP111" i="17"/>
  <c r="AO111" i="17"/>
  <c r="AN111" i="17"/>
  <c r="AM111" i="17"/>
  <c r="AL111" i="17"/>
  <c r="Z111" i="17" s="1"/>
  <c r="AS111" i="17" s="1"/>
  <c r="AK111" i="17"/>
  <c r="AJ111" i="17"/>
  <c r="AI111" i="17"/>
  <c r="AH111" i="17"/>
  <c r="AG111" i="17"/>
  <c r="AF111" i="17"/>
  <c r="AE111" i="17"/>
  <c r="B111" i="17"/>
  <c r="A111" i="17"/>
  <c r="AR110" i="17"/>
  <c r="AQ110" i="17"/>
  <c r="AP110" i="17"/>
  <c r="AO110" i="17"/>
  <c r="AN110" i="17"/>
  <c r="AM110" i="17"/>
  <c r="AK110" i="17"/>
  <c r="AJ110" i="17"/>
  <c r="AI110" i="17"/>
  <c r="AH110" i="17"/>
  <c r="AG110" i="17"/>
  <c r="AF110" i="17"/>
  <c r="AL110" i="17" s="1"/>
  <c r="AE110" i="17"/>
  <c r="B110" i="17"/>
  <c r="A110" i="17"/>
  <c r="AR109" i="17"/>
  <c r="AQ109" i="17"/>
  <c r="AP109" i="17"/>
  <c r="AO109" i="17"/>
  <c r="AN109" i="17"/>
  <c r="AM109" i="17"/>
  <c r="AK109" i="17"/>
  <c r="AL109" i="17" s="1"/>
  <c r="Z109" i="17" s="1"/>
  <c r="AS109" i="17" s="1"/>
  <c r="AJ109" i="17"/>
  <c r="AI109" i="17"/>
  <c r="AH109" i="17"/>
  <c r="AG109" i="17"/>
  <c r="AF109" i="17"/>
  <c r="AE109" i="17"/>
  <c r="B109" i="17"/>
  <c r="A109" i="17"/>
  <c r="AR108" i="17"/>
  <c r="AQ108" i="17"/>
  <c r="AP108" i="17"/>
  <c r="AO108" i="17"/>
  <c r="AN108" i="17"/>
  <c r="AM108" i="17"/>
  <c r="AK108" i="17"/>
  <c r="AJ108" i="17"/>
  <c r="AI108" i="17"/>
  <c r="AH108" i="17"/>
  <c r="AG108" i="17"/>
  <c r="AF108" i="17"/>
  <c r="AL108" i="17" s="1"/>
  <c r="AE108" i="17"/>
  <c r="B108" i="17"/>
  <c r="A108" i="17"/>
  <c r="AR107" i="17"/>
  <c r="AQ107" i="17"/>
  <c r="AP107" i="17"/>
  <c r="AO107" i="17"/>
  <c r="AN107" i="17"/>
  <c r="AM107" i="17"/>
  <c r="AL107" i="17"/>
  <c r="Z107" i="17" s="1"/>
  <c r="AS107" i="17" s="1"/>
  <c r="AK107" i="17"/>
  <c r="AJ107" i="17"/>
  <c r="AI107" i="17"/>
  <c r="AH107" i="17"/>
  <c r="AG107" i="17"/>
  <c r="AF107" i="17"/>
  <c r="AE107" i="17"/>
  <c r="B107" i="17"/>
  <c r="A107" i="17"/>
  <c r="AR106" i="17"/>
  <c r="AQ106" i="17"/>
  <c r="AP106" i="17"/>
  <c r="AO106" i="17"/>
  <c r="AN106" i="17"/>
  <c r="AM106" i="17"/>
  <c r="AK106" i="17"/>
  <c r="AJ106" i="17"/>
  <c r="AI106" i="17"/>
  <c r="AH106" i="17"/>
  <c r="AG106" i="17"/>
  <c r="AF106" i="17"/>
  <c r="AL106" i="17" s="1"/>
  <c r="Z106" i="17" s="1"/>
  <c r="AS106" i="17" s="1"/>
  <c r="AE106" i="17"/>
  <c r="B106" i="17"/>
  <c r="A106" i="17"/>
  <c r="AR105" i="17"/>
  <c r="AQ105" i="17"/>
  <c r="AP105" i="17"/>
  <c r="AO105" i="17"/>
  <c r="AN105" i="17"/>
  <c r="AM105" i="17"/>
  <c r="AK105" i="17"/>
  <c r="AL105" i="17" s="1"/>
  <c r="Z105" i="17" s="1"/>
  <c r="AS105" i="17" s="1"/>
  <c r="AJ105" i="17"/>
  <c r="AI105" i="17"/>
  <c r="AH105" i="17"/>
  <c r="AG105" i="17"/>
  <c r="AF105" i="17"/>
  <c r="AE105" i="17"/>
  <c r="B105" i="17"/>
  <c r="A105" i="17"/>
  <c r="AR104" i="17"/>
  <c r="AQ104" i="17"/>
  <c r="AP104" i="17"/>
  <c r="AO104" i="17"/>
  <c r="AN104" i="17"/>
  <c r="AM104" i="17"/>
  <c r="AK104" i="17"/>
  <c r="AJ104" i="17"/>
  <c r="AI104" i="17"/>
  <c r="AH104" i="17"/>
  <c r="AG104" i="17"/>
  <c r="AF104" i="17"/>
  <c r="AL104" i="17" s="1"/>
  <c r="Z104" i="17" s="1"/>
  <c r="AS104" i="17" s="1"/>
  <c r="AE104" i="17"/>
  <c r="B104" i="17"/>
  <c r="A104" i="17"/>
  <c r="AR103" i="17"/>
  <c r="AQ103" i="17"/>
  <c r="AP103" i="17"/>
  <c r="AO103" i="17"/>
  <c r="AN103" i="17"/>
  <c r="AM103" i="17"/>
  <c r="AL103" i="17"/>
  <c r="Z103" i="17" s="1"/>
  <c r="AS103" i="17" s="1"/>
  <c r="AK103" i="17"/>
  <c r="AJ103" i="17"/>
  <c r="AI103" i="17"/>
  <c r="AH103" i="17"/>
  <c r="AG103" i="17"/>
  <c r="AF103" i="17"/>
  <c r="AE103" i="17"/>
  <c r="B103" i="17"/>
  <c r="A103" i="17"/>
  <c r="AR102" i="17"/>
  <c r="AQ102" i="17"/>
  <c r="AP102" i="17"/>
  <c r="AO102" i="17"/>
  <c r="AN102" i="17"/>
  <c r="AM102" i="17"/>
  <c r="AK102" i="17"/>
  <c r="AJ102" i="17"/>
  <c r="AI102" i="17"/>
  <c r="AH102" i="17"/>
  <c r="AG102" i="17"/>
  <c r="AF102" i="17"/>
  <c r="AL102" i="17" s="1"/>
  <c r="AE102" i="17"/>
  <c r="B102" i="17"/>
  <c r="A102" i="17"/>
  <c r="AR101" i="17"/>
  <c r="AQ101" i="17"/>
  <c r="AP101" i="17"/>
  <c r="AO101" i="17"/>
  <c r="AN101" i="17"/>
  <c r="AM101" i="17"/>
  <c r="AL101" i="17"/>
  <c r="Z101" i="17" s="1"/>
  <c r="AS101" i="17" s="1"/>
  <c r="AK101" i="17"/>
  <c r="AJ101" i="17"/>
  <c r="AI101" i="17"/>
  <c r="AH101" i="17"/>
  <c r="AG101" i="17"/>
  <c r="AF101" i="17"/>
  <c r="AE101" i="17"/>
  <c r="B101" i="17"/>
  <c r="A101" i="17"/>
  <c r="AR100" i="17"/>
  <c r="AQ100" i="17"/>
  <c r="AP100" i="17"/>
  <c r="AO100" i="17"/>
  <c r="AN100" i="17"/>
  <c r="AM100" i="17"/>
  <c r="AK100" i="17"/>
  <c r="AJ100" i="17"/>
  <c r="AI100" i="17"/>
  <c r="AH100" i="17"/>
  <c r="AG100" i="17"/>
  <c r="AF100" i="17"/>
  <c r="AL100" i="17" s="1"/>
  <c r="Z100" i="17" s="1"/>
  <c r="AS100" i="17" s="1"/>
  <c r="AE100" i="17"/>
  <c r="B100" i="17"/>
  <c r="A100" i="17"/>
  <c r="AR99" i="17"/>
  <c r="AQ99" i="17"/>
  <c r="AP99" i="17"/>
  <c r="AO99" i="17"/>
  <c r="AN99" i="17"/>
  <c r="AM99" i="17"/>
  <c r="AL99" i="17"/>
  <c r="Z99" i="17" s="1"/>
  <c r="AS99" i="17" s="1"/>
  <c r="AK99" i="17"/>
  <c r="AJ99" i="17"/>
  <c r="AI99" i="17"/>
  <c r="AH99" i="17"/>
  <c r="AG99" i="17"/>
  <c r="AF99" i="17"/>
  <c r="AE99" i="17"/>
  <c r="B99" i="17"/>
  <c r="A99" i="17"/>
  <c r="AR98" i="17"/>
  <c r="AQ98" i="17"/>
  <c r="AP98" i="17"/>
  <c r="AO98" i="17"/>
  <c r="AN98" i="17"/>
  <c r="AM98" i="17"/>
  <c r="AK98" i="17"/>
  <c r="AJ98" i="17"/>
  <c r="AI98" i="17"/>
  <c r="AH98" i="17"/>
  <c r="AG98" i="17"/>
  <c r="AF98" i="17"/>
  <c r="AL98" i="17" s="1"/>
  <c r="AE98" i="17"/>
  <c r="B98" i="17"/>
  <c r="A98" i="17"/>
  <c r="AR97" i="17"/>
  <c r="AQ97" i="17"/>
  <c r="AP97" i="17"/>
  <c r="AO97" i="17"/>
  <c r="AN97" i="17"/>
  <c r="AM97" i="17"/>
  <c r="AK97" i="17"/>
  <c r="AL97" i="17" s="1"/>
  <c r="Z97" i="17" s="1"/>
  <c r="AS97" i="17" s="1"/>
  <c r="AJ97" i="17"/>
  <c r="AI97" i="17"/>
  <c r="AH97" i="17"/>
  <c r="AG97" i="17"/>
  <c r="AF97" i="17"/>
  <c r="AE97" i="17"/>
  <c r="B97" i="17"/>
  <c r="A97" i="17"/>
  <c r="AR96" i="17"/>
  <c r="AQ96" i="17"/>
  <c r="AP96" i="17"/>
  <c r="AO96" i="17"/>
  <c r="AN96" i="17"/>
  <c r="AM96" i="17"/>
  <c r="AK96" i="17"/>
  <c r="AJ96" i="17"/>
  <c r="AI96" i="17"/>
  <c r="AH96" i="17"/>
  <c r="AG96" i="17"/>
  <c r="AF96" i="17"/>
  <c r="AL96" i="17" s="1"/>
  <c r="Z96" i="17" s="1"/>
  <c r="AS96" i="17" s="1"/>
  <c r="AE96" i="17"/>
  <c r="B96" i="17"/>
  <c r="A96" i="17"/>
  <c r="AR95" i="17"/>
  <c r="AQ95" i="17"/>
  <c r="AP95" i="17"/>
  <c r="AO95" i="17"/>
  <c r="AN95" i="17"/>
  <c r="AM95" i="17"/>
  <c r="AL95" i="17"/>
  <c r="Z95" i="17" s="1"/>
  <c r="AS95" i="17" s="1"/>
  <c r="AK95" i="17"/>
  <c r="AJ95" i="17"/>
  <c r="AI95" i="17"/>
  <c r="AH95" i="17"/>
  <c r="AG95" i="17"/>
  <c r="AF95" i="17"/>
  <c r="AE95" i="17"/>
  <c r="B95" i="17"/>
  <c r="A95" i="17"/>
  <c r="AR94" i="17"/>
  <c r="AQ94" i="17"/>
  <c r="AP94" i="17"/>
  <c r="AO94" i="17"/>
  <c r="AN94" i="17"/>
  <c r="AM94" i="17"/>
  <c r="AK94" i="17"/>
  <c r="AJ94" i="17"/>
  <c r="AI94" i="17"/>
  <c r="AH94" i="17"/>
  <c r="AG94" i="17"/>
  <c r="AF94" i="17"/>
  <c r="AL94" i="17" s="1"/>
  <c r="AE94" i="17"/>
  <c r="B94" i="17"/>
  <c r="A94" i="17"/>
  <c r="AR93" i="17"/>
  <c r="AQ93" i="17"/>
  <c r="AP93" i="17"/>
  <c r="AO93" i="17"/>
  <c r="AN93" i="17"/>
  <c r="AM93" i="17"/>
  <c r="AK93" i="17"/>
  <c r="AL93" i="17" s="1"/>
  <c r="Z93" i="17" s="1"/>
  <c r="AS93" i="17" s="1"/>
  <c r="AJ93" i="17"/>
  <c r="AI93" i="17"/>
  <c r="AH93" i="17"/>
  <c r="AG93" i="17"/>
  <c r="AF93" i="17"/>
  <c r="AE93" i="17"/>
  <c r="B93" i="17"/>
  <c r="A93" i="17"/>
  <c r="AR92" i="17"/>
  <c r="AQ92" i="17"/>
  <c r="AP92" i="17"/>
  <c r="AO92" i="17"/>
  <c r="AN92" i="17"/>
  <c r="AM92" i="17"/>
  <c r="AK92" i="17"/>
  <c r="AJ92" i="17"/>
  <c r="AI92" i="17"/>
  <c r="AH92" i="17"/>
  <c r="AG92" i="17"/>
  <c r="AF92" i="17"/>
  <c r="AL92" i="17" s="1"/>
  <c r="AE92" i="17"/>
  <c r="B92" i="17"/>
  <c r="A92" i="17"/>
  <c r="AR91" i="17"/>
  <c r="AQ91" i="17"/>
  <c r="AP91" i="17"/>
  <c r="AO91" i="17"/>
  <c r="AN91" i="17"/>
  <c r="AM91" i="17"/>
  <c r="AL91" i="17"/>
  <c r="Z91" i="17" s="1"/>
  <c r="AS91" i="17" s="1"/>
  <c r="AK91" i="17"/>
  <c r="AJ91" i="17"/>
  <c r="AI91" i="17"/>
  <c r="AH91" i="17"/>
  <c r="AG91" i="17"/>
  <c r="AF91" i="17"/>
  <c r="AE91" i="17"/>
  <c r="B91" i="17"/>
  <c r="A91" i="17"/>
  <c r="AR90" i="17"/>
  <c r="AQ90" i="17"/>
  <c r="AP90" i="17"/>
  <c r="AO90" i="17"/>
  <c r="AN90" i="17"/>
  <c r="AM90" i="17"/>
  <c r="AK90" i="17"/>
  <c r="AJ90" i="17"/>
  <c r="AI90" i="17"/>
  <c r="AH90" i="17"/>
  <c r="AG90" i="17"/>
  <c r="AF90" i="17"/>
  <c r="AL90" i="17" s="1"/>
  <c r="AE90" i="17"/>
  <c r="B90" i="17"/>
  <c r="A90" i="17"/>
  <c r="AR89" i="17"/>
  <c r="AQ89" i="17"/>
  <c r="AP89" i="17"/>
  <c r="AO89" i="17"/>
  <c r="AN89" i="17"/>
  <c r="AM89" i="17"/>
  <c r="AK89" i="17"/>
  <c r="AL89" i="17" s="1"/>
  <c r="Z89" i="17" s="1"/>
  <c r="AS89" i="17" s="1"/>
  <c r="AJ89" i="17"/>
  <c r="AI89" i="17"/>
  <c r="AH89" i="17"/>
  <c r="AG89" i="17"/>
  <c r="AF89" i="17"/>
  <c r="AE89" i="17"/>
  <c r="B89" i="17"/>
  <c r="A89" i="17"/>
  <c r="AE88" i="17"/>
  <c r="B88" i="17"/>
  <c r="A88" i="17"/>
  <c r="AE87" i="17"/>
  <c r="B87" i="17"/>
  <c r="A87" i="17"/>
  <c r="AE86" i="17"/>
  <c r="B86" i="17"/>
  <c r="A86" i="17"/>
  <c r="AE85" i="17"/>
  <c r="B85" i="17"/>
  <c r="A85" i="17"/>
  <c r="AE84" i="17"/>
  <c r="B84" i="17"/>
  <c r="A84" i="17"/>
  <c r="AE83" i="17"/>
  <c r="B83" i="17"/>
  <c r="A83" i="17"/>
  <c r="AE82" i="17"/>
  <c r="B82" i="17"/>
  <c r="A82" i="17"/>
  <c r="AE81" i="17"/>
  <c r="B81" i="17"/>
  <c r="A81" i="17"/>
  <c r="AE80" i="17"/>
  <c r="B80" i="17"/>
  <c r="A80" i="17"/>
  <c r="AK79" i="17"/>
  <c r="AE79" i="17"/>
  <c r="B79" i="17"/>
  <c r="A79" i="17"/>
  <c r="AE78" i="17"/>
  <c r="B78" i="17"/>
  <c r="A78" i="17"/>
  <c r="AE77" i="17"/>
  <c r="B77" i="17"/>
  <c r="A77" i="17"/>
  <c r="AE76" i="17"/>
  <c r="B76" i="17"/>
  <c r="A76" i="17"/>
  <c r="AE75" i="17"/>
  <c r="B75" i="17"/>
  <c r="A75" i="17"/>
  <c r="AE74" i="17"/>
  <c r="B74" i="17"/>
  <c r="A74" i="17"/>
  <c r="AE73" i="17"/>
  <c r="B73" i="17"/>
  <c r="A73" i="17"/>
  <c r="AE72" i="17"/>
  <c r="B72" i="17"/>
  <c r="A72" i="17"/>
  <c r="AE71" i="17"/>
  <c r="B71" i="17"/>
  <c r="A71" i="17"/>
  <c r="AR70" i="17"/>
  <c r="AE70" i="17"/>
  <c r="B70" i="17"/>
  <c r="A70" i="17"/>
  <c r="AE69" i="17"/>
  <c r="B69" i="17"/>
  <c r="A69" i="17"/>
  <c r="AQ68" i="17"/>
  <c r="AE68" i="17"/>
  <c r="B68" i="17"/>
  <c r="A68" i="17"/>
  <c r="AE67" i="17"/>
  <c r="B67" i="17"/>
  <c r="A67" i="17"/>
  <c r="AF66" i="17"/>
  <c r="AE66" i="17"/>
  <c r="B66" i="17"/>
  <c r="A66" i="17"/>
  <c r="AE65" i="17"/>
  <c r="B65" i="17"/>
  <c r="A65" i="17"/>
  <c r="AR64" i="17"/>
  <c r="AQ64" i="17"/>
  <c r="AP64" i="17"/>
  <c r="AO64" i="17"/>
  <c r="AN64" i="17"/>
  <c r="AM64" i="17"/>
  <c r="AK64" i="17"/>
  <c r="AJ64" i="17"/>
  <c r="AI64" i="17"/>
  <c r="AH64" i="17"/>
  <c r="AG64" i="17"/>
  <c r="AF64" i="17"/>
  <c r="AL64" i="17" s="1"/>
  <c r="AE64" i="17"/>
  <c r="B64" i="17"/>
  <c r="A64" i="17"/>
  <c r="AR63" i="17"/>
  <c r="AQ63" i="17"/>
  <c r="AP63" i="17"/>
  <c r="AO63" i="17"/>
  <c r="AN63" i="17"/>
  <c r="AM63" i="17"/>
  <c r="AL63" i="17"/>
  <c r="Z63" i="17" s="1"/>
  <c r="AS63" i="17" s="1"/>
  <c r="AK63" i="17"/>
  <c r="AJ63" i="17"/>
  <c r="AI63" i="17"/>
  <c r="AH63" i="17"/>
  <c r="AG63" i="17"/>
  <c r="AF63" i="17"/>
  <c r="AE63" i="17"/>
  <c r="B63" i="17"/>
  <c r="A63" i="17"/>
  <c r="AR62" i="17"/>
  <c r="AQ62" i="17"/>
  <c r="AP62" i="17"/>
  <c r="AO62" i="17"/>
  <c r="AN62" i="17"/>
  <c r="AM62" i="17"/>
  <c r="AK62" i="17"/>
  <c r="AJ62" i="17"/>
  <c r="AI62" i="17"/>
  <c r="AH62" i="17"/>
  <c r="AG62" i="17"/>
  <c r="AF62" i="17"/>
  <c r="AL62" i="17" s="1"/>
  <c r="AE62" i="17"/>
  <c r="B62" i="17"/>
  <c r="A62" i="17"/>
  <c r="AR61" i="17"/>
  <c r="AQ61" i="17"/>
  <c r="AP61" i="17"/>
  <c r="AO61" i="17"/>
  <c r="AN61" i="17"/>
  <c r="AM61" i="17"/>
  <c r="AK61" i="17"/>
  <c r="AL61" i="17" s="1"/>
  <c r="Z61" i="17" s="1"/>
  <c r="AS61" i="17" s="1"/>
  <c r="AJ61" i="17"/>
  <c r="AI61" i="17"/>
  <c r="AH61" i="17"/>
  <c r="AG61" i="17"/>
  <c r="AF61" i="17"/>
  <c r="AE61" i="17"/>
  <c r="B61" i="17"/>
  <c r="A61" i="17"/>
  <c r="AR60" i="17"/>
  <c r="AQ60" i="17"/>
  <c r="AP60" i="17"/>
  <c r="AO60" i="17"/>
  <c r="AN60" i="17"/>
  <c r="AM60" i="17"/>
  <c r="AK60" i="17"/>
  <c r="AJ60" i="17"/>
  <c r="AI60" i="17"/>
  <c r="AH60" i="17"/>
  <c r="AG60" i="17"/>
  <c r="AF60" i="17"/>
  <c r="AL60" i="17" s="1"/>
  <c r="AE60" i="17"/>
  <c r="B60" i="17"/>
  <c r="A60" i="17"/>
  <c r="AR59" i="17"/>
  <c r="AQ59" i="17"/>
  <c r="AP59" i="17"/>
  <c r="AO59" i="17"/>
  <c r="AN59" i="17"/>
  <c r="AM59" i="17"/>
  <c r="AL59" i="17"/>
  <c r="Z59" i="17" s="1"/>
  <c r="AS59" i="17" s="1"/>
  <c r="AK59" i="17"/>
  <c r="AJ59" i="17"/>
  <c r="AI59" i="17"/>
  <c r="AH59" i="17"/>
  <c r="AG59" i="17"/>
  <c r="AF59" i="17"/>
  <c r="AE59" i="17"/>
  <c r="B59" i="17"/>
  <c r="A59" i="17"/>
  <c r="AR58" i="17"/>
  <c r="AQ58" i="17"/>
  <c r="AP58" i="17"/>
  <c r="AO58" i="17"/>
  <c r="AN58" i="17"/>
  <c r="AM58" i="17"/>
  <c r="AK58" i="17"/>
  <c r="AJ58" i="17"/>
  <c r="AI58" i="17"/>
  <c r="AH58" i="17"/>
  <c r="AG58" i="17"/>
  <c r="AF58" i="17"/>
  <c r="AL58" i="17" s="1"/>
  <c r="Z58" i="17" s="1"/>
  <c r="AS58" i="17" s="1"/>
  <c r="AE58" i="17"/>
  <c r="B58" i="17"/>
  <c r="A58" i="17"/>
  <c r="AR57" i="17"/>
  <c r="AQ57" i="17"/>
  <c r="AP57" i="17"/>
  <c r="AO57" i="17"/>
  <c r="AN57" i="17"/>
  <c r="AM57" i="17"/>
  <c r="AK57" i="17"/>
  <c r="AL57" i="17" s="1"/>
  <c r="Z57" i="17" s="1"/>
  <c r="AS57" i="17" s="1"/>
  <c r="AJ57" i="17"/>
  <c r="AI57" i="17"/>
  <c r="AH57" i="17"/>
  <c r="AG57" i="17"/>
  <c r="AF57" i="17"/>
  <c r="AE57" i="17"/>
  <c r="B57" i="17"/>
  <c r="A57" i="17"/>
  <c r="AR56" i="17"/>
  <c r="AQ56" i="17"/>
  <c r="AP56" i="17"/>
  <c r="AO56" i="17"/>
  <c r="AN56" i="17"/>
  <c r="AM56" i="17"/>
  <c r="AK56" i="17"/>
  <c r="AJ56" i="17"/>
  <c r="AI56" i="17"/>
  <c r="AH56" i="17"/>
  <c r="AG56" i="17"/>
  <c r="AF56" i="17"/>
  <c r="AL56" i="17" s="1"/>
  <c r="Z56" i="17" s="1"/>
  <c r="AS56" i="17" s="1"/>
  <c r="AE56" i="17"/>
  <c r="B56" i="17"/>
  <c r="A56" i="17"/>
  <c r="AR55" i="17"/>
  <c r="AQ55" i="17"/>
  <c r="AP55" i="17"/>
  <c r="AO55" i="17"/>
  <c r="AN55" i="17"/>
  <c r="AM55" i="17"/>
  <c r="AL55" i="17"/>
  <c r="Z55" i="17" s="1"/>
  <c r="AS55" i="17" s="1"/>
  <c r="AK55" i="17"/>
  <c r="AJ55" i="17"/>
  <c r="AI55" i="17"/>
  <c r="AH55" i="17"/>
  <c r="AG55" i="17"/>
  <c r="AF55" i="17"/>
  <c r="AE55" i="17"/>
  <c r="B55" i="17"/>
  <c r="A55" i="17"/>
  <c r="AR54" i="17"/>
  <c r="AQ54" i="17"/>
  <c r="AP54" i="17"/>
  <c r="AO54" i="17"/>
  <c r="AN54" i="17"/>
  <c r="AM54" i="17"/>
  <c r="AK54" i="17"/>
  <c r="AJ54" i="17"/>
  <c r="AI54" i="17"/>
  <c r="AH54" i="17"/>
  <c r="AG54" i="17"/>
  <c r="AF54" i="17"/>
  <c r="AE54" i="17"/>
  <c r="B54" i="17"/>
  <c r="A54" i="17"/>
  <c r="AE53" i="17"/>
  <c r="B53" i="17"/>
  <c r="A53" i="17"/>
  <c r="AE52" i="17"/>
  <c r="B52" i="17"/>
  <c r="A52" i="17"/>
  <c r="AO51" i="17"/>
  <c r="AE51" i="17"/>
  <c r="B51" i="17"/>
  <c r="A51" i="17"/>
  <c r="AF50" i="17"/>
  <c r="AE50" i="17"/>
  <c r="B50" i="17"/>
  <c r="A50" i="17"/>
  <c r="AE49" i="17"/>
  <c r="B49" i="17"/>
  <c r="A49" i="17"/>
  <c r="AE48" i="17"/>
  <c r="B48" i="17"/>
  <c r="A48" i="17"/>
  <c r="AM47" i="17"/>
  <c r="AE47" i="17"/>
  <c r="B47" i="17"/>
  <c r="A47" i="17"/>
  <c r="AO46" i="17"/>
  <c r="AE46" i="17"/>
  <c r="B46" i="17"/>
  <c r="A46" i="17"/>
  <c r="AO45" i="17"/>
  <c r="AE45" i="17"/>
  <c r="B45" i="17"/>
  <c r="A45" i="17"/>
  <c r="AE44" i="17"/>
  <c r="B44" i="17"/>
  <c r="A44" i="17"/>
  <c r="AH43" i="17"/>
  <c r="AE43" i="17"/>
  <c r="B43" i="17"/>
  <c r="A43" i="17"/>
  <c r="AM42" i="17"/>
  <c r="AE42" i="17"/>
  <c r="B42" i="17"/>
  <c r="A42" i="17"/>
  <c r="AO41" i="17"/>
  <c r="AE41" i="17"/>
  <c r="B41" i="17"/>
  <c r="A41" i="17"/>
  <c r="AF40" i="17"/>
  <c r="AE40" i="17"/>
  <c r="B40" i="17"/>
  <c r="A40" i="17"/>
  <c r="AR39" i="17"/>
  <c r="AQ39" i="17"/>
  <c r="AP39" i="17"/>
  <c r="AO39" i="17"/>
  <c r="AN39" i="17"/>
  <c r="AM39" i="17"/>
  <c r="AL39" i="17"/>
  <c r="Z39" i="17" s="1"/>
  <c r="AS39" i="17" s="1"/>
  <c r="AK39" i="17"/>
  <c r="AJ39" i="17"/>
  <c r="AI39" i="17"/>
  <c r="AH39" i="17"/>
  <c r="AG39" i="17"/>
  <c r="AF39" i="17"/>
  <c r="AE39" i="17"/>
  <c r="B39" i="17"/>
  <c r="A39" i="17"/>
  <c r="AR38" i="17"/>
  <c r="AQ38" i="17"/>
  <c r="AP38" i="17"/>
  <c r="AO38" i="17"/>
  <c r="AN38" i="17"/>
  <c r="AM38" i="17"/>
  <c r="AK38" i="17"/>
  <c r="AJ38" i="17"/>
  <c r="AI38" i="17"/>
  <c r="AH38" i="17"/>
  <c r="AG38" i="17"/>
  <c r="AF38" i="17"/>
  <c r="AE38" i="17"/>
  <c r="B38" i="17"/>
  <c r="A38" i="17"/>
  <c r="AR37" i="17"/>
  <c r="AQ37" i="17"/>
  <c r="AP37" i="17"/>
  <c r="AO37" i="17"/>
  <c r="AN37" i="17"/>
  <c r="AM37" i="17"/>
  <c r="AK37" i="17"/>
  <c r="AL37" i="17" s="1"/>
  <c r="Z37" i="17" s="1"/>
  <c r="AS37" i="17" s="1"/>
  <c r="AJ37" i="17"/>
  <c r="AI37" i="17"/>
  <c r="AH37" i="17"/>
  <c r="AG37" i="17"/>
  <c r="AF37" i="17"/>
  <c r="AE37" i="17"/>
  <c r="B37" i="17"/>
  <c r="A37" i="17"/>
  <c r="AR36" i="17"/>
  <c r="AQ36" i="17"/>
  <c r="AP36" i="17"/>
  <c r="AO36" i="17"/>
  <c r="AN36" i="17"/>
  <c r="AM36" i="17"/>
  <c r="AK36" i="17"/>
  <c r="AJ36" i="17"/>
  <c r="AI36" i="17"/>
  <c r="AH36" i="17"/>
  <c r="AG36" i="17"/>
  <c r="AF36" i="17"/>
  <c r="AL36" i="17" s="1"/>
  <c r="AE36" i="17"/>
  <c r="Z36" i="17"/>
  <c r="AS36" i="17" s="1"/>
  <c r="B36" i="17"/>
  <c r="A36" i="17"/>
  <c r="AR35" i="17"/>
  <c r="AQ35" i="17"/>
  <c r="AP35" i="17"/>
  <c r="AO35" i="17"/>
  <c r="AN35" i="17"/>
  <c r="AM35" i="17"/>
  <c r="AK35" i="17"/>
  <c r="AJ35" i="17"/>
  <c r="AL35" i="17" s="1"/>
  <c r="Z35" i="17" s="1"/>
  <c r="AS35" i="17" s="1"/>
  <c r="AI35" i="17"/>
  <c r="AH35" i="17"/>
  <c r="AG35" i="17"/>
  <c r="AF35" i="17"/>
  <c r="AE35" i="17"/>
  <c r="B35" i="17"/>
  <c r="A35" i="17"/>
  <c r="AR34" i="17"/>
  <c r="AQ34" i="17"/>
  <c r="AP34" i="17"/>
  <c r="AO34" i="17"/>
  <c r="AN34" i="17"/>
  <c r="AM34" i="17"/>
  <c r="AK34" i="17"/>
  <c r="AJ34" i="17"/>
  <c r="AI34" i="17"/>
  <c r="AH34" i="17"/>
  <c r="AG34" i="17"/>
  <c r="AF34" i="17"/>
  <c r="AE34" i="17"/>
  <c r="B34" i="17"/>
  <c r="A34" i="17"/>
  <c r="AR33" i="17"/>
  <c r="AQ33" i="17"/>
  <c r="AP33" i="17"/>
  <c r="AO33" i="17"/>
  <c r="AN33" i="17"/>
  <c r="AM33" i="17"/>
  <c r="AK33" i="17"/>
  <c r="AJ33" i="17"/>
  <c r="AI33" i="17"/>
  <c r="AH33" i="17"/>
  <c r="AG33" i="17"/>
  <c r="AL33" i="17" s="1"/>
  <c r="Z33" i="17" s="1"/>
  <c r="AS33" i="17" s="1"/>
  <c r="AF33" i="17"/>
  <c r="AE33" i="17"/>
  <c r="B33" i="17"/>
  <c r="A33" i="17"/>
  <c r="AR32" i="17"/>
  <c r="AQ32" i="17"/>
  <c r="AP32" i="17"/>
  <c r="AO32" i="17"/>
  <c r="AN32" i="17"/>
  <c r="AM32" i="17"/>
  <c r="AK32" i="17"/>
  <c r="AJ32" i="17"/>
  <c r="AI32" i="17"/>
  <c r="AH32" i="17"/>
  <c r="AG32" i="17"/>
  <c r="AF32" i="17"/>
  <c r="AE32" i="17"/>
  <c r="B32" i="17"/>
  <c r="A32" i="17"/>
  <c r="AR31" i="17"/>
  <c r="AQ31" i="17"/>
  <c r="AP31" i="17"/>
  <c r="AO31" i="17"/>
  <c r="AN31" i="17"/>
  <c r="AM31" i="17"/>
  <c r="AK31" i="17"/>
  <c r="AJ31" i="17"/>
  <c r="AI31" i="17"/>
  <c r="AH31" i="17"/>
  <c r="AG31" i="17"/>
  <c r="AL31" i="17" s="1"/>
  <c r="Z31" i="17" s="1"/>
  <c r="AS31" i="17" s="1"/>
  <c r="AF31" i="17"/>
  <c r="AE31" i="17"/>
  <c r="B31" i="17"/>
  <c r="A31" i="17"/>
  <c r="AR30" i="17"/>
  <c r="AQ30" i="17"/>
  <c r="AP30" i="17"/>
  <c r="AO30" i="17"/>
  <c r="AN30" i="17"/>
  <c r="AM30" i="17"/>
  <c r="AK30" i="17"/>
  <c r="AJ30" i="17"/>
  <c r="AI30" i="17"/>
  <c r="AH30" i="17"/>
  <c r="AG30" i="17"/>
  <c r="AF30" i="17"/>
  <c r="AE30" i="17"/>
  <c r="B30" i="17"/>
  <c r="A30" i="17"/>
  <c r="AR29" i="17"/>
  <c r="AQ29" i="17"/>
  <c r="AP29" i="17"/>
  <c r="AO29" i="17"/>
  <c r="AN29" i="17"/>
  <c r="AM29" i="17"/>
  <c r="AK29" i="17"/>
  <c r="AJ29" i="17"/>
  <c r="AI29" i="17"/>
  <c r="AH29" i="17"/>
  <c r="AG29" i="17"/>
  <c r="AL29" i="17" s="1"/>
  <c r="Z29" i="17" s="1"/>
  <c r="AS29" i="17" s="1"/>
  <c r="AF29" i="17"/>
  <c r="AE29" i="17"/>
  <c r="B29" i="17"/>
  <c r="A29" i="17"/>
  <c r="AM28" i="17"/>
  <c r="AE28" i="17"/>
  <c r="B28" i="17"/>
  <c r="A28" i="17"/>
  <c r="AO27" i="17"/>
  <c r="AE27" i="17"/>
  <c r="B27" i="17"/>
  <c r="A27" i="17"/>
  <c r="AF26" i="17"/>
  <c r="AE26" i="17"/>
  <c r="B26" i="17"/>
  <c r="A26" i="17"/>
  <c r="AJ25" i="17"/>
  <c r="AE25" i="17"/>
  <c r="B25" i="17"/>
  <c r="A25" i="17"/>
  <c r="AO24" i="17"/>
  <c r="AE24" i="17"/>
  <c r="B24" i="17"/>
  <c r="A24" i="17"/>
  <c r="AE23" i="17"/>
  <c r="B23" i="17"/>
  <c r="A23" i="17"/>
  <c r="AH22" i="17"/>
  <c r="AE22" i="17"/>
  <c r="B22" i="17"/>
  <c r="A22" i="17"/>
  <c r="AE21" i="17"/>
  <c r="B21" i="17"/>
  <c r="A21" i="17"/>
  <c r="AQ20" i="17"/>
  <c r="AE20" i="17"/>
  <c r="B20" i="17"/>
  <c r="A20" i="17"/>
  <c r="AH19" i="17"/>
  <c r="AE19" i="17"/>
  <c r="B19" i="17"/>
  <c r="A19" i="17"/>
  <c r="AM18" i="17"/>
  <c r="AE18" i="17"/>
  <c r="B18" i="17"/>
  <c r="A18" i="17"/>
  <c r="AQ17" i="17"/>
  <c r="AE17" i="17"/>
  <c r="B17" i="17"/>
  <c r="A17" i="17"/>
  <c r="AR16" i="17"/>
  <c r="AQ16" i="17"/>
  <c r="AP16" i="17"/>
  <c r="AO16" i="17"/>
  <c r="AN16" i="17"/>
  <c r="AM16" i="17"/>
  <c r="AK16" i="17"/>
  <c r="AJ16" i="17"/>
  <c r="AL16" i="17" s="1"/>
  <c r="Z16" i="17" s="1"/>
  <c r="AS16" i="17" s="1"/>
  <c r="AI16" i="17"/>
  <c r="AH16" i="17"/>
  <c r="AG16" i="17"/>
  <c r="AF16" i="17"/>
  <c r="AE16" i="17"/>
  <c r="B16" i="17"/>
  <c r="A16" i="17"/>
  <c r="AR15" i="17"/>
  <c r="AQ15" i="17"/>
  <c r="AP15" i="17"/>
  <c r="AE15" i="17"/>
  <c r="B15" i="17"/>
  <c r="A15" i="17"/>
  <c r="AR14" i="17"/>
  <c r="AQ14" i="17"/>
  <c r="AJ14" i="17"/>
  <c r="AE14" i="17"/>
  <c r="B14" i="17"/>
  <c r="A14" i="17"/>
  <c r="AR13" i="17"/>
  <c r="AQ13" i="17"/>
  <c r="AP13" i="17"/>
  <c r="AE13" i="17"/>
  <c r="B13" i="17"/>
  <c r="A13" i="17"/>
  <c r="AR12" i="17"/>
  <c r="AQ12" i="17"/>
  <c r="AJ12" i="17"/>
  <c r="AE12" i="17"/>
  <c r="B12" i="17"/>
  <c r="A12" i="17"/>
  <c r="AR11" i="17"/>
  <c r="AQ11" i="17"/>
  <c r="AP11" i="17"/>
  <c r="AE11" i="17"/>
  <c r="B11" i="17"/>
  <c r="A11" i="17"/>
  <c r="AR10" i="17"/>
  <c r="AQ10" i="17"/>
  <c r="AJ10" i="17"/>
  <c r="AE10" i="17"/>
  <c r="B10" i="17"/>
  <c r="A10" i="17"/>
  <c r="AR9" i="17"/>
  <c r="AQ9" i="17"/>
  <c r="AP9" i="17"/>
  <c r="AE9" i="17"/>
  <c r="B9" i="17"/>
  <c r="A9" i="17"/>
  <c r="AR8" i="17"/>
  <c r="AQ8" i="17"/>
  <c r="AJ8" i="17"/>
  <c r="AE8" i="17"/>
  <c r="B8" i="17"/>
  <c r="A8" i="17"/>
  <c r="AR7" i="17"/>
  <c r="AQ7" i="17"/>
  <c r="AP7" i="17"/>
  <c r="AE7" i="17"/>
  <c r="B7" i="17"/>
  <c r="A7" i="17"/>
  <c r="AR6" i="17"/>
  <c r="AQ6" i="17"/>
  <c r="AJ6" i="17"/>
  <c r="AE6" i="17"/>
  <c r="B6" i="17"/>
  <c r="A6" i="17"/>
  <c r="AR5" i="17"/>
  <c r="AQ5" i="17"/>
  <c r="AP5" i="17"/>
  <c r="AE5" i="17"/>
  <c r="B5" i="17"/>
  <c r="A5" i="17"/>
  <c r="AR4" i="17"/>
  <c r="AQ4" i="17"/>
  <c r="AJ4" i="17"/>
  <c r="AE4" i="17"/>
  <c r="B4" i="17"/>
  <c r="A4" i="17"/>
  <c r="AR3" i="17"/>
  <c r="AQ3" i="17"/>
  <c r="AP3" i="17"/>
  <c r="AO3" i="17"/>
  <c r="AN3" i="17"/>
  <c r="AE3" i="17"/>
  <c r="B3" i="17"/>
  <c r="R13" i="28" s="1"/>
  <c r="A3" i="17"/>
  <c r="AR2" i="17"/>
  <c r="AQ2" i="17"/>
  <c r="AJ2" i="17"/>
  <c r="AI2" i="17"/>
  <c r="AH2" i="17"/>
  <c r="AE2" i="17"/>
  <c r="B2" i="17"/>
  <c r="A2" i="17"/>
  <c r="B1" i="17"/>
  <c r="P13" i="28" s="1"/>
  <c r="A1" i="17"/>
  <c r="C14" i="24"/>
  <c r="E13" i="24"/>
  <c r="E12" i="24"/>
  <c r="C12" i="24"/>
  <c r="D7" i="24"/>
  <c r="E4" i="24"/>
  <c r="D4" i="24"/>
  <c r="E3" i="24"/>
  <c r="E13" i="28"/>
  <c r="A13" i="28"/>
  <c r="R12" i="28"/>
  <c r="E12" i="28"/>
  <c r="A12" i="28"/>
  <c r="R11" i="28"/>
  <c r="Q11" i="28"/>
  <c r="G11" i="28" s="1"/>
  <c r="E11" i="28"/>
  <c r="A11" i="28"/>
  <c r="Q10" i="28"/>
  <c r="P10" i="28"/>
  <c r="E10" i="28"/>
  <c r="A10" i="28"/>
  <c r="P9" i="28"/>
  <c r="O9" i="28"/>
  <c r="E9" i="28"/>
  <c r="A9" i="28"/>
  <c r="O8" i="28"/>
  <c r="N8" i="28"/>
  <c r="E8" i="28"/>
  <c r="A8" i="28"/>
  <c r="N7" i="28"/>
  <c r="M7" i="28"/>
  <c r="E7" i="28"/>
  <c r="A7" i="28"/>
  <c r="M6" i="28"/>
  <c r="E6" i="28"/>
  <c r="A6" i="28"/>
  <c r="E5" i="28"/>
  <c r="A5" i="28"/>
  <c r="E4" i="28"/>
  <c r="A4" i="28"/>
  <c r="E3" i="28"/>
  <c r="A3" i="28"/>
  <c r="E2" i="28"/>
  <c r="A2" i="28"/>
  <c r="R10" i="28" l="1"/>
  <c r="G10" i="28" s="1"/>
  <c r="E14" i="24"/>
  <c r="AK2" i="17"/>
  <c r="AK4" i="17"/>
  <c r="AK6" i="17"/>
  <c r="AK8" i="17"/>
  <c r="AK10" i="17"/>
  <c r="AK12" i="17"/>
  <c r="AK14" i="17"/>
  <c r="AN18" i="17"/>
  <c r="AI19" i="17"/>
  <c r="AR20" i="17"/>
  <c r="AM21" i="17"/>
  <c r="AI22" i="17"/>
  <c r="AP24" i="17"/>
  <c r="AK25" i="17"/>
  <c r="AG26" i="17"/>
  <c r="AP27" i="17"/>
  <c r="AN28" i="17"/>
  <c r="AL38" i="17"/>
  <c r="Z38" i="17" s="1"/>
  <c r="AS38" i="17" s="1"/>
  <c r="AG40" i="17"/>
  <c r="AP41" i="17"/>
  <c r="AN42" i="17"/>
  <c r="AI43" i="17"/>
  <c r="AP45" i="17"/>
  <c r="AP46" i="17"/>
  <c r="AO47" i="17"/>
  <c r="AG50" i="17"/>
  <c r="AL50" i="17" s="1"/>
  <c r="Z50" i="17" s="1"/>
  <c r="AS50" i="17" s="1"/>
  <c r="AO53" i="17"/>
  <c r="AQ66" i="17"/>
  <c r="AR68" i="17"/>
  <c r="AK77" i="17"/>
  <c r="AF88" i="17"/>
  <c r="Z94" i="17"/>
  <c r="AS94" i="17" s="1"/>
  <c r="AK152" i="17"/>
  <c r="E6" i="24"/>
  <c r="AF11" i="17"/>
  <c r="AJ19" i="17"/>
  <c r="AJ22" i="17"/>
  <c r="AG23" i="17"/>
  <c r="AQ24" i="17"/>
  <c r="AH26" i="17"/>
  <c r="AL26" i="17" s="1"/>
  <c r="Z26" i="17" s="1"/>
  <c r="AS26" i="17" s="1"/>
  <c r="AO28" i="17"/>
  <c r="AH40" i="17"/>
  <c r="AO42" i="17"/>
  <c r="AJ43" i="17"/>
  <c r="AF44" i="17"/>
  <c r="AQ46" i="17"/>
  <c r="AP47" i="17"/>
  <c r="AI50" i="17"/>
  <c r="Z60" i="17"/>
  <c r="AS60" i="17" s="1"/>
  <c r="AR66" i="17"/>
  <c r="AK75" i="17"/>
  <c r="AF86" i="17"/>
  <c r="AQ88" i="17"/>
  <c r="Z108" i="17"/>
  <c r="AS108" i="17" s="1"/>
  <c r="Z114" i="17"/>
  <c r="AS114" i="17" s="1"/>
  <c r="AK125" i="17"/>
  <c r="AR128" i="17"/>
  <c r="AQ131" i="17"/>
  <c r="AN134" i="17"/>
  <c r="AI168" i="17"/>
  <c r="AN289" i="17"/>
  <c r="R9" i="28"/>
  <c r="AF5" i="17"/>
  <c r="AG17" i="17"/>
  <c r="N3" i="28"/>
  <c r="R7" i="28"/>
  <c r="AG3" i="17"/>
  <c r="AM4" i="17"/>
  <c r="AG5" i="17"/>
  <c r="AM6" i="17"/>
  <c r="AG7" i="17"/>
  <c r="AM8" i="17"/>
  <c r="AG9" i="17"/>
  <c r="AM10" i="17"/>
  <c r="AG11" i="17"/>
  <c r="AM12" i="17"/>
  <c r="AG13" i="17"/>
  <c r="AM14" i="17"/>
  <c r="AG15" i="17"/>
  <c r="AH17" i="17"/>
  <c r="AP18" i="17"/>
  <c r="AK19" i="17"/>
  <c r="AF20" i="17"/>
  <c r="AO21" i="17"/>
  <c r="AM22" i="17"/>
  <c r="AH23" i="17"/>
  <c r="AR24" i="17"/>
  <c r="AM25" i="17"/>
  <c r="AI26" i="17"/>
  <c r="AP28" i="17"/>
  <c r="AL34" i="17"/>
  <c r="Z34" i="17" s="1"/>
  <c r="AS34" i="17" s="1"/>
  <c r="AI40" i="17"/>
  <c r="AL40" i="17" s="1"/>
  <c r="Z40" i="17" s="1"/>
  <c r="AS40" i="17" s="1"/>
  <c r="AP42" i="17"/>
  <c r="AK43" i="17"/>
  <c r="AG44" i="17"/>
  <c r="AR46" i="17"/>
  <c r="AQ50" i="17"/>
  <c r="AK73" i="17"/>
  <c r="AF84" i="17"/>
  <c r="AQ86" i="17"/>
  <c r="AR88" i="17"/>
  <c r="Z98" i="17"/>
  <c r="AS98" i="17" s="1"/>
  <c r="AG143" i="17"/>
  <c r="Z146" i="17"/>
  <c r="AS146" i="17" s="1"/>
  <c r="AN149" i="17"/>
  <c r="N6" i="28"/>
  <c r="F6" i="28" s="1"/>
  <c r="H6" i="28" s="1"/>
  <c r="O7" i="28"/>
  <c r="F7" i="28" s="1"/>
  <c r="H7" i="28" s="1"/>
  <c r="O6" i="28"/>
  <c r="M3" i="28"/>
  <c r="R8" i="28"/>
  <c r="AF7" i="17"/>
  <c r="P4" i="28"/>
  <c r="AN2" i="17"/>
  <c r="AN6" i="17"/>
  <c r="AH7" i="17"/>
  <c r="AN8" i="17"/>
  <c r="AH9" i="17"/>
  <c r="AN10" i="17"/>
  <c r="AH11" i="17"/>
  <c r="AN12" i="17"/>
  <c r="AH13" i="17"/>
  <c r="AN14" i="17"/>
  <c r="AH15" i="17"/>
  <c r="AI17" i="17"/>
  <c r="AQ18" i="17"/>
  <c r="AG20" i="17"/>
  <c r="AP21" i="17"/>
  <c r="AN22" i="17"/>
  <c r="AI23" i="17"/>
  <c r="AN25" i="17"/>
  <c r="AJ26" i="17"/>
  <c r="AG27" i="17"/>
  <c r="AQ28" i="17"/>
  <c r="AL32" i="17"/>
  <c r="Z32" i="17" s="1"/>
  <c r="AS32" i="17" s="1"/>
  <c r="AJ40" i="17"/>
  <c r="AG41" i="17"/>
  <c r="AQ42" i="17"/>
  <c r="AH44" i="17"/>
  <c r="AR50" i="17"/>
  <c r="AF52" i="17"/>
  <c r="Z64" i="17"/>
  <c r="AS64" i="17" s="1"/>
  <c r="AK71" i="17"/>
  <c r="AF82" i="17"/>
  <c r="AQ84" i="17"/>
  <c r="AR86" i="17"/>
  <c r="AF112" i="17"/>
  <c r="Z118" i="17"/>
  <c r="AS118" i="17" s="1"/>
  <c r="AI140" i="17"/>
  <c r="Z159" i="17"/>
  <c r="AS159" i="17" s="1"/>
  <c r="AQ172" i="17"/>
  <c r="AP198" i="17"/>
  <c r="E5" i="24"/>
  <c r="AF3" i="17"/>
  <c r="AF13" i="17"/>
  <c r="AN21" i="17"/>
  <c r="M2" i="28"/>
  <c r="O4" i="28"/>
  <c r="P5" i="28"/>
  <c r="Q6" i="28"/>
  <c r="G6" i="28" s="1"/>
  <c r="AM2" i="17"/>
  <c r="N2" i="28"/>
  <c r="O3" i="28"/>
  <c r="Q5" i="28"/>
  <c r="R6" i="28"/>
  <c r="M13" i="28"/>
  <c r="AH3" i="17"/>
  <c r="AH5" i="17"/>
  <c r="O2" i="28"/>
  <c r="P3" i="28"/>
  <c r="Q4" i="28"/>
  <c r="R5" i="28"/>
  <c r="M12" i="28"/>
  <c r="N13" i="28"/>
  <c r="E8" i="24"/>
  <c r="AO2" i="17"/>
  <c r="AI3" i="17"/>
  <c r="AO4" i="17"/>
  <c r="AI5" i="17"/>
  <c r="AO6" i="17"/>
  <c r="AI7" i="17"/>
  <c r="AO8" i="17"/>
  <c r="AI9" i="17"/>
  <c r="AO10" i="17"/>
  <c r="AI11" i="17"/>
  <c r="AO12" i="17"/>
  <c r="AI13" i="17"/>
  <c r="AO14" i="17"/>
  <c r="AI15" i="17"/>
  <c r="AJ17" i="17"/>
  <c r="AR18" i="17"/>
  <c r="AM19" i="17"/>
  <c r="AH20" i="17"/>
  <c r="AO22" i="17"/>
  <c r="AJ23" i="17"/>
  <c r="AF24" i="17"/>
  <c r="AO25" i="17"/>
  <c r="AM26" i="17"/>
  <c r="AH27" i="17"/>
  <c r="AR28" i="17"/>
  <c r="AL30" i="17"/>
  <c r="Z30" i="17" s="1"/>
  <c r="AS30" i="17" s="1"/>
  <c r="AM40" i="17"/>
  <c r="AH41" i="17"/>
  <c r="AR42" i="17"/>
  <c r="AM43" i="17"/>
  <c r="AI44" i="17"/>
  <c r="AH45" i="17"/>
  <c r="AK49" i="17"/>
  <c r="AI52" i="17"/>
  <c r="AL54" i="17"/>
  <c r="Z54" i="17" s="1"/>
  <c r="AS54" i="17" s="1"/>
  <c r="AK69" i="17"/>
  <c r="AF80" i="17"/>
  <c r="AQ82" i="17"/>
  <c r="AR84" i="17"/>
  <c r="Z102" i="17"/>
  <c r="AS102" i="17" s="1"/>
  <c r="AQ112" i="17"/>
  <c r="Z122" i="17"/>
  <c r="AS122" i="17" s="1"/>
  <c r="AF153" i="17"/>
  <c r="Z156" i="17"/>
  <c r="AS156" i="17" s="1"/>
  <c r="AH475" i="17"/>
  <c r="AI473" i="17"/>
  <c r="AP470" i="17"/>
  <c r="AR469" i="17"/>
  <c r="AG467" i="17"/>
  <c r="AI464" i="17"/>
  <c r="AH463" i="17"/>
  <c r="AM462" i="17"/>
  <c r="AO461" i="17"/>
  <c r="AP460" i="17"/>
  <c r="AI456" i="17"/>
  <c r="AH455" i="17"/>
  <c r="AJ454" i="17"/>
  <c r="AI453" i="17"/>
  <c r="AO449" i="17"/>
  <c r="AQ448" i="17"/>
  <c r="AG447" i="17"/>
  <c r="AR445" i="17"/>
  <c r="AO443" i="17"/>
  <c r="AQ442" i="17"/>
  <c r="AG441" i="17"/>
  <c r="AK440" i="17"/>
  <c r="AH437" i="17"/>
  <c r="AG431" i="17"/>
  <c r="AK430" i="17"/>
  <c r="AH427" i="17"/>
  <c r="AP425" i="17"/>
  <c r="AK423" i="17"/>
  <c r="AI421" i="17"/>
  <c r="AG419" i="17"/>
  <c r="AR417" i="17"/>
  <c r="AF417" i="17"/>
  <c r="AR415" i="17"/>
  <c r="AF415" i="17"/>
  <c r="AR413" i="17"/>
  <c r="AF413" i="17"/>
  <c r="AR411" i="17"/>
  <c r="AJ474" i="17"/>
  <c r="AH473" i="17"/>
  <c r="AJ472" i="17"/>
  <c r="AO470" i="17"/>
  <c r="AP469" i="17"/>
  <c r="AF467" i="17"/>
  <c r="AG463" i="17"/>
  <c r="AJ461" i="17"/>
  <c r="AO460" i="17"/>
  <c r="AG455" i="17"/>
  <c r="AI454" i="17"/>
  <c r="AH453" i="17"/>
  <c r="AN449" i="17"/>
  <c r="AP448" i="17"/>
  <c r="AF447" i="17"/>
  <c r="AL447" i="17" s="1"/>
  <c r="AQ445" i="17"/>
  <c r="AN443" i="17"/>
  <c r="AP442" i="17"/>
  <c r="AF441" i="17"/>
  <c r="AJ440" i="17"/>
  <c r="AQ438" i="17"/>
  <c r="AG437" i="17"/>
  <c r="AK436" i="17"/>
  <c r="AF431" i="17"/>
  <c r="AJ430" i="17"/>
  <c r="AQ428" i="17"/>
  <c r="AG427" i="17"/>
  <c r="AK426" i="17"/>
  <c r="AO425" i="17"/>
  <c r="AJ423" i="17"/>
  <c r="AH421" i="17"/>
  <c r="AF419" i="17"/>
  <c r="AK418" i="17"/>
  <c r="AQ417" i="17"/>
  <c r="AK416" i="17"/>
  <c r="AQ415" i="17"/>
  <c r="AK414" i="17"/>
  <c r="AI474" i="17"/>
  <c r="AG473" i="17"/>
  <c r="AI472" i="17"/>
  <c r="AN470" i="17"/>
  <c r="AO469" i="17"/>
  <c r="AF463" i="17"/>
  <c r="AJ462" i="17"/>
  <c r="AI461" i="17"/>
  <c r="AN460" i="17"/>
  <c r="AP459" i="17"/>
  <c r="AF455" i="17"/>
  <c r="AL455" i="17" s="1"/>
  <c r="Z455" i="17" s="1"/>
  <c r="AS455" i="17" s="1"/>
  <c r="AG453" i="17"/>
  <c r="AR451" i="17"/>
  <c r="AK449" i="17"/>
  <c r="AO448" i="17"/>
  <c r="AP445" i="17"/>
  <c r="AK443" i="17"/>
  <c r="AO442" i="17"/>
  <c r="AI440" i="17"/>
  <c r="AP438" i="17"/>
  <c r="AF437" i="17"/>
  <c r="AJ436" i="17"/>
  <c r="AQ434" i="17"/>
  <c r="AI430" i="17"/>
  <c r="AP428" i="17"/>
  <c r="AF427" i="17"/>
  <c r="AL427" i="17" s="1"/>
  <c r="AJ426" i="17"/>
  <c r="AN425" i="17"/>
  <c r="AI423" i="17"/>
  <c r="AG421" i="17"/>
  <c r="AR419" i="17"/>
  <c r="AJ418" i="17"/>
  <c r="AP417" i="17"/>
  <c r="AJ416" i="17"/>
  <c r="AP415" i="17"/>
  <c r="AJ414" i="17"/>
  <c r="AP413" i="17"/>
  <c r="AF473" i="17"/>
  <c r="AM470" i="17"/>
  <c r="AJ469" i="17"/>
  <c r="AI462" i="17"/>
  <c r="AH461" i="17"/>
  <c r="AM460" i="17"/>
  <c r="AO459" i="17"/>
  <c r="AP458" i="17"/>
  <c r="AF453" i="17"/>
  <c r="AP451" i="17"/>
  <c r="AJ449" i="17"/>
  <c r="AN448" i="17"/>
  <c r="AR447" i="17"/>
  <c r="AO445" i="17"/>
  <c r="AJ443" i="17"/>
  <c r="AN442" i="17"/>
  <c r="AR441" i="17"/>
  <c r="AH440" i="17"/>
  <c r="AO438" i="17"/>
  <c r="AI436" i="17"/>
  <c r="AP434" i="17"/>
  <c r="AR431" i="17"/>
  <c r="AH430" i="17"/>
  <c r="AO428" i="17"/>
  <c r="AI426" i="17"/>
  <c r="AK425" i="17"/>
  <c r="AH423" i="17"/>
  <c r="AF421" i="17"/>
  <c r="AQ419" i="17"/>
  <c r="AI418" i="17"/>
  <c r="AO417" i="17"/>
  <c r="AI416" i="17"/>
  <c r="AO415" i="17"/>
  <c r="AI414" i="17"/>
  <c r="AO413" i="17"/>
  <c r="AI412" i="17"/>
  <c r="AO411" i="17"/>
  <c r="AI469" i="17"/>
  <c r="AG461" i="17"/>
  <c r="AJ459" i="17"/>
  <c r="AO458" i="17"/>
  <c r="AO451" i="17"/>
  <c r="AI449" i="17"/>
  <c r="AM448" i="17"/>
  <c r="AQ447" i="17"/>
  <c r="AN445" i="17"/>
  <c r="AI443" i="17"/>
  <c r="AM442" i="17"/>
  <c r="AQ441" i="17"/>
  <c r="AN438" i="17"/>
  <c r="AR437" i="17"/>
  <c r="AH436" i="17"/>
  <c r="AO434" i="17"/>
  <c r="AQ431" i="17"/>
  <c r="AN428" i="17"/>
  <c r="AR427" i="17"/>
  <c r="AH426" i="17"/>
  <c r="AJ425" i="17"/>
  <c r="AG423" i="17"/>
  <c r="AR421" i="17"/>
  <c r="AP419" i="17"/>
  <c r="AH418" i="17"/>
  <c r="AN417" i="17"/>
  <c r="AH416" i="17"/>
  <c r="AN415" i="17"/>
  <c r="AH414" i="17"/>
  <c r="AN413" i="17"/>
  <c r="AH412" i="17"/>
  <c r="AN411" i="17"/>
  <c r="AH410" i="17"/>
  <c r="AN409" i="17"/>
  <c r="AH408" i="17"/>
  <c r="AF461" i="17"/>
  <c r="AJ460" i="17"/>
  <c r="AI459" i="17"/>
  <c r="AN458" i="17"/>
  <c r="AP457" i="17"/>
  <c r="AK451" i="17"/>
  <c r="AH449" i="17"/>
  <c r="AP447" i="17"/>
  <c r="AK445" i="17"/>
  <c r="AH443" i="17"/>
  <c r="AP441" i="17"/>
  <c r="AM438" i="17"/>
  <c r="AQ437" i="17"/>
  <c r="AN434" i="17"/>
  <c r="AP431" i="17"/>
  <c r="AM428" i="17"/>
  <c r="AQ427" i="17"/>
  <c r="AI425" i="17"/>
  <c r="AF423" i="17"/>
  <c r="AQ421" i="17"/>
  <c r="AO419" i="17"/>
  <c r="AG418" i="17"/>
  <c r="AM417" i="17"/>
  <c r="AG416" i="17"/>
  <c r="AM415" i="17"/>
  <c r="AG414" i="17"/>
  <c r="AM413" i="17"/>
  <c r="AG412" i="17"/>
  <c r="AM411" i="17"/>
  <c r="AG410" i="17"/>
  <c r="AM409" i="17"/>
  <c r="AG408" i="17"/>
  <c r="AM407" i="17"/>
  <c r="AG406" i="17"/>
  <c r="AM405" i="17"/>
  <c r="AG404" i="17"/>
  <c r="AM403" i="17"/>
  <c r="AG402" i="17"/>
  <c r="AM401" i="17"/>
  <c r="AG400" i="17"/>
  <c r="AM399" i="17"/>
  <c r="AG398" i="17"/>
  <c r="AM397" i="17"/>
  <c r="AM395" i="17"/>
  <c r="AM393" i="17"/>
  <c r="AI470" i="17"/>
  <c r="AG469" i="17"/>
  <c r="AR467" i="17"/>
  <c r="AP464" i="17"/>
  <c r="AI460" i="17"/>
  <c r="AH459" i="17"/>
  <c r="AM458" i="17"/>
  <c r="AO457" i="17"/>
  <c r="AP456" i="17"/>
  <c r="AJ451" i="17"/>
  <c r="AG449" i="17"/>
  <c r="AK448" i="17"/>
  <c r="AO447" i="17"/>
  <c r="AJ445" i="17"/>
  <c r="AG443" i="17"/>
  <c r="AK442" i="17"/>
  <c r="AO441" i="17"/>
  <c r="AQ440" i="17"/>
  <c r="AP437" i="17"/>
  <c r="AM434" i="17"/>
  <c r="AO431" i="17"/>
  <c r="AQ430" i="17"/>
  <c r="AP427" i="17"/>
  <c r="AH425" i="17"/>
  <c r="AP421" i="17"/>
  <c r="AN419" i="17"/>
  <c r="AR418" i="17"/>
  <c r="AF418" i="17"/>
  <c r="AR416" i="17"/>
  <c r="AF416" i="17"/>
  <c r="AR414" i="17"/>
  <c r="AF414" i="17"/>
  <c r="AR412" i="17"/>
  <c r="AF412" i="17"/>
  <c r="AR410" i="17"/>
  <c r="AF410" i="17"/>
  <c r="AR408" i="17"/>
  <c r="AO481" i="17"/>
  <c r="AO479" i="17"/>
  <c r="AF469" i="17"/>
  <c r="AP467" i="17"/>
  <c r="AO464" i="17"/>
  <c r="AG459" i="17"/>
  <c r="AJ457" i="17"/>
  <c r="AO456" i="17"/>
  <c r="AP454" i="17"/>
  <c r="AR453" i="17"/>
  <c r="AI451" i="17"/>
  <c r="AF449" i="17"/>
  <c r="AL449" i="17" s="1"/>
  <c r="Z449" i="17" s="1"/>
  <c r="AS449" i="17" s="1"/>
  <c r="AJ448" i="17"/>
  <c r="AN447" i="17"/>
  <c r="AI445" i="17"/>
  <c r="AF443" i="17"/>
  <c r="AJ442" i="17"/>
  <c r="AN441" i="17"/>
  <c r="AP440" i="17"/>
  <c r="AK438" i="17"/>
  <c r="AO437" i="17"/>
  <c r="AQ436" i="17"/>
  <c r="AN431" i="17"/>
  <c r="AP430" i="17"/>
  <c r="AK428" i="17"/>
  <c r="AO427" i="17"/>
  <c r="AQ426" i="17"/>
  <c r="AG425" i="17"/>
  <c r="AR423" i="17"/>
  <c r="AO421" i="17"/>
  <c r="AQ418" i="17"/>
  <c r="AK417" i="17"/>
  <c r="AQ416" i="17"/>
  <c r="AK415" i="17"/>
  <c r="AQ414" i="17"/>
  <c r="AK413" i="17"/>
  <c r="AP483" i="17"/>
  <c r="AH481" i="17"/>
  <c r="AI479" i="17"/>
  <c r="AP476" i="17"/>
  <c r="AP475" i="17"/>
  <c r="AP474" i="17"/>
  <c r="AR473" i="17"/>
  <c r="AP472" i="17"/>
  <c r="AO467" i="17"/>
  <c r="AN464" i="17"/>
  <c r="AP463" i="17"/>
  <c r="AF459" i="17"/>
  <c r="AL459" i="17" s="1"/>
  <c r="AJ458" i="17"/>
  <c r="AI457" i="17"/>
  <c r="AN456" i="17"/>
  <c r="AP455" i="17"/>
  <c r="AO454" i="17"/>
  <c r="AP453" i="17"/>
  <c r="AH451" i="17"/>
  <c r="AI448" i="17"/>
  <c r="AK447" i="17"/>
  <c r="AH445" i="17"/>
  <c r="AI442" i="17"/>
  <c r="AK441" i="17"/>
  <c r="AO440" i="17"/>
  <c r="AJ438" i="17"/>
  <c r="AN437" i="17"/>
  <c r="AP436" i="17"/>
  <c r="AK434" i="17"/>
  <c r="AK431" i="17"/>
  <c r="AO430" i="17"/>
  <c r="AJ428" i="17"/>
  <c r="AN427" i="17"/>
  <c r="AP426" i="17"/>
  <c r="AF425" i="17"/>
  <c r="AQ423" i="17"/>
  <c r="AN421" i="17"/>
  <c r="AI521" i="17"/>
  <c r="AF519" i="17"/>
  <c r="AH509" i="17"/>
  <c r="AN500" i="17"/>
  <c r="AP493" i="17"/>
  <c r="AO483" i="17"/>
  <c r="AH479" i="17"/>
  <c r="AP477" i="17"/>
  <c r="AO476" i="17"/>
  <c r="AO475" i="17"/>
  <c r="AO474" i="17"/>
  <c r="AP473" i="17"/>
  <c r="AO472" i="17"/>
  <c r="AJ467" i="17"/>
  <c r="AM464" i="17"/>
  <c r="AO463" i="17"/>
  <c r="AP462" i="17"/>
  <c r="AI458" i="17"/>
  <c r="AH457" i="17"/>
  <c r="AM456" i="17"/>
  <c r="AO455" i="17"/>
  <c r="AN454" i="17"/>
  <c r="AO453" i="17"/>
  <c r="AG451" i="17"/>
  <c r="AR449" i="17"/>
  <c r="AH448" i="17"/>
  <c r="AJ447" i="17"/>
  <c r="AG445" i="17"/>
  <c r="AR443" i="17"/>
  <c r="AH442" i="17"/>
  <c r="AJ441" i="17"/>
  <c r="AN440" i="17"/>
  <c r="AI438" i="17"/>
  <c r="AK437" i="17"/>
  <c r="AO436" i="17"/>
  <c r="AJ434" i="17"/>
  <c r="AJ431" i="17"/>
  <c r="AN430" i="17"/>
  <c r="AI428" i="17"/>
  <c r="AK427" i="17"/>
  <c r="AO426" i="17"/>
  <c r="AP423" i="17"/>
  <c r="AJ419" i="17"/>
  <c r="AO418" i="17"/>
  <c r="AI417" i="17"/>
  <c r="AO416" i="17"/>
  <c r="AI415" i="17"/>
  <c r="AO414" i="17"/>
  <c r="AG582" i="17"/>
  <c r="AM576" i="17"/>
  <c r="AG530" i="17"/>
  <c r="AF525" i="17"/>
  <c r="AH521" i="17"/>
  <c r="AP511" i="17"/>
  <c r="AJ500" i="17"/>
  <c r="AO493" i="17"/>
  <c r="AP485" i="17"/>
  <c r="AH483" i="17"/>
  <c r="AF479" i="17"/>
  <c r="AL479" i="17" s="1"/>
  <c r="AO477" i="17"/>
  <c r="AN476" i="17"/>
  <c r="AJ475" i="17"/>
  <c r="AN474" i="17"/>
  <c r="AO473" i="17"/>
  <c r="AN472" i="17"/>
  <c r="AI467" i="17"/>
  <c r="AJ463" i="17"/>
  <c r="AO462" i="17"/>
  <c r="AG457" i="17"/>
  <c r="AJ455" i="17"/>
  <c r="AM454" i="17"/>
  <c r="AK453" i="17"/>
  <c r="AF451" i="17"/>
  <c r="AQ449" i="17"/>
  <c r="AI447" i="17"/>
  <c r="AF445" i="17"/>
  <c r="AQ443" i="17"/>
  <c r="AI441" i="17"/>
  <c r="AM440" i="17"/>
  <c r="AH438" i="17"/>
  <c r="AJ437" i="17"/>
  <c r="AN436" i="17"/>
  <c r="AI434" i="17"/>
  <c r="AI431" i="17"/>
  <c r="AM430" i="17"/>
  <c r="AH428" i="17"/>
  <c r="AJ427" i="17"/>
  <c r="AN426" i="17"/>
  <c r="AR425" i="17"/>
  <c r="AO423" i="17"/>
  <c r="AK421" i="17"/>
  <c r="AH467" i="17"/>
  <c r="AJ456" i="17"/>
  <c r="AH447" i="17"/>
  <c r="AH431" i="17"/>
  <c r="AJ421" i="17"/>
  <c r="AG417" i="17"/>
  <c r="AJ415" i="17"/>
  <c r="AP412" i="17"/>
  <c r="AP411" i="17"/>
  <c r="AP410" i="17"/>
  <c r="AF408" i="17"/>
  <c r="AK407" i="17"/>
  <c r="AP406" i="17"/>
  <c r="AH405" i="17"/>
  <c r="AM404" i="17"/>
  <c r="AR403" i="17"/>
  <c r="AJ402" i="17"/>
  <c r="AO401" i="17"/>
  <c r="AF400" i="17"/>
  <c r="AK399" i="17"/>
  <c r="AP398" i="17"/>
  <c r="AH397" i="17"/>
  <c r="AF395" i="17"/>
  <c r="AQ393" i="17"/>
  <c r="AP391" i="17"/>
  <c r="AP389" i="17"/>
  <c r="AJ368" i="17"/>
  <c r="AP367" i="17"/>
  <c r="AJ362" i="17"/>
  <c r="AJ344" i="17"/>
  <c r="AJ340" i="17"/>
  <c r="AJ338" i="17"/>
  <c r="AP337" i="17"/>
  <c r="AP333" i="17"/>
  <c r="AP331" i="17"/>
  <c r="AJ326" i="17"/>
  <c r="AJ322" i="17"/>
  <c r="AP321" i="17"/>
  <c r="AJ318" i="17"/>
  <c r="AJ316" i="17"/>
  <c r="AJ314" i="17"/>
  <c r="AJ312" i="17"/>
  <c r="AJ310" i="17"/>
  <c r="AJ308" i="17"/>
  <c r="AP307" i="17"/>
  <c r="AJ306" i="17"/>
  <c r="AP305" i="17"/>
  <c r="AJ304" i="17"/>
  <c r="AP303" i="17"/>
  <c r="AJ302" i="17"/>
  <c r="AP301" i="17"/>
  <c r="AJ300" i="17"/>
  <c r="AP299" i="17"/>
  <c r="AJ298" i="17"/>
  <c r="AP297" i="17"/>
  <c r="AJ296" i="17"/>
  <c r="AP295" i="17"/>
  <c r="AJ294" i="17"/>
  <c r="AP293" i="17"/>
  <c r="AJ292" i="17"/>
  <c r="AP291" i="17"/>
  <c r="AJ290" i="17"/>
  <c r="AP289" i="17"/>
  <c r="AJ288" i="17"/>
  <c r="AP287" i="17"/>
  <c r="AJ286" i="17"/>
  <c r="AP285" i="17"/>
  <c r="AJ284" i="17"/>
  <c r="AH493" i="17"/>
  <c r="AJ464" i="17"/>
  <c r="AN462" i="17"/>
  <c r="AI437" i="17"/>
  <c r="AH434" i="17"/>
  <c r="AH415" i="17"/>
  <c r="AO412" i="17"/>
  <c r="AK411" i="17"/>
  <c r="AO410" i="17"/>
  <c r="AR409" i="17"/>
  <c r="AJ407" i="17"/>
  <c r="AO406" i="17"/>
  <c r="AG405" i="17"/>
  <c r="AQ403" i="17"/>
  <c r="AI402" i="17"/>
  <c r="AN401" i="17"/>
  <c r="AR400" i="17"/>
  <c r="AJ399" i="17"/>
  <c r="AO398" i="17"/>
  <c r="AG397" i="17"/>
  <c r="AR395" i="17"/>
  <c r="AP393" i="17"/>
  <c r="AO391" i="17"/>
  <c r="AO389" i="17"/>
  <c r="AI368" i="17"/>
  <c r="AO367" i="17"/>
  <c r="AI362" i="17"/>
  <c r="AI344" i="17"/>
  <c r="AO343" i="17"/>
  <c r="AO341" i="17"/>
  <c r="AI340" i="17"/>
  <c r="AI338" i="17"/>
  <c r="AO337" i="17"/>
  <c r="Z337" i="17" s="1"/>
  <c r="AS337" i="17" s="1"/>
  <c r="AO333" i="17"/>
  <c r="AO331" i="17"/>
  <c r="Z331" i="17" s="1"/>
  <c r="AS331" i="17" s="1"/>
  <c r="AO327" i="17"/>
  <c r="AI326" i="17"/>
  <c r="AO325" i="17"/>
  <c r="AI322" i="17"/>
  <c r="AO321" i="17"/>
  <c r="AO319" i="17"/>
  <c r="AI318" i="17"/>
  <c r="AI316" i="17"/>
  <c r="AI314" i="17"/>
  <c r="AI312" i="17"/>
  <c r="AI310" i="17"/>
  <c r="AI308" i="17"/>
  <c r="AO307" i="17"/>
  <c r="AI306" i="17"/>
  <c r="AO305" i="17"/>
  <c r="AI304" i="17"/>
  <c r="AO303" i="17"/>
  <c r="AI302" i="17"/>
  <c r="AO301" i="17"/>
  <c r="AI300" i="17"/>
  <c r="AO299" i="17"/>
  <c r="AI298" i="17"/>
  <c r="AO297" i="17"/>
  <c r="AI296" i="17"/>
  <c r="AO295" i="17"/>
  <c r="AI294" i="17"/>
  <c r="AO293" i="17"/>
  <c r="AQ591" i="17"/>
  <c r="AO485" i="17"/>
  <c r="AJ453" i="17"/>
  <c r="AI427" i="17"/>
  <c r="AP418" i="17"/>
  <c r="AG415" i="17"/>
  <c r="AQ413" i="17"/>
  <c r="AN412" i="17"/>
  <c r="AJ411" i="17"/>
  <c r="AN410" i="17"/>
  <c r="AQ409" i="17"/>
  <c r="AI407" i="17"/>
  <c r="AN406" i="17"/>
  <c r="AF405" i="17"/>
  <c r="AK404" i="17"/>
  <c r="AP403" i="17"/>
  <c r="AH402" i="17"/>
  <c r="AQ400" i="17"/>
  <c r="AI399" i="17"/>
  <c r="AN398" i="17"/>
  <c r="AF397" i="17"/>
  <c r="AQ395" i="17"/>
  <c r="AO393" i="17"/>
  <c r="AN391" i="17"/>
  <c r="AN389" i="17"/>
  <c r="AH368" i="17"/>
  <c r="AN367" i="17"/>
  <c r="AH362" i="17"/>
  <c r="AH344" i="17"/>
  <c r="AN343" i="17"/>
  <c r="AN341" i="17"/>
  <c r="AH340" i="17"/>
  <c r="AH338" i="17"/>
  <c r="AN337" i="17"/>
  <c r="AN335" i="17"/>
  <c r="AN333" i="17"/>
  <c r="AN331" i="17"/>
  <c r="AN327" i="17"/>
  <c r="AH326" i="17"/>
  <c r="AN325" i="17"/>
  <c r="AH322" i="17"/>
  <c r="AN321" i="17"/>
  <c r="Z321" i="17" s="1"/>
  <c r="AS321" i="17" s="1"/>
  <c r="AN319" i="17"/>
  <c r="AH318" i="17"/>
  <c r="AN317" i="17"/>
  <c r="AH316" i="17"/>
  <c r="AN315" i="17"/>
  <c r="AH314" i="17"/>
  <c r="AN313" i="17"/>
  <c r="AH312" i="17"/>
  <c r="AN311" i="17"/>
  <c r="AH310" i="17"/>
  <c r="AN309" i="17"/>
  <c r="AH308" i="17"/>
  <c r="AN307" i="17"/>
  <c r="AH306" i="17"/>
  <c r="AN305" i="17"/>
  <c r="AH304" i="17"/>
  <c r="AN303" i="17"/>
  <c r="AH302" i="17"/>
  <c r="AI500" i="17"/>
  <c r="AJ473" i="17"/>
  <c r="AP443" i="17"/>
  <c r="AN418" i="17"/>
  <c r="AJ413" i="17"/>
  <c r="AM412" i="17"/>
  <c r="AI411" i="17"/>
  <c r="AM410" i="17"/>
  <c r="AP409" i="17"/>
  <c r="AQ408" i="17"/>
  <c r="AH407" i="17"/>
  <c r="AM406" i="17"/>
  <c r="AR405" i="17"/>
  <c r="AJ404" i="17"/>
  <c r="AO403" i="17"/>
  <c r="AF402" i="17"/>
  <c r="AL402" i="17" s="1"/>
  <c r="AK401" i="17"/>
  <c r="AP400" i="17"/>
  <c r="AH399" i="17"/>
  <c r="AM398" i="17"/>
  <c r="AR397" i="17"/>
  <c r="AP395" i="17"/>
  <c r="AN393" i="17"/>
  <c r="AM391" i="17"/>
  <c r="AM389" i="17"/>
  <c r="AG368" i="17"/>
  <c r="AM367" i="17"/>
  <c r="AG362" i="17"/>
  <c r="AG344" i="17"/>
  <c r="AM343" i="17"/>
  <c r="AM341" i="17"/>
  <c r="AG340" i="17"/>
  <c r="AG338" i="17"/>
  <c r="AM335" i="17"/>
  <c r="AM327" i="17"/>
  <c r="AG326" i="17"/>
  <c r="AM325" i="17"/>
  <c r="AG322" i="17"/>
  <c r="AM319" i="17"/>
  <c r="AG318" i="17"/>
  <c r="AM317" i="17"/>
  <c r="AG316" i="17"/>
  <c r="AM315" i="17"/>
  <c r="AG314" i="17"/>
  <c r="AM313" i="17"/>
  <c r="AG312" i="17"/>
  <c r="AM311" i="17"/>
  <c r="AG310" i="17"/>
  <c r="AM309" i="17"/>
  <c r="AG308" i="17"/>
  <c r="AM307" i="17"/>
  <c r="AG306" i="17"/>
  <c r="AM305" i="17"/>
  <c r="AG304" i="17"/>
  <c r="AM303" i="17"/>
  <c r="AG302" i="17"/>
  <c r="AM301" i="17"/>
  <c r="AG300" i="17"/>
  <c r="AM299" i="17"/>
  <c r="AG298" i="17"/>
  <c r="AM297" i="17"/>
  <c r="AG296" i="17"/>
  <c r="AM295" i="17"/>
  <c r="AG294" i="17"/>
  <c r="AM293" i="17"/>
  <c r="AG292" i="17"/>
  <c r="AM291" i="17"/>
  <c r="AG290" i="17"/>
  <c r="AP449" i="17"/>
  <c r="AM418" i="17"/>
  <c r="AP416" i="17"/>
  <c r="AI413" i="17"/>
  <c r="AK412" i="17"/>
  <c r="AH411" i="17"/>
  <c r="AO409" i="17"/>
  <c r="AP408" i="17"/>
  <c r="AG407" i="17"/>
  <c r="AQ405" i="17"/>
  <c r="AI404" i="17"/>
  <c r="AN403" i="17"/>
  <c r="AR402" i="17"/>
  <c r="AJ401" i="17"/>
  <c r="AO400" i="17"/>
  <c r="AG399" i="17"/>
  <c r="AQ397" i="17"/>
  <c r="AO395" i="17"/>
  <c r="AR368" i="17"/>
  <c r="AF368" i="17"/>
  <c r="AF362" i="17"/>
  <c r="AL362" i="17" s="1"/>
  <c r="AF344" i="17"/>
  <c r="AL344" i="17" s="1"/>
  <c r="Z344" i="17" s="1"/>
  <c r="AS344" i="17" s="1"/>
  <c r="AF340" i="17"/>
  <c r="AL340" i="17" s="1"/>
  <c r="AF338" i="17"/>
  <c r="AF326" i="17"/>
  <c r="AF322" i="17"/>
  <c r="AF318" i="17"/>
  <c r="AF316" i="17"/>
  <c r="AF314" i="17"/>
  <c r="AF312" i="17"/>
  <c r="AF310" i="17"/>
  <c r="AF308" i="17"/>
  <c r="AR306" i="17"/>
  <c r="AF306" i="17"/>
  <c r="AL306" i="17" s="1"/>
  <c r="Z306" i="17" s="1"/>
  <c r="AS306" i="17" s="1"/>
  <c r="AR304" i="17"/>
  <c r="AF304" i="17"/>
  <c r="AR302" i="17"/>
  <c r="AF302" i="17"/>
  <c r="AR300" i="17"/>
  <c r="AF300" i="17"/>
  <c r="AF298" i="17"/>
  <c r="AR296" i="17"/>
  <c r="AF296" i="17"/>
  <c r="AR294" i="17"/>
  <c r="AF294" i="17"/>
  <c r="AR292" i="17"/>
  <c r="AF292" i="17"/>
  <c r="AL292" i="17" s="1"/>
  <c r="AR290" i="17"/>
  <c r="AF290" i="17"/>
  <c r="AR288" i="17"/>
  <c r="AF288" i="17"/>
  <c r="AR286" i="17"/>
  <c r="AF286" i="17"/>
  <c r="AL286" i="17" s="1"/>
  <c r="Z286" i="17" s="1"/>
  <c r="AS286" i="17" s="1"/>
  <c r="AR284" i="17"/>
  <c r="AF284" i="17"/>
  <c r="AL284" i="17" s="1"/>
  <c r="Z284" i="17" s="1"/>
  <c r="AS284" i="17" s="1"/>
  <c r="AR282" i="17"/>
  <c r="AF282" i="17"/>
  <c r="AL282" i="17" s="1"/>
  <c r="Z282" i="17" s="1"/>
  <c r="AS282" i="17" s="1"/>
  <c r="AR280" i="17"/>
  <c r="AF280" i="17"/>
  <c r="AL280" i="17" s="1"/>
  <c r="Z280" i="17" s="1"/>
  <c r="AS280" i="17" s="1"/>
  <c r="AR278" i="17"/>
  <c r="AF278" i="17"/>
  <c r="AL278" i="17" s="1"/>
  <c r="Z278" i="17" s="1"/>
  <c r="AS278" i="17" s="1"/>
  <c r="AR276" i="17"/>
  <c r="AF276" i="17"/>
  <c r="AL276" i="17" s="1"/>
  <c r="Z276" i="17" s="1"/>
  <c r="AS276" i="17" s="1"/>
  <c r="AR274" i="17"/>
  <c r="AF274" i="17"/>
  <c r="AL274" i="17" s="1"/>
  <c r="Z274" i="17" s="1"/>
  <c r="AS274" i="17" s="1"/>
  <c r="AR272" i="17"/>
  <c r="AF272" i="17"/>
  <c r="AL272" i="17" s="1"/>
  <c r="Z272" i="17" s="1"/>
  <c r="AS272" i="17" s="1"/>
  <c r="AR270" i="17"/>
  <c r="AF270" i="17"/>
  <c r="AL270" i="17" s="1"/>
  <c r="Z270" i="17" s="1"/>
  <c r="AS270" i="17" s="1"/>
  <c r="AI477" i="17"/>
  <c r="AI475" i="17"/>
  <c r="AM436" i="17"/>
  <c r="AN423" i="17"/>
  <c r="AN416" i="17"/>
  <c r="AH413" i="17"/>
  <c r="AJ412" i="17"/>
  <c r="AG411" i="17"/>
  <c r="AK410" i="17"/>
  <c r="AK409" i="17"/>
  <c r="AO408" i="17"/>
  <c r="AF407" i="17"/>
  <c r="AL407" i="17" s="1"/>
  <c r="Z407" i="17" s="1"/>
  <c r="AS407" i="17" s="1"/>
  <c r="AK406" i="17"/>
  <c r="AP405" i="17"/>
  <c r="AH404" i="17"/>
  <c r="AQ402" i="17"/>
  <c r="AI401" i="17"/>
  <c r="AN400" i="17"/>
  <c r="AF399" i="17"/>
  <c r="AK398" i="17"/>
  <c r="AP397" i="17"/>
  <c r="AN395" i="17"/>
  <c r="AK393" i="17"/>
  <c r="AK391" i="17"/>
  <c r="AK389" i="17"/>
  <c r="AQ368" i="17"/>
  <c r="AK367" i="17"/>
  <c r="AK343" i="17"/>
  <c r="AK341" i="17"/>
  <c r="AK335" i="17"/>
  <c r="AK327" i="17"/>
  <c r="AK325" i="17"/>
  <c r="AK319" i="17"/>
  <c r="AK317" i="17"/>
  <c r="AK315" i="17"/>
  <c r="AK313" i="17"/>
  <c r="AK311" i="17"/>
  <c r="AK309" i="17"/>
  <c r="AK307" i="17"/>
  <c r="AQ306" i="17"/>
  <c r="AK305" i="17"/>
  <c r="AQ304" i="17"/>
  <c r="AK303" i="17"/>
  <c r="AQ302" i="17"/>
  <c r="AK301" i="17"/>
  <c r="AQ300" i="17"/>
  <c r="AK299" i="17"/>
  <c r="AQ298" i="17"/>
  <c r="AK297" i="17"/>
  <c r="AQ296" i="17"/>
  <c r="AK295" i="17"/>
  <c r="AQ294" i="17"/>
  <c r="AK293" i="17"/>
  <c r="AQ292" i="17"/>
  <c r="AK291" i="17"/>
  <c r="AQ290" i="17"/>
  <c r="AK289" i="17"/>
  <c r="AQ288" i="17"/>
  <c r="AK287" i="17"/>
  <c r="AQ286" i="17"/>
  <c r="AK285" i="17"/>
  <c r="AQ284" i="17"/>
  <c r="AK283" i="17"/>
  <c r="AQ282" i="17"/>
  <c r="AK281" i="17"/>
  <c r="AQ280" i="17"/>
  <c r="AK279" i="17"/>
  <c r="AQ278" i="17"/>
  <c r="AF457" i="17"/>
  <c r="AL457" i="17" s="1"/>
  <c r="Z457" i="17" s="1"/>
  <c r="AS457" i="17" s="1"/>
  <c r="AI455" i="17"/>
  <c r="AM426" i="17"/>
  <c r="AM416" i="17"/>
  <c r="AP414" i="17"/>
  <c r="AG413" i="17"/>
  <c r="AF411" i="17"/>
  <c r="AJ410" i="17"/>
  <c r="AJ409" i="17"/>
  <c r="AN408" i="17"/>
  <c r="AR407" i="17"/>
  <c r="AJ406" i="17"/>
  <c r="AO405" i="17"/>
  <c r="AF404" i="17"/>
  <c r="AK403" i="17"/>
  <c r="AP402" i="17"/>
  <c r="AH401" i="17"/>
  <c r="AM400" i="17"/>
  <c r="AR399" i="17"/>
  <c r="AJ398" i="17"/>
  <c r="AO397" i="17"/>
  <c r="AJ393" i="17"/>
  <c r="AJ391" i="17"/>
  <c r="AJ389" i="17"/>
  <c r="AP368" i="17"/>
  <c r="AJ367" i="17"/>
  <c r="AJ343" i="17"/>
  <c r="AJ341" i="17"/>
  <c r="AJ335" i="17"/>
  <c r="AJ327" i="17"/>
  <c r="AP326" i="17"/>
  <c r="AJ325" i="17"/>
  <c r="AJ319" i="17"/>
  <c r="AJ317" i="17"/>
  <c r="AJ315" i="17"/>
  <c r="AJ313" i="17"/>
  <c r="AJ311" i="17"/>
  <c r="AJ309" i="17"/>
  <c r="AJ307" i="17"/>
  <c r="AP306" i="17"/>
  <c r="AJ305" i="17"/>
  <c r="AP304" i="17"/>
  <c r="AJ303" i="17"/>
  <c r="AP302" i="17"/>
  <c r="AJ301" i="17"/>
  <c r="AP300" i="17"/>
  <c r="AJ299" i="17"/>
  <c r="AP298" i="17"/>
  <c r="AJ297" i="17"/>
  <c r="AP296" i="17"/>
  <c r="AJ295" i="17"/>
  <c r="AP294" i="17"/>
  <c r="AJ293" i="17"/>
  <c r="AP292" i="17"/>
  <c r="AJ291" i="17"/>
  <c r="AP290" i="17"/>
  <c r="AJ289" i="17"/>
  <c r="AP288" i="17"/>
  <c r="AJ287" i="17"/>
  <c r="AP286" i="17"/>
  <c r="AJ285" i="17"/>
  <c r="AP284" i="17"/>
  <c r="AJ283" i="17"/>
  <c r="AP282" i="17"/>
  <c r="AJ281" i="17"/>
  <c r="AP280" i="17"/>
  <c r="AJ279" i="17"/>
  <c r="AP278" i="17"/>
  <c r="AJ277" i="17"/>
  <c r="AP276" i="17"/>
  <c r="AJ275" i="17"/>
  <c r="AP274" i="17"/>
  <c r="AJ273" i="17"/>
  <c r="AP272" i="17"/>
  <c r="AJ271" i="17"/>
  <c r="AP270" i="17"/>
  <c r="AJ269" i="17"/>
  <c r="AP268" i="17"/>
  <c r="AP264" i="17"/>
  <c r="AJ263" i="17"/>
  <c r="AP260" i="17"/>
  <c r="AJ259" i="17"/>
  <c r="AP256" i="17"/>
  <c r="AJ253" i="17"/>
  <c r="AP252" i="17"/>
  <c r="AJ249" i="17"/>
  <c r="AP248" i="17"/>
  <c r="AJ245" i="17"/>
  <c r="AP244" i="17"/>
  <c r="AJ241" i="17"/>
  <c r="AP240" i="17"/>
  <c r="AM472" i="17"/>
  <c r="AI463" i="17"/>
  <c r="AP461" i="17"/>
  <c r="AN414" i="17"/>
  <c r="AI410" i="17"/>
  <c r="AI409" i="17"/>
  <c r="AM408" i="17"/>
  <c r="AQ407" i="17"/>
  <c r="AI406" i="17"/>
  <c r="AN405" i="17"/>
  <c r="AR404" i="17"/>
  <c r="AJ403" i="17"/>
  <c r="AO402" i="17"/>
  <c r="AG401" i="17"/>
  <c r="AQ399" i="17"/>
  <c r="AI398" i="17"/>
  <c r="AN397" i="17"/>
  <c r="AK395" i="17"/>
  <c r="AI393" i="17"/>
  <c r="AI391" i="17"/>
  <c r="AI389" i="17"/>
  <c r="AO368" i="17"/>
  <c r="AI367" i="17"/>
  <c r="AO344" i="17"/>
  <c r="AI343" i="17"/>
  <c r="AI341" i="17"/>
  <c r="AO340" i="17"/>
  <c r="AI335" i="17"/>
  <c r="AI327" i="17"/>
  <c r="AO326" i="17"/>
  <c r="AI325" i="17"/>
  <c r="AO322" i="17"/>
  <c r="AI319" i="17"/>
  <c r="AO318" i="17"/>
  <c r="AI317" i="17"/>
  <c r="AI315" i="17"/>
  <c r="AI313" i="17"/>
  <c r="AI311" i="17"/>
  <c r="AI309" i="17"/>
  <c r="AI307" i="17"/>
  <c r="AO306" i="17"/>
  <c r="AI305" i="17"/>
  <c r="AO304" i="17"/>
  <c r="AI303" i="17"/>
  <c r="AO302" i="17"/>
  <c r="AI301" i="17"/>
  <c r="AO300" i="17"/>
  <c r="AI299" i="17"/>
  <c r="AO298" i="17"/>
  <c r="AI297" i="17"/>
  <c r="AO296" i="17"/>
  <c r="AI295" i="17"/>
  <c r="AO294" i="17"/>
  <c r="AI293" i="17"/>
  <c r="AO292" i="17"/>
  <c r="AI291" i="17"/>
  <c r="AO290" i="17"/>
  <c r="AI289" i="17"/>
  <c r="AO288" i="17"/>
  <c r="AI287" i="17"/>
  <c r="AO286" i="17"/>
  <c r="AI285" i="17"/>
  <c r="AO284" i="17"/>
  <c r="AI283" i="17"/>
  <c r="AO282" i="17"/>
  <c r="AI281" i="17"/>
  <c r="AO280" i="17"/>
  <c r="AI279" i="17"/>
  <c r="AO278" i="17"/>
  <c r="AI277" i="17"/>
  <c r="AO276" i="17"/>
  <c r="AI275" i="17"/>
  <c r="AO274" i="17"/>
  <c r="AI273" i="17"/>
  <c r="AO272" i="17"/>
  <c r="AI271" i="17"/>
  <c r="AO270" i="17"/>
  <c r="AI269" i="17"/>
  <c r="AO268" i="17"/>
  <c r="AO264" i="17"/>
  <c r="AI263" i="17"/>
  <c r="AO260" i="17"/>
  <c r="AI259" i="17"/>
  <c r="AO256" i="17"/>
  <c r="AG564" i="17"/>
  <c r="AK419" i="17"/>
  <c r="AM414" i="17"/>
  <c r="AH409" i="17"/>
  <c r="AP407" i="17"/>
  <c r="AH406" i="17"/>
  <c r="AQ404" i="17"/>
  <c r="AI403" i="17"/>
  <c r="AN402" i="17"/>
  <c r="AF401" i="17"/>
  <c r="AL401" i="17" s="1"/>
  <c r="AK400" i="17"/>
  <c r="AP399" i="17"/>
  <c r="AH398" i="17"/>
  <c r="AJ395" i="17"/>
  <c r="AH393" i="17"/>
  <c r="AH391" i="17"/>
  <c r="AH389" i="17"/>
  <c r="AN368" i="17"/>
  <c r="AH367" i="17"/>
  <c r="AN362" i="17"/>
  <c r="AN344" i="17"/>
  <c r="AH343" i="17"/>
  <c r="AH341" i="17"/>
  <c r="AN340" i="17"/>
  <c r="AN338" i="17"/>
  <c r="AH335" i="17"/>
  <c r="AH327" i="17"/>
  <c r="AN326" i="17"/>
  <c r="AH325" i="17"/>
  <c r="AN322" i="17"/>
  <c r="AH319" i="17"/>
  <c r="AN318" i="17"/>
  <c r="AH317" i="17"/>
  <c r="AN316" i="17"/>
  <c r="AH315" i="17"/>
  <c r="AN314" i="17"/>
  <c r="AH313" i="17"/>
  <c r="AN312" i="17"/>
  <c r="AH311" i="17"/>
  <c r="AN310" i="17"/>
  <c r="AH309" i="17"/>
  <c r="AN308" i="17"/>
  <c r="AH307" i="17"/>
  <c r="AN306" i="17"/>
  <c r="AH305" i="17"/>
  <c r="AN304" i="17"/>
  <c r="AH303" i="17"/>
  <c r="AN302" i="17"/>
  <c r="AH301" i="17"/>
  <c r="AN300" i="17"/>
  <c r="AH299" i="17"/>
  <c r="AN298" i="17"/>
  <c r="AH297" i="17"/>
  <c r="AN296" i="17"/>
  <c r="AH295" i="17"/>
  <c r="AN294" i="17"/>
  <c r="AH293" i="17"/>
  <c r="AN292" i="17"/>
  <c r="AI419" i="17"/>
  <c r="AG409" i="17"/>
  <c r="AK408" i="17"/>
  <c r="AO407" i="17"/>
  <c r="AF406" i="17"/>
  <c r="AK405" i="17"/>
  <c r="AP404" i="17"/>
  <c r="AH403" i="17"/>
  <c r="AM402" i="17"/>
  <c r="AR401" i="17"/>
  <c r="AJ400" i="17"/>
  <c r="AO399" i="17"/>
  <c r="AF398" i="17"/>
  <c r="AL398" i="17" s="1"/>
  <c r="Z398" i="17" s="1"/>
  <c r="AS398" i="17" s="1"/>
  <c r="AK397" i="17"/>
  <c r="AI395" i="17"/>
  <c r="AG393" i="17"/>
  <c r="AG391" i="17"/>
  <c r="AG389" i="17"/>
  <c r="AM368" i="17"/>
  <c r="AG367" i="17"/>
  <c r="AM362" i="17"/>
  <c r="AM344" i="17"/>
  <c r="AG343" i="17"/>
  <c r="AG341" i="17"/>
  <c r="AM340" i="17"/>
  <c r="AM338" i="17"/>
  <c r="AG335" i="17"/>
  <c r="AG327" i="17"/>
  <c r="AM326" i="17"/>
  <c r="AG325" i="17"/>
  <c r="AM322" i="17"/>
  <c r="AG319" i="17"/>
  <c r="AM318" i="17"/>
  <c r="AG317" i="17"/>
  <c r="AM316" i="17"/>
  <c r="AG315" i="17"/>
  <c r="AM314" i="17"/>
  <c r="AG313" i="17"/>
  <c r="AM312" i="17"/>
  <c r="AG311" i="17"/>
  <c r="AM310" i="17"/>
  <c r="AG309" i="17"/>
  <c r="AM308" i="17"/>
  <c r="AG307" i="17"/>
  <c r="AM306" i="17"/>
  <c r="AM474" i="17"/>
  <c r="AQ410" i="17"/>
  <c r="AJ405" i="17"/>
  <c r="AF403" i="17"/>
  <c r="AL403" i="17" s="1"/>
  <c r="Z403" i="17" s="1"/>
  <c r="AS403" i="17" s="1"/>
  <c r="AF391" i="17"/>
  <c r="AK326" i="17"/>
  <c r="AF307" i="17"/>
  <c r="AG305" i="17"/>
  <c r="AR303" i="17"/>
  <c r="AK300" i="17"/>
  <c r="AQ297" i="17"/>
  <c r="AM289" i="17"/>
  <c r="AI288" i="17"/>
  <c r="AH287" i="17"/>
  <c r="AH286" i="17"/>
  <c r="AG285" i="17"/>
  <c r="AG284" i="17"/>
  <c r="AG283" i="17"/>
  <c r="AI282" i="17"/>
  <c r="AM281" i="17"/>
  <c r="AK280" i="17"/>
  <c r="AO279" i="17"/>
  <c r="AM278" i="17"/>
  <c r="AQ277" i="17"/>
  <c r="AF275" i="17"/>
  <c r="AL275" i="17" s="1"/>
  <c r="Z275" i="17" s="1"/>
  <c r="AS275" i="17" s="1"/>
  <c r="AI274" i="17"/>
  <c r="AM273" i="17"/>
  <c r="AM272" i="17"/>
  <c r="AQ271" i="17"/>
  <c r="AG269" i="17"/>
  <c r="AK268" i="17"/>
  <c r="AG264" i="17"/>
  <c r="AM260" i="17"/>
  <c r="AR259" i="17"/>
  <c r="AG256" i="17"/>
  <c r="AK253" i="17"/>
  <c r="AO252" i="17"/>
  <c r="AF249" i="17"/>
  <c r="AL249" i="17" s="1"/>
  <c r="AK248" i="17"/>
  <c r="AO245" i="17"/>
  <c r="AG244" i="17"/>
  <c r="AK241" i="17"/>
  <c r="AO240" i="17"/>
  <c r="AI237" i="17"/>
  <c r="AI233" i="17"/>
  <c r="AO232" i="17"/>
  <c r="AI229" i="17"/>
  <c r="AO228" i="17"/>
  <c r="AO226" i="17"/>
  <c r="AI225" i="17"/>
  <c r="AO222" i="17"/>
  <c r="AO218" i="17"/>
  <c r="AI217" i="17"/>
  <c r="AO214" i="17"/>
  <c r="AI213" i="17"/>
  <c r="AO210" i="17"/>
  <c r="AO208" i="17"/>
  <c r="AO206" i="17"/>
  <c r="AI205" i="17"/>
  <c r="AI201" i="17"/>
  <c r="AI199" i="17"/>
  <c r="AO198" i="17"/>
  <c r="AI197" i="17"/>
  <c r="AO192" i="17"/>
  <c r="AI191" i="17"/>
  <c r="AI189" i="17"/>
  <c r="AO188" i="17"/>
  <c r="AO186" i="17"/>
  <c r="AI185" i="17"/>
  <c r="AO182" i="17"/>
  <c r="AO180" i="17"/>
  <c r="AH419" i="17"/>
  <c r="AN407" i="17"/>
  <c r="AI405" i="17"/>
  <c r="AR398" i="17"/>
  <c r="AR393" i="17"/>
  <c r="AK368" i="17"/>
  <c r="AK344" i="17"/>
  <c r="AF317" i="17"/>
  <c r="AK310" i="17"/>
  <c r="AF305" i="17"/>
  <c r="AQ303" i="17"/>
  <c r="AH300" i="17"/>
  <c r="AN297" i="17"/>
  <c r="AK294" i="17"/>
  <c r="AK290" i="17"/>
  <c r="AH289" i="17"/>
  <c r="AH288" i="17"/>
  <c r="AG287" i="17"/>
  <c r="AG286" i="17"/>
  <c r="AF285" i="17"/>
  <c r="AL285" i="17" s="1"/>
  <c r="Z285" i="17" s="1"/>
  <c r="AS285" i="17" s="1"/>
  <c r="AF283" i="17"/>
  <c r="AL283" i="17" s="1"/>
  <c r="Z283" i="17" s="1"/>
  <c r="AS283" i="17" s="1"/>
  <c r="AH282" i="17"/>
  <c r="AH281" i="17"/>
  <c r="AJ280" i="17"/>
  <c r="AN279" i="17"/>
  <c r="AP277" i="17"/>
  <c r="AH274" i="17"/>
  <c r="AK273" i="17"/>
  <c r="AP271" i="17"/>
  <c r="AF269" i="17"/>
  <c r="AL269" i="17" s="1"/>
  <c r="Z269" i="17" s="1"/>
  <c r="AS269" i="17" s="1"/>
  <c r="AJ268" i="17"/>
  <c r="AF264" i="17"/>
  <c r="AK263" i="17"/>
  <c r="AQ259" i="17"/>
  <c r="AF256" i="17"/>
  <c r="AI253" i="17"/>
  <c r="AN252" i="17"/>
  <c r="AR249" i="17"/>
  <c r="AJ248" i="17"/>
  <c r="AN245" i="17"/>
  <c r="AF244" i="17"/>
  <c r="AL244" i="17" s="1"/>
  <c r="Z244" i="17" s="1"/>
  <c r="AS244" i="17" s="1"/>
  <c r="AI241" i="17"/>
  <c r="AN240" i="17"/>
  <c r="AH237" i="17"/>
  <c r="AH233" i="17"/>
  <c r="AN232" i="17"/>
  <c r="AH229" i="17"/>
  <c r="AN228" i="17"/>
  <c r="AN226" i="17"/>
  <c r="AH225" i="17"/>
  <c r="AN222" i="17"/>
  <c r="AN218" i="17"/>
  <c r="AH217" i="17"/>
  <c r="AN214" i="17"/>
  <c r="AH213" i="17"/>
  <c r="AN210" i="17"/>
  <c r="AN208" i="17"/>
  <c r="AN206" i="17"/>
  <c r="AH205" i="17"/>
  <c r="AH201" i="17"/>
  <c r="AH199" i="17"/>
  <c r="AN198" i="17"/>
  <c r="AH197" i="17"/>
  <c r="AN192" i="17"/>
  <c r="AH191" i="17"/>
  <c r="AH189" i="17"/>
  <c r="AN188" i="17"/>
  <c r="AN186" i="17"/>
  <c r="AH185" i="17"/>
  <c r="AN182" i="17"/>
  <c r="AQ398" i="17"/>
  <c r="AF393" i="17"/>
  <c r="AL393" i="17" s="1"/>
  <c r="AG303" i="17"/>
  <c r="AR301" i="17"/>
  <c r="AG297" i="17"/>
  <c r="AH294" i="17"/>
  <c r="AO291" i="17"/>
  <c r="AI290" i="17"/>
  <c r="AG289" i="17"/>
  <c r="AG288" i="17"/>
  <c r="AF287" i="17"/>
  <c r="AL287" i="17" s="1"/>
  <c r="Z287" i="17" s="1"/>
  <c r="AS287" i="17" s="1"/>
  <c r="AG282" i="17"/>
  <c r="AG281" i="17"/>
  <c r="AI280" i="17"/>
  <c r="AM279" i="17"/>
  <c r="AK278" i="17"/>
  <c r="AO277" i="17"/>
  <c r="AQ276" i="17"/>
  <c r="AG274" i="17"/>
  <c r="AH273" i="17"/>
  <c r="AK272" i="17"/>
  <c r="AO271" i="17"/>
  <c r="AQ270" i="17"/>
  <c r="AI268" i="17"/>
  <c r="AH263" i="17"/>
  <c r="AK260" i="17"/>
  <c r="AP259" i="17"/>
  <c r="AH253" i="17"/>
  <c r="AM252" i="17"/>
  <c r="AQ249" i="17"/>
  <c r="AI248" i="17"/>
  <c r="AM245" i="17"/>
  <c r="AR244" i="17"/>
  <c r="AH241" i="17"/>
  <c r="AM240" i="17"/>
  <c r="AG237" i="17"/>
  <c r="AG233" i="17"/>
  <c r="AM232" i="17"/>
  <c r="AG229" i="17"/>
  <c r="AM228" i="17"/>
  <c r="AM226" i="17"/>
  <c r="AG225" i="17"/>
  <c r="AM222" i="17"/>
  <c r="AM218" i="17"/>
  <c r="AG217" i="17"/>
  <c r="AM214" i="17"/>
  <c r="AG213" i="17"/>
  <c r="AM210" i="17"/>
  <c r="AM208" i="17"/>
  <c r="AM206" i="17"/>
  <c r="AG205" i="17"/>
  <c r="AG201" i="17"/>
  <c r="AG199" i="17"/>
  <c r="AM198" i="17"/>
  <c r="AG197" i="17"/>
  <c r="AM192" i="17"/>
  <c r="AG191" i="17"/>
  <c r="AG189" i="17"/>
  <c r="AM188" i="17"/>
  <c r="AM186" i="17"/>
  <c r="AG185" i="17"/>
  <c r="AM182" i="17"/>
  <c r="AM180" i="17"/>
  <c r="AG179" i="17"/>
  <c r="AM176" i="17"/>
  <c r="AG175" i="17"/>
  <c r="AM172" i="17"/>
  <c r="AG171" i="17"/>
  <c r="AM168" i="17"/>
  <c r="AH441" i="17"/>
  <c r="AQ412" i="17"/>
  <c r="AI400" i="17"/>
  <c r="AH395" i="17"/>
  <c r="AK340" i="17"/>
  <c r="AK338" i="17"/>
  <c r="AF335" i="17"/>
  <c r="AK314" i="17"/>
  <c r="AF303" i="17"/>
  <c r="AQ301" i="17"/>
  <c r="AM298" i="17"/>
  <c r="AF297" i="17"/>
  <c r="AR295" i="17"/>
  <c r="AM292" i="17"/>
  <c r="AN291" i="17"/>
  <c r="AH290" i="17"/>
  <c r="AF289" i="17"/>
  <c r="AF281" i="17"/>
  <c r="AL281" i="17" s="1"/>
  <c r="Z281" i="17" s="1"/>
  <c r="AS281" i="17" s="1"/>
  <c r="AH280" i="17"/>
  <c r="AH279" i="17"/>
  <c r="AJ278" i="17"/>
  <c r="AN277" i="17"/>
  <c r="AN276" i="17"/>
  <c r="AR275" i="17"/>
  <c r="AG273" i="17"/>
  <c r="AJ272" i="17"/>
  <c r="AN271" i="17"/>
  <c r="AN270" i="17"/>
  <c r="AR269" i="17"/>
  <c r="AH268" i="17"/>
  <c r="AR264" i="17"/>
  <c r="AG263" i="17"/>
  <c r="AJ260" i="17"/>
  <c r="AO259" i="17"/>
  <c r="AR256" i="17"/>
  <c r="AG253" i="17"/>
  <c r="AP249" i="17"/>
  <c r="AH248" i="17"/>
  <c r="AQ244" i="17"/>
  <c r="AG241" i="17"/>
  <c r="AR237" i="17"/>
  <c r="AF237" i="17"/>
  <c r="AR233" i="17"/>
  <c r="AF233" i="17"/>
  <c r="AL233" i="17" s="1"/>
  <c r="AR229" i="17"/>
  <c r="AF229" i="17"/>
  <c r="AR225" i="17"/>
  <c r="AF225" i="17"/>
  <c r="AR217" i="17"/>
  <c r="AF217" i="17"/>
  <c r="AR213" i="17"/>
  <c r="AF213" i="17"/>
  <c r="AR205" i="17"/>
  <c r="AF205" i="17"/>
  <c r="AR201" i="17"/>
  <c r="AF201" i="17"/>
  <c r="AR199" i="17"/>
  <c r="AF199" i="17"/>
  <c r="AR197" i="17"/>
  <c r="AF197" i="17"/>
  <c r="AR191" i="17"/>
  <c r="AF191" i="17"/>
  <c r="AR189" i="17"/>
  <c r="AF189" i="17"/>
  <c r="AR185" i="17"/>
  <c r="AF185" i="17"/>
  <c r="AR179" i="17"/>
  <c r="AF179" i="17"/>
  <c r="AR175" i="17"/>
  <c r="AF175" i="17"/>
  <c r="AL175" i="17" s="1"/>
  <c r="AR171" i="17"/>
  <c r="AF171" i="17"/>
  <c r="AR167" i="17"/>
  <c r="AF167" i="17"/>
  <c r="AF409" i="17"/>
  <c r="AH400" i="17"/>
  <c r="AG395" i="17"/>
  <c r="AF311" i="17"/>
  <c r="AN301" i="17"/>
  <c r="AQ295" i="17"/>
  <c r="AH291" i="17"/>
  <c r="AG280" i="17"/>
  <c r="AG279" i="17"/>
  <c r="AI278" i="17"/>
  <c r="AM277" i="17"/>
  <c r="AM276" i="17"/>
  <c r="AQ275" i="17"/>
  <c r="AF273" i="17"/>
  <c r="AL273" i="17" s="1"/>
  <c r="Z273" i="17" s="1"/>
  <c r="AS273" i="17" s="1"/>
  <c r="AI272" i="17"/>
  <c r="AM271" i="17"/>
  <c r="AM270" i="17"/>
  <c r="AQ269" i="17"/>
  <c r="AG268" i="17"/>
  <c r="AQ264" i="17"/>
  <c r="AF263" i="17"/>
  <c r="AI260" i="17"/>
  <c r="AN259" i="17"/>
  <c r="AQ256" i="17"/>
  <c r="AF253" i="17"/>
  <c r="AK252" i="17"/>
  <c r="AO249" i="17"/>
  <c r="AG248" i="17"/>
  <c r="AK245" i="17"/>
  <c r="AO244" i="17"/>
  <c r="AF241" i="17"/>
  <c r="AK240" i="17"/>
  <c r="AQ237" i="17"/>
  <c r="AQ233" i="17"/>
  <c r="AK232" i="17"/>
  <c r="AQ229" i="17"/>
  <c r="AK228" i="17"/>
  <c r="AK226" i="17"/>
  <c r="AQ225" i="17"/>
  <c r="AK222" i="17"/>
  <c r="AK218" i="17"/>
  <c r="AQ217" i="17"/>
  <c r="AK214" i="17"/>
  <c r="AQ213" i="17"/>
  <c r="AK210" i="17"/>
  <c r="AK208" i="17"/>
  <c r="AK206" i="17"/>
  <c r="AQ205" i="17"/>
  <c r="AQ201" i="17"/>
  <c r="AQ199" i="17"/>
  <c r="AK198" i="17"/>
  <c r="AQ197" i="17"/>
  <c r="AK192" i="17"/>
  <c r="AQ191" i="17"/>
  <c r="AQ189" i="17"/>
  <c r="AK188" i="17"/>
  <c r="AK186" i="17"/>
  <c r="AQ185" i="17"/>
  <c r="AK182" i="17"/>
  <c r="AK180" i="17"/>
  <c r="AQ179" i="17"/>
  <c r="AK176" i="17"/>
  <c r="AQ175" i="17"/>
  <c r="AK172" i="17"/>
  <c r="AQ171" i="17"/>
  <c r="AK168" i="17"/>
  <c r="AQ167" i="17"/>
  <c r="AK164" i="17"/>
  <c r="AQ163" i="17"/>
  <c r="AQ161" i="17"/>
  <c r="AQ425" i="17"/>
  <c r="AO404" i="17"/>
  <c r="AK402" i="17"/>
  <c r="AR367" i="17"/>
  <c r="AF327" i="17"/>
  <c r="AK318" i="17"/>
  <c r="AK306" i="17"/>
  <c r="AM304" i="17"/>
  <c r="AG301" i="17"/>
  <c r="AK298" i="17"/>
  <c r="AN295" i="17"/>
  <c r="AK292" i="17"/>
  <c r="AG291" i="17"/>
  <c r="AR283" i="17"/>
  <c r="AF279" i="17"/>
  <c r="AL279" i="17" s="1"/>
  <c r="Z279" i="17" s="1"/>
  <c r="AS279" i="17" s="1"/>
  <c r="AH278" i="17"/>
  <c r="AK277" i="17"/>
  <c r="AP275" i="17"/>
  <c r="AH272" i="17"/>
  <c r="AK271" i="17"/>
  <c r="AP269" i="17"/>
  <c r="AF268" i="17"/>
  <c r="AL268" i="17" s="1"/>
  <c r="Z268" i="17" s="1"/>
  <c r="AS268" i="17" s="1"/>
  <c r="AN264" i="17"/>
  <c r="AH260" i="17"/>
  <c r="AM259" i="17"/>
  <c r="AN256" i="17"/>
  <c r="AR253" i="17"/>
  <c r="AJ252" i="17"/>
  <c r="AN249" i="17"/>
  <c r="AF248" i="17"/>
  <c r="AI245" i="17"/>
  <c r="AN244" i="17"/>
  <c r="AR241" i="17"/>
  <c r="AJ240" i="17"/>
  <c r="AP237" i="17"/>
  <c r="AP233" i="17"/>
  <c r="AJ232" i="17"/>
  <c r="AP229" i="17"/>
  <c r="AJ228" i="17"/>
  <c r="AJ226" i="17"/>
  <c r="AP225" i="17"/>
  <c r="AJ222" i="17"/>
  <c r="AJ218" i="17"/>
  <c r="AP217" i="17"/>
  <c r="AJ214" i="17"/>
  <c r="AP213" i="17"/>
  <c r="AJ210" i="17"/>
  <c r="AJ208" i="17"/>
  <c r="AJ206" i="17"/>
  <c r="AP205" i="17"/>
  <c r="AP201" i="17"/>
  <c r="AP199" i="17"/>
  <c r="AJ198" i="17"/>
  <c r="AP197" i="17"/>
  <c r="AJ192" i="17"/>
  <c r="AP191" i="17"/>
  <c r="AP189" i="17"/>
  <c r="AJ188" i="17"/>
  <c r="AJ186" i="17"/>
  <c r="AP185" i="17"/>
  <c r="AJ182" i="17"/>
  <c r="AJ180" i="17"/>
  <c r="AP179" i="17"/>
  <c r="AJ176" i="17"/>
  <c r="AP175" i="17"/>
  <c r="AJ172" i="17"/>
  <c r="AP171" i="17"/>
  <c r="AJ168" i="17"/>
  <c r="AP167" i="17"/>
  <c r="AJ164" i="17"/>
  <c r="AP163" i="17"/>
  <c r="AP161" i="17"/>
  <c r="AJ158" i="17"/>
  <c r="AP157" i="17"/>
  <c r="AJ154" i="17"/>
  <c r="AP153" i="17"/>
  <c r="AJ152" i="17"/>
  <c r="AP149" i="17"/>
  <c r="AJ148" i="17"/>
  <c r="AP145" i="17"/>
  <c r="AJ144" i="17"/>
  <c r="AP143" i="17"/>
  <c r="AJ142" i="17"/>
  <c r="AJ140" i="17"/>
  <c r="AP139" i="17"/>
  <c r="AJ138" i="17"/>
  <c r="AJ136" i="17"/>
  <c r="AP135" i="17"/>
  <c r="AJ134" i="17"/>
  <c r="AJ132" i="17"/>
  <c r="AP131" i="17"/>
  <c r="AJ130" i="17"/>
  <c r="AP129" i="17"/>
  <c r="AJ128" i="17"/>
  <c r="AR406" i="17"/>
  <c r="AN404" i="17"/>
  <c r="AQ367" i="17"/>
  <c r="AK362" i="17"/>
  <c r="AF315" i="17"/>
  <c r="AK308" i="17"/>
  <c r="AF301" i="17"/>
  <c r="AR299" i="17"/>
  <c r="AH298" i="17"/>
  <c r="AG295" i="17"/>
  <c r="AI292" i="17"/>
  <c r="AF291" i="17"/>
  <c r="AL291" i="17" s="1"/>
  <c r="Z291" i="17" s="1"/>
  <c r="AS291" i="17" s="1"/>
  <c r="AR285" i="17"/>
  <c r="AN284" i="17"/>
  <c r="AQ283" i="17"/>
  <c r="AG278" i="17"/>
  <c r="AH277" i="17"/>
  <c r="AK276" i="17"/>
  <c r="AO275" i="17"/>
  <c r="AQ274" i="17"/>
  <c r="AG272" i="17"/>
  <c r="AH271" i="17"/>
  <c r="AK270" i="17"/>
  <c r="AO269" i="17"/>
  <c r="AM264" i="17"/>
  <c r="AR263" i="17"/>
  <c r="AG260" i="17"/>
  <c r="AM256" i="17"/>
  <c r="AQ253" i="17"/>
  <c r="AI252" i="17"/>
  <c r="AM249" i="17"/>
  <c r="AR248" i="17"/>
  <c r="AH245" i="17"/>
  <c r="AM244" i="17"/>
  <c r="AQ241" i="17"/>
  <c r="AI240" i="17"/>
  <c r="AO237" i="17"/>
  <c r="AO233" i="17"/>
  <c r="AI232" i="17"/>
  <c r="AO229" i="17"/>
  <c r="AI228" i="17"/>
  <c r="AI226" i="17"/>
  <c r="AO225" i="17"/>
  <c r="AI222" i="17"/>
  <c r="AI218" i="17"/>
  <c r="AO217" i="17"/>
  <c r="AI214" i="17"/>
  <c r="AO213" i="17"/>
  <c r="AI210" i="17"/>
  <c r="AI208" i="17"/>
  <c r="AI206" i="17"/>
  <c r="AO205" i="17"/>
  <c r="AO201" i="17"/>
  <c r="AO199" i="17"/>
  <c r="AI198" i="17"/>
  <c r="AO197" i="17"/>
  <c r="AI192" i="17"/>
  <c r="AQ406" i="17"/>
  <c r="AJ397" i="17"/>
  <c r="AF367" i="17"/>
  <c r="AL367" i="17" s="1"/>
  <c r="Z367" i="17" s="1"/>
  <c r="AS367" i="17" s="1"/>
  <c r="AF341" i="17"/>
  <c r="AF325" i="17"/>
  <c r="AL325" i="17" s="1"/>
  <c r="Z325" i="17" s="1"/>
  <c r="AS325" i="17" s="1"/>
  <c r="AK304" i="17"/>
  <c r="AM302" i="17"/>
  <c r="AQ299" i="17"/>
  <c r="AM296" i="17"/>
  <c r="AF295" i="17"/>
  <c r="AR293" i="17"/>
  <c r="AH292" i="17"/>
  <c r="AR287" i="17"/>
  <c r="AN286" i="17"/>
  <c r="AQ285" i="17"/>
  <c r="AM284" i="17"/>
  <c r="AP283" i="17"/>
  <c r="AN282" i="17"/>
  <c r="AR281" i="17"/>
  <c r="AG277" i="17"/>
  <c r="AJ276" i="17"/>
  <c r="AN275" i="17"/>
  <c r="AN274" i="17"/>
  <c r="AR273" i="17"/>
  <c r="AG271" i="17"/>
  <c r="AJ270" i="17"/>
  <c r="AN269" i="17"/>
  <c r="AR268" i="17"/>
  <c r="AQ263" i="17"/>
  <c r="AF260" i="17"/>
  <c r="AK259" i="17"/>
  <c r="AP253" i="17"/>
  <c r="AH252" i="17"/>
  <c r="AQ248" i="17"/>
  <c r="AG245" i="17"/>
  <c r="AP241" i="17"/>
  <c r="AH240" i="17"/>
  <c r="AN237" i="17"/>
  <c r="AN233" i="17"/>
  <c r="AH232" i="17"/>
  <c r="AN229" i="17"/>
  <c r="AH228" i="17"/>
  <c r="AH226" i="17"/>
  <c r="AN225" i="17"/>
  <c r="AH222" i="17"/>
  <c r="AH218" i="17"/>
  <c r="AN217" i="17"/>
  <c r="AH214" i="17"/>
  <c r="AN213" i="17"/>
  <c r="AH210" i="17"/>
  <c r="AH208" i="17"/>
  <c r="AH206" i="17"/>
  <c r="AN205" i="17"/>
  <c r="AN201" i="17"/>
  <c r="AN199" i="17"/>
  <c r="AH198" i="17"/>
  <c r="AN197" i="17"/>
  <c r="AH192" i="17"/>
  <c r="AN191" i="17"/>
  <c r="AN189" i="17"/>
  <c r="AH188" i="17"/>
  <c r="AH186" i="17"/>
  <c r="AN185" i="17"/>
  <c r="AH182" i="17"/>
  <c r="AH180" i="17"/>
  <c r="AN179" i="17"/>
  <c r="AH176" i="17"/>
  <c r="AN175" i="17"/>
  <c r="AJ417" i="17"/>
  <c r="AQ411" i="17"/>
  <c r="AJ408" i="17"/>
  <c r="AN399" i="17"/>
  <c r="AI397" i="17"/>
  <c r="AR389" i="17"/>
  <c r="AF343" i="17"/>
  <c r="AL343" i="17" s="1"/>
  <c r="Z343" i="17" s="1"/>
  <c r="AS343" i="17" s="1"/>
  <c r="AK312" i="17"/>
  <c r="AN299" i="17"/>
  <c r="AQ293" i="17"/>
  <c r="AR289" i="17"/>
  <c r="AN288" i="17"/>
  <c r="AQ287" i="17"/>
  <c r="AM286" i="17"/>
  <c r="AO285" i="17"/>
  <c r="AO283" i="17"/>
  <c r="AM282" i="17"/>
  <c r="AQ281" i="17"/>
  <c r="AF277" i="17"/>
  <c r="AL277" i="17" s="1"/>
  <c r="Z277" i="17" s="1"/>
  <c r="AS277" i="17" s="1"/>
  <c r="AI276" i="17"/>
  <c r="AM275" i="17"/>
  <c r="AM274" i="17"/>
  <c r="AQ273" i="17"/>
  <c r="AF271" i="17"/>
  <c r="AL271" i="17" s="1"/>
  <c r="Z271" i="17" s="1"/>
  <c r="AS271" i="17" s="1"/>
  <c r="AI270" i="17"/>
  <c r="AM269" i="17"/>
  <c r="AQ268" i="17"/>
  <c r="AK264" i="17"/>
  <c r="AP263" i="17"/>
  <c r="AH259" i="17"/>
  <c r="AK256" i="17"/>
  <c r="AO253" i="17"/>
  <c r="AG252" i="17"/>
  <c r="AK249" i="17"/>
  <c r="AO248" i="17"/>
  <c r="AF245" i="17"/>
  <c r="AK244" i="17"/>
  <c r="AO241" i="17"/>
  <c r="AG240" i="17"/>
  <c r="AM237" i="17"/>
  <c r="AM233" i="17"/>
  <c r="AG232" i="17"/>
  <c r="AM229" i="17"/>
  <c r="AG228" i="17"/>
  <c r="AG226" i="17"/>
  <c r="AM225" i="17"/>
  <c r="AG222" i="17"/>
  <c r="AG218" i="17"/>
  <c r="AM217" i="17"/>
  <c r="AG214" i="17"/>
  <c r="AM213" i="17"/>
  <c r="AG210" i="17"/>
  <c r="AG208" i="17"/>
  <c r="AG206" i="17"/>
  <c r="AM205" i="17"/>
  <c r="AM201" i="17"/>
  <c r="AM199" i="17"/>
  <c r="AG198" i="17"/>
  <c r="AM197" i="17"/>
  <c r="AG192" i="17"/>
  <c r="AM191" i="17"/>
  <c r="AM189" i="17"/>
  <c r="AG188" i="17"/>
  <c r="AG186" i="17"/>
  <c r="AM185" i="17"/>
  <c r="AG182" i="17"/>
  <c r="AG180" i="17"/>
  <c r="AM179" i="17"/>
  <c r="AG176" i="17"/>
  <c r="AM175" i="17"/>
  <c r="AG172" i="17"/>
  <c r="AM171" i="17"/>
  <c r="AH417" i="17"/>
  <c r="AI408" i="17"/>
  <c r="AQ401" i="17"/>
  <c r="AQ389" i="17"/>
  <c r="AF319" i="17"/>
  <c r="AL319" i="17" s="1"/>
  <c r="AF309" i="17"/>
  <c r="AK302" i="17"/>
  <c r="AG299" i="17"/>
  <c r="AK296" i="17"/>
  <c r="AN293" i="17"/>
  <c r="AQ289" i="17"/>
  <c r="AM288" i="17"/>
  <c r="AO287" i="17"/>
  <c r="AN285" i="17"/>
  <c r="AK284" i="17"/>
  <c r="AN283" i="17"/>
  <c r="AP281" i="17"/>
  <c r="AN280" i="17"/>
  <c r="AR279" i="17"/>
  <c r="AH276" i="17"/>
  <c r="AK275" i="17"/>
  <c r="AP273" i="17"/>
  <c r="AH270" i="17"/>
  <c r="AN268" i="17"/>
  <c r="AJ264" i="17"/>
  <c r="AO263" i="17"/>
  <c r="AR260" i="17"/>
  <c r="AG259" i="17"/>
  <c r="AJ256" i="17"/>
  <c r="AN253" i="17"/>
  <c r="AF252" i="17"/>
  <c r="AL252" i="17" s="1"/>
  <c r="AI249" i="17"/>
  <c r="AN248" i="17"/>
  <c r="AR245" i="17"/>
  <c r="AJ244" i="17"/>
  <c r="AN241" i="17"/>
  <c r="AF240" i="17"/>
  <c r="AR232" i="17"/>
  <c r="AF232" i="17"/>
  <c r="AR228" i="17"/>
  <c r="AF228" i="17"/>
  <c r="AL228" i="17" s="1"/>
  <c r="AR226" i="17"/>
  <c r="AF226" i="17"/>
  <c r="AL226" i="17" s="1"/>
  <c r="Z226" i="17" s="1"/>
  <c r="AS226" i="17" s="1"/>
  <c r="AR222" i="17"/>
  <c r="AF222" i="17"/>
  <c r="AL222" i="17" s="1"/>
  <c r="AR218" i="17"/>
  <c r="AF218" i="17"/>
  <c r="AR214" i="17"/>
  <c r="AF214" i="17"/>
  <c r="AR210" i="17"/>
  <c r="AF210" i="17"/>
  <c r="AR208" i="17"/>
  <c r="AF208" i="17"/>
  <c r="AR206" i="17"/>
  <c r="AF206" i="17"/>
  <c r="AL206" i="17" s="1"/>
  <c r="Z206" i="17" s="1"/>
  <c r="AS206" i="17" s="1"/>
  <c r="AR198" i="17"/>
  <c r="AF198" i="17"/>
  <c r="AR192" i="17"/>
  <c r="AF192" i="17"/>
  <c r="AR188" i="17"/>
  <c r="AF188" i="17"/>
  <c r="AR186" i="17"/>
  <c r="AF186" i="17"/>
  <c r="AR182" i="17"/>
  <c r="AR391" i="17"/>
  <c r="AK322" i="17"/>
  <c r="AR297" i="17"/>
  <c r="AH284" i="17"/>
  <c r="AQ279" i="17"/>
  <c r="AN272" i="17"/>
  <c r="AH264" i="17"/>
  <c r="AI244" i="17"/>
  <c r="AM241" i="17"/>
  <c r="AK225" i="17"/>
  <c r="AQ222" i="17"/>
  <c r="AP192" i="17"/>
  <c r="AF176" i="17"/>
  <c r="AL176" i="17" s="1"/>
  <c r="AP172" i="17"/>
  <c r="AH168" i="17"/>
  <c r="AK167" i="17"/>
  <c r="AN164" i="17"/>
  <c r="AR163" i="17"/>
  <c r="AM161" i="17"/>
  <c r="AQ158" i="17"/>
  <c r="AI157" i="17"/>
  <c r="AM154" i="17"/>
  <c r="AR153" i="17"/>
  <c r="AI152" i="17"/>
  <c r="AM149" i="17"/>
  <c r="AR148" i="17"/>
  <c r="AI145" i="17"/>
  <c r="AN144" i="17"/>
  <c r="AF143" i="17"/>
  <c r="AL143" i="17" s="1"/>
  <c r="AK142" i="17"/>
  <c r="AH140" i="17"/>
  <c r="AM139" i="17"/>
  <c r="AR138" i="17"/>
  <c r="AP136" i="17"/>
  <c r="AH135" i="17"/>
  <c r="AM134" i="17"/>
  <c r="AK132" i="17"/>
  <c r="AO131" i="17"/>
  <c r="AG130" i="17"/>
  <c r="AQ128" i="17"/>
  <c r="AJ127" i="17"/>
  <c r="AP126" i="17"/>
  <c r="AJ125" i="17"/>
  <c r="AP112" i="17"/>
  <c r="AP88" i="17"/>
  <c r="AJ87" i="17"/>
  <c r="AP86" i="17"/>
  <c r="AJ85" i="17"/>
  <c r="AP84" i="17"/>
  <c r="AJ83" i="17"/>
  <c r="AP82" i="17"/>
  <c r="AJ81" i="17"/>
  <c r="AP80" i="17"/>
  <c r="AJ79" i="17"/>
  <c r="AP78" i="17"/>
  <c r="AJ77" i="17"/>
  <c r="AP76" i="17"/>
  <c r="AJ75" i="17"/>
  <c r="AP74" i="17"/>
  <c r="AJ73" i="17"/>
  <c r="AP72" i="17"/>
  <c r="AJ71" i="17"/>
  <c r="AP70" i="17"/>
  <c r="AJ69" i="17"/>
  <c r="AP68" i="17"/>
  <c r="AJ67" i="17"/>
  <c r="AP66" i="17"/>
  <c r="AJ65" i="17"/>
  <c r="AJ53" i="17"/>
  <c r="AP52" i="17"/>
  <c r="AJ51" i="17"/>
  <c r="AP50" i="17"/>
  <c r="AJ49" i="17"/>
  <c r="AP48" i="17"/>
  <c r="AJ47" i="17"/>
  <c r="AQ391" i="17"/>
  <c r="AK286" i="17"/>
  <c r="AP279" i="17"/>
  <c r="AK274" i="17"/>
  <c r="AH249" i="17"/>
  <c r="AH244" i="17"/>
  <c r="AJ225" i="17"/>
  <c r="AP222" i="17"/>
  <c r="AQ208" i="17"/>
  <c r="AO179" i="17"/>
  <c r="AO172" i="17"/>
  <c r="AK171" i="17"/>
  <c r="AG168" i="17"/>
  <c r="AJ167" i="17"/>
  <c r="AM164" i="17"/>
  <c r="AO163" i="17"/>
  <c r="AP158" i="17"/>
  <c r="AH157" i="17"/>
  <c r="AQ153" i="17"/>
  <c r="AH152" i="17"/>
  <c r="AQ148" i="17"/>
  <c r="AH145" i="17"/>
  <c r="AM144" i="17"/>
  <c r="AR143" i="17"/>
  <c r="AI142" i="17"/>
  <c r="AG140" i="17"/>
  <c r="AQ138" i="17"/>
  <c r="AO136" i="17"/>
  <c r="AG135" i="17"/>
  <c r="AI132" i="17"/>
  <c r="AN131" i="17"/>
  <c r="AF130" i="17"/>
  <c r="AK129" i="17"/>
  <c r="AP128" i="17"/>
  <c r="AI127" i="17"/>
  <c r="AO126" i="17"/>
  <c r="AI125" i="17"/>
  <c r="AO112" i="17"/>
  <c r="AO88" i="17"/>
  <c r="AI87" i="17"/>
  <c r="AO86" i="17"/>
  <c r="AI85" i="17"/>
  <c r="AO84" i="17"/>
  <c r="AI83" i="17"/>
  <c r="AO82" i="17"/>
  <c r="AI81" i="17"/>
  <c r="AO80" i="17"/>
  <c r="AI79" i="17"/>
  <c r="AO78" i="17"/>
  <c r="AI77" i="17"/>
  <c r="AO76" i="17"/>
  <c r="AI75" i="17"/>
  <c r="AO74" i="17"/>
  <c r="AI73" i="17"/>
  <c r="AO72" i="17"/>
  <c r="AI71" i="17"/>
  <c r="AO70" i="17"/>
  <c r="AI69" i="17"/>
  <c r="AO68" i="17"/>
  <c r="AI67" i="17"/>
  <c r="AO66" i="17"/>
  <c r="AI65" i="17"/>
  <c r="AI53" i="17"/>
  <c r="AO52" i="17"/>
  <c r="AI51" i="17"/>
  <c r="AO50" i="17"/>
  <c r="AI49" i="17"/>
  <c r="AO48" i="17"/>
  <c r="AI47" i="17"/>
  <c r="AI286" i="17"/>
  <c r="AO281" i="17"/>
  <c r="AJ274" i="17"/>
  <c r="AK269" i="17"/>
  <c r="AR252" i="17"/>
  <c r="AG249" i="17"/>
  <c r="AP208" i="17"/>
  <c r="AO185" i="17"/>
  <c r="AN172" i="17"/>
  <c r="AJ171" i="17"/>
  <c r="AF168" i="17"/>
  <c r="AI167" i="17"/>
  <c r="AN163" i="17"/>
  <c r="AK161" i="17"/>
  <c r="AO158" i="17"/>
  <c r="AG157" i="17"/>
  <c r="AK154" i="17"/>
  <c r="AO153" i="17"/>
  <c r="AG152" i="17"/>
  <c r="AK149" i="17"/>
  <c r="AP148" i="17"/>
  <c r="AG145" i="17"/>
  <c r="AQ143" i="17"/>
  <c r="AH142" i="17"/>
  <c r="AF140" i="17"/>
  <c r="AL140" i="17" s="1"/>
  <c r="AK139" i="17"/>
  <c r="AP138" i="17"/>
  <c r="AN136" i="17"/>
  <c r="AF135" i="17"/>
  <c r="AK134" i="17"/>
  <c r="AH132" i="17"/>
  <c r="AM131" i="17"/>
  <c r="AR130" i="17"/>
  <c r="AJ129" i="17"/>
  <c r="AO128" i="17"/>
  <c r="AH127" i="17"/>
  <c r="AN126" i="17"/>
  <c r="AH125" i="17"/>
  <c r="AN112" i="17"/>
  <c r="AN88" i="17"/>
  <c r="AH87" i="17"/>
  <c r="AN86" i="17"/>
  <c r="AH85" i="17"/>
  <c r="AN84" i="17"/>
  <c r="AH83" i="17"/>
  <c r="AN82" i="17"/>
  <c r="AH81" i="17"/>
  <c r="AN80" i="17"/>
  <c r="AH79" i="17"/>
  <c r="AN78" i="17"/>
  <c r="AH77" i="17"/>
  <c r="AN76" i="17"/>
  <c r="AH75" i="17"/>
  <c r="AN74" i="17"/>
  <c r="AH73" i="17"/>
  <c r="AN72" i="17"/>
  <c r="AH71" i="17"/>
  <c r="AN70" i="17"/>
  <c r="AH69" i="17"/>
  <c r="AN68" i="17"/>
  <c r="AH67" i="17"/>
  <c r="AN66" i="17"/>
  <c r="AH65" i="17"/>
  <c r="AH53" i="17"/>
  <c r="AN52" i="17"/>
  <c r="AH51" i="17"/>
  <c r="AN50" i="17"/>
  <c r="AH49" i="17"/>
  <c r="AN48" i="17"/>
  <c r="AF299" i="17"/>
  <c r="AL299" i="17" s="1"/>
  <c r="AG293" i="17"/>
  <c r="AN281" i="17"/>
  <c r="AH269" i="17"/>
  <c r="AQ260" i="17"/>
  <c r="AQ252" i="17"/>
  <c r="AQ232" i="17"/>
  <c r="AO189" i="17"/>
  <c r="AK185" i="17"/>
  <c r="AQ182" i="17"/>
  <c r="AR180" i="17"/>
  <c r="AK179" i="17"/>
  <c r="AI172" i="17"/>
  <c r="AI171" i="17"/>
  <c r="AH167" i="17"/>
  <c r="AI164" i="17"/>
  <c r="AM163" i="17"/>
  <c r="AJ161" i="17"/>
  <c r="AN158" i="17"/>
  <c r="AF157" i="17"/>
  <c r="AI154" i="17"/>
  <c r="AN153" i="17"/>
  <c r="AF152" i="17"/>
  <c r="AJ149" i="17"/>
  <c r="AO148" i="17"/>
  <c r="AF145" i="17"/>
  <c r="AK144" i="17"/>
  <c r="AO143" i="17"/>
  <c r="AG142" i="17"/>
  <c r="AR140" i="17"/>
  <c r="AJ139" i="17"/>
  <c r="AO138" i="17"/>
  <c r="AM136" i="17"/>
  <c r="AR135" i="17"/>
  <c r="AI134" i="17"/>
  <c r="AG132" i="17"/>
  <c r="AQ130" i="17"/>
  <c r="AI129" i="17"/>
  <c r="AN128" i="17"/>
  <c r="AG127" i="17"/>
  <c r="AM126" i="17"/>
  <c r="AG125" i="17"/>
  <c r="AM112" i="17"/>
  <c r="AM88" i="17"/>
  <c r="AG87" i="17"/>
  <c r="AM86" i="17"/>
  <c r="AG85" i="17"/>
  <c r="AM84" i="17"/>
  <c r="AG83" i="17"/>
  <c r="AM82" i="17"/>
  <c r="AG81" i="17"/>
  <c r="AM80" i="17"/>
  <c r="AG79" i="17"/>
  <c r="AM78" i="17"/>
  <c r="AG77" i="17"/>
  <c r="AM76" i="17"/>
  <c r="AG75" i="17"/>
  <c r="AM74" i="17"/>
  <c r="AG73" i="17"/>
  <c r="AM72" i="17"/>
  <c r="AG71" i="17"/>
  <c r="AM70" i="17"/>
  <c r="AG69" i="17"/>
  <c r="AM68" i="17"/>
  <c r="AG67" i="17"/>
  <c r="AM66" i="17"/>
  <c r="AG65" i="17"/>
  <c r="AG53" i="17"/>
  <c r="AM52" i="17"/>
  <c r="AG51" i="17"/>
  <c r="AM50" i="17"/>
  <c r="AG49" i="17"/>
  <c r="AM48" i="17"/>
  <c r="AG47" i="17"/>
  <c r="AM46" i="17"/>
  <c r="AG45" i="17"/>
  <c r="AM44" i="17"/>
  <c r="AP401" i="17"/>
  <c r="AR305" i="17"/>
  <c r="AH296" i="17"/>
  <c r="AF293" i="17"/>
  <c r="AK288" i="17"/>
  <c r="AM283" i="17"/>
  <c r="AG276" i="17"/>
  <c r="AN263" i="17"/>
  <c r="AN260" i="17"/>
  <c r="AP232" i="17"/>
  <c r="AK229" i="17"/>
  <c r="AQ218" i="17"/>
  <c r="AK213" i="17"/>
  <c r="AQ210" i="17"/>
  <c r="AK205" i="17"/>
  <c r="AK197" i="17"/>
  <c r="AK189" i="17"/>
  <c r="AJ185" i="17"/>
  <c r="AP182" i="17"/>
  <c r="AQ180" i="17"/>
  <c r="AJ179" i="17"/>
  <c r="AH172" i="17"/>
  <c r="AH171" i="17"/>
  <c r="AG167" i="17"/>
  <c r="AH164" i="17"/>
  <c r="AI161" i="17"/>
  <c r="AM158" i="17"/>
  <c r="AR157" i="17"/>
  <c r="AH154" i="17"/>
  <c r="AM153" i="17"/>
  <c r="AR152" i="17"/>
  <c r="AI149" i="17"/>
  <c r="AN148" i="17"/>
  <c r="AR145" i="17"/>
  <c r="AI144" i="17"/>
  <c r="AN143" i="17"/>
  <c r="AF142" i="17"/>
  <c r="AL142" i="17" s="1"/>
  <c r="Z142" i="17" s="1"/>
  <c r="AS142" i="17" s="1"/>
  <c r="AQ140" i="17"/>
  <c r="AI139" i="17"/>
  <c r="AN138" i="17"/>
  <c r="AQ135" i="17"/>
  <c r="AH134" i="17"/>
  <c r="AF132" i="17"/>
  <c r="AK131" i="17"/>
  <c r="AP130" i="17"/>
  <c r="AH129" i="17"/>
  <c r="AM128" i="17"/>
  <c r="AR127" i="17"/>
  <c r="AF127" i="17"/>
  <c r="AL127" i="17" s="1"/>
  <c r="AR125" i="17"/>
  <c r="AF125" i="17"/>
  <c r="AR87" i="17"/>
  <c r="AF87" i="17"/>
  <c r="AR85" i="17"/>
  <c r="AF85" i="17"/>
  <c r="AR83" i="17"/>
  <c r="AF83" i="17"/>
  <c r="AR81" i="17"/>
  <c r="AF81" i="17"/>
  <c r="AR79" i="17"/>
  <c r="AF79" i="17"/>
  <c r="AL79" i="17" s="1"/>
  <c r="Z79" i="17" s="1"/>
  <c r="AS79" i="17" s="1"/>
  <c r="AR77" i="17"/>
  <c r="AF77" i="17"/>
  <c r="AR75" i="17"/>
  <c r="AF75" i="17"/>
  <c r="AR73" i="17"/>
  <c r="AF73" i="17"/>
  <c r="AR71" i="17"/>
  <c r="AF71" i="17"/>
  <c r="AR69" i="17"/>
  <c r="AF69" i="17"/>
  <c r="AL69" i="17" s="1"/>
  <c r="AR67" i="17"/>
  <c r="AF67" i="17"/>
  <c r="AL67" i="17" s="1"/>
  <c r="Z67" i="17" s="1"/>
  <c r="AS67" i="17" s="1"/>
  <c r="AR65" i="17"/>
  <c r="AF65" i="17"/>
  <c r="AR53" i="17"/>
  <c r="AF53" i="17"/>
  <c r="AR51" i="17"/>
  <c r="AF51" i="17"/>
  <c r="AR49" i="17"/>
  <c r="AF49" i="17"/>
  <c r="AR47" i="17"/>
  <c r="AF47" i="17"/>
  <c r="AR45" i="17"/>
  <c r="AF45" i="17"/>
  <c r="AL45" i="17" s="1"/>
  <c r="AR43" i="17"/>
  <c r="AF43" i="17"/>
  <c r="AR41" i="17"/>
  <c r="AF41" i="17"/>
  <c r="AR27" i="17"/>
  <c r="AF27" i="17"/>
  <c r="AR25" i="17"/>
  <c r="AF25" i="17"/>
  <c r="AR23" i="17"/>
  <c r="AF23" i="17"/>
  <c r="AL23" i="17" s="1"/>
  <c r="AR21" i="17"/>
  <c r="AF21" i="17"/>
  <c r="AR19" i="17"/>
  <c r="AF19" i="17"/>
  <c r="AL19" i="17" s="1"/>
  <c r="AR17" i="17"/>
  <c r="AF17" i="17"/>
  <c r="AF313" i="17"/>
  <c r="AQ305" i="17"/>
  <c r="AN290" i="17"/>
  <c r="AH283" i="17"/>
  <c r="AR271" i="17"/>
  <c r="AM263" i="17"/>
  <c r="AR240" i="17"/>
  <c r="AJ229" i="17"/>
  <c r="AP218" i="17"/>
  <c r="AJ213" i="17"/>
  <c r="AP210" i="17"/>
  <c r="AJ205" i="17"/>
  <c r="AK199" i="17"/>
  <c r="AJ197" i="17"/>
  <c r="AO191" i="17"/>
  <c r="AJ189" i="17"/>
  <c r="AI182" i="17"/>
  <c r="AP180" i="17"/>
  <c r="AI179" i="17"/>
  <c r="AO175" i="17"/>
  <c r="AF172" i="17"/>
  <c r="AG164" i="17"/>
  <c r="AK163" i="17"/>
  <c r="AH161" i="17"/>
  <c r="AQ157" i="17"/>
  <c r="AG154" i="17"/>
  <c r="AQ152" i="17"/>
  <c r="AH149" i="17"/>
  <c r="AM148" i="17"/>
  <c r="AQ145" i="17"/>
  <c r="AH144" i="17"/>
  <c r="AM143" i="17"/>
  <c r="AR142" i="17"/>
  <c r="AP140" i="17"/>
  <c r="AH139" i="17"/>
  <c r="AM138" i="17"/>
  <c r="AK136" i="17"/>
  <c r="AO135" i="17"/>
  <c r="AG134" i="17"/>
  <c r="AR132" i="17"/>
  <c r="AJ131" i="17"/>
  <c r="AO130" i="17"/>
  <c r="AG129" i="17"/>
  <c r="AQ127" i="17"/>
  <c r="AK126" i="17"/>
  <c r="AQ125" i="17"/>
  <c r="AK112" i="17"/>
  <c r="AK88" i="17"/>
  <c r="AQ87" i="17"/>
  <c r="AK86" i="17"/>
  <c r="AQ85" i="17"/>
  <c r="AK84" i="17"/>
  <c r="AQ83" i="17"/>
  <c r="AK82" i="17"/>
  <c r="AQ81" i="17"/>
  <c r="AK80" i="17"/>
  <c r="AQ79" i="17"/>
  <c r="AK78" i="17"/>
  <c r="AQ77" i="17"/>
  <c r="AK76" i="17"/>
  <c r="AQ75" i="17"/>
  <c r="AK74" i="17"/>
  <c r="AQ73" i="17"/>
  <c r="AK72" i="17"/>
  <c r="AQ71" i="17"/>
  <c r="AK70" i="17"/>
  <c r="AQ69" i="17"/>
  <c r="AK68" i="17"/>
  <c r="AQ67" i="17"/>
  <c r="AK66" i="17"/>
  <c r="AQ65" i="17"/>
  <c r="AQ53" i="17"/>
  <c r="AK52" i="17"/>
  <c r="AQ51" i="17"/>
  <c r="AK50" i="17"/>
  <c r="AQ49" i="17"/>
  <c r="AK48" i="17"/>
  <c r="AQ47" i="17"/>
  <c r="AK46" i="17"/>
  <c r="AQ45" i="17"/>
  <c r="AK44" i="17"/>
  <c r="AQ43" i="17"/>
  <c r="AK42" i="17"/>
  <c r="AQ41" i="17"/>
  <c r="AK40" i="17"/>
  <c r="AK28" i="17"/>
  <c r="AQ27" i="17"/>
  <c r="AK26" i="17"/>
  <c r="AQ25" i="17"/>
  <c r="AK24" i="17"/>
  <c r="AQ23" i="17"/>
  <c r="AK22" i="17"/>
  <c r="AQ21" i="17"/>
  <c r="AK20" i="17"/>
  <c r="AM290" i="17"/>
  <c r="AM285" i="17"/>
  <c r="AN278" i="17"/>
  <c r="AO273" i="17"/>
  <c r="AM248" i="17"/>
  <c r="AQ245" i="17"/>
  <c r="AQ240" i="17"/>
  <c r="AK237" i="17"/>
  <c r="AQ226" i="17"/>
  <c r="AJ199" i="17"/>
  <c r="AK191" i="17"/>
  <c r="AF182" i="17"/>
  <c r="AN180" i="17"/>
  <c r="AH179" i="17"/>
  <c r="AR176" i="17"/>
  <c r="AR168" i="17"/>
  <c r="AF164" i="17"/>
  <c r="AJ163" i="17"/>
  <c r="AG161" i="17"/>
  <c r="AK158" i="17"/>
  <c r="AO157" i="17"/>
  <c r="AF154" i="17"/>
  <c r="AL154" i="17" s="1"/>
  <c r="AK153" i="17"/>
  <c r="AP152" i="17"/>
  <c r="AG149" i="17"/>
  <c r="AO145" i="17"/>
  <c r="AG144" i="17"/>
  <c r="AQ142" i="17"/>
  <c r="AO140" i="17"/>
  <c r="AG139" i="17"/>
  <c r="AI136" i="17"/>
  <c r="AN135" i="17"/>
  <c r="AF134" i="17"/>
  <c r="AL134" i="17" s="1"/>
  <c r="AQ132" i="17"/>
  <c r="AI131" i="17"/>
  <c r="AN130" i="17"/>
  <c r="AF129" i="17"/>
  <c r="AK128" i="17"/>
  <c r="AP127" i="17"/>
  <c r="AJ126" i="17"/>
  <c r="AP125" i="17"/>
  <c r="AJ112" i="17"/>
  <c r="AJ88" i="17"/>
  <c r="AP87" i="17"/>
  <c r="AJ86" i="17"/>
  <c r="AP85" i="17"/>
  <c r="AJ84" i="17"/>
  <c r="AP83" i="17"/>
  <c r="AJ82" i="17"/>
  <c r="AP81" i="17"/>
  <c r="AJ80" i="17"/>
  <c r="AP79" i="17"/>
  <c r="AJ78" i="17"/>
  <c r="AP77" i="17"/>
  <c r="AJ76" i="17"/>
  <c r="AP75" i="17"/>
  <c r="AJ74" i="17"/>
  <c r="AP73" i="17"/>
  <c r="AJ72" i="17"/>
  <c r="AP71" i="17"/>
  <c r="AJ70" i="17"/>
  <c r="AP69" i="17"/>
  <c r="AJ68" i="17"/>
  <c r="AP67" i="17"/>
  <c r="AJ66" i="17"/>
  <c r="AP65" i="17"/>
  <c r="AP53" i="17"/>
  <c r="AJ52" i="17"/>
  <c r="AP51" i="17"/>
  <c r="AJ50" i="17"/>
  <c r="AP49" i="17"/>
  <c r="AK316" i="17"/>
  <c r="AH285" i="17"/>
  <c r="AM280" i="17"/>
  <c r="AN273" i="17"/>
  <c r="AM268" i="17"/>
  <c r="AP245" i="17"/>
  <c r="AJ237" i="17"/>
  <c r="AP226" i="17"/>
  <c r="AJ191" i="17"/>
  <c r="AQ186" i="17"/>
  <c r="AI180" i="17"/>
  <c r="AQ176" i="17"/>
  <c r="AK175" i="17"/>
  <c r="AQ168" i="17"/>
  <c r="AI163" i="17"/>
  <c r="AF161" i="17"/>
  <c r="AI158" i="17"/>
  <c r="AN157" i="17"/>
  <c r="AR154" i="17"/>
  <c r="AJ153" i="17"/>
  <c r="AO152" i="17"/>
  <c r="AF149" i="17"/>
  <c r="AL149" i="17" s="1"/>
  <c r="Z149" i="17" s="1"/>
  <c r="AS149" i="17" s="1"/>
  <c r="AK148" i="17"/>
  <c r="AN145" i="17"/>
  <c r="AF144" i="17"/>
  <c r="AK143" i="17"/>
  <c r="AP142" i="17"/>
  <c r="AN140" i="17"/>
  <c r="AF139" i="17"/>
  <c r="AK138" i="17"/>
  <c r="AH136" i="17"/>
  <c r="AM135" i="17"/>
  <c r="AR134" i="17"/>
  <c r="AP132" i="17"/>
  <c r="AH131" i="17"/>
  <c r="AM130" i="17"/>
  <c r="AR129" i="17"/>
  <c r="AI128" i="17"/>
  <c r="AO127" i="17"/>
  <c r="AI126" i="17"/>
  <c r="AO125" i="17"/>
  <c r="AI112" i="17"/>
  <c r="AI88" i="17"/>
  <c r="AO87" i="17"/>
  <c r="AI86" i="17"/>
  <c r="AO85" i="17"/>
  <c r="AI84" i="17"/>
  <c r="AO83" i="17"/>
  <c r="AI82" i="17"/>
  <c r="AO81" i="17"/>
  <c r="AI80" i="17"/>
  <c r="AO79" i="17"/>
  <c r="AI78" i="17"/>
  <c r="AO77" i="17"/>
  <c r="AI76" i="17"/>
  <c r="AO75" i="17"/>
  <c r="AI74" i="17"/>
  <c r="AO73" i="17"/>
  <c r="AI72" i="17"/>
  <c r="AO71" i="17"/>
  <c r="AI70" i="17"/>
  <c r="AO69" i="17"/>
  <c r="AI68" i="17"/>
  <c r="AO67" i="17"/>
  <c r="AI66" i="17"/>
  <c r="AO65" i="17"/>
  <c r="AR307" i="17"/>
  <c r="AN287" i="17"/>
  <c r="AH275" i="17"/>
  <c r="AK201" i="17"/>
  <c r="AP186" i="17"/>
  <c r="AF180" i="17"/>
  <c r="AP176" i="17"/>
  <c r="AJ175" i="17"/>
  <c r="AP168" i="17"/>
  <c r="AO167" i="17"/>
  <c r="AR164" i="17"/>
  <c r="AH163" i="17"/>
  <c r="AH158" i="17"/>
  <c r="AM157" i="17"/>
  <c r="AQ154" i="17"/>
  <c r="AI153" i="17"/>
  <c r="AN152" i="17"/>
  <c r="AR149" i="17"/>
  <c r="AI148" i="17"/>
  <c r="AM145" i="17"/>
  <c r="AR144" i="17"/>
  <c r="AJ143" i="17"/>
  <c r="AO142" i="17"/>
  <c r="AM140" i="17"/>
  <c r="AR139" i="17"/>
  <c r="AI138" i="17"/>
  <c r="AG136" i="17"/>
  <c r="AQ134" i="17"/>
  <c r="AO132" i="17"/>
  <c r="AG131" i="17"/>
  <c r="AQ129" i="17"/>
  <c r="AH128" i="17"/>
  <c r="AN127" i="17"/>
  <c r="AH126" i="17"/>
  <c r="AN125" i="17"/>
  <c r="AH112" i="17"/>
  <c r="AH88" i="17"/>
  <c r="AN87" i="17"/>
  <c r="AH86" i="17"/>
  <c r="AN85" i="17"/>
  <c r="AH84" i="17"/>
  <c r="AN83" i="17"/>
  <c r="AH82" i="17"/>
  <c r="AN81" i="17"/>
  <c r="AH80" i="17"/>
  <c r="AN79" i="17"/>
  <c r="AH78" i="17"/>
  <c r="AN77" i="17"/>
  <c r="AH76" i="17"/>
  <c r="AN75" i="17"/>
  <c r="AH74" i="17"/>
  <c r="AN73" i="17"/>
  <c r="AH72" i="17"/>
  <c r="AN71" i="17"/>
  <c r="AH70" i="17"/>
  <c r="AN69" i="17"/>
  <c r="AH68" i="17"/>
  <c r="AN67" i="17"/>
  <c r="AH66" i="17"/>
  <c r="AN65" i="17"/>
  <c r="AN53" i="17"/>
  <c r="AH52" i="17"/>
  <c r="AN51" i="17"/>
  <c r="AH50" i="17"/>
  <c r="AN49" i="17"/>
  <c r="AH48" i="17"/>
  <c r="AN47" i="17"/>
  <c r="AG403" i="17"/>
  <c r="AF389" i="17"/>
  <c r="AQ307" i="17"/>
  <c r="AM287" i="17"/>
  <c r="AK282" i="17"/>
  <c r="AG275" i="17"/>
  <c r="AF259" i="17"/>
  <c r="AI256" i="17"/>
  <c r="AM253" i="17"/>
  <c r="AQ228" i="17"/>
  <c r="AJ201" i="17"/>
  <c r="AQ188" i="17"/>
  <c r="AI186" i="17"/>
  <c r="AO176" i="17"/>
  <c r="AI175" i="17"/>
  <c r="AO168" i="17"/>
  <c r="AN167" i="17"/>
  <c r="AQ164" i="17"/>
  <c r="AG163" i="17"/>
  <c r="AR161" i="17"/>
  <c r="AG158" i="17"/>
  <c r="AP154" i="17"/>
  <c r="AH153" i="17"/>
  <c r="AM152" i="17"/>
  <c r="AQ149" i="17"/>
  <c r="AH148" i="17"/>
  <c r="AQ144" i="17"/>
  <c r="AI143" i="17"/>
  <c r="AN142" i="17"/>
  <c r="AQ139" i="17"/>
  <c r="AH138" i="17"/>
  <c r="AF136" i="17"/>
  <c r="AL136" i="17" s="1"/>
  <c r="AK135" i="17"/>
  <c r="AP134" i="17"/>
  <c r="AN132" i="17"/>
  <c r="AF131" i="17"/>
  <c r="AK130" i="17"/>
  <c r="AO129" i="17"/>
  <c r="AG128" i="17"/>
  <c r="AM127" i="17"/>
  <c r="AG126" i="17"/>
  <c r="AM125" i="17"/>
  <c r="AG112" i="17"/>
  <c r="AG88" i="17"/>
  <c r="AM87" i="17"/>
  <c r="AG86" i="17"/>
  <c r="AM85" i="17"/>
  <c r="AG84" i="17"/>
  <c r="AM83" i="17"/>
  <c r="AG82" i="17"/>
  <c r="AM81" i="17"/>
  <c r="AG80" i="17"/>
  <c r="AM79" i="17"/>
  <c r="AG78" i="17"/>
  <c r="AM77" i="17"/>
  <c r="AG76" i="17"/>
  <c r="AM75" i="17"/>
  <c r="AG74" i="17"/>
  <c r="AM73" i="17"/>
  <c r="AG72" i="17"/>
  <c r="AM71" i="17"/>
  <c r="AG70" i="17"/>
  <c r="AM69" i="17"/>
  <c r="AG68" i="17"/>
  <c r="AM67" i="17"/>
  <c r="AG66" i="17"/>
  <c r="AL66" i="17" s="1"/>
  <c r="Z66" i="17" s="1"/>
  <c r="AS66" i="17" s="1"/>
  <c r="AM65" i="17"/>
  <c r="AM53" i="17"/>
  <c r="AG52" i="17"/>
  <c r="AM300" i="17"/>
  <c r="AO289" i="17"/>
  <c r="AJ282" i="17"/>
  <c r="AG270" i="17"/>
  <c r="AH256" i="17"/>
  <c r="AK233" i="17"/>
  <c r="AP228" i="17"/>
  <c r="AK217" i="17"/>
  <c r="AQ214" i="17"/>
  <c r="AQ206" i="17"/>
  <c r="AQ198" i="17"/>
  <c r="AP188" i="17"/>
  <c r="AN176" i="17"/>
  <c r="AH175" i="17"/>
  <c r="AR172" i="17"/>
  <c r="AO171" i="17"/>
  <c r="AN168" i="17"/>
  <c r="AM167" i="17"/>
  <c r="AP164" i="17"/>
  <c r="AF163" i="17"/>
  <c r="AL163" i="17" s="1"/>
  <c r="AO161" i="17"/>
  <c r="AF158" i="17"/>
  <c r="AK157" i="17"/>
  <c r="AO154" i="17"/>
  <c r="AG153" i="17"/>
  <c r="AO149" i="17"/>
  <c r="AG148" i="17"/>
  <c r="AK145" i="17"/>
  <c r="AP144" i="17"/>
  <c r="AH143" i="17"/>
  <c r="AM142" i="17"/>
  <c r="AK140" i="17"/>
  <c r="AO139" i="17"/>
  <c r="AG138" i="17"/>
  <c r="AR136" i="17"/>
  <c r="AJ135" i="17"/>
  <c r="AO134" i="17"/>
  <c r="AM132" i="17"/>
  <c r="AR131" i="17"/>
  <c r="AI130" i="17"/>
  <c r="AN129" i="17"/>
  <c r="AF128" i="17"/>
  <c r="AR126" i="17"/>
  <c r="AF126" i="17"/>
  <c r="AL126" i="17" s="1"/>
  <c r="N5" i="28"/>
  <c r="P7" i="28"/>
  <c r="N4" i="28"/>
  <c r="O5" i="28"/>
  <c r="Q7" i="28"/>
  <c r="G7" i="28" s="1"/>
  <c r="AF9" i="17"/>
  <c r="AO18" i="17"/>
  <c r="E7" i="24"/>
  <c r="AN4" i="17"/>
  <c r="P2" i="28"/>
  <c r="Q3" i="28"/>
  <c r="R4" i="28"/>
  <c r="M11" i="28"/>
  <c r="N12" i="28"/>
  <c r="O13" i="28"/>
  <c r="E9" i="24"/>
  <c r="AP2" i="17"/>
  <c r="AJ3" i="17"/>
  <c r="AP4" i="17"/>
  <c r="AJ5" i="17"/>
  <c r="AP6" i="17"/>
  <c r="AJ7" i="17"/>
  <c r="AP8" i="17"/>
  <c r="AJ9" i="17"/>
  <c r="AP10" i="17"/>
  <c r="AJ11" i="17"/>
  <c r="AP12" i="17"/>
  <c r="AJ13" i="17"/>
  <c r="AP14" i="17"/>
  <c r="AJ15" i="17"/>
  <c r="AK17" i="17"/>
  <c r="AF18" i="17"/>
  <c r="AN19" i="17"/>
  <c r="AI20" i="17"/>
  <c r="AP22" i="17"/>
  <c r="AK23" i="17"/>
  <c r="AG24" i="17"/>
  <c r="AP25" i="17"/>
  <c r="AN26" i="17"/>
  <c r="AI27" i="17"/>
  <c r="AN40" i="17"/>
  <c r="AI41" i="17"/>
  <c r="AN43" i="17"/>
  <c r="AJ44" i="17"/>
  <c r="AI45" i="17"/>
  <c r="AF46" i="17"/>
  <c r="AF48" i="17"/>
  <c r="AQ52" i="17"/>
  <c r="AK67" i="17"/>
  <c r="AF78" i="17"/>
  <c r="AQ80" i="17"/>
  <c r="AR82" i="17"/>
  <c r="Z92" i="17"/>
  <c r="AS92" i="17" s="1"/>
  <c r="AR112" i="17"/>
  <c r="AQ126" i="17"/>
  <c r="AM129" i="17"/>
  <c r="AI135" i="17"/>
  <c r="AP206" i="17"/>
  <c r="AJ217" i="17"/>
  <c r="M5" i="28"/>
  <c r="P8" i="28"/>
  <c r="M4" i="28"/>
  <c r="Q8" i="28"/>
  <c r="G8" i="28" s="1"/>
  <c r="P6" i="28"/>
  <c r="AF15" i="17"/>
  <c r="AL15" i="17" s="1"/>
  <c r="Q2" i="28"/>
  <c r="R3" i="28"/>
  <c r="M10" i="28"/>
  <c r="N11" i="28"/>
  <c r="O12" i="28"/>
  <c r="E10" i="24"/>
  <c r="AK3" i="17"/>
  <c r="AK5" i="17"/>
  <c r="AK7" i="17"/>
  <c r="AK9" i="17"/>
  <c r="AK11" i="17"/>
  <c r="AK13" i="17"/>
  <c r="AK15" i="17"/>
  <c r="AG18" i="17"/>
  <c r="AO19" i="17"/>
  <c r="AJ20" i="17"/>
  <c r="AG21" i="17"/>
  <c r="AQ22" i="17"/>
  <c r="AH24" i="17"/>
  <c r="AO26" i="17"/>
  <c r="AJ27" i="17"/>
  <c r="AF28" i="17"/>
  <c r="AO40" i="17"/>
  <c r="AJ41" i="17"/>
  <c r="AF42" i="17"/>
  <c r="AO43" i="17"/>
  <c r="AN44" i="17"/>
  <c r="AJ45" i="17"/>
  <c r="AG46" i="17"/>
  <c r="AG48" i="17"/>
  <c r="AM49" i="17"/>
  <c r="AR52" i="17"/>
  <c r="AK65" i="17"/>
  <c r="AF76" i="17"/>
  <c r="AL76" i="17" s="1"/>
  <c r="Z76" i="17" s="1"/>
  <c r="AS76" i="17" s="1"/>
  <c r="AQ78" i="17"/>
  <c r="AR80" i="17"/>
  <c r="AF138" i="17"/>
  <c r="AO144" i="17"/>
  <c r="AP214" i="17"/>
  <c r="AJ233" i="17"/>
  <c r="AI264" i="17"/>
  <c r="Q9" i="28"/>
  <c r="G9" i="28" s="1"/>
  <c r="R2" i="28"/>
  <c r="M9" i="28"/>
  <c r="N10" i="28"/>
  <c r="O11" i="28"/>
  <c r="P12" i="28"/>
  <c r="Q13" i="28"/>
  <c r="G13" i="28" s="1"/>
  <c r="E11" i="24"/>
  <c r="AF2" i="17"/>
  <c r="AL2" i="17" s="1"/>
  <c r="AF4" i="17"/>
  <c r="AF6" i="17"/>
  <c r="AF8" i="17"/>
  <c r="AF10" i="17"/>
  <c r="AF12" i="17"/>
  <c r="AL12" i="17" s="1"/>
  <c r="AF14" i="17"/>
  <c r="AM17" i="17"/>
  <c r="AH18" i="17"/>
  <c r="AP19" i="17"/>
  <c r="AM20" i="17"/>
  <c r="AH21" i="17"/>
  <c r="AR22" i="17"/>
  <c r="AM23" i="17"/>
  <c r="AI24" i="17"/>
  <c r="AP26" i="17"/>
  <c r="AK27" i="17"/>
  <c r="AG28" i="17"/>
  <c r="AP40" i="17"/>
  <c r="AK41" i="17"/>
  <c r="AG42" i="17"/>
  <c r="AP43" i="17"/>
  <c r="AO44" i="17"/>
  <c r="AK45" i="17"/>
  <c r="AH46" i="17"/>
  <c r="AI48" i="17"/>
  <c r="AO49" i="17"/>
  <c r="AF74" i="17"/>
  <c r="AQ76" i="17"/>
  <c r="AR78" i="17"/>
  <c r="AK87" i="17"/>
  <c r="AJ157" i="17"/>
  <c r="AI188" i="17"/>
  <c r="AQ272" i="17"/>
  <c r="M8" i="28"/>
  <c r="F8" i="28" s="1"/>
  <c r="H8" i="28" s="1"/>
  <c r="N9" i="28"/>
  <c r="O10" i="28"/>
  <c r="P11" i="28"/>
  <c r="Q12" i="28"/>
  <c r="G12" i="28" s="1"/>
  <c r="AG2" i="17"/>
  <c r="AM3" i="17"/>
  <c r="AG4" i="17"/>
  <c r="AM5" i="17"/>
  <c r="AG6" i="17"/>
  <c r="AM7" i="17"/>
  <c r="AG8" i="17"/>
  <c r="AM9" i="17"/>
  <c r="AG10" i="17"/>
  <c r="AM11" i="17"/>
  <c r="AG12" i="17"/>
  <c r="AM13" i="17"/>
  <c r="AG14" i="17"/>
  <c r="AM15" i="17"/>
  <c r="AN17" i="17"/>
  <c r="AI18" i="17"/>
  <c r="AQ19" i="17"/>
  <c r="AN20" i="17"/>
  <c r="AI21" i="17"/>
  <c r="AN23" i="17"/>
  <c r="AJ24" i="17"/>
  <c r="AG25" i="17"/>
  <c r="AQ26" i="17"/>
  <c r="AH28" i="17"/>
  <c r="AQ40" i="17"/>
  <c r="AH42" i="17"/>
  <c r="AP44" i="17"/>
  <c r="AI46" i="17"/>
  <c r="AH47" i="17"/>
  <c r="AJ48" i="17"/>
  <c r="AK51" i="17"/>
  <c r="Z62" i="17"/>
  <c r="AS62" i="17" s="1"/>
  <c r="AF72" i="17"/>
  <c r="AQ74" i="17"/>
  <c r="AR76" i="17"/>
  <c r="AK85" i="17"/>
  <c r="Z110" i="17"/>
  <c r="AS110" i="17" s="1"/>
  <c r="Z116" i="17"/>
  <c r="AS116" i="17" s="1"/>
  <c r="AQ192" i="17"/>
  <c r="AM294" i="17"/>
  <c r="AH4" i="17"/>
  <c r="AN5" i="17"/>
  <c r="AH6" i="17"/>
  <c r="AN7" i="17"/>
  <c r="AH8" i="17"/>
  <c r="AN9" i="17"/>
  <c r="AH10" i="17"/>
  <c r="AN11" i="17"/>
  <c r="AH12" i="17"/>
  <c r="AN13" i="17"/>
  <c r="AH14" i="17"/>
  <c r="AN15" i="17"/>
  <c r="AO17" i="17"/>
  <c r="AJ18" i="17"/>
  <c r="AO20" i="17"/>
  <c r="AJ21" i="17"/>
  <c r="AF22" i="17"/>
  <c r="AO23" i="17"/>
  <c r="AM24" i="17"/>
  <c r="AH25" i="17"/>
  <c r="AR26" i="17"/>
  <c r="AM27" i="17"/>
  <c r="AI28" i="17"/>
  <c r="AR40" i="17"/>
  <c r="AM41" i="17"/>
  <c r="AI42" i="17"/>
  <c r="AQ44" i="17"/>
  <c r="AM45" i="17"/>
  <c r="AJ46" i="17"/>
  <c r="AK47" i="17"/>
  <c r="AQ48" i="17"/>
  <c r="AF70" i="17"/>
  <c r="AQ72" i="17"/>
  <c r="AR74" i="17"/>
  <c r="AK83" i="17"/>
  <c r="AK127" i="17"/>
  <c r="AH130" i="17"/>
  <c r="AF148" i="17"/>
  <c r="AN154" i="17"/>
  <c r="AI284" i="17"/>
  <c r="AI4" i="17"/>
  <c r="AO5" i="17"/>
  <c r="AI6" i="17"/>
  <c r="AO7" i="17"/>
  <c r="AI8" i="17"/>
  <c r="AO9" i="17"/>
  <c r="AI10" i="17"/>
  <c r="AO11" i="17"/>
  <c r="AI12" i="17"/>
  <c r="AO13" i="17"/>
  <c r="AI14" i="17"/>
  <c r="AO15" i="17"/>
  <c r="AP17" i="17"/>
  <c r="AK18" i="17"/>
  <c r="AG19" i="17"/>
  <c r="AP20" i="17"/>
  <c r="AK21" i="17"/>
  <c r="AG22" i="17"/>
  <c r="AP23" i="17"/>
  <c r="AN24" i="17"/>
  <c r="AI25" i="17"/>
  <c r="AN27" i="17"/>
  <c r="AJ28" i="17"/>
  <c r="AN41" i="17"/>
  <c r="AJ42" i="17"/>
  <c r="AG43" i="17"/>
  <c r="AR44" i="17"/>
  <c r="AN45" i="17"/>
  <c r="AN46" i="17"/>
  <c r="AR48" i="17"/>
  <c r="AM51" i="17"/>
  <c r="AK53" i="17"/>
  <c r="AF68" i="17"/>
  <c r="AQ70" i="17"/>
  <c r="AR72" i="17"/>
  <c r="AK81" i="17"/>
  <c r="Z90" i="17"/>
  <c r="AS90" i="17" s="1"/>
  <c r="AQ136" i="17"/>
  <c r="AJ145" i="17"/>
  <c r="AN161" i="17"/>
  <c r="AO164" i="17"/>
  <c r="AL177" i="17"/>
  <c r="Z177" i="17" s="1"/>
  <c r="AS177" i="17" s="1"/>
  <c r="Z247" i="17"/>
  <c r="AS247" i="17" s="1"/>
  <c r="AL170" i="17"/>
  <c r="Z170" i="17" s="1"/>
  <c r="AS170" i="17" s="1"/>
  <c r="AL195" i="17"/>
  <c r="Z195" i="17" s="1"/>
  <c r="AS195" i="17" s="1"/>
  <c r="AL203" i="17"/>
  <c r="Z203" i="17" s="1"/>
  <c r="AS203" i="17" s="1"/>
  <c r="AL211" i="17"/>
  <c r="Z211" i="17" s="1"/>
  <c r="AS211" i="17" s="1"/>
  <c r="AL219" i="17"/>
  <c r="Z219" i="17" s="1"/>
  <c r="AS219" i="17" s="1"/>
  <c r="Z262" i="17"/>
  <c r="AS262" i="17" s="1"/>
  <c r="AL183" i="17"/>
  <c r="Z183" i="17" s="1"/>
  <c r="AS183" i="17" s="1"/>
  <c r="AL184" i="17"/>
  <c r="Z184" i="17" s="1"/>
  <c r="AS184" i="17" s="1"/>
  <c r="AL209" i="17"/>
  <c r="Z209" i="17" s="1"/>
  <c r="AS209" i="17" s="1"/>
  <c r="Z243" i="17"/>
  <c r="AS243" i="17" s="1"/>
  <c r="AL193" i="17"/>
  <c r="Z193" i="17" s="1"/>
  <c r="AS193" i="17" s="1"/>
  <c r="AL207" i="17"/>
  <c r="Z207" i="17" s="1"/>
  <c r="AS207" i="17" s="1"/>
  <c r="AL215" i="17"/>
  <c r="Z215" i="17" s="1"/>
  <c r="AS215" i="17" s="1"/>
  <c r="AL174" i="17"/>
  <c r="Z174" i="17" s="1"/>
  <c r="AS174" i="17" s="1"/>
  <c r="AL221" i="17"/>
  <c r="Z221" i="17" s="1"/>
  <c r="AS221" i="17" s="1"/>
  <c r="Z255" i="17"/>
  <c r="AS255" i="17" s="1"/>
  <c r="Z361" i="17"/>
  <c r="AS361" i="17" s="1"/>
  <c r="Z363" i="17"/>
  <c r="AS363" i="17" s="1"/>
  <c r="Z379" i="17"/>
  <c r="AS379" i="17" s="1"/>
  <c r="Z351" i="17"/>
  <c r="AS351" i="17" s="1"/>
  <c r="Z369" i="17"/>
  <c r="AS369" i="17" s="1"/>
  <c r="Z333" i="17"/>
  <c r="AS333" i="17" s="1"/>
  <c r="Z383" i="17"/>
  <c r="AS383" i="17" s="1"/>
  <c r="Z329" i="17"/>
  <c r="AS329" i="17" s="1"/>
  <c r="Z339" i="17"/>
  <c r="AS339" i="17" s="1"/>
  <c r="Z355" i="17"/>
  <c r="AS355" i="17" s="1"/>
  <c r="Z373" i="17"/>
  <c r="AS373" i="17" s="1"/>
  <c r="Z345" i="17"/>
  <c r="AS345" i="17" s="1"/>
  <c r="Z387" i="17"/>
  <c r="AS387" i="17" s="1"/>
  <c r="Z359" i="17"/>
  <c r="AS359" i="17" s="1"/>
  <c r="Z377" i="17"/>
  <c r="AS377" i="17" s="1"/>
  <c r="Z323" i="17"/>
  <c r="AS323" i="17" s="1"/>
  <c r="Z365" i="17"/>
  <c r="AS365" i="17" s="1"/>
  <c r="Z381" i="17"/>
  <c r="AS381" i="17" s="1"/>
  <c r="Z394" i="17"/>
  <c r="AS394" i="17" s="1"/>
  <c r="Z385" i="17"/>
  <c r="AS385" i="17" s="1"/>
  <c r="Z422" i="17"/>
  <c r="AS422" i="17" s="1"/>
  <c r="AO587" i="17"/>
  <c r="AN585" i="17"/>
  <c r="AJ580" i="17"/>
  <c r="AN577" i="17"/>
  <c r="AK576" i="17"/>
  <c r="AM571" i="17"/>
  <c r="AH570" i="17"/>
  <c r="AF569" i="17"/>
  <c r="AN541" i="17"/>
  <c r="AJ526" i="17"/>
  <c r="AM525" i="17"/>
  <c r="AK523" i="17"/>
  <c r="AO522" i="17"/>
  <c r="AG521" i="17"/>
  <c r="AR519" i="17"/>
  <c r="AP517" i="17"/>
  <c r="AN515" i="17"/>
  <c r="AI511" i="17"/>
  <c r="AG509" i="17"/>
  <c r="AR507" i="17"/>
  <c r="AJ506" i="17"/>
  <c r="AN503" i="17"/>
  <c r="AH502" i="17"/>
  <c r="AN501" i="17"/>
  <c r="AH500" i="17"/>
  <c r="AN499" i="17"/>
  <c r="AH496" i="17"/>
  <c r="AH494" i="17"/>
  <c r="AN493" i="17"/>
  <c r="AN489" i="17"/>
  <c r="AN487" i="17"/>
  <c r="AN485" i="17"/>
  <c r="AN483" i="17"/>
  <c r="AN481" i="17"/>
  <c r="AN479" i="17"/>
  <c r="AN477" i="17"/>
  <c r="AH476" i="17"/>
  <c r="AN475" i="17"/>
  <c r="AH474" i="17"/>
  <c r="AN473" i="17"/>
  <c r="AH472" i="17"/>
  <c r="AH470" i="17"/>
  <c r="AN469" i="17"/>
  <c r="AN467" i="17"/>
  <c r="AH464" i="17"/>
  <c r="AN463" i="17"/>
  <c r="AH462" i="17"/>
  <c r="AN461" i="17"/>
  <c r="AH460" i="17"/>
  <c r="AN459" i="17"/>
  <c r="AH458" i="17"/>
  <c r="AN457" i="17"/>
  <c r="AH456" i="17"/>
  <c r="AN455" i="17"/>
  <c r="AH454" i="17"/>
  <c r="AN453" i="17"/>
  <c r="AN451" i="17"/>
  <c r="AM644" i="17"/>
  <c r="AF587" i="17"/>
  <c r="AG585" i="17"/>
  <c r="AR583" i="17"/>
  <c r="AI580" i="17"/>
  <c r="AI577" i="17"/>
  <c r="AJ571" i="17"/>
  <c r="AM542" i="17"/>
  <c r="AM541" i="17"/>
  <c r="AP539" i="17"/>
  <c r="AI526" i="17"/>
  <c r="AI523" i="17"/>
  <c r="AN522" i="17"/>
  <c r="AF521" i="17"/>
  <c r="AL521" i="17" s="1"/>
  <c r="AQ519" i="17"/>
  <c r="AO517" i="17"/>
  <c r="AM515" i="17"/>
  <c r="AK513" i="17"/>
  <c r="AH511" i="17"/>
  <c r="AF509" i="17"/>
  <c r="AQ507" i="17"/>
  <c r="AI506" i="17"/>
  <c r="AM503" i="17"/>
  <c r="AG502" i="17"/>
  <c r="AM501" i="17"/>
  <c r="AG500" i="17"/>
  <c r="AM499" i="17"/>
  <c r="AG496" i="17"/>
  <c r="AG494" i="17"/>
  <c r="AM493" i="17"/>
  <c r="AM489" i="17"/>
  <c r="AM487" i="17"/>
  <c r="AM485" i="17"/>
  <c r="AM483" i="17"/>
  <c r="AM481" i="17"/>
  <c r="AM479" i="17"/>
  <c r="AM477" i="17"/>
  <c r="AG476" i="17"/>
  <c r="AM475" i="17"/>
  <c r="AG474" i="17"/>
  <c r="AM473" i="17"/>
  <c r="AG472" i="17"/>
  <c r="AG470" i="17"/>
  <c r="AM469" i="17"/>
  <c r="AM467" i="17"/>
  <c r="AG464" i="17"/>
  <c r="AM463" i="17"/>
  <c r="AG462" i="17"/>
  <c r="AM461" i="17"/>
  <c r="AG460" i="17"/>
  <c r="AM459" i="17"/>
  <c r="AG458" i="17"/>
  <c r="AM457" i="17"/>
  <c r="AG456" i="17"/>
  <c r="AM455" i="17"/>
  <c r="AG454" i="17"/>
  <c r="AM453" i="17"/>
  <c r="AM451" i="17"/>
  <c r="AM449" i="17"/>
  <c r="AG448" i="17"/>
  <c r="AM447" i="17"/>
  <c r="AM445" i="17"/>
  <c r="AM443" i="17"/>
  <c r="AG442" i="17"/>
  <c r="AM441" i="17"/>
  <c r="AG440" i="17"/>
  <c r="AG438" i="17"/>
  <c r="AM437" i="17"/>
  <c r="AG436" i="17"/>
  <c r="AG434" i="17"/>
  <c r="AM431" i="17"/>
  <c r="AG430" i="17"/>
  <c r="AG428" i="17"/>
  <c r="AM427" i="17"/>
  <c r="AG426" i="17"/>
  <c r="AM425" i="17"/>
  <c r="AM423" i="17"/>
  <c r="AM421" i="17"/>
  <c r="AM419" i="17"/>
  <c r="AF585" i="17"/>
  <c r="AN583" i="17"/>
  <c r="AH580" i="17"/>
  <c r="AH577" i="17"/>
  <c r="AK572" i="17"/>
  <c r="AI571" i="17"/>
  <c r="AJ542" i="17"/>
  <c r="AH541" i="17"/>
  <c r="AO539" i="17"/>
  <c r="AH526" i="17"/>
  <c r="AK525" i="17"/>
  <c r="AH523" i="17"/>
  <c r="AM522" i="17"/>
  <c r="AR521" i="17"/>
  <c r="AP519" i="17"/>
  <c r="AN517" i="17"/>
  <c r="AI513" i="17"/>
  <c r="AG511" i="17"/>
  <c r="AR509" i="17"/>
  <c r="AP507" i="17"/>
  <c r="AH506" i="17"/>
  <c r="AR502" i="17"/>
  <c r="AF502" i="17"/>
  <c r="AR500" i="17"/>
  <c r="AF500" i="17"/>
  <c r="AR496" i="17"/>
  <c r="AF496" i="17"/>
  <c r="AR494" i="17"/>
  <c r="AF494" i="17"/>
  <c r="AF476" i="17"/>
  <c r="AF474" i="17"/>
  <c r="AR472" i="17"/>
  <c r="AF472" i="17"/>
  <c r="AL472" i="17" s="1"/>
  <c r="Z472" i="17" s="1"/>
  <c r="AS472" i="17" s="1"/>
  <c r="AR470" i="17"/>
  <c r="AF470" i="17"/>
  <c r="AF464" i="17"/>
  <c r="AF462" i="17"/>
  <c r="AF460" i="17"/>
  <c r="AF458" i="17"/>
  <c r="AF456" i="17"/>
  <c r="AR454" i="17"/>
  <c r="AF454" i="17"/>
  <c r="AL454" i="17" s="1"/>
  <c r="AR448" i="17"/>
  <c r="AF448" i="17"/>
  <c r="AL448" i="17" s="1"/>
  <c r="Z448" i="17" s="1"/>
  <c r="AS448" i="17" s="1"/>
  <c r="AR442" i="17"/>
  <c r="AF442" i="17"/>
  <c r="AR440" i="17"/>
  <c r="AF440" i="17"/>
  <c r="AR438" i="17"/>
  <c r="AF438" i="17"/>
  <c r="AR436" i="17"/>
  <c r="AF436" i="17"/>
  <c r="AL436" i="17" s="1"/>
  <c r="AR434" i="17"/>
  <c r="AF434" i="17"/>
  <c r="AR430" i="17"/>
  <c r="AF430" i="17"/>
  <c r="AL430" i="17" s="1"/>
  <c r="Z430" i="17" s="1"/>
  <c r="AS430" i="17" s="1"/>
  <c r="AR428" i="17"/>
  <c r="AF428" i="17"/>
  <c r="AR426" i="17"/>
  <c r="AF426" i="17"/>
  <c r="AP619" i="17"/>
  <c r="AJ604" i="17"/>
  <c r="AR601" i="17"/>
  <c r="AO596" i="17"/>
  <c r="AO590" i="17"/>
  <c r="AN588" i="17"/>
  <c r="AJ583" i="17"/>
  <c r="AP578" i="17"/>
  <c r="AG577" i="17"/>
  <c r="AH572" i="17"/>
  <c r="AH571" i="17"/>
  <c r="AP555" i="17"/>
  <c r="AP551" i="17"/>
  <c r="AP549" i="17"/>
  <c r="AM548" i="17"/>
  <c r="AO547" i="17"/>
  <c r="AM546" i="17"/>
  <c r="AI542" i="17"/>
  <c r="AG541" i="17"/>
  <c r="AN539" i="17"/>
  <c r="AN536" i="17"/>
  <c r="AN532" i="17"/>
  <c r="AQ528" i="17"/>
  <c r="AG526" i="17"/>
  <c r="AI525" i="17"/>
  <c r="AG523" i="17"/>
  <c r="AQ521" i="17"/>
  <c r="AO519" i="17"/>
  <c r="AM517" i="17"/>
  <c r="AK515" i="17"/>
  <c r="AH513" i="17"/>
  <c r="AF511" i="17"/>
  <c r="AQ509" i="17"/>
  <c r="AO507" i="17"/>
  <c r="AG506" i="17"/>
  <c r="AK503" i="17"/>
  <c r="AQ502" i="17"/>
  <c r="AK501" i="17"/>
  <c r="AQ500" i="17"/>
  <c r="AK499" i="17"/>
  <c r="AQ496" i="17"/>
  <c r="AQ494" i="17"/>
  <c r="AK493" i="17"/>
  <c r="AK489" i="17"/>
  <c r="AK487" i="17"/>
  <c r="AK485" i="17"/>
  <c r="AK483" i="17"/>
  <c r="AK481" i="17"/>
  <c r="AK479" i="17"/>
  <c r="AK477" i="17"/>
  <c r="AK475" i="17"/>
  <c r="AK473" i="17"/>
  <c r="AQ472" i="17"/>
  <c r="AQ470" i="17"/>
  <c r="AK469" i="17"/>
  <c r="AK467" i="17"/>
  <c r="AK463" i="17"/>
  <c r="AK461" i="17"/>
  <c r="AK459" i="17"/>
  <c r="AK457" i="17"/>
  <c r="AK455" i="17"/>
  <c r="AQ454" i="17"/>
  <c r="AM653" i="17"/>
  <c r="AM628" i="17"/>
  <c r="AR625" i="17"/>
  <c r="AI622" i="17"/>
  <c r="AO619" i="17"/>
  <c r="AO616" i="17"/>
  <c r="AQ601" i="17"/>
  <c r="AN596" i="17"/>
  <c r="AN590" i="17"/>
  <c r="AI583" i="17"/>
  <c r="AR581" i="17"/>
  <c r="AO578" i="17"/>
  <c r="AF577" i="17"/>
  <c r="AP573" i="17"/>
  <c r="AG572" i="17"/>
  <c r="AM558" i="17"/>
  <c r="AO557" i="17"/>
  <c r="AM556" i="17"/>
  <c r="AO555" i="17"/>
  <c r="AM554" i="17"/>
  <c r="AO553" i="17"/>
  <c r="AM552" i="17"/>
  <c r="AO551" i="17"/>
  <c r="AM550" i="17"/>
  <c r="AO549" i="17"/>
  <c r="AJ548" i="17"/>
  <c r="AN547" i="17"/>
  <c r="AJ546" i="17"/>
  <c r="AN545" i="17"/>
  <c r="AM544" i="17"/>
  <c r="AH542" i="17"/>
  <c r="AM539" i="17"/>
  <c r="AP537" i="17"/>
  <c r="AM536" i="17"/>
  <c r="AP533" i="17"/>
  <c r="AM532" i="17"/>
  <c r="AP529" i="17"/>
  <c r="AN528" i="17"/>
  <c r="AH525" i="17"/>
  <c r="AF523" i="17"/>
  <c r="AK522" i="17"/>
  <c r="AP521" i="17"/>
  <c r="AN519" i="17"/>
  <c r="AI515" i="17"/>
  <c r="AG513" i="17"/>
  <c r="AR511" i="17"/>
  <c r="AP509" i="17"/>
  <c r="AN507" i="17"/>
  <c r="AF506" i="17"/>
  <c r="AJ503" i="17"/>
  <c r="AP502" i="17"/>
  <c r="AJ501" i="17"/>
  <c r="AP500" i="17"/>
  <c r="AJ499" i="17"/>
  <c r="AP496" i="17"/>
  <c r="AP494" i="17"/>
  <c r="AJ493" i="17"/>
  <c r="AJ489" i="17"/>
  <c r="AJ487" i="17"/>
  <c r="AJ485" i="17"/>
  <c r="AJ483" i="17"/>
  <c r="AJ481" i="17"/>
  <c r="AJ479" i="17"/>
  <c r="AJ477" i="17"/>
  <c r="AI628" i="17"/>
  <c r="AN625" i="17"/>
  <c r="AI619" i="17"/>
  <c r="AK588" i="17"/>
  <c r="AJ581" i="17"/>
  <c r="AI578" i="17"/>
  <c r="AN574" i="17"/>
  <c r="AO573" i="17"/>
  <c r="AN566" i="17"/>
  <c r="AO565" i="17"/>
  <c r="AP563" i="17"/>
  <c r="AM562" i="17"/>
  <c r="AO561" i="17"/>
  <c r="AM560" i="17"/>
  <c r="AO559" i="17"/>
  <c r="AJ558" i="17"/>
  <c r="AN557" i="17"/>
  <c r="AJ556" i="17"/>
  <c r="AN555" i="17"/>
  <c r="AJ554" i="17"/>
  <c r="AN553" i="17"/>
  <c r="AJ552" i="17"/>
  <c r="AN551" i="17"/>
  <c r="AJ550" i="17"/>
  <c r="AN549" i="17"/>
  <c r="AI548" i="17"/>
  <c r="AM547" i="17"/>
  <c r="AI546" i="17"/>
  <c r="AM545" i="17"/>
  <c r="AJ544" i="17"/>
  <c r="AN543" i="17"/>
  <c r="AG542" i="17"/>
  <c r="AH539" i="17"/>
  <c r="AO537" i="17"/>
  <c r="AJ536" i="17"/>
  <c r="AO533" i="17"/>
  <c r="AJ532" i="17"/>
  <c r="AO529" i="17"/>
  <c r="AM528" i="17"/>
  <c r="AG525" i="17"/>
  <c r="AR523" i="17"/>
  <c r="AJ522" i="17"/>
  <c r="AO521" i="17"/>
  <c r="AM519" i="17"/>
  <c r="AK517" i="17"/>
  <c r="AH515" i="17"/>
  <c r="AF513" i="17"/>
  <c r="AQ511" i="17"/>
  <c r="AO509" i="17"/>
  <c r="AM507" i="17"/>
  <c r="AR506" i="17"/>
  <c r="AI503" i="17"/>
  <c r="AO502" i="17"/>
  <c r="AI501" i="17"/>
  <c r="AO500" i="17"/>
  <c r="AI499" i="17"/>
  <c r="AO496" i="17"/>
  <c r="AO494" i="17"/>
  <c r="AI493" i="17"/>
  <c r="AI489" i="17"/>
  <c r="AI487" i="17"/>
  <c r="AI485" i="17"/>
  <c r="AI483" i="17"/>
  <c r="AI481" i="17"/>
  <c r="AM625" i="17"/>
  <c r="AR593" i="17"/>
  <c r="AP586" i="17"/>
  <c r="AN584" i="17"/>
  <c r="AF581" i="17"/>
  <c r="AK574" i="17"/>
  <c r="AN573" i="17"/>
  <c r="AK566" i="17"/>
  <c r="AN565" i="17"/>
  <c r="AM564" i="17"/>
  <c r="AO563" i="17"/>
  <c r="AJ562" i="17"/>
  <c r="AN561" i="17"/>
  <c r="AJ560" i="17"/>
  <c r="AN559" i="17"/>
  <c r="AI558" i="17"/>
  <c r="AM557" i="17"/>
  <c r="AI556" i="17"/>
  <c r="AM555" i="17"/>
  <c r="AI554" i="17"/>
  <c r="AM553" i="17"/>
  <c r="AI552" i="17"/>
  <c r="AM551" i="17"/>
  <c r="AI550" i="17"/>
  <c r="AM549" i="17"/>
  <c r="AH548" i="17"/>
  <c r="AG547" i="17"/>
  <c r="AH546" i="17"/>
  <c r="AG545" i="17"/>
  <c r="AI544" i="17"/>
  <c r="AM543" i="17"/>
  <c r="AG539" i="17"/>
  <c r="AN537" i="17"/>
  <c r="AI536" i="17"/>
  <c r="AN534" i="17"/>
  <c r="AN533" i="17"/>
  <c r="AM630" i="17"/>
  <c r="AF603" i="17"/>
  <c r="AH593" i="17"/>
  <c r="AJ586" i="17"/>
  <c r="AJ584" i="17"/>
  <c r="AP579" i="17"/>
  <c r="AJ574" i="17"/>
  <c r="AM573" i="17"/>
  <c r="AJ566" i="17"/>
  <c r="AM565" i="17"/>
  <c r="AJ564" i="17"/>
  <c r="AN563" i="17"/>
  <c r="AI562" i="17"/>
  <c r="AM561" i="17"/>
  <c r="AI560" i="17"/>
  <c r="AM559" i="17"/>
  <c r="AH558" i="17"/>
  <c r="AG557" i="17"/>
  <c r="AH556" i="17"/>
  <c r="AG555" i="17"/>
  <c r="AH554" i="17"/>
  <c r="AG553" i="17"/>
  <c r="AH552" i="17"/>
  <c r="AG551" i="17"/>
  <c r="AH550" i="17"/>
  <c r="AG549" i="17"/>
  <c r="AG548" i="17"/>
  <c r="AG546" i="17"/>
  <c r="AH544" i="17"/>
  <c r="AG543" i="17"/>
  <c r="AM537" i="17"/>
  <c r="AH536" i="17"/>
  <c r="AM534" i="17"/>
  <c r="AM533" i="17"/>
  <c r="AH532" i="17"/>
  <c r="AM530" i="17"/>
  <c r="AM529" i="17"/>
  <c r="AI528" i="17"/>
  <c r="AQ526" i="17"/>
  <c r="AP523" i="17"/>
  <c r="AH522" i="17"/>
  <c r="AM521" i="17"/>
  <c r="AK519" i="17"/>
  <c r="AH517" i="17"/>
  <c r="AF515" i="17"/>
  <c r="AL515" i="17" s="1"/>
  <c r="AQ513" i="17"/>
  <c r="AO511" i="17"/>
  <c r="AM509" i="17"/>
  <c r="AK507" i="17"/>
  <c r="AO506" i="17"/>
  <c r="AG503" i="17"/>
  <c r="AM502" i="17"/>
  <c r="AG501" i="17"/>
  <c r="AM500" i="17"/>
  <c r="AG499" i="17"/>
  <c r="AM496" i="17"/>
  <c r="AM494" i="17"/>
  <c r="AG493" i="17"/>
  <c r="AG489" i="17"/>
  <c r="AG487" i="17"/>
  <c r="AG485" i="17"/>
  <c r="AG483" i="17"/>
  <c r="AG481" i="17"/>
  <c r="AG479" i="17"/>
  <c r="AG477" i="17"/>
  <c r="AM476" i="17"/>
  <c r="AG475" i="17"/>
  <c r="AJ716" i="17"/>
  <c r="AM671" i="17"/>
  <c r="AR661" i="17"/>
  <c r="AG655" i="17"/>
  <c r="AH630" i="17"/>
  <c r="AR605" i="17"/>
  <c r="AQ589" i="17"/>
  <c r="AI584" i="17"/>
  <c r="AO582" i="17"/>
  <c r="AO579" i="17"/>
  <c r="AI574" i="17"/>
  <c r="AN568" i="17"/>
  <c r="AI566" i="17"/>
  <c r="AG565" i="17"/>
  <c r="AI564" i="17"/>
  <c r="AM563" i="17"/>
  <c r="AH562" i="17"/>
  <c r="AG561" i="17"/>
  <c r="AH560" i="17"/>
  <c r="AG559" i="17"/>
  <c r="AG558" i="17"/>
  <c r="AG556" i="17"/>
  <c r="AG554" i="17"/>
  <c r="AG552" i="17"/>
  <c r="AG550" i="17"/>
  <c r="AG544" i="17"/>
  <c r="AH537" i="17"/>
  <c r="AG536" i="17"/>
  <c r="AJ534" i="17"/>
  <c r="AH533" i="17"/>
  <c r="AG532" i="17"/>
  <c r="AJ530" i="17"/>
  <c r="AH529" i="17"/>
  <c r="AH528" i="17"/>
  <c r="AO526" i="17"/>
  <c r="AR525" i="17"/>
  <c r="AO523" i="17"/>
  <c r="AG522" i="17"/>
  <c r="AI519" i="17"/>
  <c r="AG517" i="17"/>
  <c r="AR515" i="17"/>
  <c r="AP513" i="17"/>
  <c r="AN511" i="17"/>
  <c r="AI507" i="17"/>
  <c r="AN506" i="17"/>
  <c r="AR503" i="17"/>
  <c r="AF503" i="17"/>
  <c r="AR501" i="17"/>
  <c r="AF501" i="17"/>
  <c r="AL501" i="17" s="1"/>
  <c r="AR499" i="17"/>
  <c r="AF499" i="17"/>
  <c r="AL499" i="17" s="1"/>
  <c r="AR493" i="17"/>
  <c r="AF493" i="17"/>
  <c r="AR489" i="17"/>
  <c r="AF489" i="17"/>
  <c r="AR487" i="17"/>
  <c r="AF487" i="17"/>
  <c r="AR485" i="17"/>
  <c r="AF485" i="17"/>
  <c r="AR483" i="17"/>
  <c r="AF483" i="17"/>
  <c r="AR481" i="17"/>
  <c r="AF481" i="17"/>
  <c r="AL481" i="17" s="1"/>
  <c r="Z481" i="17" s="1"/>
  <c r="AS481" i="17" s="1"/>
  <c r="AI671" i="17"/>
  <c r="AI661" i="17"/>
  <c r="AG630" i="17"/>
  <c r="AF627" i="17"/>
  <c r="AI618" i="17"/>
  <c r="AQ605" i="17"/>
  <c r="AK600" i="17"/>
  <c r="AP595" i="17"/>
  <c r="AR591" i="17"/>
  <c r="AP589" i="17"/>
  <c r="AH584" i="17"/>
  <c r="AN582" i="17"/>
  <c r="AN579" i="17"/>
  <c r="AN576" i="17"/>
  <c r="AH574" i="17"/>
  <c r="AM569" i="17"/>
  <c r="AM568" i="17"/>
  <c r="AH567" i="17"/>
  <c r="AH566" i="17"/>
  <c r="AH564" i="17"/>
  <c r="AG563" i="17"/>
  <c r="AG562" i="17"/>
  <c r="AG560" i="17"/>
  <c r="AG537" i="17"/>
  <c r="AI534" i="17"/>
  <c r="AG533" i="17"/>
  <c r="AI530" i="17"/>
  <c r="AG529" i="17"/>
  <c r="AG528" i="17"/>
  <c r="AN526" i="17"/>
  <c r="AP525" i="17"/>
  <c r="AN523" i="17"/>
  <c r="AF522" i="17"/>
  <c r="AK521" i="17"/>
  <c r="AH519" i="17"/>
  <c r="AF517" i="17"/>
  <c r="AQ515" i="17"/>
  <c r="AO513" i="17"/>
  <c r="AM511" i="17"/>
  <c r="AK509" i="17"/>
  <c r="AH507" i="17"/>
  <c r="AM506" i="17"/>
  <c r="AQ503" i="17"/>
  <c r="AK502" i="17"/>
  <c r="AQ501" i="17"/>
  <c r="AK500" i="17"/>
  <c r="AQ499" i="17"/>
  <c r="AK496" i="17"/>
  <c r="AK494" i="17"/>
  <c r="AQ493" i="17"/>
  <c r="AQ489" i="17"/>
  <c r="AQ487" i="17"/>
  <c r="AQ485" i="17"/>
  <c r="AQ483" i="17"/>
  <c r="AQ481" i="17"/>
  <c r="AQ479" i="17"/>
  <c r="AK476" i="17"/>
  <c r="AK474" i="17"/>
  <c r="AQ473" i="17"/>
  <c r="AK472" i="17"/>
  <c r="AK470" i="17"/>
  <c r="AQ469" i="17"/>
  <c r="AQ467" i="17"/>
  <c r="AK464" i="17"/>
  <c r="AK462" i="17"/>
  <c r="AK460" i="17"/>
  <c r="AK458" i="17"/>
  <c r="AK456" i="17"/>
  <c r="AK454" i="17"/>
  <c r="AQ453" i="17"/>
  <c r="AQ451" i="17"/>
  <c r="AL435" i="17"/>
  <c r="Z435" i="17" s="1"/>
  <c r="AS435" i="17" s="1"/>
  <c r="AN525" i="17"/>
  <c r="AH530" i="17"/>
  <c r="AG569" i="17"/>
  <c r="AM579" i="17"/>
  <c r="AM582" i="17"/>
  <c r="AN502" i="17"/>
  <c r="AF507" i="17"/>
  <c r="AI509" i="17"/>
  <c r="AG519" i="17"/>
  <c r="AN521" i="17"/>
  <c r="AM523" i="17"/>
  <c r="AO525" i="17"/>
  <c r="AN530" i="17"/>
  <c r="AH569" i="17"/>
  <c r="AJ600" i="17"/>
  <c r="AI496" i="17"/>
  <c r="AG507" i="17"/>
  <c r="AN509" i="17"/>
  <c r="AI517" i="17"/>
  <c r="AQ523" i="17"/>
  <c r="AJ528" i="17"/>
  <c r="AH575" i="17"/>
  <c r="AO589" i="17"/>
  <c r="AQ597" i="17"/>
  <c r="AP479" i="17"/>
  <c r="AP481" i="17"/>
  <c r="AL491" i="17"/>
  <c r="Z491" i="17" s="1"/>
  <c r="AS491" i="17" s="1"/>
  <c r="AJ496" i="17"/>
  <c r="Z498" i="17"/>
  <c r="AS498" i="17" s="1"/>
  <c r="Z512" i="17"/>
  <c r="AS512" i="17" s="1"/>
  <c r="AQ517" i="17"/>
  <c r="AK568" i="17"/>
  <c r="AR597" i="17"/>
  <c r="AH469" i="17"/>
  <c r="AJ470" i="17"/>
  <c r="AR479" i="17"/>
  <c r="AL488" i="17"/>
  <c r="Z488" i="17" s="1"/>
  <c r="AS488" i="17" s="1"/>
  <c r="AI494" i="17"/>
  <c r="AN496" i="17"/>
  <c r="AH499" i="17"/>
  <c r="AG515" i="17"/>
  <c r="AR517" i="17"/>
  <c r="AG534" i="17"/>
  <c r="AN580" i="17"/>
  <c r="AN651" i="17"/>
  <c r="AL433" i="17"/>
  <c r="Z433" i="17" s="1"/>
  <c r="AS433" i="17" s="1"/>
  <c r="AH489" i="17"/>
  <c r="AJ494" i="17"/>
  <c r="AO499" i="17"/>
  <c r="AH501" i="17"/>
  <c r="AL505" i="17"/>
  <c r="Z505" i="17" s="1"/>
  <c r="AS505" i="17" s="1"/>
  <c r="AO515" i="17"/>
  <c r="AI522" i="17"/>
  <c r="AH534" i="17"/>
  <c r="AO541" i="17"/>
  <c r="AP587" i="17"/>
  <c r="AL486" i="17"/>
  <c r="Z486" i="17" s="1"/>
  <c r="AS486" i="17" s="1"/>
  <c r="AO489" i="17"/>
  <c r="AN494" i="17"/>
  <c r="AP499" i="17"/>
  <c r="AO501" i="17"/>
  <c r="AH503" i="17"/>
  <c r="AP515" i="17"/>
  <c r="AQ522" i="17"/>
  <c r="AM526" i="17"/>
  <c r="AP541" i="17"/>
  <c r="AN595" i="17"/>
  <c r="AH487" i="17"/>
  <c r="AP489" i="17"/>
  <c r="AP501" i="17"/>
  <c r="AO503" i="17"/>
  <c r="AK506" i="17"/>
  <c r="AM513" i="17"/>
  <c r="AL520" i="17"/>
  <c r="Z520" i="17" s="1"/>
  <c r="AS520" i="17" s="1"/>
  <c r="AR522" i="17"/>
  <c r="AN529" i="17"/>
  <c r="AO595" i="17"/>
  <c r="AF475" i="17"/>
  <c r="AI476" i="17"/>
  <c r="AF477" i="17"/>
  <c r="AL484" i="17"/>
  <c r="Z484" i="17" s="1"/>
  <c r="AS484" i="17" s="1"/>
  <c r="AO487" i="17"/>
  <c r="AP503" i="17"/>
  <c r="Z508" i="17"/>
  <c r="AS508" i="17" s="1"/>
  <c r="AN513" i="17"/>
  <c r="AI532" i="17"/>
  <c r="AN570" i="17"/>
  <c r="AO620" i="17"/>
  <c r="AJ476" i="17"/>
  <c r="AH477" i="17"/>
  <c r="AH485" i="17"/>
  <c r="AP487" i="17"/>
  <c r="AL492" i="17"/>
  <c r="Z492" i="17" s="1"/>
  <c r="AS492" i="17" s="1"/>
  <c r="AL497" i="17"/>
  <c r="Z497" i="17" s="1"/>
  <c r="AS497" i="17" s="1"/>
  <c r="AQ506" i="17"/>
  <c r="AK511" i="17"/>
  <c r="AR513" i="17"/>
  <c r="AO570" i="17"/>
  <c r="AF591" i="17"/>
  <c r="AJ568" i="17"/>
  <c r="AG566" i="17"/>
  <c r="AF564" i="17"/>
  <c r="AF562" i="17"/>
  <c r="AF560" i="17"/>
  <c r="AF558" i="17"/>
  <c r="AL558" i="17" s="1"/>
  <c r="AF556" i="17"/>
  <c r="AL556" i="17" s="1"/>
  <c r="AF554" i="17"/>
  <c r="AL554" i="17" s="1"/>
  <c r="AF552" i="17"/>
  <c r="AL552" i="17" s="1"/>
  <c r="Z552" i="17" s="1"/>
  <c r="AS552" i="17" s="1"/>
  <c r="AF550" i="17"/>
  <c r="AF548" i="17"/>
  <c r="AF546" i="17"/>
  <c r="AF544" i="17"/>
  <c r="AR542" i="17"/>
  <c r="AF542" i="17"/>
  <c r="AR536" i="17"/>
  <c r="AF536" i="17"/>
  <c r="AR534" i="17"/>
  <c r="AF534" i="17"/>
  <c r="AR532" i="17"/>
  <c r="AF532" i="17"/>
  <c r="AL532" i="17" s="1"/>
  <c r="Z532" i="17" s="1"/>
  <c r="AS532" i="17" s="1"/>
  <c r="AR530" i="17"/>
  <c r="AF530" i="17"/>
  <c r="AL530" i="17" s="1"/>
  <c r="AR528" i="17"/>
  <c r="AF528" i="17"/>
  <c r="AR526" i="17"/>
  <c r="AF526" i="17"/>
  <c r="AI573" i="17"/>
  <c r="AO572" i="17"/>
  <c r="AF571" i="17"/>
  <c r="AI568" i="17"/>
  <c r="AN567" i="17"/>
  <c r="AK565" i="17"/>
  <c r="AK563" i="17"/>
  <c r="AK561" i="17"/>
  <c r="AK559" i="17"/>
  <c r="AK557" i="17"/>
  <c r="AK555" i="17"/>
  <c r="AK553" i="17"/>
  <c r="AK551" i="17"/>
  <c r="AK549" i="17"/>
  <c r="AK547" i="17"/>
  <c r="AK545" i="17"/>
  <c r="AK543" i="17"/>
  <c r="AQ542" i="17"/>
  <c r="AK541" i="17"/>
  <c r="AK539" i="17"/>
  <c r="AK537" i="17"/>
  <c r="AQ536" i="17"/>
  <c r="AQ534" i="17"/>
  <c r="AK533" i="17"/>
  <c r="AQ532" i="17"/>
  <c r="AQ530" i="17"/>
  <c r="AK529" i="17"/>
  <c r="AJ547" i="17"/>
  <c r="AJ545" i="17"/>
  <c r="AJ543" i="17"/>
  <c r="AP542" i="17"/>
  <c r="AJ541" i="17"/>
  <c r="AJ539" i="17"/>
  <c r="AJ537" i="17"/>
  <c r="AP536" i="17"/>
  <c r="AP534" i="17"/>
  <c r="AJ533" i="17"/>
  <c r="AP532" i="17"/>
  <c r="AP530" i="17"/>
  <c r="AJ529" i="17"/>
  <c r="AP528" i="17"/>
  <c r="AP526" i="17"/>
  <c r="AJ525" i="17"/>
  <c r="AJ523" i="17"/>
  <c r="AP522" i="17"/>
  <c r="AJ521" i="17"/>
  <c r="AJ519" i="17"/>
  <c r="AJ517" i="17"/>
  <c r="AJ515" i="17"/>
  <c r="AJ513" i="17"/>
  <c r="AJ511" i="17"/>
  <c r="AJ509" i="17"/>
  <c r="AJ507" i="17"/>
  <c r="AP506" i="17"/>
  <c r="AJ567" i="17"/>
  <c r="AI565" i="17"/>
  <c r="AI563" i="17"/>
  <c r="AO562" i="17"/>
  <c r="AI561" i="17"/>
  <c r="AO560" i="17"/>
  <c r="AI559" i="17"/>
  <c r="AO558" i="17"/>
  <c r="AI557" i="17"/>
  <c r="AO556" i="17"/>
  <c r="AI555" i="17"/>
  <c r="AO554" i="17"/>
  <c r="AI553" i="17"/>
  <c r="AO552" i="17"/>
  <c r="AI551" i="17"/>
  <c r="AO550" i="17"/>
  <c r="AI549" i="17"/>
  <c r="AO548" i="17"/>
  <c r="AI547" i="17"/>
  <c r="AO546" i="17"/>
  <c r="AI545" i="17"/>
  <c r="AI543" i="17"/>
  <c r="AO542" i="17"/>
  <c r="AI541" i="17"/>
  <c r="AI539" i="17"/>
  <c r="AI537" i="17"/>
  <c r="AO536" i="17"/>
  <c r="AO534" i="17"/>
  <c r="AI533" i="17"/>
  <c r="AO532" i="17"/>
  <c r="AO530" i="17"/>
  <c r="AI529" i="17"/>
  <c r="AO528" i="17"/>
  <c r="AF573" i="17"/>
  <c r="AI570" i="17"/>
  <c r="AN569" i="17"/>
  <c r="AI567" i="17"/>
  <c r="AO566" i="17"/>
  <c r="AH565" i="17"/>
  <c r="AN564" i="17"/>
  <c r="AH563" i="17"/>
  <c r="AN562" i="17"/>
  <c r="AH561" i="17"/>
  <c r="AN560" i="17"/>
  <c r="AH559" i="17"/>
  <c r="AN558" i="17"/>
  <c r="AH557" i="17"/>
  <c r="AN556" i="17"/>
  <c r="AH555" i="17"/>
  <c r="AN554" i="17"/>
  <c r="AH553" i="17"/>
  <c r="AN552" i="17"/>
  <c r="AH551" i="17"/>
  <c r="AN550" i="17"/>
  <c r="AH549" i="17"/>
  <c r="AN548" i="17"/>
  <c r="AH547" i="17"/>
  <c r="AN546" i="17"/>
  <c r="AH545" i="17"/>
  <c r="AN544" i="17"/>
  <c r="AH543" i="17"/>
  <c r="AN542" i="17"/>
  <c r="AO662" i="17"/>
  <c r="AI660" i="17"/>
  <c r="AJ658" i="17"/>
  <c r="AJ656" i="17"/>
  <c r="AG652" i="17"/>
  <c r="AN643" i="17"/>
  <c r="AF629" i="17"/>
  <c r="AO627" i="17"/>
  <c r="AH626" i="17"/>
  <c r="AQ624" i="17"/>
  <c r="AO622" i="17"/>
  <c r="AI621" i="17"/>
  <c r="AO618" i="17"/>
  <c r="AI617" i="17"/>
  <c r="AQ603" i="17"/>
  <c r="AJ602" i="17"/>
  <c r="AQ599" i="17"/>
  <c r="AJ598" i="17"/>
  <c r="AO571" i="17"/>
  <c r="AG570" i="17"/>
  <c r="AJ569" i="17"/>
  <c r="AG567" i="17"/>
  <c r="AM566" i="17"/>
  <c r="AF565" i="17"/>
  <c r="AF563" i="17"/>
  <c r="AF561" i="17"/>
  <c r="AF559" i="17"/>
  <c r="AF557" i="17"/>
  <c r="AF555" i="17"/>
  <c r="AF553" i="17"/>
  <c r="AF551" i="17"/>
  <c r="AF549" i="17"/>
  <c r="AL549" i="17" s="1"/>
  <c r="Z549" i="17" s="1"/>
  <c r="AS549" i="17" s="1"/>
  <c r="AF547" i="17"/>
  <c r="AL547" i="17" s="1"/>
  <c r="AF545" i="17"/>
  <c r="AL545" i="17" s="1"/>
  <c r="Z545" i="17" s="1"/>
  <c r="AS545" i="17" s="1"/>
  <c r="AF543" i="17"/>
  <c r="AR541" i="17"/>
  <c r="AF541" i="17"/>
  <c r="AR539" i="17"/>
  <c r="AF539" i="17"/>
  <c r="AR537" i="17"/>
  <c r="AF537" i="17"/>
  <c r="AR533" i="17"/>
  <c r="AF533" i="17"/>
  <c r="AL533" i="17" s="1"/>
  <c r="AR529" i="17"/>
  <c r="AF529" i="17"/>
  <c r="AL529" i="17" s="1"/>
  <c r="Z529" i="17" s="1"/>
  <c r="AS529" i="17" s="1"/>
  <c r="AF567" i="17"/>
  <c r="AL567" i="17" s="1"/>
  <c r="AK564" i="17"/>
  <c r="AK562" i="17"/>
  <c r="AK560" i="17"/>
  <c r="AK558" i="17"/>
  <c r="AK556" i="17"/>
  <c r="AK554" i="17"/>
  <c r="AK552" i="17"/>
  <c r="AK550" i="17"/>
  <c r="AK548" i="17"/>
  <c r="AK546" i="17"/>
  <c r="AK544" i="17"/>
  <c r="AK542" i="17"/>
  <c r="AQ541" i="17"/>
  <c r="AQ539" i="17"/>
  <c r="AQ537" i="17"/>
  <c r="AK536" i="17"/>
  <c r="AK534" i="17"/>
  <c r="AQ533" i="17"/>
  <c r="AK532" i="17"/>
  <c r="AK530" i="17"/>
  <c r="AQ529" i="17"/>
  <c r="AK528" i="17"/>
  <c r="AK526" i="17"/>
  <c r="AQ525" i="17"/>
  <c r="AG664" i="17"/>
  <c r="AO653" i="17"/>
  <c r="AO649" i="17"/>
  <c r="AM647" i="17"/>
  <c r="AG627" i="17"/>
  <c r="AM624" i="17"/>
  <c r="AJ622" i="17"/>
  <c r="AQ619" i="17"/>
  <c r="AJ618" i="17"/>
  <c r="AO604" i="17"/>
  <c r="AI603" i="17"/>
  <c r="AO600" i="17"/>
  <c r="AI599" i="17"/>
  <c r="AQ595" i="17"/>
  <c r="AR589" i="17"/>
  <c r="AO588" i="17"/>
  <c r="AH585" i="17"/>
  <c r="AK584" i="17"/>
  <c r="AO583" i="17"/>
  <c r="AP582" i="17"/>
  <c r="AG581" i="17"/>
  <c r="AK580" i="17"/>
  <c r="AL540" i="17"/>
  <c r="Z540" i="17" s="1"/>
  <c r="AS540" i="17" s="1"/>
  <c r="AH671" i="17"/>
  <c r="AP659" i="17"/>
  <c r="AN653" i="17"/>
  <c r="AF599" i="17"/>
  <c r="AK604" i="17"/>
  <c r="AL527" i="17"/>
  <c r="Z527" i="17" s="1"/>
  <c r="AS527" i="17" s="1"/>
  <c r="AG647" i="17"/>
  <c r="AN657" i="17"/>
  <c r="AL531" i="17"/>
  <c r="Z531" i="17" s="1"/>
  <c r="AS531" i="17" s="1"/>
  <c r="AL535" i="17"/>
  <c r="Z535" i="17" s="1"/>
  <c r="AS535" i="17" s="1"/>
  <c r="Z594" i="17"/>
  <c r="AS594" i="17" s="1"/>
  <c r="AL609" i="17"/>
  <c r="Z609" i="17" s="1"/>
  <c r="AS609" i="17" s="1"/>
  <c r="AI569" i="17"/>
  <c r="AN571" i="17"/>
  <c r="AI572" i="17"/>
  <c r="AF575" i="17"/>
  <c r="AO576" i="17"/>
  <c r="AJ577" i="17"/>
  <c r="AG578" i="17"/>
  <c r="AQ579" i="17"/>
  <c r="AH581" i="17"/>
  <c r="AP583" i="17"/>
  <c r="AI585" i="17"/>
  <c r="AH586" i="17"/>
  <c r="AR595" i="17"/>
  <c r="AO599" i="17"/>
  <c r="AO603" i="17"/>
  <c r="AI609" i="17"/>
  <c r="AK618" i="17"/>
  <c r="AR619" i="17"/>
  <c r="AK622" i="17"/>
  <c r="AN624" i="17"/>
  <c r="AH627" i="17"/>
  <c r="AN639" i="17"/>
  <c r="AH643" i="17"/>
  <c r="AP647" i="17"/>
  <c r="AP649" i="17"/>
  <c r="AP653" i="17"/>
  <c r="AH664" i="17"/>
  <c r="AJ572" i="17"/>
  <c r="AM574" i="17"/>
  <c r="AG575" i="17"/>
  <c r="AP576" i="17"/>
  <c r="AM577" i="17"/>
  <c r="AH578" i="17"/>
  <c r="AR579" i="17"/>
  <c r="AM580" i="17"/>
  <c r="AI581" i="17"/>
  <c r="AQ583" i="17"/>
  <c r="AM584" i="17"/>
  <c r="AJ585" i="17"/>
  <c r="AI586" i="17"/>
  <c r="AF593" i="17"/>
  <c r="AI598" i="17"/>
  <c r="AP599" i="17"/>
  <c r="AI602" i="17"/>
  <c r="AP603" i="17"/>
  <c r="AI614" i="17"/>
  <c r="AL615" i="17"/>
  <c r="Z615" i="17" s="1"/>
  <c r="AS615" i="17" s="1"/>
  <c r="AF617" i="17"/>
  <c r="AF621" i="17"/>
  <c r="AO624" i="17"/>
  <c r="AI627" i="17"/>
  <c r="AM643" i="17"/>
  <c r="AG656" i="17"/>
  <c r="AI658" i="17"/>
  <c r="AN662" i="17"/>
  <c r="AO664" i="17"/>
  <c r="AI687" i="17"/>
  <c r="AK717" i="17"/>
  <c r="AR733" i="17"/>
  <c r="AO574" i="17"/>
  <c r="AI575" i="17"/>
  <c r="AO577" i="17"/>
  <c r="AJ578" i="17"/>
  <c r="AF579" i="17"/>
  <c r="AO580" i="17"/>
  <c r="AM581" i="17"/>
  <c r="AH582" i="17"/>
  <c r="AO584" i="17"/>
  <c r="AO585" i="17"/>
  <c r="AK586" i="17"/>
  <c r="AG587" i="17"/>
  <c r="AH590" i="17"/>
  <c r="AH591" i="17"/>
  <c r="AI593" i="17"/>
  <c r="AF597" i="17"/>
  <c r="AK598" i="17"/>
  <c r="AR599" i="17"/>
  <c r="AK602" i="17"/>
  <c r="AR603" i="17"/>
  <c r="AL607" i="17"/>
  <c r="Z607" i="17" s="1"/>
  <c r="AS607" i="17" s="1"/>
  <c r="AK614" i="17"/>
  <c r="AO617" i="17"/>
  <c r="AO621" i="17"/>
  <c r="AI626" i="17"/>
  <c r="AG629" i="17"/>
  <c r="AO643" i="17"/>
  <c r="AH652" i="17"/>
  <c r="AM658" i="17"/>
  <c r="AQ662" i="17"/>
  <c r="AF683" i="17"/>
  <c r="AP694" i="17"/>
  <c r="AK760" i="17"/>
  <c r="AG568" i="17"/>
  <c r="AO569" i="17"/>
  <c r="AJ570" i="17"/>
  <c r="AM572" i="17"/>
  <c r="AG573" i="17"/>
  <c r="AP574" i="17"/>
  <c r="AJ575" i="17"/>
  <c r="AG576" i="17"/>
  <c r="AP577" i="17"/>
  <c r="AK578" i="17"/>
  <c r="AG579" i="17"/>
  <c r="AP580" i="17"/>
  <c r="AN581" i="17"/>
  <c r="AI582" i="17"/>
  <c r="AP584" i="17"/>
  <c r="AP585" i="17"/>
  <c r="AH587" i="17"/>
  <c r="AF589" i="17"/>
  <c r="AI590" i="17"/>
  <c r="AI591" i="17"/>
  <c r="AN593" i="17"/>
  <c r="AH596" i="17"/>
  <c r="AH597" i="17"/>
  <c r="AF601" i="17"/>
  <c r="AF605" i="17"/>
  <c r="AL605" i="17" s="1"/>
  <c r="AI612" i="17"/>
  <c r="AI616" i="17"/>
  <c r="AP617" i="17"/>
  <c r="AI620" i="17"/>
  <c r="AP621" i="17"/>
  <c r="AJ626" i="17"/>
  <c r="AM629" i="17"/>
  <c r="AH648" i="17"/>
  <c r="AI652" i="17"/>
  <c r="AM654" i="17"/>
  <c r="AL712" i="17"/>
  <c r="AM739" i="17"/>
  <c r="AF766" i="17"/>
  <c r="AM705" i="17"/>
  <c r="AG688" i="17"/>
  <c r="AF671" i="17"/>
  <c r="AN668" i="17"/>
  <c r="AG665" i="17"/>
  <c r="AM662" i="17"/>
  <c r="AO659" i="17"/>
  <c r="AH658" i="17"/>
  <c r="AJ654" i="17"/>
  <c r="AG653" i="17"/>
  <c r="AN649" i="17"/>
  <c r="AG648" i="17"/>
  <c r="AP645" i="17"/>
  <c r="AI644" i="17"/>
  <c r="AG643" i="17"/>
  <c r="AG640" i="17"/>
  <c r="AG639" i="17"/>
  <c r="AG638" i="17"/>
  <c r="AM636" i="17"/>
  <c r="AO635" i="17"/>
  <c r="AO634" i="17"/>
  <c r="AP633" i="17"/>
  <c r="AG626" i="17"/>
  <c r="AH625" i="17"/>
  <c r="AH622" i="17"/>
  <c r="AN621" i="17"/>
  <c r="AH620" i="17"/>
  <c r="AN619" i="17"/>
  <c r="AH618" i="17"/>
  <c r="AN617" i="17"/>
  <c r="AH616" i="17"/>
  <c r="AH614" i="17"/>
  <c r="AN613" i="17"/>
  <c r="AH612" i="17"/>
  <c r="AN611" i="17"/>
  <c r="AH610" i="17"/>
  <c r="AN609" i="17"/>
  <c r="AN605" i="17"/>
  <c r="AH604" i="17"/>
  <c r="AN603" i="17"/>
  <c r="AH602" i="17"/>
  <c r="AN601" i="17"/>
  <c r="AH600" i="17"/>
  <c r="AN599" i="17"/>
  <c r="AH598" i="17"/>
  <c r="AN597" i="17"/>
  <c r="AF722" i="17"/>
  <c r="AL722" i="17" s="1"/>
  <c r="Z722" i="17" s="1"/>
  <c r="AS722" i="17" s="1"/>
  <c r="AK693" i="17"/>
  <c r="AQ689" i="17"/>
  <c r="AN675" i="17"/>
  <c r="AN672" i="17"/>
  <c r="AM668" i="17"/>
  <c r="AF665" i="17"/>
  <c r="AR663" i="17"/>
  <c r="AN659" i="17"/>
  <c r="AG658" i="17"/>
  <c r="AP655" i="17"/>
  <c r="AI654" i="17"/>
  <c r="AM650" i="17"/>
  <c r="AM649" i="17"/>
  <c r="AO645" i="17"/>
  <c r="AH644" i="17"/>
  <c r="AJ636" i="17"/>
  <c r="AN635" i="17"/>
  <c r="AN634" i="17"/>
  <c r="AO633" i="17"/>
  <c r="AG625" i="17"/>
  <c r="AJ624" i="17"/>
  <c r="AG622" i="17"/>
  <c r="AM621" i="17"/>
  <c r="AG620" i="17"/>
  <c r="AM619" i="17"/>
  <c r="AG618" i="17"/>
  <c r="AM617" i="17"/>
  <c r="AG616" i="17"/>
  <c r="AG614" i="17"/>
  <c r="AM613" i="17"/>
  <c r="AG612" i="17"/>
  <c r="AM611" i="17"/>
  <c r="AG610" i="17"/>
  <c r="AM609" i="17"/>
  <c r="AM605" i="17"/>
  <c r="AG604" i="17"/>
  <c r="AM603" i="17"/>
  <c r="AG602" i="17"/>
  <c r="AM601" i="17"/>
  <c r="AG600" i="17"/>
  <c r="AM599" i="17"/>
  <c r="AG598" i="17"/>
  <c r="AM597" i="17"/>
  <c r="AG596" i="17"/>
  <c r="AM595" i="17"/>
  <c r="AM593" i="17"/>
  <c r="AG592" i="17"/>
  <c r="AM591" i="17"/>
  <c r="AG590" i="17"/>
  <c r="AM589" i="17"/>
  <c r="AG588" i="17"/>
  <c r="AM587" i="17"/>
  <c r="AG586" i="17"/>
  <c r="AM585" i="17"/>
  <c r="AG584" i="17"/>
  <c r="AM583" i="17"/>
  <c r="AR731" i="17"/>
  <c r="AR715" i="17"/>
  <c r="AK703" i="17"/>
  <c r="AG697" i="17"/>
  <c r="AK689" i="17"/>
  <c r="AH686" i="17"/>
  <c r="AM680" i="17"/>
  <c r="AF675" i="17"/>
  <c r="AH672" i="17"/>
  <c r="AM663" i="17"/>
  <c r="AN660" i="17"/>
  <c r="AM659" i="17"/>
  <c r="AO655" i="17"/>
  <c r="AH654" i="17"/>
  <c r="AJ650" i="17"/>
  <c r="AG649" i="17"/>
  <c r="AN645" i="17"/>
  <c r="AG644" i="17"/>
  <c r="AI636" i="17"/>
  <c r="AM635" i="17"/>
  <c r="AM634" i="17"/>
  <c r="AN633" i="17"/>
  <c r="AO632" i="17"/>
  <c r="AP629" i="17"/>
  <c r="AF625" i="17"/>
  <c r="AI624" i="17"/>
  <c r="AF622" i="17"/>
  <c r="AL622" i="17" s="1"/>
  <c r="Z622" i="17" s="1"/>
  <c r="AS622" i="17" s="1"/>
  <c r="AR620" i="17"/>
  <c r="AF620" i="17"/>
  <c r="AR618" i="17"/>
  <c r="AF618" i="17"/>
  <c r="AR616" i="17"/>
  <c r="AF616" i="17"/>
  <c r="AF614" i="17"/>
  <c r="AF612" i="17"/>
  <c r="AF610" i="17"/>
  <c r="AR606" i="17"/>
  <c r="Z606" i="17" s="1"/>
  <c r="AS606" i="17" s="1"/>
  <c r="AR604" i="17"/>
  <c r="AF604" i="17"/>
  <c r="AR602" i="17"/>
  <c r="AF602" i="17"/>
  <c r="AR600" i="17"/>
  <c r="AF600" i="17"/>
  <c r="AR598" i="17"/>
  <c r="AF598" i="17"/>
  <c r="AR596" i="17"/>
  <c r="AF596" i="17"/>
  <c r="AL596" i="17" s="1"/>
  <c r="Z596" i="17" s="1"/>
  <c r="AS596" i="17" s="1"/>
  <c r="AF592" i="17"/>
  <c r="AR590" i="17"/>
  <c r="AF590" i="17"/>
  <c r="AL590" i="17" s="1"/>
  <c r="AR588" i="17"/>
  <c r="AF588" i="17"/>
  <c r="AL588" i="17" s="1"/>
  <c r="Z588" i="17" s="1"/>
  <c r="AS588" i="17" s="1"/>
  <c r="AF586" i="17"/>
  <c r="AR584" i="17"/>
  <c r="AF584" i="17"/>
  <c r="AR582" i="17"/>
  <c r="AF582" i="17"/>
  <c r="AR580" i="17"/>
  <c r="AF580" i="17"/>
  <c r="AR578" i="17"/>
  <c r="AF578" i="17"/>
  <c r="AF576" i="17"/>
  <c r="AL576" i="17" s="1"/>
  <c r="AF574" i="17"/>
  <c r="AL574" i="17" s="1"/>
  <c r="Z574" i="17" s="1"/>
  <c r="AS574" i="17" s="1"/>
  <c r="AF572" i="17"/>
  <c r="AL572" i="17" s="1"/>
  <c r="AF570" i="17"/>
  <c r="AF568" i="17"/>
  <c r="AF566" i="17"/>
  <c r="AM767" i="17"/>
  <c r="AK731" i="17"/>
  <c r="AP723" i="17"/>
  <c r="AF697" i="17"/>
  <c r="AJ689" i="17"/>
  <c r="AG680" i="17"/>
  <c r="AG672" i="17"/>
  <c r="AK669" i="17"/>
  <c r="AK660" i="17"/>
  <c r="AG659" i="17"/>
  <c r="AN655" i="17"/>
  <c r="AG654" i="17"/>
  <c r="AP651" i="17"/>
  <c r="AI650" i="17"/>
  <c r="AM646" i="17"/>
  <c r="AM645" i="17"/>
  <c r="AH636" i="17"/>
  <c r="AI635" i="17"/>
  <c r="AJ634" i="17"/>
  <c r="AM633" i="17"/>
  <c r="AN632" i="17"/>
  <c r="AP631" i="17"/>
  <c r="AO630" i="17"/>
  <c r="AO629" i="17"/>
  <c r="AO628" i="17"/>
  <c r="AR627" i="17"/>
  <c r="AH624" i="17"/>
  <c r="AR622" i="17"/>
  <c r="AK621" i="17"/>
  <c r="AQ620" i="17"/>
  <c r="AK619" i="17"/>
  <c r="AQ618" i="17"/>
  <c r="AK617" i="17"/>
  <c r="AQ616" i="17"/>
  <c r="AK613" i="17"/>
  <c r="AK611" i="17"/>
  <c r="AK609" i="17"/>
  <c r="AQ606" i="17"/>
  <c r="AK605" i="17"/>
  <c r="AQ604" i="17"/>
  <c r="AK603" i="17"/>
  <c r="AQ602" i="17"/>
  <c r="AK601" i="17"/>
  <c r="AQ600" i="17"/>
  <c r="AK599" i="17"/>
  <c r="AQ598" i="17"/>
  <c r="AK597" i="17"/>
  <c r="AQ596" i="17"/>
  <c r="AK595" i="17"/>
  <c r="AK593" i="17"/>
  <c r="AQ592" i="17"/>
  <c r="AK591" i="17"/>
  <c r="AQ590" i="17"/>
  <c r="AK589" i="17"/>
  <c r="AQ588" i="17"/>
  <c r="AK587" i="17"/>
  <c r="AQ586" i="17"/>
  <c r="AK585" i="17"/>
  <c r="AQ584" i="17"/>
  <c r="AK583" i="17"/>
  <c r="AQ582" i="17"/>
  <c r="AK581" i="17"/>
  <c r="AQ580" i="17"/>
  <c r="AK579" i="17"/>
  <c r="AQ578" i="17"/>
  <c r="AK577" i="17"/>
  <c r="AQ576" i="17"/>
  <c r="AK575" i="17"/>
  <c r="AK573" i="17"/>
  <c r="AK571" i="17"/>
  <c r="AK569" i="17"/>
  <c r="AK567" i="17"/>
  <c r="AF767" i="17"/>
  <c r="AF738" i="17"/>
  <c r="AM723" i="17"/>
  <c r="AF719" i="17"/>
  <c r="AQ717" i="17"/>
  <c r="AG684" i="17"/>
  <c r="AQ682" i="17"/>
  <c r="AF680" i="17"/>
  <c r="AL680" i="17" s="1"/>
  <c r="AF672" i="17"/>
  <c r="AI669" i="17"/>
  <c r="AK663" i="17"/>
  <c r="AJ660" i="17"/>
  <c r="AM656" i="17"/>
  <c r="AM655" i="17"/>
  <c r="AO651" i="17"/>
  <c r="AH650" i="17"/>
  <c r="AJ646" i="17"/>
  <c r="AG645" i="17"/>
  <c r="AG636" i="17"/>
  <c r="AH635" i="17"/>
  <c r="AI634" i="17"/>
  <c r="AI633" i="17"/>
  <c r="AM632" i="17"/>
  <c r="AO631" i="17"/>
  <c r="AN630" i="17"/>
  <c r="AN629" i="17"/>
  <c r="AN628" i="17"/>
  <c r="AP627" i="17"/>
  <c r="AG624" i="17"/>
  <c r="AQ622" i="17"/>
  <c r="AJ621" i="17"/>
  <c r="AP620" i="17"/>
  <c r="AJ619" i="17"/>
  <c r="AP618" i="17"/>
  <c r="AJ617" i="17"/>
  <c r="AP616" i="17"/>
  <c r="AJ613" i="17"/>
  <c r="AJ611" i="17"/>
  <c r="AP610" i="17"/>
  <c r="AJ609" i="17"/>
  <c r="AP606" i="17"/>
  <c r="AJ605" i="17"/>
  <c r="AP604" i="17"/>
  <c r="AJ603" i="17"/>
  <c r="AP602" i="17"/>
  <c r="AJ601" i="17"/>
  <c r="AP600" i="17"/>
  <c r="AJ599" i="17"/>
  <c r="AP598" i="17"/>
  <c r="AJ597" i="17"/>
  <c r="AP596" i="17"/>
  <c r="AJ595" i="17"/>
  <c r="AJ593" i="17"/>
  <c r="AP592" i="17"/>
  <c r="AJ591" i="17"/>
  <c r="AP590" i="17"/>
  <c r="AJ589" i="17"/>
  <c r="AP588" i="17"/>
  <c r="AQ733" i="17"/>
  <c r="AJ717" i="17"/>
  <c r="AP712" i="17"/>
  <c r="AM698" i="17"/>
  <c r="AR694" i="17"/>
  <c r="AK673" i="17"/>
  <c r="AM670" i="17"/>
  <c r="AF666" i="17"/>
  <c r="AQ661" i="17"/>
  <c r="AH660" i="17"/>
  <c r="AP657" i="17"/>
  <c r="AI656" i="17"/>
  <c r="AM652" i="17"/>
  <c r="AM651" i="17"/>
  <c r="AO647" i="17"/>
  <c r="AH646" i="17"/>
  <c r="AP641" i="17"/>
  <c r="AG634" i="17"/>
  <c r="AG633" i="17"/>
  <c r="AI632" i="17"/>
  <c r="AM631" i="17"/>
  <c r="AJ630" i="17"/>
  <c r="AI629" i="17"/>
  <c r="AN627" i="17"/>
  <c r="AN626" i="17"/>
  <c r="AP625" i="17"/>
  <c r="AN622" i="17"/>
  <c r="AH621" i="17"/>
  <c r="AN620" i="17"/>
  <c r="AH619" i="17"/>
  <c r="AN618" i="17"/>
  <c r="AH617" i="17"/>
  <c r="AN616" i="17"/>
  <c r="AN614" i="17"/>
  <c r="AH613" i="17"/>
  <c r="AN612" i="17"/>
  <c r="AH611" i="17"/>
  <c r="AN610" i="17"/>
  <c r="AH609" i="17"/>
  <c r="AH605" i="17"/>
  <c r="AN604" i="17"/>
  <c r="AH603" i="17"/>
  <c r="AN602" i="17"/>
  <c r="AH601" i="17"/>
  <c r="AN600" i="17"/>
  <c r="AH599" i="17"/>
  <c r="AN598" i="17"/>
  <c r="AF736" i="17"/>
  <c r="AJ733" i="17"/>
  <c r="AJ704" i="17"/>
  <c r="AG698" i="17"/>
  <c r="AL698" i="17" s="1"/>
  <c r="Z698" i="17" s="1"/>
  <c r="AS698" i="17" s="1"/>
  <c r="AQ694" i="17"/>
  <c r="AG692" i="17"/>
  <c r="AP690" i="17"/>
  <c r="AF676" i="17"/>
  <c r="AG673" i="17"/>
  <c r="AI664" i="17"/>
  <c r="AP661" i="17"/>
  <c r="AO657" i="17"/>
  <c r="AH656" i="17"/>
  <c r="AJ652" i="17"/>
  <c r="AG651" i="17"/>
  <c r="AN647" i="17"/>
  <c r="AG646" i="17"/>
  <c r="AP643" i="17"/>
  <c r="AO641" i="17"/>
  <c r="AN640" i="17"/>
  <c r="AN638" i="17"/>
  <c r="AH632" i="17"/>
  <c r="AI631" i="17"/>
  <c r="AI630" i="17"/>
  <c r="AH629" i="17"/>
  <c r="AJ628" i="17"/>
  <c r="AM627" i="17"/>
  <c r="AM626" i="17"/>
  <c r="AO625" i="17"/>
  <c r="AM622" i="17"/>
  <c r="AG621" i="17"/>
  <c r="AM620" i="17"/>
  <c r="AG619" i="17"/>
  <c r="AM618" i="17"/>
  <c r="AG617" i="17"/>
  <c r="AM616" i="17"/>
  <c r="AM614" i="17"/>
  <c r="AG613" i="17"/>
  <c r="AL613" i="17" s="1"/>
  <c r="Z613" i="17" s="1"/>
  <c r="AS613" i="17" s="1"/>
  <c r="AM612" i="17"/>
  <c r="AG611" i="17"/>
  <c r="AM610" i="17"/>
  <c r="AG609" i="17"/>
  <c r="AG605" i="17"/>
  <c r="AM604" i="17"/>
  <c r="AG603" i="17"/>
  <c r="AM602" i="17"/>
  <c r="AG601" i="17"/>
  <c r="AM600" i="17"/>
  <c r="AG599" i="17"/>
  <c r="AM598" i="17"/>
  <c r="AG597" i="17"/>
  <c r="AM596" i="17"/>
  <c r="AG595" i="17"/>
  <c r="AG593" i="17"/>
  <c r="AM592" i="17"/>
  <c r="AG591" i="17"/>
  <c r="AM590" i="17"/>
  <c r="AG589" i="17"/>
  <c r="AM588" i="17"/>
  <c r="AP548" i="17"/>
  <c r="AJ549" i="17"/>
  <c r="AJ551" i="17"/>
  <c r="AJ553" i="17"/>
  <c r="AJ555" i="17"/>
  <c r="AJ557" i="17"/>
  <c r="AP558" i="17"/>
  <c r="AJ559" i="17"/>
  <c r="AJ561" i="17"/>
  <c r="AP562" i="17"/>
  <c r="AJ563" i="17"/>
  <c r="AJ565" i="17"/>
  <c r="AM567" i="17"/>
  <c r="AH568" i="17"/>
  <c r="AK570" i="17"/>
  <c r="AN572" i="17"/>
  <c r="AH573" i="17"/>
  <c r="AM575" i="17"/>
  <c r="AH576" i="17"/>
  <c r="AH579" i="17"/>
  <c r="AO581" i="17"/>
  <c r="AJ582" i="17"/>
  <c r="AF583" i="17"/>
  <c r="AL583" i="17" s="1"/>
  <c r="AQ585" i="17"/>
  <c r="AM586" i="17"/>
  <c r="AI587" i="17"/>
  <c r="AH588" i="17"/>
  <c r="AH589" i="17"/>
  <c r="AJ590" i="17"/>
  <c r="AN591" i="17"/>
  <c r="AO593" i="17"/>
  <c r="AF595" i="17"/>
  <c r="AL595" i="17" s="1"/>
  <c r="AI596" i="17"/>
  <c r="AI597" i="17"/>
  <c r="AO598" i="17"/>
  <c r="AI601" i="17"/>
  <c r="AO602" i="17"/>
  <c r="AI605" i="17"/>
  <c r="AJ612" i="17"/>
  <c r="AJ616" i="17"/>
  <c r="AQ617" i="17"/>
  <c r="AJ620" i="17"/>
  <c r="AQ621" i="17"/>
  <c r="AG641" i="17"/>
  <c r="AI646" i="17"/>
  <c r="AI648" i="17"/>
  <c r="AG650" i="17"/>
  <c r="AH665" i="17"/>
  <c r="AL673" i="17"/>
  <c r="Z673" i="17" s="1"/>
  <c r="AS673" i="17" s="1"/>
  <c r="AN575" i="17"/>
  <c r="AI576" i="17"/>
  <c r="AM578" i="17"/>
  <c r="AI579" i="17"/>
  <c r="AP581" i="17"/>
  <c r="AK582" i="17"/>
  <c r="AG583" i="17"/>
  <c r="AR585" i="17"/>
  <c r="AN586" i="17"/>
  <c r="AJ587" i="17"/>
  <c r="AI588" i="17"/>
  <c r="AI589" i="17"/>
  <c r="AK590" i="17"/>
  <c r="AO591" i="17"/>
  <c r="AP593" i="17"/>
  <c r="AH595" i="17"/>
  <c r="AJ596" i="17"/>
  <c r="AO597" i="17"/>
  <c r="AO601" i="17"/>
  <c r="AO605" i="17"/>
  <c r="AK612" i="17"/>
  <c r="AK616" i="17"/>
  <c r="AR617" i="17"/>
  <c r="AK620" i="17"/>
  <c r="AR621" i="17"/>
  <c r="AI625" i="17"/>
  <c r="AO626" i="17"/>
  <c r="AG628" i="17"/>
  <c r="AH641" i="17"/>
  <c r="AJ648" i="17"/>
  <c r="AG657" i="17"/>
  <c r="AG671" i="17"/>
  <c r="AM570" i="17"/>
  <c r="AG571" i="17"/>
  <c r="AP572" i="17"/>
  <c r="AJ573" i="17"/>
  <c r="AG574" i="17"/>
  <c r="AJ576" i="17"/>
  <c r="AN578" i="17"/>
  <c r="AJ579" i="17"/>
  <c r="AG580" i="17"/>
  <c r="AQ581" i="17"/>
  <c r="AH583" i="17"/>
  <c r="AO586" i="17"/>
  <c r="AN587" i="17"/>
  <c r="AJ588" i="17"/>
  <c r="AN589" i="17"/>
  <c r="AP591" i="17"/>
  <c r="AQ593" i="17"/>
  <c r="AI595" i="17"/>
  <c r="AK596" i="17"/>
  <c r="AP597" i="17"/>
  <c r="AI600" i="17"/>
  <c r="AP601" i="17"/>
  <c r="AI604" i="17"/>
  <c r="AP605" i="17"/>
  <c r="AL611" i="17"/>
  <c r="AF619" i="17"/>
  <c r="AL623" i="17"/>
  <c r="Z623" i="17" s="1"/>
  <c r="AS623" i="17" s="1"/>
  <c r="AK625" i="17"/>
  <c r="AH628" i="17"/>
  <c r="AM641" i="17"/>
  <c r="AJ644" i="17"/>
  <c r="AM648" i="17"/>
  <c r="AM657" i="17"/>
  <c r="AF661" i="17"/>
  <c r="AI663" i="17"/>
  <c r="Z681" i="17"/>
  <c r="AS681" i="17" s="1"/>
  <c r="AI769" i="17"/>
  <c r="AO768" i="17"/>
  <c r="AI767" i="17"/>
  <c r="AO766" i="17"/>
  <c r="AI759" i="17"/>
  <c r="AO740" i="17"/>
  <c r="AI739" i="17"/>
  <c r="AO738" i="17"/>
  <c r="AI737" i="17"/>
  <c r="AO734" i="17"/>
  <c r="AI733" i="17"/>
  <c r="AO732" i="17"/>
  <c r="AI731" i="17"/>
  <c r="AO730" i="17"/>
  <c r="AI729" i="17"/>
  <c r="AO728" i="17"/>
  <c r="AO724" i="17"/>
  <c r="AI723" i="17"/>
  <c r="AI719" i="17"/>
  <c r="AI717" i="17"/>
  <c r="AO716" i="17"/>
  <c r="AI715" i="17"/>
  <c r="AO714" i="17"/>
  <c r="AI713" i="17"/>
  <c r="AO712" i="17"/>
  <c r="AI711" i="17"/>
  <c r="AO710" i="17"/>
  <c r="AO708" i="17"/>
  <c r="AI707" i="17"/>
  <c r="AI705" i="17"/>
  <c r="AO704" i="17"/>
  <c r="AI703" i="17"/>
  <c r="AO702" i="17"/>
  <c r="AO700" i="17"/>
  <c r="AI699" i="17"/>
  <c r="AO698" i="17"/>
  <c r="AI697" i="17"/>
  <c r="AO696" i="17"/>
  <c r="AI695" i="17"/>
  <c r="AO694" i="17"/>
  <c r="AI693" i="17"/>
  <c r="AH769" i="17"/>
  <c r="AN768" i="17"/>
  <c r="AH767" i="17"/>
  <c r="AN766" i="17"/>
  <c r="AN760" i="17"/>
  <c r="AH759" i="17"/>
  <c r="AN740" i="17"/>
  <c r="AH739" i="17"/>
  <c r="AN738" i="17"/>
  <c r="AH737" i="17"/>
  <c r="AL737" i="17" s="1"/>
  <c r="Z737" i="17" s="1"/>
  <c r="AS737" i="17" s="1"/>
  <c r="AN736" i="17"/>
  <c r="AN734" i="17"/>
  <c r="AH733" i="17"/>
  <c r="AN732" i="17"/>
  <c r="AH731" i="17"/>
  <c r="AN730" i="17"/>
  <c r="AH729" i="17"/>
  <c r="AN728" i="17"/>
  <c r="AN724" i="17"/>
  <c r="AH723" i="17"/>
  <c r="AN722" i="17"/>
  <c r="AH719" i="17"/>
  <c r="AN718" i="17"/>
  <c r="AH717" i="17"/>
  <c r="AN716" i="17"/>
  <c r="AH715" i="17"/>
  <c r="AN714" i="17"/>
  <c r="AH713" i="17"/>
  <c r="AN712" i="17"/>
  <c r="AH711" i="17"/>
  <c r="AL711" i="17" s="1"/>
  <c r="Z711" i="17" s="1"/>
  <c r="AS711" i="17" s="1"/>
  <c r="AN710" i="17"/>
  <c r="AN708" i="17"/>
  <c r="AH707" i="17"/>
  <c r="AN706" i="17"/>
  <c r="AH705" i="17"/>
  <c r="AN704" i="17"/>
  <c r="AH703" i="17"/>
  <c r="AN702" i="17"/>
  <c r="AN700" i="17"/>
  <c r="AH699" i="17"/>
  <c r="AN698" i="17"/>
  <c r="AH697" i="17"/>
  <c r="AN696" i="17"/>
  <c r="AH695" i="17"/>
  <c r="AN694" i="17"/>
  <c r="AH693" i="17"/>
  <c r="AN692" i="17"/>
  <c r="AH691" i="17"/>
  <c r="AN690" i="17"/>
  <c r="AH689" i="17"/>
  <c r="AN688" i="17"/>
  <c r="AH687" i="17"/>
  <c r="AN686" i="17"/>
  <c r="AG769" i="17"/>
  <c r="AM768" i="17"/>
  <c r="AG767" i="17"/>
  <c r="AM766" i="17"/>
  <c r="AM760" i="17"/>
  <c r="AG759" i="17"/>
  <c r="AM740" i="17"/>
  <c r="AG739" i="17"/>
  <c r="AM738" i="17"/>
  <c r="AG737" i="17"/>
  <c r="AM736" i="17"/>
  <c r="AM734" i="17"/>
  <c r="AG733" i="17"/>
  <c r="AM732" i="17"/>
  <c r="AG731" i="17"/>
  <c r="AM730" i="17"/>
  <c r="AG729" i="17"/>
  <c r="AM728" i="17"/>
  <c r="AM724" i="17"/>
  <c r="AG723" i="17"/>
  <c r="AM722" i="17"/>
  <c r="AG719" i="17"/>
  <c r="AM718" i="17"/>
  <c r="AG717" i="17"/>
  <c r="AM716" i="17"/>
  <c r="AG715" i="17"/>
  <c r="AM714" i="17"/>
  <c r="AG713" i="17"/>
  <c r="AM712" i="17"/>
  <c r="AO769" i="17"/>
  <c r="AI768" i="17"/>
  <c r="AO767" i="17"/>
  <c r="AI766" i="17"/>
  <c r="AI760" i="17"/>
  <c r="AI740" i="17"/>
  <c r="AI738" i="17"/>
  <c r="AO737" i="17"/>
  <c r="AI736" i="17"/>
  <c r="AI734" i="17"/>
  <c r="AO733" i="17"/>
  <c r="AI732" i="17"/>
  <c r="AO731" i="17"/>
  <c r="AI730" i="17"/>
  <c r="AO729" i="17"/>
  <c r="AI728" i="17"/>
  <c r="AI724" i="17"/>
  <c r="AO723" i="17"/>
  <c r="AI722" i="17"/>
  <c r="AI718" i="17"/>
  <c r="AO717" i="17"/>
  <c r="AI716" i="17"/>
  <c r="AO715" i="17"/>
  <c r="AI714" i="17"/>
  <c r="AO713" i="17"/>
  <c r="AI712" i="17"/>
  <c r="AO711" i="17"/>
  <c r="AI710" i="17"/>
  <c r="AI708" i="17"/>
  <c r="AO707" i="17"/>
  <c r="AI706" i="17"/>
  <c r="AO705" i="17"/>
  <c r="AI704" i="17"/>
  <c r="AO703" i="17"/>
  <c r="AI702" i="17"/>
  <c r="AI700" i="17"/>
  <c r="AO699" i="17"/>
  <c r="AI698" i="17"/>
  <c r="AO697" i="17"/>
  <c r="AI696" i="17"/>
  <c r="AO695" i="17"/>
  <c r="AI694" i="17"/>
  <c r="AO693" i="17"/>
  <c r="AI692" i="17"/>
  <c r="AO691" i="17"/>
  <c r="AI690" i="17"/>
  <c r="AO689" i="17"/>
  <c r="AN769" i="17"/>
  <c r="AH768" i="17"/>
  <c r="AN767" i="17"/>
  <c r="AH766" i="17"/>
  <c r="AH760" i="17"/>
  <c r="AN759" i="17"/>
  <c r="AH740" i="17"/>
  <c r="AN739" i="17"/>
  <c r="AH738" i="17"/>
  <c r="AN737" i="17"/>
  <c r="AH736" i="17"/>
  <c r="AH734" i="17"/>
  <c r="AN733" i="17"/>
  <c r="AH732" i="17"/>
  <c r="AN731" i="17"/>
  <c r="AH730" i="17"/>
  <c r="AN729" i="17"/>
  <c r="AH728" i="17"/>
  <c r="AH724" i="17"/>
  <c r="AN723" i="17"/>
  <c r="AH722" i="17"/>
  <c r="AN719" i="17"/>
  <c r="AH718" i="17"/>
  <c r="AN717" i="17"/>
  <c r="AH716" i="17"/>
  <c r="AN715" i="17"/>
  <c r="AH714" i="17"/>
  <c r="AN713" i="17"/>
  <c r="AH712" i="17"/>
  <c r="AN711" i="17"/>
  <c r="AH710" i="17"/>
  <c r="AH708" i="17"/>
  <c r="AN707" i="17"/>
  <c r="AH706" i="17"/>
  <c r="AN705" i="17"/>
  <c r="AH704" i="17"/>
  <c r="AN703" i="17"/>
  <c r="AH702" i="17"/>
  <c r="AH700" i="17"/>
  <c r="AN699" i="17"/>
  <c r="AH698" i="17"/>
  <c r="AN697" i="17"/>
  <c r="AH696" i="17"/>
  <c r="AN695" i="17"/>
  <c r="AH694" i="17"/>
  <c r="AN693" i="17"/>
  <c r="AH692" i="17"/>
  <c r="AN691" i="17"/>
  <c r="AH690" i="17"/>
  <c r="AN689" i="17"/>
  <c r="AR769" i="17"/>
  <c r="AJ760" i="17"/>
  <c r="AP734" i="17"/>
  <c r="AP733" i="17"/>
  <c r="AQ732" i="17"/>
  <c r="AQ731" i="17"/>
  <c r="AR729" i="17"/>
  <c r="AG724" i="17"/>
  <c r="AJ723" i="17"/>
  <c r="AK722" i="17"/>
  <c r="AP717" i="17"/>
  <c r="AQ716" i="17"/>
  <c r="AQ715" i="17"/>
  <c r="AR713" i="17"/>
  <c r="AF710" i="17"/>
  <c r="AR708" i="17"/>
  <c r="AG706" i="17"/>
  <c r="AK705" i="17"/>
  <c r="AM704" i="17"/>
  <c r="AM700" i="17"/>
  <c r="AG696" i="17"/>
  <c r="AK695" i="17"/>
  <c r="AM694" i="17"/>
  <c r="AQ693" i="17"/>
  <c r="AG691" i="17"/>
  <c r="AP689" i="17"/>
  <c r="AF688" i="17"/>
  <c r="AQ686" i="17"/>
  <c r="AJ685" i="17"/>
  <c r="AP684" i="17"/>
  <c r="AJ683" i="17"/>
  <c r="AP682" i="17"/>
  <c r="AP680" i="17"/>
  <c r="AJ679" i="17"/>
  <c r="AJ677" i="17"/>
  <c r="AJ675" i="17"/>
  <c r="AJ673" i="17"/>
  <c r="AP672" i="17"/>
  <c r="AJ671" i="17"/>
  <c r="AP670" i="17"/>
  <c r="AJ669" i="17"/>
  <c r="AP668" i="17"/>
  <c r="AJ667" i="17"/>
  <c r="AP666" i="17"/>
  <c r="AJ665" i="17"/>
  <c r="AP664" i="17"/>
  <c r="AJ663" i="17"/>
  <c r="AP662" i="17"/>
  <c r="AJ661" i="17"/>
  <c r="AP660" i="17"/>
  <c r="AQ769" i="17"/>
  <c r="AR767" i="17"/>
  <c r="AG760" i="17"/>
  <c r="AK759" i="17"/>
  <c r="AM733" i="17"/>
  <c r="AP732" i="17"/>
  <c r="AP731" i="17"/>
  <c r="AQ729" i="17"/>
  <c r="AF724" i="17"/>
  <c r="AL724" i="17" s="1"/>
  <c r="AF723" i="17"/>
  <c r="AJ722" i="17"/>
  <c r="AK719" i="17"/>
  <c r="AM717" i="17"/>
  <c r="AP716" i="17"/>
  <c r="AP715" i="17"/>
  <c r="AQ714" i="17"/>
  <c r="AQ713" i="17"/>
  <c r="AQ708" i="17"/>
  <c r="AF706" i="17"/>
  <c r="AJ705" i="17"/>
  <c r="AP703" i="17"/>
  <c r="AP699" i="17"/>
  <c r="AF696" i="17"/>
  <c r="AJ695" i="17"/>
  <c r="AP693" i="17"/>
  <c r="AF691" i="17"/>
  <c r="AK690" i="17"/>
  <c r="AM689" i="17"/>
  <c r="AK687" i="17"/>
  <c r="AP686" i="17"/>
  <c r="AI685" i="17"/>
  <c r="AO684" i="17"/>
  <c r="AI683" i="17"/>
  <c r="AO682" i="17"/>
  <c r="AO680" i="17"/>
  <c r="AI679" i="17"/>
  <c r="AI677" i="17"/>
  <c r="AI675" i="17"/>
  <c r="AP769" i="17"/>
  <c r="AQ768" i="17"/>
  <c r="AQ767" i="17"/>
  <c r="AR766" i="17"/>
  <c r="AF760" i="17"/>
  <c r="AL760" i="17" s="1"/>
  <c r="AJ759" i="17"/>
  <c r="AP740" i="17"/>
  <c r="AK734" i="17"/>
  <c r="AM731" i="17"/>
  <c r="AP730" i="17"/>
  <c r="AP729" i="17"/>
  <c r="AG722" i="17"/>
  <c r="AJ719" i="17"/>
  <c r="AK718" i="17"/>
  <c r="AM715" i="17"/>
  <c r="AP714" i="17"/>
  <c r="AP713" i="17"/>
  <c r="AQ712" i="17"/>
  <c r="AR711" i="17"/>
  <c r="AP708" i="17"/>
  <c r="AG705" i="17"/>
  <c r="AK704" i="17"/>
  <c r="AM703" i="17"/>
  <c r="AK700" i="17"/>
  <c r="AM699" i="17"/>
  <c r="AG695" i="17"/>
  <c r="AK694" i="17"/>
  <c r="AM693" i="17"/>
  <c r="AQ692" i="17"/>
  <c r="AJ690" i="17"/>
  <c r="AJ687" i="17"/>
  <c r="AO686" i="17"/>
  <c r="AH685" i="17"/>
  <c r="AN684" i="17"/>
  <c r="AH683" i="17"/>
  <c r="AN682" i="17"/>
  <c r="AM769" i="17"/>
  <c r="AP768" i="17"/>
  <c r="AP767" i="17"/>
  <c r="AQ766" i="17"/>
  <c r="AF759" i="17"/>
  <c r="AQ738" i="17"/>
  <c r="AJ734" i="17"/>
  <c r="AK733" i="17"/>
  <c r="AK732" i="17"/>
  <c r="AM729" i="17"/>
  <c r="AP728" i="17"/>
  <c r="AK769" i="17"/>
  <c r="AK768" i="17"/>
  <c r="AJ740" i="17"/>
  <c r="AM737" i="17"/>
  <c r="AF734" i="17"/>
  <c r="AF733" i="17"/>
  <c r="AL733" i="17" s="1"/>
  <c r="AG732" i="17"/>
  <c r="AJ731" i="17"/>
  <c r="AJ730" i="17"/>
  <c r="AK729" i="17"/>
  <c r="AK728" i="17"/>
  <c r="AF718" i="17"/>
  <c r="AF717" i="17"/>
  <c r="AG716" i="17"/>
  <c r="AJ715" i="17"/>
  <c r="AJ714" i="17"/>
  <c r="AK713" i="17"/>
  <c r="AK712" i="17"/>
  <c r="AM711" i="17"/>
  <c r="AK708" i="17"/>
  <c r="AM707" i="17"/>
  <c r="AF704" i="17"/>
  <c r="AJ703" i="17"/>
  <c r="AF700" i="17"/>
  <c r="AJ699" i="17"/>
  <c r="AP697" i="17"/>
  <c r="AF694" i="17"/>
  <c r="AL694" i="17" s="1"/>
  <c r="AJ693" i="17"/>
  <c r="AM692" i="17"/>
  <c r="AQ691" i="17"/>
  <c r="AI689" i="17"/>
  <c r="AM688" i="17"/>
  <c r="AF687" i="17"/>
  <c r="AK686" i="17"/>
  <c r="AK684" i="17"/>
  <c r="AQ683" i="17"/>
  <c r="AK682" i="17"/>
  <c r="AK680" i="17"/>
  <c r="AQ679" i="17"/>
  <c r="AK676" i="17"/>
  <c r="AQ675" i="17"/>
  <c r="AK674" i="17"/>
  <c r="AK672" i="17"/>
  <c r="AQ671" i="17"/>
  <c r="AK670" i="17"/>
  <c r="AQ669" i="17"/>
  <c r="AK668" i="17"/>
  <c r="AK666" i="17"/>
  <c r="AQ665" i="17"/>
  <c r="AK664" i="17"/>
  <c r="AQ663" i="17"/>
  <c r="AK662" i="17"/>
  <c r="AJ769" i="17"/>
  <c r="AJ768" i="17"/>
  <c r="AK767" i="17"/>
  <c r="AK766" i="17"/>
  <c r="AG740" i="17"/>
  <c r="AK739" i="17"/>
  <c r="AK738" i="17"/>
  <c r="AF732" i="17"/>
  <c r="AF731" i="17"/>
  <c r="AG730" i="17"/>
  <c r="AJ729" i="17"/>
  <c r="AJ728" i="17"/>
  <c r="AF716" i="17"/>
  <c r="AF715" i="17"/>
  <c r="AG714" i="17"/>
  <c r="AJ713" i="17"/>
  <c r="AJ712" i="17"/>
  <c r="AP710" i="17"/>
  <c r="AJ708" i="17"/>
  <c r="AG703" i="17"/>
  <c r="AK702" i="17"/>
  <c r="AG699" i="17"/>
  <c r="AK698" i="17"/>
  <c r="AM697" i="17"/>
  <c r="AG693" i="17"/>
  <c r="AP691" i="17"/>
  <c r="AG689" i="17"/>
  <c r="AJ686" i="17"/>
  <c r="AP685" i="17"/>
  <c r="AJ684" i="17"/>
  <c r="AP683" i="17"/>
  <c r="AJ682" i="17"/>
  <c r="AJ680" i="17"/>
  <c r="AP679" i="17"/>
  <c r="AP677" i="17"/>
  <c r="AJ676" i="17"/>
  <c r="AP675" i="17"/>
  <c r="AJ674" i="17"/>
  <c r="AP673" i="17"/>
  <c r="AJ672" i="17"/>
  <c r="AP671" i="17"/>
  <c r="AJ670" i="17"/>
  <c r="AP669" i="17"/>
  <c r="AJ668" i="17"/>
  <c r="AP667" i="17"/>
  <c r="AJ666" i="17"/>
  <c r="AP665" i="17"/>
  <c r="AJ664" i="17"/>
  <c r="AP663" i="17"/>
  <c r="AJ662" i="17"/>
  <c r="AF769" i="17"/>
  <c r="AL769" i="17" s="1"/>
  <c r="AG768" i="17"/>
  <c r="AJ767" i="17"/>
  <c r="AJ766" i="17"/>
  <c r="AF740" i="17"/>
  <c r="AJ739" i="17"/>
  <c r="AJ738" i="17"/>
  <c r="AK737" i="17"/>
  <c r="AF730" i="17"/>
  <c r="AF729" i="17"/>
  <c r="AG728" i="17"/>
  <c r="AQ723" i="17"/>
  <c r="AF714" i="17"/>
  <c r="AF713" i="17"/>
  <c r="AL713" i="17" s="1"/>
  <c r="Z713" i="17" s="1"/>
  <c r="AS713" i="17" s="1"/>
  <c r="AG712" i="17"/>
  <c r="AK711" i="17"/>
  <c r="AM710" i="17"/>
  <c r="AG708" i="17"/>
  <c r="AK707" i="17"/>
  <c r="AF703" i="17"/>
  <c r="AJ702" i="17"/>
  <c r="AF699" i="17"/>
  <c r="AJ698" i="17"/>
  <c r="AP696" i="17"/>
  <c r="AR695" i="17"/>
  <c r="AF693" i="17"/>
  <c r="AL693" i="17" s="1"/>
  <c r="Z693" i="17" s="1"/>
  <c r="AS693" i="17" s="1"/>
  <c r="AK692" i="17"/>
  <c r="AM691" i="17"/>
  <c r="AF689" i="17"/>
  <c r="AK688" i="17"/>
  <c r="AI686" i="17"/>
  <c r="AO685" i="17"/>
  <c r="AI684" i="17"/>
  <c r="AO683" i="17"/>
  <c r="AI682" i="17"/>
  <c r="AI680" i="17"/>
  <c r="AO679" i="17"/>
  <c r="AO677" i="17"/>
  <c r="AI676" i="17"/>
  <c r="AO675" i="17"/>
  <c r="AI674" i="17"/>
  <c r="AO673" i="17"/>
  <c r="AI672" i="17"/>
  <c r="AO671" i="17"/>
  <c r="AI670" i="17"/>
  <c r="AO669" i="17"/>
  <c r="AF739" i="17"/>
  <c r="AK715" i="17"/>
  <c r="AJ707" i="17"/>
  <c r="AF705" i="17"/>
  <c r="AL705" i="17" s="1"/>
  <c r="Z705" i="17" s="1"/>
  <c r="AS705" i="17" s="1"/>
  <c r="AP702" i="17"/>
  <c r="AQ695" i="17"/>
  <c r="AJ694" i="17"/>
  <c r="AM690" i="17"/>
  <c r="AN683" i="17"/>
  <c r="AM682" i="17"/>
  <c r="AK677" i="17"/>
  <c r="AN676" i="17"/>
  <c r="AM675" i="17"/>
  <c r="AF670" i="17"/>
  <c r="AL670" i="17" s="1"/>
  <c r="Z670" i="17" s="1"/>
  <c r="AS670" i="17" s="1"/>
  <c r="AG669" i="17"/>
  <c r="AI668" i="17"/>
  <c r="AM667" i="17"/>
  <c r="AF664" i="17"/>
  <c r="AH663" i="17"/>
  <c r="AO661" i="17"/>
  <c r="AG660" i="17"/>
  <c r="AR658" i="17"/>
  <c r="AF658" i="17"/>
  <c r="AR656" i="17"/>
  <c r="AF656" i="17"/>
  <c r="AL656" i="17" s="1"/>
  <c r="AR654" i="17"/>
  <c r="AF654" i="17"/>
  <c r="AL654" i="17" s="1"/>
  <c r="Z654" i="17" s="1"/>
  <c r="AS654" i="17" s="1"/>
  <c r="AR652" i="17"/>
  <c r="AF652" i="17"/>
  <c r="AR650" i="17"/>
  <c r="AF650" i="17"/>
  <c r="AR648" i="17"/>
  <c r="AF648" i="17"/>
  <c r="AR646" i="17"/>
  <c r="AF646" i="17"/>
  <c r="AL646" i="17" s="1"/>
  <c r="AR644" i="17"/>
  <c r="AF644" i="17"/>
  <c r="AL644" i="17" s="1"/>
  <c r="AR642" i="17"/>
  <c r="AF640" i="17"/>
  <c r="AF638" i="17"/>
  <c r="AL638" i="17" s="1"/>
  <c r="Z638" i="17" s="1"/>
  <c r="AS638" i="17" s="1"/>
  <c r="AF636" i="17"/>
  <c r="AF634" i="17"/>
  <c r="AF632" i="17"/>
  <c r="AR630" i="17"/>
  <c r="AF630" i="17"/>
  <c r="AR628" i="17"/>
  <c r="AF628" i="17"/>
  <c r="AR626" i="17"/>
  <c r="AF626" i="17"/>
  <c r="AR624" i="17"/>
  <c r="AF624" i="17"/>
  <c r="AP724" i="17"/>
  <c r="AK723" i="17"/>
  <c r="AM713" i="17"/>
  <c r="AG707" i="17"/>
  <c r="AK706" i="17"/>
  <c r="AM702" i="17"/>
  <c r="AK699" i="17"/>
  <c r="AP695" i="17"/>
  <c r="AG694" i="17"/>
  <c r="AK691" i="17"/>
  <c r="AG690" i="17"/>
  <c r="AM683" i="17"/>
  <c r="AH677" i="17"/>
  <c r="AM676" i="17"/>
  <c r="AF669" i="17"/>
  <c r="AH668" i="17"/>
  <c r="AO666" i="17"/>
  <c r="AR665" i="17"/>
  <c r="AG663" i="17"/>
  <c r="AI662" i="17"/>
  <c r="AN661" i="17"/>
  <c r="AF660" i="17"/>
  <c r="AK659" i="17"/>
  <c r="AQ658" i="17"/>
  <c r="AK657" i="17"/>
  <c r="AQ656" i="17"/>
  <c r="AK655" i="17"/>
  <c r="AQ654" i="17"/>
  <c r="AK653" i="17"/>
  <c r="AQ652" i="17"/>
  <c r="AK651" i="17"/>
  <c r="AQ650" i="17"/>
  <c r="AK649" i="17"/>
  <c r="AQ648" i="17"/>
  <c r="AK647" i="17"/>
  <c r="AQ646" i="17"/>
  <c r="AK645" i="17"/>
  <c r="AQ644" i="17"/>
  <c r="AK643" i="17"/>
  <c r="AQ642" i="17"/>
  <c r="AK641" i="17"/>
  <c r="AK639" i="17"/>
  <c r="AQ638" i="17"/>
  <c r="AQ636" i="17"/>
  <c r="AK635" i="17"/>
  <c r="AQ634" i="17"/>
  <c r="AK633" i="17"/>
  <c r="AK631" i="17"/>
  <c r="AQ630" i="17"/>
  <c r="AK629" i="17"/>
  <c r="AQ628" i="17"/>
  <c r="AK627" i="17"/>
  <c r="AQ626" i="17"/>
  <c r="AK740" i="17"/>
  <c r="AK736" i="17"/>
  <c r="AR734" i="17"/>
  <c r="AJ718" i="17"/>
  <c r="AM708" i="17"/>
  <c r="AF707" i="17"/>
  <c r="AJ706" i="17"/>
  <c r="AG702" i="17"/>
  <c r="AM695" i="17"/>
  <c r="AP692" i="17"/>
  <c r="AJ691" i="17"/>
  <c r="AF690" i="17"/>
  <c r="AN685" i="17"/>
  <c r="AM684" i="17"/>
  <c r="AH682" i="17"/>
  <c r="AG677" i="17"/>
  <c r="AK675" i="17"/>
  <c r="AN674" i="17"/>
  <c r="AN673" i="17"/>
  <c r="AG668" i="17"/>
  <c r="AK667" i="17"/>
  <c r="AN666" i="17"/>
  <c r="AO665" i="17"/>
  <c r="AF663" i="17"/>
  <c r="AH662" i="17"/>
  <c r="AM661" i="17"/>
  <c r="AR660" i="17"/>
  <c r="AJ659" i="17"/>
  <c r="AP658" i="17"/>
  <c r="AJ657" i="17"/>
  <c r="AP656" i="17"/>
  <c r="AJ655" i="17"/>
  <c r="AP654" i="17"/>
  <c r="AJ653" i="17"/>
  <c r="AP652" i="17"/>
  <c r="AJ651" i="17"/>
  <c r="AP650" i="17"/>
  <c r="AJ649" i="17"/>
  <c r="AP648" i="17"/>
  <c r="AJ647" i="17"/>
  <c r="AP646" i="17"/>
  <c r="AJ645" i="17"/>
  <c r="AP644" i="17"/>
  <c r="AJ643" i="17"/>
  <c r="AP642" i="17"/>
  <c r="AJ641" i="17"/>
  <c r="AP640" i="17"/>
  <c r="AJ639" i="17"/>
  <c r="AP638" i="17"/>
  <c r="AP636" i="17"/>
  <c r="AJ635" i="17"/>
  <c r="AP634" i="17"/>
  <c r="AJ633" i="17"/>
  <c r="AP632" i="17"/>
  <c r="AJ631" i="17"/>
  <c r="AP630" i="17"/>
  <c r="AJ629" i="17"/>
  <c r="AP628" i="17"/>
  <c r="AJ627" i="17"/>
  <c r="AP626" i="17"/>
  <c r="AJ625" i="17"/>
  <c r="AP624" i="17"/>
  <c r="AP622" i="17"/>
  <c r="AP766" i="17"/>
  <c r="AP737" i="17"/>
  <c r="AJ736" i="17"/>
  <c r="AQ734" i="17"/>
  <c r="AR732" i="17"/>
  <c r="AK724" i="17"/>
  <c r="AG718" i="17"/>
  <c r="AR716" i="17"/>
  <c r="AQ711" i="17"/>
  <c r="AK710" i="17"/>
  <c r="AF702" i="17"/>
  <c r="AP700" i="17"/>
  <c r="AO692" i="17"/>
  <c r="AI691" i="17"/>
  <c r="AM686" i="17"/>
  <c r="AM685" i="17"/>
  <c r="AK683" i="17"/>
  <c r="AG682" i="17"/>
  <c r="AN679" i="17"/>
  <c r="AF677" i="17"/>
  <c r="AH676" i="17"/>
  <c r="AH675" i="17"/>
  <c r="AM674" i="17"/>
  <c r="AM673" i="17"/>
  <c r="AQ672" i="17"/>
  <c r="AR671" i="17"/>
  <c r="AF668" i="17"/>
  <c r="AI667" i="17"/>
  <c r="AM666" i="17"/>
  <c r="AN665" i="17"/>
  <c r="AR664" i="17"/>
  <c r="AG662" i="17"/>
  <c r="AQ660" i="17"/>
  <c r="AI659" i="17"/>
  <c r="AO658" i="17"/>
  <c r="AI657" i="17"/>
  <c r="AO656" i="17"/>
  <c r="AI655" i="17"/>
  <c r="AO654" i="17"/>
  <c r="AI653" i="17"/>
  <c r="AO652" i="17"/>
  <c r="AI651" i="17"/>
  <c r="AO650" i="17"/>
  <c r="AI649" i="17"/>
  <c r="AO648" i="17"/>
  <c r="AI647" i="17"/>
  <c r="AO646" i="17"/>
  <c r="AI645" i="17"/>
  <c r="AO644" i="17"/>
  <c r="AI643" i="17"/>
  <c r="AO642" i="17"/>
  <c r="AI641" i="17"/>
  <c r="AO640" i="17"/>
  <c r="AI639" i="17"/>
  <c r="AO638" i="17"/>
  <c r="AO636" i="17"/>
  <c r="AF768" i="17"/>
  <c r="AG766" i="17"/>
  <c r="AJ737" i="17"/>
  <c r="AG736" i="17"/>
  <c r="AG734" i="17"/>
  <c r="AJ732" i="17"/>
  <c r="AJ724" i="17"/>
  <c r="AM719" i="17"/>
  <c r="AK716" i="17"/>
  <c r="AP711" i="17"/>
  <c r="AJ710" i="17"/>
  <c r="AF708" i="17"/>
  <c r="AJ700" i="17"/>
  <c r="AM696" i="17"/>
  <c r="AF695" i="17"/>
  <c r="AJ692" i="17"/>
  <c r="AH684" i="17"/>
  <c r="AG683" i="17"/>
  <c r="AF682" i="17"/>
  <c r="AL682" i="17" s="1"/>
  <c r="Z682" i="17" s="1"/>
  <c r="AS682" i="17" s="1"/>
  <c r="AN680" i="17"/>
  <c r="AM679" i="17"/>
  <c r="AG676" i="17"/>
  <c r="AG675" i="17"/>
  <c r="AO672" i="17"/>
  <c r="AN671" i="17"/>
  <c r="AH667" i="17"/>
  <c r="AM665" i="17"/>
  <c r="AQ664" i="17"/>
  <c r="AF662" i="17"/>
  <c r="AK661" i="17"/>
  <c r="AO660" i="17"/>
  <c r="AH659" i="17"/>
  <c r="AN658" i="17"/>
  <c r="AH657" i="17"/>
  <c r="AN656" i="17"/>
  <c r="AH655" i="17"/>
  <c r="AN654" i="17"/>
  <c r="AH653" i="17"/>
  <c r="AN652" i="17"/>
  <c r="AH651" i="17"/>
  <c r="AN650" i="17"/>
  <c r="AH649" i="17"/>
  <c r="AN648" i="17"/>
  <c r="AH647" i="17"/>
  <c r="AN646" i="17"/>
  <c r="AH645" i="17"/>
  <c r="AN644" i="17"/>
  <c r="AP738" i="17"/>
  <c r="AK730" i="17"/>
  <c r="AG711" i="17"/>
  <c r="AK697" i="17"/>
  <c r="AK696" i="17"/>
  <c r="AR693" i="17"/>
  <c r="AF692" i="17"/>
  <c r="AO688" i="17"/>
  <c r="AN687" i="17"/>
  <c r="AG686" i="17"/>
  <c r="AG685" i="17"/>
  <c r="AF684" i="17"/>
  <c r="AL684" i="17" s="1"/>
  <c r="AK679" i="17"/>
  <c r="AG674" i="17"/>
  <c r="AI673" i="17"/>
  <c r="AM672" i="17"/>
  <c r="AO670" i="17"/>
  <c r="AN669" i="17"/>
  <c r="AF667" i="17"/>
  <c r="AH666" i="17"/>
  <c r="AK665" i="17"/>
  <c r="AN664" i="17"/>
  <c r="AO663" i="17"/>
  <c r="AH661" i="17"/>
  <c r="AM660" i="17"/>
  <c r="AR659" i="17"/>
  <c r="AF659" i="17"/>
  <c r="AR657" i="17"/>
  <c r="AF657" i="17"/>
  <c r="AR655" i="17"/>
  <c r="AF655" i="17"/>
  <c r="AR653" i="17"/>
  <c r="AF653" i="17"/>
  <c r="AL653" i="17" s="1"/>
  <c r="AR651" i="17"/>
  <c r="AF651" i="17"/>
  <c r="AR649" i="17"/>
  <c r="AF649" i="17"/>
  <c r="AR647" i="17"/>
  <c r="AF647" i="17"/>
  <c r="AR645" i="17"/>
  <c r="AF645" i="17"/>
  <c r="AR643" i="17"/>
  <c r="AF643" i="17"/>
  <c r="AF641" i="17"/>
  <c r="AF639" i="17"/>
  <c r="AL639" i="17" s="1"/>
  <c r="Z639" i="17" s="1"/>
  <c r="AS639" i="17" s="1"/>
  <c r="AF635" i="17"/>
  <c r="AL635" i="17" s="1"/>
  <c r="Z635" i="17" s="1"/>
  <c r="AS635" i="17" s="1"/>
  <c r="AF633" i="17"/>
  <c r="AF631" i="17"/>
  <c r="AR629" i="17"/>
  <c r="AM759" i="17"/>
  <c r="AG738" i="17"/>
  <c r="AF728" i="17"/>
  <c r="AR717" i="17"/>
  <c r="AP704" i="17"/>
  <c r="AJ697" i="17"/>
  <c r="AJ696" i="17"/>
  <c r="AJ688" i="17"/>
  <c r="AM687" i="17"/>
  <c r="AF686" i="17"/>
  <c r="AF685" i="17"/>
  <c r="AH680" i="17"/>
  <c r="AH679" i="17"/>
  <c r="AL679" i="17" s="1"/>
  <c r="Z679" i="17" s="1"/>
  <c r="AS679" i="17" s="1"/>
  <c r="AF674" i="17"/>
  <c r="AH673" i="17"/>
  <c r="AK671" i="17"/>
  <c r="AN670" i="17"/>
  <c r="AM669" i="17"/>
  <c r="AQ668" i="17"/>
  <c r="AG666" i="17"/>
  <c r="AI665" i="17"/>
  <c r="AM664" i="17"/>
  <c r="AN663" i="17"/>
  <c r="AR662" i="17"/>
  <c r="AG661" i="17"/>
  <c r="AQ659" i="17"/>
  <c r="AK658" i="17"/>
  <c r="AQ657" i="17"/>
  <c r="AK656" i="17"/>
  <c r="AQ655" i="17"/>
  <c r="AK654" i="17"/>
  <c r="AQ653" i="17"/>
  <c r="AK652" i="17"/>
  <c r="AQ651" i="17"/>
  <c r="AK650" i="17"/>
  <c r="AQ649" i="17"/>
  <c r="AK648" i="17"/>
  <c r="AQ647" i="17"/>
  <c r="AK646" i="17"/>
  <c r="AQ645" i="17"/>
  <c r="AK644" i="17"/>
  <c r="AQ643" i="17"/>
  <c r="AK642" i="17"/>
  <c r="AL642" i="17" s="1"/>
  <c r="Z642" i="17" s="1"/>
  <c r="AS642" i="17" s="1"/>
  <c r="AQ641" i="17"/>
  <c r="AK640" i="17"/>
  <c r="AK638" i="17"/>
  <c r="AK636" i="17"/>
  <c r="AK634" i="17"/>
  <c r="AQ633" i="17"/>
  <c r="AK632" i="17"/>
  <c r="AK630" i="17"/>
  <c r="AQ629" i="17"/>
  <c r="AK628" i="17"/>
  <c r="AQ627" i="17"/>
  <c r="AK626" i="17"/>
  <c r="AQ625" i="17"/>
  <c r="AK624" i="17"/>
  <c r="AL725" i="17"/>
  <c r="Z725" i="17" s="1"/>
  <c r="AS725" i="17" s="1"/>
  <c r="AL753" i="17"/>
  <c r="Z753" i="17" s="1"/>
  <c r="AS753" i="17" s="1"/>
  <c r="AL742" i="17"/>
  <c r="Z742" i="17" s="1"/>
  <c r="AS742" i="17" s="1"/>
  <c r="AL721" i="17"/>
  <c r="Z721" i="17" s="1"/>
  <c r="AS721" i="17" s="1"/>
  <c r="AL745" i="17"/>
  <c r="Z745" i="17" s="1"/>
  <c r="AS745" i="17" s="1"/>
  <c r="Z751" i="17"/>
  <c r="AS751" i="17" s="1"/>
  <c r="AL764" i="17"/>
  <c r="Z764" i="17" s="1"/>
  <c r="AS764" i="17" s="1"/>
  <c r="AL761" i="17"/>
  <c r="Z761" i="17" s="1"/>
  <c r="AS761" i="17" s="1"/>
  <c r="AL755" i="17"/>
  <c r="Z755" i="17" s="1"/>
  <c r="AS755" i="17" s="1"/>
  <c r="Z479" i="17" l="1"/>
  <c r="AS479" i="17" s="1"/>
  <c r="Z459" i="17"/>
  <c r="AS459" i="17" s="1"/>
  <c r="AL431" i="17"/>
  <c r="Z431" i="17" s="1"/>
  <c r="AS431" i="17" s="1"/>
  <c r="AL24" i="17"/>
  <c r="Z24" i="17" s="1"/>
  <c r="AS24" i="17" s="1"/>
  <c r="AL7" i="17"/>
  <c r="Z7" i="17" s="1"/>
  <c r="AS7" i="17" s="1"/>
  <c r="AL84" i="17"/>
  <c r="Z84" i="17" s="1"/>
  <c r="AS84" i="17" s="1"/>
  <c r="AL5" i="17"/>
  <c r="Z5" i="17" s="1"/>
  <c r="AS5" i="17" s="1"/>
  <c r="AL86" i="17"/>
  <c r="Z86" i="17" s="1"/>
  <c r="AS86" i="17" s="1"/>
  <c r="AL294" i="17"/>
  <c r="Z294" i="17" s="1"/>
  <c r="AS294" i="17" s="1"/>
  <c r="Z362" i="17"/>
  <c r="AS362" i="17" s="1"/>
  <c r="AL425" i="17"/>
  <c r="Z425" i="17" s="1"/>
  <c r="AS425" i="17" s="1"/>
  <c r="AL410" i="17"/>
  <c r="Z410" i="17" s="1"/>
  <c r="AS410" i="17" s="1"/>
  <c r="AL453" i="17"/>
  <c r="Z453" i="17" s="1"/>
  <c r="AS453" i="17" s="1"/>
  <c r="AL413" i="17"/>
  <c r="Z413" i="17" s="1"/>
  <c r="AS413" i="17" s="1"/>
  <c r="G4" i="28"/>
  <c r="AL112" i="17"/>
  <c r="Z112" i="17" s="1"/>
  <c r="AS112" i="17" s="1"/>
  <c r="AL308" i="17"/>
  <c r="Z308" i="17" s="1"/>
  <c r="AS308" i="17" s="1"/>
  <c r="AL368" i="17"/>
  <c r="Z368" i="17" s="1"/>
  <c r="AS368" i="17" s="1"/>
  <c r="Z402" i="17"/>
  <c r="AS402" i="17" s="1"/>
  <c r="AL437" i="17"/>
  <c r="Z437" i="17" s="1"/>
  <c r="AS437" i="17" s="1"/>
  <c r="AL153" i="17"/>
  <c r="Z153" i="17" s="1"/>
  <c r="AS153" i="17" s="1"/>
  <c r="F3" i="28"/>
  <c r="H3" i="28" s="1"/>
  <c r="Z724" i="17"/>
  <c r="AS724" i="17" s="1"/>
  <c r="Z572" i="17"/>
  <c r="AS572" i="17" s="1"/>
  <c r="Z15" i="17"/>
  <c r="AS15" i="17" s="1"/>
  <c r="Z154" i="17"/>
  <c r="AS154" i="17" s="1"/>
  <c r="Z252" i="17"/>
  <c r="AS252" i="17" s="1"/>
  <c r="Z175" i="17"/>
  <c r="AS175" i="17" s="1"/>
  <c r="AL714" i="17"/>
  <c r="Z714" i="17" s="1"/>
  <c r="AS714" i="17" s="1"/>
  <c r="Z712" i="17"/>
  <c r="AS712" i="17" s="1"/>
  <c r="Z547" i="17"/>
  <c r="AS547" i="17" s="1"/>
  <c r="Z554" i="17"/>
  <c r="AS554" i="17" s="1"/>
  <c r="AL511" i="17"/>
  <c r="Z511" i="17" s="1"/>
  <c r="AS511" i="17" s="1"/>
  <c r="AL309" i="17"/>
  <c r="Z309" i="17" s="1"/>
  <c r="AS309" i="17" s="1"/>
  <c r="AL241" i="17"/>
  <c r="Z241" i="17" s="1"/>
  <c r="AS241" i="17" s="1"/>
  <c r="AL715" i="17"/>
  <c r="Z715" i="17" s="1"/>
  <c r="AS715" i="17" s="1"/>
  <c r="Z733" i="17"/>
  <c r="AS733" i="17" s="1"/>
  <c r="Z590" i="17"/>
  <c r="AS590" i="17" s="1"/>
  <c r="AL534" i="17"/>
  <c r="Z534" i="17" s="1"/>
  <c r="AS534" i="17" s="1"/>
  <c r="Z515" i="17"/>
  <c r="AS515" i="17" s="1"/>
  <c r="AL474" i="17"/>
  <c r="Z474" i="17" s="1"/>
  <c r="AS474" i="17" s="1"/>
  <c r="AL587" i="17"/>
  <c r="Z587" i="17" s="1"/>
  <c r="AS587" i="17" s="1"/>
  <c r="AL148" i="17"/>
  <c r="Z148" i="17" s="1"/>
  <c r="AS148" i="17" s="1"/>
  <c r="Z136" i="17"/>
  <c r="AS136" i="17" s="1"/>
  <c r="Z69" i="17"/>
  <c r="AS69" i="17" s="1"/>
  <c r="Z228" i="17"/>
  <c r="AS228" i="17" s="1"/>
  <c r="Z319" i="17"/>
  <c r="AS319" i="17" s="1"/>
  <c r="Z233" i="17"/>
  <c r="AS233" i="17" s="1"/>
  <c r="AL692" i="17"/>
  <c r="Z692" i="17" s="1"/>
  <c r="AS692" i="17" s="1"/>
  <c r="AL660" i="17"/>
  <c r="Z660" i="17" s="1"/>
  <c r="AS660" i="17" s="1"/>
  <c r="Z656" i="17"/>
  <c r="AS656" i="17" s="1"/>
  <c r="AL666" i="17"/>
  <c r="Z666" i="17" s="1"/>
  <c r="AS666" i="17" s="1"/>
  <c r="AL578" i="17"/>
  <c r="Z578" i="17" s="1"/>
  <c r="AS578" i="17" s="1"/>
  <c r="AL625" i="17"/>
  <c r="Z625" i="17" s="1"/>
  <c r="AS625" i="17" s="1"/>
  <c r="Z533" i="17"/>
  <c r="AS533" i="17" s="1"/>
  <c r="AL551" i="17"/>
  <c r="Z551" i="17" s="1"/>
  <c r="AS551" i="17" s="1"/>
  <c r="AL629" i="17"/>
  <c r="Z629" i="17" s="1"/>
  <c r="AS629" i="17" s="1"/>
  <c r="AL571" i="17"/>
  <c r="Z571" i="17" s="1"/>
  <c r="AS571" i="17" s="1"/>
  <c r="Z558" i="17"/>
  <c r="AS558" i="17" s="1"/>
  <c r="AL483" i="17"/>
  <c r="Z483" i="17" s="1"/>
  <c r="AS483" i="17" s="1"/>
  <c r="Z501" i="17"/>
  <c r="AS501" i="17" s="1"/>
  <c r="AL523" i="17"/>
  <c r="Z523" i="17" s="1"/>
  <c r="AS523" i="17" s="1"/>
  <c r="AL434" i="17"/>
  <c r="Z434" i="17" s="1"/>
  <c r="AS434" i="17" s="1"/>
  <c r="Z454" i="17"/>
  <c r="AS454" i="17" s="1"/>
  <c r="AL476" i="17"/>
  <c r="Z476" i="17" s="1"/>
  <c r="AS476" i="17" s="1"/>
  <c r="AL68" i="17"/>
  <c r="Z68" i="17" s="1"/>
  <c r="AS68" i="17" s="1"/>
  <c r="F4" i="28"/>
  <c r="H4" i="28" s="1"/>
  <c r="AL78" i="17"/>
  <c r="Z78" i="17" s="1"/>
  <c r="AS78" i="17" s="1"/>
  <c r="AL158" i="17"/>
  <c r="Z158" i="17" s="1"/>
  <c r="AS158" i="17" s="1"/>
  <c r="AL259" i="17"/>
  <c r="Z259" i="17" s="1"/>
  <c r="AS259" i="17" s="1"/>
  <c r="AL335" i="17"/>
  <c r="Z335" i="17" s="1"/>
  <c r="AS335" i="17" s="1"/>
  <c r="AL662" i="17"/>
  <c r="Z662" i="17" s="1"/>
  <c r="AS662" i="17" s="1"/>
  <c r="AL699" i="17"/>
  <c r="Z699" i="17" s="1"/>
  <c r="AS699" i="17" s="1"/>
  <c r="AL729" i="17"/>
  <c r="Z729" i="17" s="1"/>
  <c r="AS729" i="17" s="1"/>
  <c r="AL676" i="17"/>
  <c r="Z676" i="17" s="1"/>
  <c r="AS676" i="17" s="1"/>
  <c r="AL592" i="17"/>
  <c r="Z592" i="17" s="1"/>
  <c r="AS592" i="17" s="1"/>
  <c r="AL610" i="17"/>
  <c r="Z610" i="17" s="1"/>
  <c r="AS610" i="17" s="1"/>
  <c r="AL683" i="17"/>
  <c r="Z683" i="17" s="1"/>
  <c r="AS683" i="17" s="1"/>
  <c r="AL553" i="17"/>
  <c r="Z553" i="17" s="1"/>
  <c r="AS553" i="17" s="1"/>
  <c r="AL536" i="17"/>
  <c r="Z536" i="17" s="1"/>
  <c r="AS536" i="17" s="1"/>
  <c r="AL560" i="17"/>
  <c r="Z560" i="17" s="1"/>
  <c r="AS560" i="17" s="1"/>
  <c r="AL477" i="17"/>
  <c r="Z477" i="17" s="1"/>
  <c r="AS477" i="17" s="1"/>
  <c r="AL522" i="17"/>
  <c r="Z522" i="17" s="1"/>
  <c r="AS522" i="17" s="1"/>
  <c r="AL513" i="17"/>
  <c r="Z513" i="17" s="1"/>
  <c r="AS513" i="17" s="1"/>
  <c r="AL494" i="17"/>
  <c r="Z494" i="17" s="1"/>
  <c r="AS494" i="17" s="1"/>
  <c r="AL14" i="17"/>
  <c r="Z14" i="17" s="1"/>
  <c r="AS14" i="17" s="1"/>
  <c r="F9" i="28"/>
  <c r="H9" i="28" s="1"/>
  <c r="F11" i="28"/>
  <c r="H11" i="28" s="1"/>
  <c r="AL25" i="17"/>
  <c r="Z25" i="17" s="1"/>
  <c r="AS25" i="17" s="1"/>
  <c r="AL49" i="17"/>
  <c r="Z49" i="17" s="1"/>
  <c r="AS49" i="17" s="1"/>
  <c r="AL71" i="17"/>
  <c r="Z71" i="17" s="1"/>
  <c r="AS71" i="17" s="1"/>
  <c r="AL83" i="17"/>
  <c r="Z83" i="17" s="1"/>
  <c r="AS83" i="17" s="1"/>
  <c r="AL145" i="17"/>
  <c r="Z145" i="17" s="1"/>
  <c r="AS145" i="17" s="1"/>
  <c r="AL168" i="17"/>
  <c r="Z168" i="17" s="1"/>
  <c r="AS168" i="17" s="1"/>
  <c r="AL130" i="17"/>
  <c r="Z130" i="17" s="1"/>
  <c r="AS130" i="17" s="1"/>
  <c r="AL186" i="17"/>
  <c r="Z186" i="17" s="1"/>
  <c r="AS186" i="17" s="1"/>
  <c r="AL210" i="17"/>
  <c r="Z210" i="17" s="1"/>
  <c r="AS210" i="17" s="1"/>
  <c r="AL232" i="17"/>
  <c r="Z232" i="17" s="1"/>
  <c r="AS232" i="17" s="1"/>
  <c r="AL248" i="17"/>
  <c r="Z248" i="17" s="1"/>
  <c r="AS248" i="17" s="1"/>
  <c r="AL311" i="17"/>
  <c r="Z311" i="17" s="1"/>
  <c r="AS311" i="17" s="1"/>
  <c r="AL185" i="17"/>
  <c r="Z185" i="17" s="1"/>
  <c r="AS185" i="17" s="1"/>
  <c r="AL205" i="17"/>
  <c r="Z205" i="17" s="1"/>
  <c r="AS205" i="17" s="1"/>
  <c r="AL237" i="17"/>
  <c r="Z237" i="17" s="1"/>
  <c r="AS237" i="17" s="1"/>
  <c r="AL404" i="17"/>
  <c r="Z404" i="17" s="1"/>
  <c r="AS404" i="17" s="1"/>
  <c r="AL296" i="17"/>
  <c r="Z296" i="17" s="1"/>
  <c r="AS296" i="17" s="1"/>
  <c r="AL310" i="17"/>
  <c r="Z310" i="17" s="1"/>
  <c r="AS310" i="17" s="1"/>
  <c r="AL412" i="17"/>
  <c r="Z412" i="17" s="1"/>
  <c r="AS412" i="17" s="1"/>
  <c r="AL423" i="17"/>
  <c r="Z423" i="17" s="1"/>
  <c r="AS423" i="17" s="1"/>
  <c r="AL415" i="17"/>
  <c r="Z415" i="17" s="1"/>
  <c r="AS415" i="17" s="1"/>
  <c r="F2" i="28"/>
  <c r="H2" i="28" s="1"/>
  <c r="AL298" i="17"/>
  <c r="Z298" i="17" s="1"/>
  <c r="AS298" i="17" s="1"/>
  <c r="AL314" i="17"/>
  <c r="Z314" i="17" s="1"/>
  <c r="AS314" i="17" s="1"/>
  <c r="AL395" i="17"/>
  <c r="Z395" i="17" s="1"/>
  <c r="AS395" i="17" s="1"/>
  <c r="AL408" i="17"/>
  <c r="Z408" i="17" s="1"/>
  <c r="AS408" i="17" s="1"/>
  <c r="AL414" i="17"/>
  <c r="Z414" i="17" s="1"/>
  <c r="AS414" i="17" s="1"/>
  <c r="AL463" i="17"/>
  <c r="Z463" i="17" s="1"/>
  <c r="AS463" i="17" s="1"/>
  <c r="AL441" i="17"/>
  <c r="Z441" i="17" s="1"/>
  <c r="AS441" i="17" s="1"/>
  <c r="AL417" i="17"/>
  <c r="Z417" i="17" s="1"/>
  <c r="AS417" i="17" s="1"/>
  <c r="AL13" i="17"/>
  <c r="Z13" i="17" s="1"/>
  <c r="AS13" i="17" s="1"/>
  <c r="AL11" i="17"/>
  <c r="Z11" i="17" s="1"/>
  <c r="AS11" i="17" s="1"/>
  <c r="Z567" i="17"/>
  <c r="AS567" i="17" s="1"/>
  <c r="Z45" i="17"/>
  <c r="AS45" i="17" s="1"/>
  <c r="AL229" i="17"/>
  <c r="Z229" i="17" s="1"/>
  <c r="AS229" i="17" s="1"/>
  <c r="Z340" i="17"/>
  <c r="AS340" i="17" s="1"/>
  <c r="AL668" i="17"/>
  <c r="Z668" i="17" s="1"/>
  <c r="AS668" i="17" s="1"/>
  <c r="Z611" i="17"/>
  <c r="AS611" i="17" s="1"/>
  <c r="Z583" i="17"/>
  <c r="AS583" i="17" s="1"/>
  <c r="AL28" i="17"/>
  <c r="Z28" i="17" s="1"/>
  <c r="AS28" i="17" s="1"/>
  <c r="AL81" i="17"/>
  <c r="Z81" i="17" s="1"/>
  <c r="AS81" i="17" s="1"/>
  <c r="Z140" i="17"/>
  <c r="AS140" i="17" s="1"/>
  <c r="Z176" i="17"/>
  <c r="AS176" i="17" s="1"/>
  <c r="AL201" i="17"/>
  <c r="Z201" i="17" s="1"/>
  <c r="AS201" i="17" s="1"/>
  <c r="AL643" i="17"/>
  <c r="Z643" i="17" s="1"/>
  <c r="AS643" i="17" s="1"/>
  <c r="AL626" i="17"/>
  <c r="Z626" i="17" s="1"/>
  <c r="AS626" i="17" s="1"/>
  <c r="AL739" i="17"/>
  <c r="Z739" i="17" s="1"/>
  <c r="AS739" i="17" s="1"/>
  <c r="AL657" i="17"/>
  <c r="Z657" i="17" s="1"/>
  <c r="AS657" i="17" s="1"/>
  <c r="AL658" i="17"/>
  <c r="Z658" i="17" s="1"/>
  <c r="AS658" i="17" s="1"/>
  <c r="Z694" i="17"/>
  <c r="AS694" i="17" s="1"/>
  <c r="AL719" i="17"/>
  <c r="Z719" i="17" s="1"/>
  <c r="AS719" i="17" s="1"/>
  <c r="AL697" i="17"/>
  <c r="Z697" i="17" s="1"/>
  <c r="AS697" i="17" s="1"/>
  <c r="AL612" i="17"/>
  <c r="Z612" i="17" s="1"/>
  <c r="AS612" i="17" s="1"/>
  <c r="AL555" i="17"/>
  <c r="Z555" i="17" s="1"/>
  <c r="AS555" i="17" s="1"/>
  <c r="AL485" i="17"/>
  <c r="Z485" i="17" s="1"/>
  <c r="AS485" i="17" s="1"/>
  <c r="AL456" i="17"/>
  <c r="Z456" i="17" s="1"/>
  <c r="AS456" i="17" s="1"/>
  <c r="Z12" i="17"/>
  <c r="AS12" i="17" s="1"/>
  <c r="Z163" i="17"/>
  <c r="AS163" i="17" s="1"/>
  <c r="AL301" i="17"/>
  <c r="Z301" i="17" s="1"/>
  <c r="AS301" i="17" s="1"/>
  <c r="AL289" i="17"/>
  <c r="Z289" i="17" s="1"/>
  <c r="AS289" i="17" s="1"/>
  <c r="AL312" i="17"/>
  <c r="Z312" i="17" s="1"/>
  <c r="AS312" i="17" s="1"/>
  <c r="AL405" i="17"/>
  <c r="Z405" i="17" s="1"/>
  <c r="AS405" i="17" s="1"/>
  <c r="AL419" i="17"/>
  <c r="Z419" i="17" s="1"/>
  <c r="AS419" i="17" s="1"/>
  <c r="AL20" i="17"/>
  <c r="Z20" i="17" s="1"/>
  <c r="AS20" i="17" s="1"/>
  <c r="AL702" i="17"/>
  <c r="Z702" i="17" s="1"/>
  <c r="AS702" i="17" s="1"/>
  <c r="AL579" i="17"/>
  <c r="Z579" i="17" s="1"/>
  <c r="AS579" i="17" s="1"/>
  <c r="AL557" i="17"/>
  <c r="Z557" i="17" s="1"/>
  <c r="AS557" i="17" s="1"/>
  <c r="AL526" i="17"/>
  <c r="Z526" i="17" s="1"/>
  <c r="AS526" i="17" s="1"/>
  <c r="AL507" i="17"/>
  <c r="Z507" i="17" s="1"/>
  <c r="AS507" i="17" s="1"/>
  <c r="AL581" i="17"/>
  <c r="Z581" i="17" s="1"/>
  <c r="AS581" i="17" s="1"/>
  <c r="AL506" i="17"/>
  <c r="Z506" i="17" s="1"/>
  <c r="AS506" i="17" s="1"/>
  <c r="AL577" i="17"/>
  <c r="Z577" i="17" s="1"/>
  <c r="AS577" i="17" s="1"/>
  <c r="AL458" i="17"/>
  <c r="Z458" i="17" s="1"/>
  <c r="AS458" i="17" s="1"/>
  <c r="AL496" i="17"/>
  <c r="Z496" i="17" s="1"/>
  <c r="AS496" i="17" s="1"/>
  <c r="AL10" i="17"/>
  <c r="Z10" i="17" s="1"/>
  <c r="AS10" i="17" s="1"/>
  <c r="AL48" i="17"/>
  <c r="Z48" i="17" s="1"/>
  <c r="AS48" i="17" s="1"/>
  <c r="AL85" i="17"/>
  <c r="Z85" i="17" s="1"/>
  <c r="AS85" i="17" s="1"/>
  <c r="AL240" i="17"/>
  <c r="Z240" i="17" s="1"/>
  <c r="AS240" i="17" s="1"/>
  <c r="AL256" i="17"/>
  <c r="Z256" i="17" s="1"/>
  <c r="AS256" i="17" s="1"/>
  <c r="AL674" i="17"/>
  <c r="Z674" i="17" s="1"/>
  <c r="AS674" i="17" s="1"/>
  <c r="AL647" i="17"/>
  <c r="Z647" i="17" s="1"/>
  <c r="AS647" i="17" s="1"/>
  <c r="AL659" i="17"/>
  <c r="Z659" i="17" s="1"/>
  <c r="AS659" i="17" s="1"/>
  <c r="AL630" i="17"/>
  <c r="Z630" i="17" s="1"/>
  <c r="AS630" i="17" s="1"/>
  <c r="AL648" i="17"/>
  <c r="Z648" i="17" s="1"/>
  <c r="AS648" i="17" s="1"/>
  <c r="AL731" i="17"/>
  <c r="Z731" i="17" s="1"/>
  <c r="AS731" i="17" s="1"/>
  <c r="AL717" i="17"/>
  <c r="Z717" i="17" s="1"/>
  <c r="AS717" i="17" s="1"/>
  <c r="AL691" i="17"/>
  <c r="Z691" i="17" s="1"/>
  <c r="AS691" i="17" s="1"/>
  <c r="AL738" i="17"/>
  <c r="Z738" i="17" s="1"/>
  <c r="AS738" i="17" s="1"/>
  <c r="AL582" i="17"/>
  <c r="Z582" i="17" s="1"/>
  <c r="AS582" i="17" s="1"/>
  <c r="AL598" i="17"/>
  <c r="Z598" i="17" s="1"/>
  <c r="AS598" i="17" s="1"/>
  <c r="AL616" i="17"/>
  <c r="Z616" i="17" s="1"/>
  <c r="AS616" i="17" s="1"/>
  <c r="AL597" i="17"/>
  <c r="Z597" i="17" s="1"/>
  <c r="AS597" i="17" s="1"/>
  <c r="AL575" i="17"/>
  <c r="Z575" i="17" s="1"/>
  <c r="AS575" i="17" s="1"/>
  <c r="AL539" i="17"/>
  <c r="Z539" i="17" s="1"/>
  <c r="AS539" i="17" s="1"/>
  <c r="AL559" i="17"/>
  <c r="Z559" i="17" s="1"/>
  <c r="AS559" i="17" s="1"/>
  <c r="AL487" i="17"/>
  <c r="Z487" i="17" s="1"/>
  <c r="AS487" i="17" s="1"/>
  <c r="AL438" i="17"/>
  <c r="Z438" i="17" s="1"/>
  <c r="AS438" i="17" s="1"/>
  <c r="AL460" i="17"/>
  <c r="Z460" i="17" s="1"/>
  <c r="AS460" i="17" s="1"/>
  <c r="AL74" i="17"/>
  <c r="Z74" i="17" s="1"/>
  <c r="AS74" i="17" s="1"/>
  <c r="AL8" i="17"/>
  <c r="Z8" i="17" s="1"/>
  <c r="AS8" i="17" s="1"/>
  <c r="AL46" i="17"/>
  <c r="Z46" i="17" s="1"/>
  <c r="AS46" i="17" s="1"/>
  <c r="AL128" i="17"/>
  <c r="Z128" i="17" s="1"/>
  <c r="AS128" i="17" s="1"/>
  <c r="AL161" i="17"/>
  <c r="Z161" i="17" s="1"/>
  <c r="AS161" i="17" s="1"/>
  <c r="AL313" i="17"/>
  <c r="Z313" i="17" s="1"/>
  <c r="AS313" i="17" s="1"/>
  <c r="AL152" i="17"/>
  <c r="Z152" i="17" s="1"/>
  <c r="AS152" i="17" s="1"/>
  <c r="AL245" i="17"/>
  <c r="Z245" i="17" s="1"/>
  <c r="AS245" i="17" s="1"/>
  <c r="AL315" i="17"/>
  <c r="Z315" i="17" s="1"/>
  <c r="AS315" i="17" s="1"/>
  <c r="AL253" i="17"/>
  <c r="Z253" i="17" s="1"/>
  <c r="AS253" i="17" s="1"/>
  <c r="AL409" i="17"/>
  <c r="Z409" i="17" s="1"/>
  <c r="AS409" i="17" s="1"/>
  <c r="AL305" i="17"/>
  <c r="Z305" i="17" s="1"/>
  <c r="AS305" i="17" s="1"/>
  <c r="AL399" i="17"/>
  <c r="Z399" i="17" s="1"/>
  <c r="AS399" i="17" s="1"/>
  <c r="AL300" i="17"/>
  <c r="Z300" i="17" s="1"/>
  <c r="AS300" i="17" s="1"/>
  <c r="AL316" i="17"/>
  <c r="Z316" i="17" s="1"/>
  <c r="AS316" i="17" s="1"/>
  <c r="AL421" i="17"/>
  <c r="Z421" i="17" s="1"/>
  <c r="AS421" i="17" s="1"/>
  <c r="AL467" i="17"/>
  <c r="Z467" i="17" s="1"/>
  <c r="AS467" i="17" s="1"/>
  <c r="F13" i="28"/>
  <c r="H13" i="28" s="1"/>
  <c r="AL3" i="17"/>
  <c r="Z3" i="17" s="1"/>
  <c r="AS3" i="17" s="1"/>
  <c r="AL604" i="17"/>
  <c r="Z604" i="17" s="1"/>
  <c r="AS604" i="17" s="1"/>
  <c r="Z605" i="17"/>
  <c r="AS605" i="17" s="1"/>
  <c r="AL517" i="17"/>
  <c r="Z517" i="17" s="1"/>
  <c r="AS517" i="17" s="1"/>
  <c r="Z499" i="17"/>
  <c r="AS499" i="17" s="1"/>
  <c r="AL641" i="17"/>
  <c r="Z641" i="17" s="1"/>
  <c r="AS641" i="17" s="1"/>
  <c r="AL707" i="17"/>
  <c r="Z707" i="17" s="1"/>
  <c r="AS707" i="17" s="1"/>
  <c r="Z760" i="17"/>
  <c r="AS760" i="17" s="1"/>
  <c r="AL573" i="17"/>
  <c r="Z573" i="17" s="1"/>
  <c r="AS573" i="17" s="1"/>
  <c r="AL47" i="17"/>
  <c r="Z47" i="17" s="1"/>
  <c r="AS47" i="17" s="1"/>
  <c r="AL208" i="17"/>
  <c r="Z208" i="17" s="1"/>
  <c r="AS208" i="17" s="1"/>
  <c r="AL179" i="17"/>
  <c r="Z179" i="17" s="1"/>
  <c r="AS179" i="17" s="1"/>
  <c r="AL667" i="17"/>
  <c r="Z667" i="17" s="1"/>
  <c r="AS667" i="17" s="1"/>
  <c r="AL734" i="17"/>
  <c r="Z734" i="17" s="1"/>
  <c r="AS734" i="17" s="1"/>
  <c r="AL645" i="17"/>
  <c r="Z645" i="17" s="1"/>
  <c r="AS645" i="17" s="1"/>
  <c r="Z646" i="17"/>
  <c r="AS646" i="17" s="1"/>
  <c r="AL730" i="17"/>
  <c r="Z730" i="17" s="1"/>
  <c r="AS730" i="17" s="1"/>
  <c r="AL661" i="17"/>
  <c r="Z661" i="17" s="1"/>
  <c r="AS661" i="17" s="1"/>
  <c r="Z595" i="17"/>
  <c r="AS595" i="17" s="1"/>
  <c r="AL580" i="17"/>
  <c r="Z580" i="17" s="1"/>
  <c r="AS580" i="17" s="1"/>
  <c r="AL537" i="17"/>
  <c r="Z537" i="17" s="1"/>
  <c r="AS537" i="17" s="1"/>
  <c r="AL562" i="17"/>
  <c r="Z562" i="17" s="1"/>
  <c r="AS562" i="17" s="1"/>
  <c r="Z126" i="17"/>
  <c r="AS126" i="17" s="1"/>
  <c r="Z299" i="17"/>
  <c r="AS299" i="17" s="1"/>
  <c r="AL728" i="17"/>
  <c r="Z728" i="17" s="1"/>
  <c r="AS728" i="17" s="1"/>
  <c r="AL695" i="17"/>
  <c r="Z695" i="17" s="1"/>
  <c r="AS695" i="17" s="1"/>
  <c r="AL614" i="17"/>
  <c r="Z614" i="17" s="1"/>
  <c r="AS614" i="17" s="1"/>
  <c r="AL593" i="17"/>
  <c r="Z593" i="17" s="1"/>
  <c r="AS593" i="17" s="1"/>
  <c r="AL564" i="17"/>
  <c r="Z564" i="17" s="1"/>
  <c r="AS564" i="17" s="1"/>
  <c r="G3" i="28"/>
  <c r="AL27" i="17"/>
  <c r="Z27" i="17" s="1"/>
  <c r="AS27" i="17" s="1"/>
  <c r="AL73" i="17"/>
  <c r="Z73" i="17" s="1"/>
  <c r="AS73" i="17" s="1"/>
  <c r="AL214" i="17"/>
  <c r="Z214" i="17" s="1"/>
  <c r="AS214" i="17" s="1"/>
  <c r="AL189" i="17"/>
  <c r="Z189" i="17" s="1"/>
  <c r="AS189" i="17" s="1"/>
  <c r="AL768" i="17"/>
  <c r="Z768" i="17" s="1"/>
  <c r="AS768" i="17" s="1"/>
  <c r="AL663" i="17"/>
  <c r="Z663" i="17" s="1"/>
  <c r="AS663" i="17" s="1"/>
  <c r="AL732" i="17"/>
  <c r="Z732" i="17" s="1"/>
  <c r="AS732" i="17" s="1"/>
  <c r="AL700" i="17"/>
  <c r="Z700" i="17" s="1"/>
  <c r="AS700" i="17" s="1"/>
  <c r="AL718" i="17"/>
  <c r="Z718" i="17" s="1"/>
  <c r="AS718" i="17" s="1"/>
  <c r="AL688" i="17"/>
  <c r="Z688" i="17" s="1"/>
  <c r="AS688" i="17" s="1"/>
  <c r="AL710" i="17"/>
  <c r="Z710" i="17" s="1"/>
  <c r="AS710" i="17" s="1"/>
  <c r="AL767" i="17"/>
  <c r="Z767" i="17" s="1"/>
  <c r="AS767" i="17" s="1"/>
  <c r="AL675" i="17"/>
  <c r="Z675" i="17" s="1"/>
  <c r="AS675" i="17" s="1"/>
  <c r="AL671" i="17"/>
  <c r="Z671" i="17" s="1"/>
  <c r="AS671" i="17" s="1"/>
  <c r="AL589" i="17"/>
  <c r="Z589" i="17" s="1"/>
  <c r="AS589" i="17" s="1"/>
  <c r="AL561" i="17"/>
  <c r="Z561" i="17" s="1"/>
  <c r="AS561" i="17" s="1"/>
  <c r="AL528" i="17"/>
  <c r="Z528" i="17" s="1"/>
  <c r="AS528" i="17" s="1"/>
  <c r="AL544" i="17"/>
  <c r="Z544" i="17" s="1"/>
  <c r="AS544" i="17" s="1"/>
  <c r="AL462" i="17"/>
  <c r="Z462" i="17" s="1"/>
  <c r="AS462" i="17" s="1"/>
  <c r="AL500" i="17"/>
  <c r="Z500" i="17" s="1"/>
  <c r="AS500" i="17" s="1"/>
  <c r="AL585" i="17"/>
  <c r="Z585" i="17" s="1"/>
  <c r="AS585" i="17" s="1"/>
  <c r="AL509" i="17"/>
  <c r="Z509" i="17" s="1"/>
  <c r="AS509" i="17" s="1"/>
  <c r="AL70" i="17"/>
  <c r="Z70" i="17" s="1"/>
  <c r="AS70" i="17" s="1"/>
  <c r="AL6" i="17"/>
  <c r="Z6" i="17" s="1"/>
  <c r="AS6" i="17" s="1"/>
  <c r="AL389" i="17"/>
  <c r="Z389" i="17" s="1"/>
  <c r="AS389" i="17" s="1"/>
  <c r="AL17" i="17"/>
  <c r="Z17" i="17" s="1"/>
  <c r="AS17" i="17" s="1"/>
  <c r="AL41" i="17"/>
  <c r="Z41" i="17" s="1"/>
  <c r="AS41" i="17" s="1"/>
  <c r="AL53" i="17"/>
  <c r="Z53" i="17" s="1"/>
  <c r="AS53" i="17" s="1"/>
  <c r="AL75" i="17"/>
  <c r="Z75" i="17" s="1"/>
  <c r="AS75" i="17" s="1"/>
  <c r="AL87" i="17"/>
  <c r="Z87" i="17" s="1"/>
  <c r="AS87" i="17" s="1"/>
  <c r="AL192" i="17"/>
  <c r="Z192" i="17" s="1"/>
  <c r="AS192" i="17" s="1"/>
  <c r="AL218" i="17"/>
  <c r="Z218" i="17" s="1"/>
  <c r="AS218" i="17" s="1"/>
  <c r="AL167" i="17"/>
  <c r="Z167" i="17" s="1"/>
  <c r="AS167" i="17" s="1"/>
  <c r="AL191" i="17"/>
  <c r="Z191" i="17" s="1"/>
  <c r="AS191" i="17" s="1"/>
  <c r="AL217" i="17"/>
  <c r="Z217" i="17" s="1"/>
  <c r="AS217" i="17" s="1"/>
  <c r="AL406" i="17"/>
  <c r="Z406" i="17" s="1"/>
  <c r="AS406" i="17" s="1"/>
  <c r="AL288" i="17"/>
  <c r="Z288" i="17" s="1"/>
  <c r="AS288" i="17" s="1"/>
  <c r="AL318" i="17"/>
  <c r="Z318" i="17" s="1"/>
  <c r="AS318" i="17" s="1"/>
  <c r="AL445" i="17"/>
  <c r="Z445" i="17" s="1"/>
  <c r="AS445" i="17" s="1"/>
  <c r="AL525" i="17"/>
  <c r="Z525" i="17" s="1"/>
  <c r="AS525" i="17" s="1"/>
  <c r="AL416" i="17"/>
  <c r="Z416" i="17" s="1"/>
  <c r="AS416" i="17" s="1"/>
  <c r="AL52" i="17"/>
  <c r="Z52" i="17" s="1"/>
  <c r="AS52" i="17" s="1"/>
  <c r="AL44" i="17"/>
  <c r="Z44" i="17" s="1"/>
  <c r="AS44" i="17" s="1"/>
  <c r="AL672" i="17"/>
  <c r="Z672" i="17" s="1"/>
  <c r="AS672" i="17" s="1"/>
  <c r="AL21" i="17"/>
  <c r="Z21" i="17" s="1"/>
  <c r="AS21" i="17" s="1"/>
  <c r="Z127" i="17"/>
  <c r="AS127" i="17" s="1"/>
  <c r="AL199" i="17"/>
  <c r="Z199" i="17" s="1"/>
  <c r="AS199" i="17" s="1"/>
  <c r="Z653" i="17"/>
  <c r="AS653" i="17" s="1"/>
  <c r="AL640" i="17"/>
  <c r="Z640" i="17" s="1"/>
  <c r="AS640" i="17" s="1"/>
  <c r="Z680" i="17"/>
  <c r="AS680" i="17" s="1"/>
  <c r="AL303" i="17"/>
  <c r="Z303" i="17" s="1"/>
  <c r="AS303" i="17" s="1"/>
  <c r="Z401" i="17"/>
  <c r="AS401" i="17" s="1"/>
  <c r="AL759" i="17"/>
  <c r="Z759" i="17" s="1"/>
  <c r="AS759" i="17" s="1"/>
  <c r="AL706" i="17"/>
  <c r="Z706" i="17" s="1"/>
  <c r="AS706" i="17" s="1"/>
  <c r="Z576" i="17"/>
  <c r="AS576" i="17" s="1"/>
  <c r="AL601" i="17"/>
  <c r="Z601" i="17" s="1"/>
  <c r="AS601" i="17" s="1"/>
  <c r="Z23" i="17"/>
  <c r="AS23" i="17" s="1"/>
  <c r="Z249" i="17"/>
  <c r="AS249" i="17" s="1"/>
  <c r="AL655" i="17"/>
  <c r="Z655" i="17" s="1"/>
  <c r="AS655" i="17" s="1"/>
  <c r="Z644" i="17"/>
  <c r="AS644" i="17" s="1"/>
  <c r="AL716" i="17"/>
  <c r="Z716" i="17" s="1"/>
  <c r="AS716" i="17" s="1"/>
  <c r="AL628" i="17"/>
  <c r="Z628" i="17" s="1"/>
  <c r="AS628" i="17" s="1"/>
  <c r="AL503" i="17"/>
  <c r="Z503" i="17" s="1"/>
  <c r="AS503" i="17" s="1"/>
  <c r="Z436" i="17"/>
  <c r="AS436" i="17" s="1"/>
  <c r="AL569" i="17"/>
  <c r="Z569" i="17" s="1"/>
  <c r="AS569" i="17" s="1"/>
  <c r="F5" i="28"/>
  <c r="H5" i="28" s="1"/>
  <c r="AL164" i="17"/>
  <c r="Z164" i="17" s="1"/>
  <c r="AS164" i="17" s="1"/>
  <c r="AL295" i="17"/>
  <c r="Z295" i="17" s="1"/>
  <c r="AS295" i="17" s="1"/>
  <c r="AL327" i="17"/>
  <c r="Z327" i="17" s="1"/>
  <c r="AS327" i="17" s="1"/>
  <c r="Z393" i="17"/>
  <c r="AS393" i="17" s="1"/>
  <c r="AL82" i="17"/>
  <c r="Z82" i="17" s="1"/>
  <c r="AS82" i="17" s="1"/>
  <c r="AL703" i="17"/>
  <c r="Z703" i="17" s="1"/>
  <c r="AS703" i="17" s="1"/>
  <c r="AL665" i="17"/>
  <c r="Z665" i="17" s="1"/>
  <c r="AS665" i="17" s="1"/>
  <c r="AL542" i="17"/>
  <c r="Z542" i="17" s="1"/>
  <c r="AS542" i="17" s="1"/>
  <c r="AL475" i="17"/>
  <c r="Z475" i="17" s="1"/>
  <c r="AS475" i="17" s="1"/>
  <c r="AL139" i="17"/>
  <c r="Z139" i="17" s="1"/>
  <c r="AS139" i="17" s="1"/>
  <c r="AL51" i="17"/>
  <c r="Z51" i="17" s="1"/>
  <c r="AS51" i="17" s="1"/>
  <c r="AL132" i="17"/>
  <c r="Z132" i="17" s="1"/>
  <c r="AS132" i="17" s="1"/>
  <c r="AL188" i="17"/>
  <c r="Z188" i="17" s="1"/>
  <c r="AS188" i="17" s="1"/>
  <c r="AL213" i="17"/>
  <c r="Z213" i="17" s="1"/>
  <c r="AS213" i="17" s="1"/>
  <c r="AL690" i="17"/>
  <c r="Z690" i="17" s="1"/>
  <c r="AS690" i="17" s="1"/>
  <c r="AL649" i="17"/>
  <c r="Z649" i="17" s="1"/>
  <c r="AS649" i="17" s="1"/>
  <c r="AL708" i="17"/>
  <c r="Z708" i="17" s="1"/>
  <c r="AS708" i="17" s="1"/>
  <c r="AL677" i="17"/>
  <c r="Z677" i="17" s="1"/>
  <c r="AS677" i="17" s="1"/>
  <c r="AL632" i="17"/>
  <c r="Z632" i="17" s="1"/>
  <c r="AS632" i="17" s="1"/>
  <c r="AL650" i="17"/>
  <c r="Z650" i="17" s="1"/>
  <c r="AS650" i="17" s="1"/>
  <c r="AL689" i="17"/>
  <c r="Z689" i="17" s="1"/>
  <c r="AS689" i="17" s="1"/>
  <c r="AL740" i="17"/>
  <c r="Z740" i="17" s="1"/>
  <c r="AS740" i="17" s="1"/>
  <c r="AL566" i="17"/>
  <c r="Z566" i="17" s="1"/>
  <c r="AS566" i="17" s="1"/>
  <c r="AL584" i="17"/>
  <c r="Z584" i="17" s="1"/>
  <c r="AS584" i="17" s="1"/>
  <c r="AL600" i="17"/>
  <c r="Z600" i="17" s="1"/>
  <c r="AS600" i="17" s="1"/>
  <c r="AL618" i="17"/>
  <c r="Z618" i="17" s="1"/>
  <c r="AS618" i="17" s="1"/>
  <c r="AL599" i="17"/>
  <c r="Z599" i="17" s="1"/>
  <c r="AS599" i="17" s="1"/>
  <c r="AL541" i="17"/>
  <c r="Z541" i="17" s="1"/>
  <c r="AS541" i="17" s="1"/>
  <c r="AL563" i="17"/>
  <c r="Z563" i="17" s="1"/>
  <c r="AS563" i="17" s="1"/>
  <c r="AL546" i="17"/>
  <c r="Z546" i="17" s="1"/>
  <c r="AS546" i="17" s="1"/>
  <c r="AL591" i="17"/>
  <c r="Z591" i="17" s="1"/>
  <c r="AS591" i="17" s="1"/>
  <c r="AL627" i="17"/>
  <c r="Z627" i="17" s="1"/>
  <c r="AS627" i="17" s="1"/>
  <c r="AL489" i="17"/>
  <c r="Z489" i="17" s="1"/>
  <c r="AS489" i="17" s="1"/>
  <c r="AL603" i="17"/>
  <c r="Z603" i="17" s="1"/>
  <c r="AS603" i="17" s="1"/>
  <c r="AL426" i="17"/>
  <c r="Z426" i="17" s="1"/>
  <c r="AS426" i="17" s="1"/>
  <c r="AL440" i="17"/>
  <c r="Z440" i="17" s="1"/>
  <c r="AS440" i="17" s="1"/>
  <c r="AL464" i="17"/>
  <c r="Z464" i="17" s="1"/>
  <c r="AS464" i="17" s="1"/>
  <c r="AL4" i="17"/>
  <c r="Z4" i="17" s="1"/>
  <c r="AS4" i="17" s="1"/>
  <c r="F10" i="28"/>
  <c r="H10" i="28" s="1"/>
  <c r="AL18" i="17"/>
  <c r="Z18" i="17" s="1"/>
  <c r="AS18" i="17" s="1"/>
  <c r="AL129" i="17"/>
  <c r="Z129" i="17" s="1"/>
  <c r="AS129" i="17" s="1"/>
  <c r="AL293" i="17"/>
  <c r="Z293" i="17" s="1"/>
  <c r="AS293" i="17" s="1"/>
  <c r="AL260" i="17"/>
  <c r="Z260" i="17" s="1"/>
  <c r="AS260" i="17" s="1"/>
  <c r="AL264" i="17"/>
  <c r="Z264" i="17" s="1"/>
  <c r="AS264" i="17" s="1"/>
  <c r="AL317" i="17"/>
  <c r="Z317" i="17" s="1"/>
  <c r="AS317" i="17" s="1"/>
  <c r="AL307" i="17"/>
  <c r="Z307" i="17" s="1"/>
  <c r="AS307" i="17" s="1"/>
  <c r="AL302" i="17"/>
  <c r="Z302" i="17" s="1"/>
  <c r="AS302" i="17" s="1"/>
  <c r="AL322" i="17"/>
  <c r="Z322" i="17" s="1"/>
  <c r="AS322" i="17" s="1"/>
  <c r="AL443" i="17"/>
  <c r="Z443" i="17" s="1"/>
  <c r="AS443" i="17" s="1"/>
  <c r="AL80" i="17"/>
  <c r="Z80" i="17" s="1"/>
  <c r="AS80" i="17" s="1"/>
  <c r="G5" i="28"/>
  <c r="AL88" i="17"/>
  <c r="Z88" i="17" s="1"/>
  <c r="AS88" i="17" s="1"/>
  <c r="Z292" i="17"/>
  <c r="AS292" i="17" s="1"/>
  <c r="AL624" i="17"/>
  <c r="Z624" i="17" s="1"/>
  <c r="AS624" i="17" s="1"/>
  <c r="Z769" i="17"/>
  <c r="AS769" i="17" s="1"/>
  <c r="AL619" i="17"/>
  <c r="Z619" i="17" s="1"/>
  <c r="AS619" i="17" s="1"/>
  <c r="Z134" i="17"/>
  <c r="AS134" i="17" s="1"/>
  <c r="Z556" i="17"/>
  <c r="AS556" i="17" s="1"/>
  <c r="Z521" i="17"/>
  <c r="AS521" i="17" s="1"/>
  <c r="AL685" i="17"/>
  <c r="Z685" i="17" s="1"/>
  <c r="AS685" i="17" s="1"/>
  <c r="AL631" i="17"/>
  <c r="Z631" i="17" s="1"/>
  <c r="AS631" i="17" s="1"/>
  <c r="Z684" i="17"/>
  <c r="AS684" i="17" s="1"/>
  <c r="AL669" i="17"/>
  <c r="Z669" i="17" s="1"/>
  <c r="AS669" i="17" s="1"/>
  <c r="AL634" i="17"/>
  <c r="Z634" i="17" s="1"/>
  <c r="AS634" i="17" s="1"/>
  <c r="AL664" i="17"/>
  <c r="Z664" i="17" s="1"/>
  <c r="AS664" i="17" s="1"/>
  <c r="AL704" i="17"/>
  <c r="Z704" i="17" s="1"/>
  <c r="AS704" i="17" s="1"/>
  <c r="AL696" i="17"/>
  <c r="Z696" i="17" s="1"/>
  <c r="AS696" i="17" s="1"/>
  <c r="AL568" i="17"/>
  <c r="Z568" i="17" s="1"/>
  <c r="AS568" i="17" s="1"/>
  <c r="AL621" i="17"/>
  <c r="Z621" i="17" s="1"/>
  <c r="AS621" i="17" s="1"/>
  <c r="AL565" i="17"/>
  <c r="Z565" i="17" s="1"/>
  <c r="AS565" i="17" s="1"/>
  <c r="Z530" i="17"/>
  <c r="AS530" i="17" s="1"/>
  <c r="AL548" i="17"/>
  <c r="Z548" i="17" s="1"/>
  <c r="AS548" i="17" s="1"/>
  <c r="AL470" i="17"/>
  <c r="Z470" i="17" s="1"/>
  <c r="AS470" i="17" s="1"/>
  <c r="AL502" i="17"/>
  <c r="Z502" i="17" s="1"/>
  <c r="AS502" i="17" s="1"/>
  <c r="Z2" i="17"/>
  <c r="AS2" i="17" s="1"/>
  <c r="AL131" i="17"/>
  <c r="Z131" i="17" s="1"/>
  <c r="AS131" i="17" s="1"/>
  <c r="AL144" i="17"/>
  <c r="Z144" i="17" s="1"/>
  <c r="AS144" i="17" s="1"/>
  <c r="AL182" i="17"/>
  <c r="Z182" i="17" s="1"/>
  <c r="AS182" i="17" s="1"/>
  <c r="Z19" i="17"/>
  <c r="AS19" i="17" s="1"/>
  <c r="AL43" i="17"/>
  <c r="Z43" i="17" s="1"/>
  <c r="AS43" i="17" s="1"/>
  <c r="AL65" i="17"/>
  <c r="Z65" i="17" s="1"/>
  <c r="AS65" i="17" s="1"/>
  <c r="AL77" i="17"/>
  <c r="Z77" i="17" s="1"/>
  <c r="AS77" i="17" s="1"/>
  <c r="AL125" i="17"/>
  <c r="Z125" i="17" s="1"/>
  <c r="AS125" i="17" s="1"/>
  <c r="AL157" i="17"/>
  <c r="Z157" i="17" s="1"/>
  <c r="AS157" i="17" s="1"/>
  <c r="AL135" i="17"/>
  <c r="Z135" i="17" s="1"/>
  <c r="AS135" i="17" s="1"/>
  <c r="Z143" i="17"/>
  <c r="AS143" i="17" s="1"/>
  <c r="AL198" i="17"/>
  <c r="Z198" i="17" s="1"/>
  <c r="AS198" i="17" s="1"/>
  <c r="Z222" i="17"/>
  <c r="AS222" i="17" s="1"/>
  <c r="AL171" i="17"/>
  <c r="Z171" i="17" s="1"/>
  <c r="AS171" i="17" s="1"/>
  <c r="AL197" i="17"/>
  <c r="Z197" i="17" s="1"/>
  <c r="AS197" i="17" s="1"/>
  <c r="AL225" i="17"/>
  <c r="Z225" i="17" s="1"/>
  <c r="AS225" i="17" s="1"/>
  <c r="AL297" i="17"/>
  <c r="Z297" i="17" s="1"/>
  <c r="AS297" i="17" s="1"/>
  <c r="AL290" i="17"/>
  <c r="Z290" i="17" s="1"/>
  <c r="AS290" i="17" s="1"/>
  <c r="AL326" i="17"/>
  <c r="Z326" i="17" s="1"/>
  <c r="AS326" i="17" s="1"/>
  <c r="AL397" i="17"/>
  <c r="Z397" i="17" s="1"/>
  <c r="AS397" i="17" s="1"/>
  <c r="AL400" i="17"/>
  <c r="Z400" i="17" s="1"/>
  <c r="AS400" i="17" s="1"/>
  <c r="AL519" i="17"/>
  <c r="Z519" i="17" s="1"/>
  <c r="AS519" i="17" s="1"/>
  <c r="AL469" i="17"/>
  <c r="Z469" i="17" s="1"/>
  <c r="AS469" i="17" s="1"/>
  <c r="AL418" i="17"/>
  <c r="Z418" i="17" s="1"/>
  <c r="AS418" i="17" s="1"/>
  <c r="AL461" i="17"/>
  <c r="Z461" i="17" s="1"/>
  <c r="AS461" i="17" s="1"/>
  <c r="AL473" i="17"/>
  <c r="Z473" i="17" s="1"/>
  <c r="AS473" i="17" s="1"/>
  <c r="Z427" i="17"/>
  <c r="AS427" i="17" s="1"/>
  <c r="Z447" i="17"/>
  <c r="AS447" i="17" s="1"/>
  <c r="AL686" i="17"/>
  <c r="Z686" i="17" s="1"/>
  <c r="AS686" i="17" s="1"/>
  <c r="AL633" i="17"/>
  <c r="Z633" i="17" s="1"/>
  <c r="AS633" i="17" s="1"/>
  <c r="AL651" i="17"/>
  <c r="Z651" i="17" s="1"/>
  <c r="AS651" i="17" s="1"/>
  <c r="AL636" i="17"/>
  <c r="Z636" i="17" s="1"/>
  <c r="AS636" i="17" s="1"/>
  <c r="AL652" i="17"/>
  <c r="Z652" i="17" s="1"/>
  <c r="AS652" i="17" s="1"/>
  <c r="AL687" i="17"/>
  <c r="Z687" i="17" s="1"/>
  <c r="AS687" i="17" s="1"/>
  <c r="AL723" i="17"/>
  <c r="Z723" i="17" s="1"/>
  <c r="AS723" i="17" s="1"/>
  <c r="AL736" i="17"/>
  <c r="Z736" i="17" s="1"/>
  <c r="AS736" i="17" s="1"/>
  <c r="AL570" i="17"/>
  <c r="Z570" i="17" s="1"/>
  <c r="AS570" i="17" s="1"/>
  <c r="AL586" i="17"/>
  <c r="Z586" i="17" s="1"/>
  <c r="AS586" i="17" s="1"/>
  <c r="AL602" i="17"/>
  <c r="Z602" i="17" s="1"/>
  <c r="AS602" i="17" s="1"/>
  <c r="AL620" i="17"/>
  <c r="Z620" i="17" s="1"/>
  <c r="AS620" i="17" s="1"/>
  <c r="AL766" i="17"/>
  <c r="Z766" i="17" s="1"/>
  <c r="AS766" i="17" s="1"/>
  <c r="AL617" i="17"/>
  <c r="Z617" i="17" s="1"/>
  <c r="AS617" i="17" s="1"/>
  <c r="AL543" i="17"/>
  <c r="Z543" i="17" s="1"/>
  <c r="AS543" i="17" s="1"/>
  <c r="AL550" i="17"/>
  <c r="Z550" i="17" s="1"/>
  <c r="AS550" i="17" s="1"/>
  <c r="AL493" i="17"/>
  <c r="Z493" i="17" s="1"/>
  <c r="AS493" i="17" s="1"/>
  <c r="AL428" i="17"/>
  <c r="Z428" i="17" s="1"/>
  <c r="AS428" i="17" s="1"/>
  <c r="AL442" i="17"/>
  <c r="Z442" i="17" s="1"/>
  <c r="AS442" i="17" s="1"/>
  <c r="AL22" i="17"/>
  <c r="Z22" i="17" s="1"/>
  <c r="AS22" i="17" s="1"/>
  <c r="AL72" i="17"/>
  <c r="Z72" i="17" s="1"/>
  <c r="AS72" i="17" s="1"/>
  <c r="AL138" i="17"/>
  <c r="Z138" i="17" s="1"/>
  <c r="AS138" i="17" s="1"/>
  <c r="AL42" i="17"/>
  <c r="Z42" i="17" s="1"/>
  <c r="AS42" i="17" s="1"/>
  <c r="G2" i="28"/>
  <c r="AL9" i="17"/>
  <c r="Z9" i="17" s="1"/>
  <c r="AS9" i="17" s="1"/>
  <c r="AL180" i="17"/>
  <c r="Z180" i="17" s="1"/>
  <c r="AS180" i="17" s="1"/>
  <c r="AL172" i="17"/>
  <c r="Z172" i="17" s="1"/>
  <c r="AS172" i="17" s="1"/>
  <c r="AL341" i="17"/>
  <c r="Z341" i="17" s="1"/>
  <c r="AS341" i="17" s="1"/>
  <c r="AL263" i="17"/>
  <c r="Z263" i="17" s="1"/>
  <c r="AS263" i="17" s="1"/>
  <c r="AL391" i="17"/>
  <c r="Z391" i="17" s="1"/>
  <c r="AS391" i="17" s="1"/>
  <c r="AL411" i="17"/>
  <c r="Z411" i="17" s="1"/>
  <c r="AS411" i="17" s="1"/>
  <c r="AL304" i="17"/>
  <c r="Z304" i="17" s="1"/>
  <c r="AS304" i="17" s="1"/>
  <c r="AL338" i="17"/>
  <c r="Z338" i="17" s="1"/>
  <c r="AS338" i="17" s="1"/>
  <c r="AL451" i="17"/>
  <c r="Z451" i="17" s="1"/>
  <c r="AS451" i="17" s="1"/>
  <c r="F12" i="28"/>
  <c r="H12" i="2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tc={DAE5C216-C84C-4031-B835-5FE26BAFF672}</author>
    <author>tc={ECE8A33D-3F60-47B1-8ADF-120B7E9B5B35}</author>
    <author>tc={D229BB33-5E04-4D98-BBFF-BD8CFAA90D0E}</author>
    <author>tc={F83ADFE9-65DD-41BA-80EC-DC8833ED9B61}</author>
  </authors>
  <commentList>
    <comment ref="A1" authorId="0" shapeId="0" xr:uid="{00000000-0006-0000-0100-000001000000}">
      <text>
        <t>[Comentário encadeado]
Sua versão do Excel permite que você leia este comentário encadeado, no entanto, as edições serão removidas se o arquivo for aberto em uma versão mais recente do Excel. Saiba mais: https://go.microsoft.com/fwlink/?linkid=870924
Comentário:
    Fórmula:
=[@MÊS]&amp;[@MATRICULA]&amp;[@ANO]</t>
      </text>
    </comment>
    <comment ref="E1" authorId="1" shapeId="0" xr:uid="{00000000-0006-0000-0100-000002000000}">
      <text>
        <t>[Comentário encadeado]
Sua versão do Excel permite que você leia este comentário encadeado, no entanto, as edições serão removidas se o arquivo for aberto em uma versão mais recente do Excel. Saiba mais: https://go.microsoft.com/fwlink/?linkid=870924
Comentário:
    Fórmula: =SEERRO(PROCV([@MATRICULA];'BD Campos'!A:B;2;0);"")</t>
      </text>
    </comment>
    <comment ref="F1" authorId="2" shapeId="0" xr:uid="{00000000-0006-0000-0100-000003000000}">
      <text>
        <t>[Comentário encadeado]
Sua versão do Excel permite que você leia este comentário encadeado, no entanto, as edições serão removidas se o arquivo for aberto em uma versão mais recente do Excel. Saiba mais: https://go.microsoft.com/fwlink/?linkid=870924
Comentário:
    Fórmula:
=SEERRO(MÉDIA(Tabela3[@[A1]:[A4]]);"")</t>
      </text>
    </comment>
    <comment ref="G1" authorId="3" shapeId="0" xr:uid="{00000000-0006-0000-0100-000004000000}">
      <text>
        <t>[Comentário encadeado]
Sua versão do Excel permite que você leia este comentário encadeado, no entanto, as edições serão removidas se o arquivo for aberto em uma versão mais recente do Excel. Saiba mais: https://go.microsoft.com/fwlink/?linkid=870924
Comentário:
    Fórmula:
=SEERRO(SE([@SETOR]="RECEPTIVO";"";MÉDIA(Tabela3[@[A5]:[A6]]));"")</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tc={9120223C-E9C7-4A02-865B-659FC3CE09C4}</author>
    <author>tc={03DC823E-7DF8-42B0-A79F-39C6735ED6FE}</author>
    <author>tc={2140F62A-982B-4C03-9421-3011ABBF831B}</author>
    <author>Jivago Pereira</author>
    <author>tc={614C4329-7B89-40EE-B5CE-62627F1D9C46}</author>
    <author>tc={ECE29D01-1E24-41E7-B1E2-AFBB9802A20F}</author>
    <author>tc={8598EA8D-8342-49A2-A152-E142B5B9B737}</author>
    <author>tc={919CBF98-0C78-47B0-B8AC-59749D70FDCD}</author>
    <author>tc={C2D1FCC0-A7D0-499E-82E5-DA5E09099024}</author>
    <author>tc={4F5C6571-808A-43ED-8E6E-772CF58E7BAB}</author>
    <author>tc={AD19C19D-B8A5-4D44-9370-890B763B252F}</author>
    <author>tc={E8F33FC3-5CBE-4AE8-B035-3C53983CFB3F}</author>
    <author>tc={E5EAF177-88BC-4166-BB5C-5113A2F145B6}</author>
    <author>tc={78F496E0-281F-4A0D-AB34-FC102BBC6D6D}</author>
    <author>tc={7D1249AB-5210-465A-8ADF-9035B5C1B4FB}</author>
    <author>tc={C9BDB4F7-8706-4A99-8BE1-C6A1A3E3A3C6}</author>
    <author>tc={ABCCF277-2DF5-4234-86E3-46EB8655EA1F}</author>
    <author>tc={77260111-C72C-4B9F-BD13-BEAA4F964BEF}</author>
    <author>tc={BE2742C4-8FF8-42DC-A572-EF6FC4446016}</author>
    <author>tc={A1D259EB-71C0-48A8-A33E-B16CCF144A66}</author>
  </authors>
  <commentList>
    <comment ref="A1" authorId="0" shapeId="0" xr:uid="{00000000-0006-0000-0200-000001000000}">
      <text>
        <t>[Comentário encadeado]
Sua versão do Excel permite que você leia este comentário encadeado, no entanto, as edições serão removidas se o arquivo for aberto em uma versão mais recente do Excel. Saiba mais: https://go.microsoft.com/fwlink/?linkid=870924
Comentário:
    =E2&amp;ANO(D2)&amp;F2&amp;J2&amp;K2&amp;""</t>
      </text>
    </comment>
    <comment ref="B1" authorId="1" shapeId="0" xr:uid="{00000000-0006-0000-0200-000002000000}">
      <text>
        <t>[Comentário encadeado]
Sua versão do Excel permite que você leia este comentário encadeado, no entanto, as edições serão removidas se o arquivo for aberto em uma versão mais recente do Excel. Saiba mais: https://go.microsoft.com/fwlink/?linkid=870924
Comentário:
    =E2&amp;ANO(D2)&amp;F2&amp;H2&amp;K2&amp;AC2</t>
      </text>
    </comment>
    <comment ref="G1" authorId="2" shapeId="0" xr:uid="{00000000-0006-0000-0200-000003000000}">
      <text>
        <t>[Comentário encadeado]
Sua versão do Excel permite que você leia este comentário encadeado, no entanto, as edições serão removidas se o arquivo for aberto em uma versão mais recente do Excel. Saiba mais: https://go.microsoft.com/fwlink/?linkid=870924
Comentário:
    =SEERRO(PROCV(F2;'BD Campos'!A:B;2;0);"")</t>
      </text>
    </comment>
    <comment ref="N1" authorId="3" shapeId="0" xr:uid="{00000000-0006-0000-0200-000004000000}">
      <text>
        <r>
          <rPr>
            <b/>
            <sz val="9"/>
            <color indexed="81"/>
            <rFont val="Segoe UI"/>
            <family val="2"/>
          </rPr>
          <t>Critérios Chave</t>
        </r>
      </text>
    </comment>
    <comment ref="O1" authorId="3" shapeId="0" xr:uid="{00000000-0006-0000-0200-000005000000}">
      <text>
        <r>
          <rPr>
            <b/>
            <sz val="9"/>
            <color indexed="81"/>
            <rFont val="Segoe UI"/>
            <family val="2"/>
          </rPr>
          <t>Critérios Chave</t>
        </r>
      </text>
    </comment>
    <comment ref="P1" authorId="3" shapeId="0" xr:uid="{00000000-0006-0000-0200-000006000000}">
      <text>
        <r>
          <rPr>
            <b/>
            <sz val="9"/>
            <color indexed="81"/>
            <rFont val="Segoe UI"/>
            <family val="2"/>
          </rPr>
          <t>Critérios Chave</t>
        </r>
      </text>
    </comment>
    <comment ref="Q1" authorId="3" shapeId="0" xr:uid="{00000000-0006-0000-0200-000007000000}">
      <text>
        <r>
          <rPr>
            <b/>
            <sz val="9"/>
            <color indexed="81"/>
            <rFont val="Segoe UI"/>
            <family val="2"/>
          </rPr>
          <t>Critérios Chave</t>
        </r>
      </text>
    </comment>
    <comment ref="R1" authorId="3" shapeId="0" xr:uid="{00000000-0006-0000-0200-000008000000}">
      <text>
        <r>
          <rPr>
            <b/>
            <sz val="9"/>
            <color indexed="81"/>
            <rFont val="Segoe UI"/>
            <family val="2"/>
          </rPr>
          <t>Critérios Chave</t>
        </r>
      </text>
    </comment>
    <comment ref="S1" authorId="3" shapeId="0" xr:uid="{00000000-0006-0000-0200-000009000000}">
      <text>
        <r>
          <rPr>
            <b/>
            <sz val="9"/>
            <color indexed="81"/>
            <rFont val="Segoe UI"/>
            <family val="2"/>
          </rPr>
          <t>Critérios Chave</t>
        </r>
      </text>
    </comment>
    <comment ref="T1" authorId="3" shapeId="0" xr:uid="{00000000-0006-0000-0200-00000A000000}">
      <text>
        <r>
          <rPr>
            <b/>
            <sz val="9"/>
            <color indexed="81"/>
            <rFont val="Segoe UI"/>
            <family val="2"/>
          </rPr>
          <t>Critérios Chave</t>
        </r>
      </text>
    </comment>
    <comment ref="U1" authorId="3" shapeId="0" xr:uid="{00000000-0006-0000-0200-00000B000000}">
      <text>
        <r>
          <rPr>
            <b/>
            <sz val="9"/>
            <color indexed="81"/>
            <rFont val="Segoe UI"/>
            <family val="2"/>
          </rPr>
          <t>Critérios Chave</t>
        </r>
      </text>
    </comment>
    <comment ref="V1" authorId="3" shapeId="0" xr:uid="{00000000-0006-0000-0200-00000C000000}">
      <text>
        <r>
          <rPr>
            <b/>
            <sz val="9"/>
            <color indexed="81"/>
            <rFont val="Segoe UI"/>
            <family val="2"/>
          </rPr>
          <t>Critérios Chave</t>
        </r>
      </text>
    </comment>
    <comment ref="W1" authorId="3" shapeId="0" xr:uid="{00000000-0006-0000-0200-00000D000000}">
      <text>
        <r>
          <rPr>
            <b/>
            <sz val="9"/>
            <color indexed="81"/>
            <rFont val="Segoe UI"/>
            <family val="2"/>
          </rPr>
          <t>Critérios Chave</t>
        </r>
      </text>
    </comment>
    <comment ref="X1" authorId="3" shapeId="0" xr:uid="{00000000-0006-0000-0200-00000E000000}">
      <text>
        <r>
          <rPr>
            <b/>
            <sz val="9"/>
            <color indexed="81"/>
            <rFont val="Segoe UI"/>
            <family val="2"/>
          </rPr>
          <t>Critérios Chave</t>
        </r>
      </text>
    </comment>
    <comment ref="Y1" authorId="3" shapeId="0" xr:uid="{00000000-0006-0000-0200-00000F000000}">
      <text>
        <r>
          <rPr>
            <b/>
            <sz val="9"/>
            <color indexed="81"/>
            <rFont val="Segoe UI"/>
            <family val="2"/>
          </rPr>
          <t>Critérios Chave</t>
        </r>
      </text>
    </comment>
    <comment ref="Z1" authorId="4" shapeId="0" xr:uid="{00000000-0006-0000-0200-000010000000}">
      <text>
        <t>[Comentário encadeado]
Sua versão do Excel permite que você leia este comentário encadeado, no entanto, as edições serão removidas se o arquivo for aberto em uma versão mais recente do Excel. Saiba mais: https://go.microsoft.com/fwlink/?linkid=870924
Comentário:
    Fórmula:
=SOMA(AL2:AR2)</t>
      </text>
    </comment>
    <comment ref="AE1" authorId="5" shapeId="0" xr:uid="{00000000-0006-0000-0200-000011000000}">
      <text>
        <t>[Comentário encadeado]
Sua versão do Excel permite que você leia este comentário encadeado, no entanto, as edições serão removidas se o arquivo for aberto em uma versão mais recente do Excel. Saiba mais: https://go.microsoft.com/fwlink/?linkid=870924
Comentário:
    Fórmula:
=E2&amp;F2</t>
      </text>
    </comment>
    <comment ref="AF1" authorId="6" shapeId="0" xr:uid="{00000000-0006-0000-0200-000012000000}">
      <text>
        <t>[Comentário encadeado]
Sua versão do Excel permite que você leia este comentário encadeado, no entanto, as edições serão removidas se o arquivo for aberto em uma versão mais recente do Excel. Saiba mais: https://go.microsoft.com/fwlink/?linkid=870924
Comentário:
    =SE(N2="";"";SE(N2="SIM";PROCV($I2&amp;$J2&amp;N$1;Pesos!$A:$I;7;FALSO);PROCV($I2&amp;$J2&amp;N$1;Pesos!$A:$I;9;FALSO)))</t>
      </text>
    </comment>
    <comment ref="AG1" authorId="7" shapeId="0" xr:uid="{00000000-0006-0000-0200-000013000000}">
      <text>
        <t>[Comentário encadeado]
Sua versão do Excel permite que você leia este comentário encadeado, no entanto, as edições serão removidas se o arquivo for aberto em uma versão mais recente do Excel. Saiba mais: https://go.microsoft.com/fwlink/?linkid=870924
Comentário:
    =SE(O2="";"";SE(O2="SIM";PROCV($I2&amp;$J2&amp;O$1;Pesos!$A:$I;7;FALSO);PROCV($I2&amp;$J2&amp;O$1;Pesos!$A:$I;9;FALSO)))</t>
      </text>
    </comment>
    <comment ref="AH1" authorId="8" shapeId="0" xr:uid="{00000000-0006-0000-0200-000014000000}">
      <text>
        <t>[Comentário encadeado]
Sua versão do Excel permite que você leia este comentário encadeado, no entanto, as edições serão removidas se o arquivo for aberto em uma versão mais recente do Excel. Saiba mais: https://go.microsoft.com/fwlink/?linkid=870924
Comentário:
    =SE(P2="";"";SE(P2="SIM";PROCV($I2&amp;$J2&amp;P$1;Pesos!$A:$I;7;FALSO);PROCV($I2&amp;$J2&amp;P$1;Pesos!$A:$I;9;FALSO)))</t>
      </text>
    </comment>
    <comment ref="AI1" authorId="9" shapeId="0" xr:uid="{00000000-0006-0000-0200-000015000000}">
      <text>
        <t>[Comentário encadeado]
Sua versão do Excel permite que você leia este comentário encadeado, no entanto, as edições serão removidas se o arquivo for aberto em uma versão mais recente do Excel. Saiba mais: https://go.microsoft.com/fwlink/?linkid=870924
Comentário:
    =SE(Q2="";"";SE(Q2="SIM";PROCV($I2&amp;$J2&amp;Q$1;Pesos!$A:$I;7;FALSO);PROCV($I2&amp;$J2&amp;Q$1;Pesos!$A:$I;9;FALSO)))</t>
      </text>
    </comment>
    <comment ref="AJ1" authorId="10" shapeId="0" xr:uid="{00000000-0006-0000-0200-000016000000}">
      <text>
        <t>[Comentário encadeado]
Sua versão do Excel permite que você leia este comentário encadeado, no entanto, as edições serão removidas se o arquivo for aberto em uma versão mais recente do Excel. Saiba mais: https://go.microsoft.com/fwlink/?linkid=870924
Comentário:
    =SE(R2="";"";SE(R2="SIM";PROCV($I2&amp;$J2&amp;R$1;Pesos!$A:$I;7;FALSO);PROCV($I2&amp;$J2&amp;R$1;Pesos!$A:$I;9;FALSO)))</t>
      </text>
    </comment>
    <comment ref="AK1" authorId="11" shapeId="0" xr:uid="{00000000-0006-0000-0200-000017000000}">
      <text>
        <t>[Comentário encadeado]
Sua versão do Excel permite que você leia este comentário encadeado, no entanto, as edições serão removidas se o arquivo for aberto em uma versão mais recente do Excel. Saiba mais: https://go.microsoft.com/fwlink/?linkid=870924
Comentário:
    =SE(S2="";"";SE(S2="SIM";PROCV($I2&amp;$J2&amp;S$1;Pesos!$A:$I;7;FALSO);PROCV($I2&amp;$J2&amp;S$1;Pesos!$A:$I;9;FALSO)))</t>
      </text>
    </comment>
    <comment ref="AL1" authorId="12" shapeId="0" xr:uid="{00000000-0006-0000-0200-000018000000}">
      <text>
        <t>[Comentário encadeado]
Sua versão do Excel permite que você leia este comentário encadeado, no entanto, as edições serão removidas se o arquivo for aberto em uma versão mais recente do Excel. Saiba mais: https://go.microsoft.com/fwlink/?linkid=870924
Comentário:
    =SOMA(AF2:AK2)</t>
      </text>
    </comment>
    <comment ref="AM1" authorId="13" shapeId="0" xr:uid="{00000000-0006-0000-0200-000019000000}">
      <text>
        <t>[Comentário encadeado]
Sua versão do Excel permite que você leia este comentário encadeado, no entanto, as edições serão removidas se o arquivo for aberto em uma versão mais recente do Excel. Saiba mais: https://go.microsoft.com/fwlink/?linkid=870924
Comentário:
    =SE(T2="";"";SE(T2="SIM";PROCV($I2&amp;$J2&amp;T$1;Pesos!$A:$I;7;FALSO);PROCV($I2&amp;$J2&amp;T$1;Pesos!$A:$I;9;FALSO)))</t>
      </text>
    </comment>
    <comment ref="AN1" authorId="14" shapeId="0" xr:uid="{00000000-0006-0000-0200-00001A000000}">
      <text>
        <t>[Comentário encadeado]
Sua versão do Excel permite que você leia este comentário encadeado, no entanto, as edições serão removidas se o arquivo for aberto em uma versão mais recente do Excel. Saiba mais: https://go.microsoft.com/fwlink/?linkid=870924
Comentário:
    =SE(U2="";"";SE(U2="SIM";PROCV($I2&amp;$J2&amp;U$1;Pesos!$A:$I;7;FALSO);PROCV($I2&amp;$J2&amp;U$1;Pesos!$A:$I;9;FALSO)))</t>
      </text>
    </comment>
    <comment ref="AO1" authorId="15" shapeId="0" xr:uid="{00000000-0006-0000-0200-00001B000000}">
      <text>
        <t>[Comentário encadeado]
Sua versão do Excel permite que você leia este comentário encadeado, no entanto, as edições serão removidas se o arquivo for aberto em uma versão mais recente do Excel. Saiba mais: https://go.microsoft.com/fwlink/?linkid=870924
Comentário:
    =SE(V2="";"";SE(V2="SIM";PROCV($I2&amp;$J2&amp;V$1;Pesos!$A:$I;7;FALSO);PROCV($I2&amp;$J2&amp;V$1;Pesos!$A:$I;9;FALSO)))</t>
      </text>
    </comment>
    <comment ref="AP1" authorId="16" shapeId="0" xr:uid="{00000000-0006-0000-0200-00001C000000}">
      <text>
        <t>[Comentário encadeado]
Sua versão do Excel permite que você leia este comentário encadeado, no entanto, as edições serão removidas se o arquivo for aberto em uma versão mais recente do Excel. Saiba mais: https://go.microsoft.com/fwlink/?linkid=870924
Comentário:
    =SE(W2="";"";SE(W2="SIM";PROCV($I2&amp;$J2&amp;W$1;Pesos!$A:$I;7;FALSO);PROCV($I2&amp;$J2&amp;W$1;Pesos!$A:$I;9;FALSO)))</t>
      </text>
    </comment>
    <comment ref="AQ1" authorId="17" shapeId="0" xr:uid="{00000000-0006-0000-0200-00001D000000}">
      <text>
        <t>[Comentário encadeado]
Sua versão do Excel permite que você leia este comentário encadeado, no entanto, as edições serão removidas se o arquivo for aberto em uma versão mais recente do Excel. Saiba mais: https://go.microsoft.com/fwlink/?linkid=870924
Comentário:
    =SE(X2="";"";SE(X2="SIM";PROCV($I2&amp;$J2&amp;X$1;Pesos!$A:$I;7;FALSO);PROCV($I2&amp;$J2&amp;X$1;Pesos!$A:$I;9;FALSO)))</t>
      </text>
    </comment>
    <comment ref="AR1" authorId="18" shapeId="0" xr:uid="{00000000-0006-0000-0200-00001E000000}">
      <text>
        <t>[Comentário encadeado]
Sua versão do Excel permite que você leia este comentário encadeado, no entanto, as edições serão removidas se o arquivo for aberto em uma versão mais recente do Excel. Saiba mais: https://go.microsoft.com/fwlink/?linkid=870924
Comentário:
    =SE(Y2="";"";SE(Y2="SIM";PROCV($I2&amp;$J2&amp;Y$1;Pesos!$A:$I;7;FALSO);PROCV($I2&amp;$J2&amp;Y$1;Pesos!$A:$I;9;FALSO)))</t>
      </text>
    </comment>
    <comment ref="AS1" authorId="19" shapeId="0" xr:uid="{00000000-0006-0000-0200-00001F000000}">
      <text>
        <t>[Comentário encadeado]
Sua versão do Excel permite que você leia este comentário encadeado, no entanto, as edições serão removidas se o arquivo for aberto em uma versão mais recente do Excel. Saiba mais: https://go.microsoft.com/fwlink/?linkid=870924
Comentário:
    =SEERRO(Z2*PROCV(J2;'BD Campos'!$Y$1:$Z$12;2;FALSO);"0")</t>
      </text>
    </comment>
  </commentList>
</comments>
</file>

<file path=xl/sharedStrings.xml><?xml version="1.0" encoding="utf-8"?>
<sst xmlns="http://schemas.openxmlformats.org/spreadsheetml/2006/main" count="21485" uniqueCount="2419">
  <si>
    <t>ID</t>
  </si>
  <si>
    <t>ANO</t>
  </si>
  <si>
    <t>MÊS</t>
  </si>
  <si>
    <t>MATRICULA</t>
  </si>
  <si>
    <t>COLABORADOR</t>
  </si>
  <si>
    <t>OPERACIONAL</t>
  </si>
  <si>
    <t>TELEFÔNICA</t>
  </si>
  <si>
    <t>DESEMPENHO</t>
  </si>
  <si>
    <t>STATUS</t>
  </si>
  <si>
    <t>TURNO / OPERAÇÃO</t>
  </si>
  <si>
    <t>SUPERVISOR</t>
  </si>
  <si>
    <t>SETOR</t>
  </si>
  <si>
    <t>A1</t>
  </si>
  <si>
    <t>A2</t>
  </si>
  <si>
    <t>A3</t>
  </si>
  <si>
    <t>A4</t>
  </si>
  <si>
    <t>A5</t>
  </si>
  <si>
    <t>A6</t>
  </si>
  <si>
    <t>FEV</t>
  </si>
  <si>
    <t>ATIVO</t>
  </si>
  <si>
    <t>CENTRAL - AZUL</t>
  </si>
  <si>
    <t>Adaelcio Sampaio</t>
  </si>
  <si>
    <t>TRILHA (TRAN.)</t>
  </si>
  <si>
    <t>DISTRIBUIÇÃO</t>
  </si>
  <si>
    <t>Aline Nascimento</t>
  </si>
  <si>
    <t>TRILHA (DIST.)</t>
  </si>
  <si>
    <t>FÊNIX</t>
  </si>
  <si>
    <t>Bruno Assis</t>
  </si>
  <si>
    <t>CENTRAL - AMARELA</t>
  </si>
  <si>
    <t>Gustavo Miralha</t>
  </si>
  <si>
    <t>CENTRAL - VERDE</t>
  </si>
  <si>
    <t>Kayque Amadeu</t>
  </si>
  <si>
    <t>x</t>
  </si>
  <si>
    <t>Dados da Auditoria</t>
  </si>
  <si>
    <t>Fatores Auditados</t>
  </si>
  <si>
    <t>CÓDIGO</t>
  </si>
  <si>
    <t>HORA DA AUDITORIA</t>
  </si>
  <si>
    <t>Out</t>
  </si>
  <si>
    <t>MATRÍCULA</t>
  </si>
  <si>
    <t>NOME DA MATRÍCULA</t>
  </si>
  <si>
    <t>Nº AUDITORIA</t>
  </si>
  <si>
    <t/>
  </si>
  <si>
    <t>ALERTA</t>
  </si>
  <si>
    <t>TIPO DE AUDITORIA</t>
  </si>
  <si>
    <t xml:space="preserve">SETOR </t>
  </si>
  <si>
    <t>DURAÇÃO DA LIGAÇÃO</t>
  </si>
  <si>
    <t>MODALIDADE</t>
  </si>
  <si>
    <t>PADRÃO</t>
  </si>
  <si>
    <t xml:space="preserve"> </t>
  </si>
  <si>
    <t>]</t>
  </si>
  <si>
    <t>Hora Atual</t>
  </si>
  <si>
    <t>Mês Ref.</t>
  </si>
  <si>
    <t>Matricula do Operador</t>
  </si>
  <si>
    <t>Nome do Operador</t>
  </si>
  <si>
    <t>Auditoria</t>
  </si>
  <si>
    <t>Ocorrência</t>
  </si>
  <si>
    <t>Motivo Desafio</t>
  </si>
  <si>
    <t>Setor</t>
  </si>
  <si>
    <t>AE/Placa</t>
  </si>
  <si>
    <t>DadosdaGravação</t>
  </si>
  <si>
    <t>Observação</t>
  </si>
  <si>
    <t>Relato da Ligação</t>
  </si>
  <si>
    <t>Modalidade da Auditoria</t>
  </si>
  <si>
    <t>super</t>
  </si>
  <si>
    <t>turno</t>
  </si>
  <si>
    <t>FIXO-1</t>
  </si>
  <si>
    <t>FIXO-2</t>
  </si>
  <si>
    <t>FIXO-3</t>
  </si>
  <si>
    <t>FIXO-4</t>
  </si>
  <si>
    <t>FIXO-5</t>
  </si>
  <si>
    <t>FIXO-6</t>
  </si>
  <si>
    <t>Nota Crit Fixo</t>
  </si>
  <si>
    <t>Nota Final</t>
  </si>
  <si>
    <t>CALIBRAGEM 1</t>
  </si>
  <si>
    <t>Jan</t>
  </si>
  <si>
    <t xml:space="preserve">AMANDA POTEL MERINO CAMPUSANO </t>
  </si>
  <si>
    <t>ANTECEDENTES</t>
  </si>
  <si>
    <t>Receptiva Cadastro</t>
  </si>
  <si>
    <t>CADASTRO</t>
  </si>
  <si>
    <t>SIM</t>
  </si>
  <si>
    <t>IMPEDIMENTOS</t>
  </si>
  <si>
    <t>Receptiva Cadastro 2</t>
  </si>
  <si>
    <t>DANIELLE DIAS DA SILVA</t>
  </si>
  <si>
    <t>NÃO</t>
  </si>
  <si>
    <t>GABRIELA VANDERLINDE DA SILVA</t>
  </si>
  <si>
    <t>GABRIELA BARBOSA DE SOUZA MACHADO</t>
  </si>
  <si>
    <t>HENRIQUE ESTIMA FACIOLI</t>
  </si>
  <si>
    <t>JAILA CARLA DE SOUSA MONTEIRO</t>
  </si>
  <si>
    <t>JOANA SENA DA SILVA</t>
  </si>
  <si>
    <t>LARISSA DOS SANTOS SILVA</t>
  </si>
  <si>
    <t>MAIARA APARECIDA GIESEL JELONCHECK</t>
  </si>
  <si>
    <t>TATIANA DOS PASSOS MARCOLINO</t>
  </si>
  <si>
    <t>VICTOR HUGO DE SOUZA</t>
  </si>
  <si>
    <t>SIOMARA DA SILVA</t>
  </si>
  <si>
    <t>KAMILA SILVA DE OLIVEIRA</t>
  </si>
  <si>
    <t>LARISSA CRISTINA PASQUETTI FONSECA</t>
  </si>
  <si>
    <t>MATHIAS GRUBER MARTINHUNK</t>
  </si>
  <si>
    <t>CHATBOT</t>
  </si>
  <si>
    <t>Receptiva</t>
  </si>
  <si>
    <t>RECEPTIVO</t>
  </si>
  <si>
    <t>Receptiva 2</t>
  </si>
  <si>
    <t>RHUAN MIGUEL GOULART</t>
  </si>
  <si>
    <t>THAIS SILVA CARVALHO</t>
  </si>
  <si>
    <t xml:space="preserve">ALICE DE LAVOR MATEUS </t>
  </si>
  <si>
    <t>TAIS PEREIRA </t>
  </si>
  <si>
    <t>ANDRESSA RAMBO FRANCO</t>
  </si>
  <si>
    <t>TRANSFERÊNCIA</t>
  </si>
  <si>
    <t>HELENA DE SOUZA</t>
  </si>
  <si>
    <t xml:space="preserve">IRLEIDE NASCIMENTO SANTANA </t>
  </si>
  <si>
    <t>THIAGO ALEXANDRE MACHADO</t>
  </si>
  <si>
    <t>JACIARA SIMAO LEITE</t>
  </si>
  <si>
    <t>LUCAS ESPER CARDOSO DOS SANTOS</t>
  </si>
  <si>
    <t>RAFAEL ERIC DE SOUZA</t>
  </si>
  <si>
    <t>RICHARD WILLIAN AMORIM MARQUE</t>
  </si>
  <si>
    <t>FELIPE PEREIRA SELL </t>
  </si>
  <si>
    <t>RODRIGO DA SILVA DE CASTRO </t>
  </si>
  <si>
    <t>LIANA GUESSER DOS SANTOS </t>
  </si>
  <si>
    <t>KEVTON ROCHA DA SILVA </t>
  </si>
  <si>
    <t>ANDRE LUIZ RIBEIRO</t>
  </si>
  <si>
    <t>BRENDA DOS SANTOS ALVES</t>
  </si>
  <si>
    <t>MATHEUS MARQUES LIMA</t>
  </si>
  <si>
    <t>PARADA INDEVIDA</t>
  </si>
  <si>
    <t>Motorista</t>
  </si>
  <si>
    <t>POSIÇÃO EM ATRASO</t>
  </si>
  <si>
    <t>Cliente</t>
  </si>
  <si>
    <t>Ponto de Apoio</t>
  </si>
  <si>
    <t>DESVIO DE ROTA</t>
  </si>
  <si>
    <t>NATHALY PEDROSO CARLOS</t>
  </si>
  <si>
    <t>CAROLINE VIEIRA GARCIA</t>
  </si>
  <si>
    <t>CLAUDIO JOÃO DE JESUS FILHO</t>
  </si>
  <si>
    <t>ANA LUIZA MAFRA</t>
  </si>
  <si>
    <t>UTI</t>
  </si>
  <si>
    <t>RENDESON BEZERRA FERREIRA</t>
  </si>
  <si>
    <t>VINICIUS ALEXANDRE BARBOSA</t>
  </si>
  <si>
    <t>LUIZ GUILHERME BAPTISTA</t>
  </si>
  <si>
    <t>RAILLANE DE ALBUQUERQUE DE SOUZA</t>
  </si>
  <si>
    <t>TIFFANY DA MOTA PINHEIRO </t>
  </si>
  <si>
    <t>MATEUS ALVES ROSA </t>
  </si>
  <si>
    <t>MARCELA DUARTE </t>
  </si>
  <si>
    <t>MAYARA DOS SANTOS MATOS</t>
  </si>
  <si>
    <t>ERICK BRANA RAMOS</t>
  </si>
  <si>
    <t>OSANA SILVA DE OLIVEIRA</t>
  </si>
  <si>
    <t>RAUL PEDRO DURAN LIZ</t>
  </si>
  <si>
    <t>MIRIAN EDUARDA VEBER DANELLI SIEDSCHLAG</t>
  </si>
  <si>
    <t>ANA FLAVIA NASCIMENTO DOS SANTOS</t>
  </si>
  <si>
    <t>REBECA CARMO DE MOURA</t>
  </si>
  <si>
    <t>Policia</t>
  </si>
  <si>
    <t>ALERTAS PRIORITÁRIOS</t>
  </si>
  <si>
    <t>YASMIN YANDRA GARROS SANTOS</t>
  </si>
  <si>
    <t>RODRIGO KANIA CUNHA</t>
  </si>
  <si>
    <t>ISMAEL ROMULO AZEVEDO GOMES</t>
  </si>
  <si>
    <t>GABRIEL RIBEIRO GUILHERME</t>
  </si>
  <si>
    <t>CLAUDIO JULIO DUTRA VILL</t>
  </si>
  <si>
    <t>LUCAS FELIPE AFONSO</t>
  </si>
  <si>
    <t>MIKAEL ROBERTO PASTUCH</t>
  </si>
  <si>
    <t>VITOR GUILHERME MACHADO</t>
  </si>
  <si>
    <t>RHADMILA ROBERTA SIQUEIRA</t>
  </si>
  <si>
    <t>RICARDO AUGUSTO DE PINHO</t>
  </si>
  <si>
    <t>DANDARA FERREIRA DOS SANTOS </t>
  </si>
  <si>
    <t>FATIMA DE JESUS GUTIERREZ </t>
  </si>
  <si>
    <t>EVELYN PEREIRA RAMOS</t>
  </si>
  <si>
    <t>MATHEUS EDUARDO DA SILVA</t>
  </si>
  <si>
    <t>LUIS GUSTAVO GRAVIESKI </t>
  </si>
  <si>
    <t>JESSICA SANTOS</t>
  </si>
  <si>
    <t>VICTOR MARTINS BITENCOURT</t>
  </si>
  <si>
    <t>GABRIEL DOS PASSOS RIBEIRO</t>
  </si>
  <si>
    <t>ANELISE NUNES</t>
  </si>
  <si>
    <t>GABRIEL FERREIRA LIMA</t>
  </si>
  <si>
    <t>ALISON PALHANO DE MORAIS</t>
  </si>
  <si>
    <t>ANDRIELE ALVES DA SILVA</t>
  </si>
  <si>
    <t>FRANCIELI DA LUZ</t>
  </si>
  <si>
    <t>LUANA DE SOUZA ARANHA</t>
  </si>
  <si>
    <t>LEONARDO PEREIRA DE JESUS</t>
  </si>
  <si>
    <t>OSMEL JOSE NAIM MARQUINA RUIZ</t>
  </si>
  <si>
    <t>MARIA FERNANDA DOS SANTOS</t>
  </si>
  <si>
    <t>JOÃO VITOR MATOS DE SOUZA</t>
  </si>
  <si>
    <t>AMANDA MOREIRA DOS SANTOS</t>
  </si>
  <si>
    <t>FABIULA DE ESPINDOLA</t>
  </si>
  <si>
    <t>KELLYN GONÇALVES MOREIRA </t>
  </si>
  <si>
    <t>RUAN SCHMAUCH</t>
  </si>
  <si>
    <t>GEOVANA MEURER DOS SANTOS</t>
  </si>
  <si>
    <t>MARIA EDUARDA PEREIRA BUENO</t>
  </si>
  <si>
    <t>ADILSON MATHEUS RIBEIRO CONTIDIO DE SOUZA</t>
  </si>
  <si>
    <t>ATUAÇÃO TRATATIVA</t>
  </si>
  <si>
    <t>LOGÍSTICA</t>
  </si>
  <si>
    <t>Cliente 2</t>
  </si>
  <si>
    <t>AMANDA MORAIS DA SILVA</t>
  </si>
  <si>
    <t>LOSS TREE</t>
  </si>
  <si>
    <t>BEATRIZ VIEIRA LOPES</t>
  </si>
  <si>
    <t>ELAINE FRANÇA DE SANTANA</t>
  </si>
  <si>
    <t>FERNANDA GOMES FRANCO</t>
  </si>
  <si>
    <t>GABRIELLA SOUZA DE ALMEIDA</t>
  </si>
  <si>
    <t xml:space="preserve">
JOHN MANUEL SALAZAR ORTEGA</t>
  </si>
  <si>
    <t>JULIANA DA ROSA DIAS</t>
  </si>
  <si>
    <t>KAIANA MAISA FERNANDES</t>
  </si>
  <si>
    <t>DEVOLUÇÃO</t>
  </si>
  <si>
    <t>PETERSON LUIS BONFORT</t>
  </si>
  <si>
    <t>VINICIUS GABRIEL MOLVERSDET RICH</t>
  </si>
  <si>
    <t>BEATRIZ BEZZERA</t>
  </si>
  <si>
    <t>ABERTURA DE CHAMADO</t>
  </si>
  <si>
    <t>ATIVAÇÃO DE AE</t>
  </si>
  <si>
    <t>DANILO AMARO ALVES</t>
  </si>
  <si>
    <t>ESTADIA</t>
  </si>
  <si>
    <t>ATRASO DE ENTREGA</t>
  </si>
  <si>
    <t>Motorista 2</t>
  </si>
  <si>
    <t>DAVID JOÃO CARDOSO</t>
  </si>
  <si>
    <t>CONT. DE TEMPERATURA</t>
  </si>
  <si>
    <t>GUÍZELA BRUNA MORAIS</t>
  </si>
  <si>
    <t>KAYLANY BEATRIZ DE SOUSA RIBEIRO</t>
  </si>
  <si>
    <t>LETICIA GABRIELE VIANA BORGES</t>
  </si>
  <si>
    <t>NICOLLE ROSELI MENEL</t>
  </si>
  <si>
    <t>RAFFAELLA BARROZO DA SILVA</t>
  </si>
  <si>
    <t>MATEUS OSMAR DE BITENCOURT</t>
  </si>
  <si>
    <t>CARLOS EDUARDO LANSER</t>
  </si>
  <si>
    <t>GABRIEL CACHOEIRA MORAES</t>
  </si>
  <si>
    <t>WESLEY FERNANDES DA FONSECA</t>
  </si>
  <si>
    <t>JESSICA VIANA</t>
  </si>
  <si>
    <t>LUAN VANDRESEN</t>
  </si>
  <si>
    <t>JOÃO TORRES JÚNIOR</t>
  </si>
  <si>
    <t>INÍCIO DE VIAGEM DEEP</t>
  </si>
  <si>
    <t>THIAGO DOS SANTOS SILVA</t>
  </si>
  <si>
    <t>RICHARD SEDREZ BRAUN</t>
  </si>
  <si>
    <t>FILLIPE LIBERATO MARCELINO</t>
  </si>
  <si>
    <t>SAULO BENTO</t>
  </si>
  <si>
    <t>GUILHERME AUGUSTO KUERTEN</t>
  </si>
  <si>
    <t>ANTONY ALVES BANDEIRA</t>
  </si>
  <si>
    <t>JANAINA DA VEIGA COUTINHO</t>
  </si>
  <si>
    <t>AMANDA CAROLINA GONÇALVES</t>
  </si>
  <si>
    <t>MARCELO CAIQUE CAMPOS MEDEIRO</t>
  </si>
  <si>
    <t>RENAN HEGGDORNE</t>
  </si>
  <si>
    <t>MATHEUS LEVI TOMIO</t>
  </si>
  <si>
    <t>FRANCIELE KULKAMP</t>
  </si>
  <si>
    <t>GUSTAVO HENRIQUE MAES</t>
  </si>
  <si>
    <t>YURI NOVAK SILVEIRA</t>
  </si>
  <si>
    <t>MARIA EDUARDA LOPES NICOLINO</t>
  </si>
  <si>
    <t>LUCAS GUSTAVO AGRA</t>
  </si>
  <si>
    <t>MATEUS DA SILVA BARCELO</t>
  </si>
  <si>
    <t xml:space="preserve">GIOVANA VITORIA CAETANO </t>
  </si>
  <si>
    <t>KAROLYNE DOS SANTOS</t>
  </si>
  <si>
    <t>EMILY COSTA DE FRANÇA DOS PASSOS</t>
  </si>
  <si>
    <t>SHIRLEI APARECIDA MEDEIROS</t>
  </si>
  <si>
    <t>ALESSANDRA MELDOLA ALVES</t>
  </si>
  <si>
    <t>LETHICIA GABRIELA FREITAS</t>
  </si>
  <si>
    <t>ISABELLE CARDOSO SCHIER</t>
  </si>
  <si>
    <t xml:space="preserve">MYRELLA NICOLAU DA SILVA </t>
  </si>
  <si>
    <t>LETICIA GONÇALVES</t>
  </si>
  <si>
    <t>AMANDA TORRENS</t>
  </si>
  <si>
    <t>NATHALYE CHRYSTINE BARBOSA DA COSTA</t>
  </si>
  <si>
    <t xml:space="preserve">JACKELINE MUNIZ DA SILVA </t>
  </si>
  <si>
    <t>QUEREN H. MARQUES</t>
  </si>
  <si>
    <t>PHAMELA DE OLIVEIRA VELOZO</t>
  </si>
  <si>
    <t>LUCAS VENTURA SUHR</t>
  </si>
  <si>
    <t>TAYNARA DE OLIVEIRA SERRÃO</t>
  </si>
  <si>
    <t>MATHEUS VENTURA SUHR</t>
  </si>
  <si>
    <t>NIVIA VITORIA DOS SANTOS SILVA</t>
  </si>
  <si>
    <t>RENATA SILVA DE SANTANA COSTA</t>
  </si>
  <si>
    <t>ISAQUE SOUZA CORREA DE BRITO</t>
  </si>
  <si>
    <t>FABIANA MORAES DE SOUZA</t>
  </si>
  <si>
    <t>JAQUELINE FRAZÃO DE SOUZA</t>
  </si>
  <si>
    <t>PEDRO HENRIQUE DOS SANTOS MORAES</t>
  </si>
  <si>
    <t>RENAN MODRO DE LIMA</t>
  </si>
  <si>
    <t>KAMILI VITORIA CUBAS</t>
  </si>
  <si>
    <t xml:space="preserve">BRUNO DA SILVA </t>
  </si>
  <si>
    <t>EVELLYN DA SILVA</t>
  </si>
  <si>
    <t>ISABELA SILVA SANTOS</t>
  </si>
  <si>
    <t>FABRICIO DE ANDRADE BARBOSA</t>
  </si>
  <si>
    <t>ALISSON LUIZ DE FREITAS</t>
  </si>
  <si>
    <t>BRUNO GABRIEL SILVEIRA</t>
  </si>
  <si>
    <t>FELIPE ROCHA MAZOTTO</t>
  </si>
  <si>
    <t>GABRYELLE MARCILIO SOARES</t>
  </si>
  <si>
    <t>JHONATAN DROZDEK PEREIRA</t>
  </si>
  <si>
    <t>POLYANA VIDAL DIAS</t>
  </si>
  <si>
    <t>LUCAS EDUARDO DA GRAÇA</t>
  </si>
  <si>
    <t>DAIANE STTFFEN HEILER</t>
  </si>
  <si>
    <t>LUCIANE DO ROCIO SANTOS DA SILVA</t>
  </si>
  <si>
    <t>FABIO LUIZ WILCKE TAMAZIA</t>
  </si>
  <si>
    <t>MARILIA DALAGNOL CIDRAL</t>
  </si>
  <si>
    <t>FLÁVIO JIUSTI DE OLIVEIRA</t>
  </si>
  <si>
    <t>UTI (RJ)</t>
  </si>
  <si>
    <t>VANESSA PATERNO</t>
  </si>
  <si>
    <t>FELIPE SOARES ENGEL</t>
  </si>
  <si>
    <t xml:space="preserve">JESSE DA VEIGA NIMER </t>
  </si>
  <si>
    <t>ANA CAROLINE ALVES DOS SANTOS</t>
  </si>
  <si>
    <t>ANA PAULA DA SILVA</t>
  </si>
  <si>
    <t>JACKSON NOVAK</t>
  </si>
  <si>
    <t xml:space="preserve">LUCAS ANTUNES MOREIRA </t>
  </si>
  <si>
    <t>LETICIA MAXIMIANO</t>
  </si>
  <si>
    <t>KHAMYLE CHRYSTINA BARBOSA DA COSTA</t>
  </si>
  <si>
    <t>ANA PRISCILA DOS SANTOS QUEIROZ</t>
  </si>
  <si>
    <t>ALEXSANDER LAMARTINE DA SILVA</t>
  </si>
  <si>
    <t>JENIFER FARIAS</t>
  </si>
  <si>
    <t>LUISA CUNHA KAISER MARTINS</t>
  </si>
  <si>
    <t>ANA CARINA MARCONDES</t>
  </si>
  <si>
    <t>DAIANE FONTANA</t>
  </si>
  <si>
    <t>ELITON BRUNO FARIAS DA SILVA</t>
  </si>
  <si>
    <t>HIGOR AMORIM</t>
  </si>
  <si>
    <t>LARISSA DE OLIVEIRA SILVA</t>
  </si>
  <si>
    <t>LUANA BEATRIZ FAUSTINO</t>
  </si>
  <si>
    <t>MILENY RODRIGUES</t>
  </si>
  <si>
    <t>RODRIGO LEMOS</t>
  </si>
  <si>
    <t>THAYSSA DE ALMEIDA KICH</t>
  </si>
  <si>
    <t>MARIA EDUARDA PACHECO</t>
  </si>
  <si>
    <t>ROUBO</t>
  </si>
  <si>
    <t>BAS</t>
  </si>
  <si>
    <t>Policia 2</t>
  </si>
  <si>
    <t>RITHIELE FEUSER VIEIRA</t>
  </si>
  <si>
    <t>CARINA UHLMANN</t>
  </si>
  <si>
    <t xml:space="preserve">LUANA CRISTINA CRISTO </t>
  </si>
  <si>
    <t>NÃO ENCONTRADA</t>
  </si>
  <si>
    <t>SCARLETH JESSY DE MELO</t>
  </si>
  <si>
    <t>ALAN ROBSON NORONHA</t>
  </si>
  <si>
    <t>RAFAEL JOENCK</t>
  </si>
  <si>
    <t>RAFAEL SOARES LISBOA</t>
  </si>
  <si>
    <t>EDUARDO DE FREITAS MELO</t>
  </si>
  <si>
    <t>JOÃO GABRIEL DA COSTA CORRÊA</t>
  </si>
  <si>
    <t>JOANA D'ARC GONÇALVEZ DO NASCIMENTO SILVA</t>
  </si>
  <si>
    <t>MATEUS VIEIRA SIMÕES</t>
  </si>
  <si>
    <t>KEWWEN ANTONIO SILVA DE LIMA</t>
  </si>
  <si>
    <t>DEBORA ALVES BOLINO AMORIM</t>
  </si>
  <si>
    <t xml:space="preserve">JOÃO VITOR MATTANO DE ALMEIDA </t>
  </si>
  <si>
    <t>LARISSA DE SOUZA SAQUETTO</t>
  </si>
  <si>
    <t>MARIA ALESSANDRA</t>
  </si>
  <si>
    <t xml:space="preserve">SAMUEL HENRIQUE DO PRADO </t>
  </si>
  <si>
    <t>JULIO CESAR MINELLA SORRECHIO</t>
  </si>
  <si>
    <t>GESSICA DE LIMA TEIXEIRA</t>
  </si>
  <si>
    <t>JOÃO VITOR DE SOUZA TEIXEIRA</t>
  </si>
  <si>
    <t>LIDIANE CRISTINA SCROBOTE</t>
  </si>
  <si>
    <t>LUAN HENRIQUE FERREIRA MULLE</t>
  </si>
  <si>
    <t>RAFAEL RODRIGO DE ANDRADE CABRAL</t>
  </si>
  <si>
    <t>JOAO LUCAS RIGOLIN VILASBOAS</t>
  </si>
  <si>
    <t>JOICE CRISTINA MASSANEIRO</t>
  </si>
  <si>
    <t>LUCAS MARCELINO PIMENTA</t>
  </si>
  <si>
    <t>BRUNA LETICIA DOS SANTOS CAMARGO</t>
  </si>
  <si>
    <t>PATRICIA FONSECA DEZONE</t>
  </si>
  <si>
    <t>VITOR AUGUSTO FACENDA PIANA</t>
  </si>
  <si>
    <t>KALEB PIMENTEL RODRIGUES</t>
  </si>
  <si>
    <t>MARIA EDUARDA DA SILVA</t>
  </si>
  <si>
    <t>TANARA VIGENTIN</t>
  </si>
  <si>
    <t>Fev</t>
  </si>
  <si>
    <t>PAMELA SUELLEN RODRIGUES</t>
  </si>
  <si>
    <t>HELEN SOUZA REIS</t>
  </si>
  <si>
    <t>TAINA CRISTINA LAURINDO</t>
  </si>
  <si>
    <t xml:space="preserve">ANDERSON MATHEUS MARINS </t>
  </si>
  <si>
    <t>MATEUS DE ALMEIDA GAIA </t>
  </si>
  <si>
    <t>ANGELA DO CARMOS COSTA</t>
  </si>
  <si>
    <t>MATHEUS BUENO DA SILVA FLORENCIO</t>
  </si>
  <si>
    <t>GUILHERME SCREMIN PAIXÃO</t>
  </si>
  <si>
    <t xml:space="preserve">YURI NOVAK SILVEIRA </t>
  </si>
  <si>
    <t>LEONARDO GABRIEL HALTER DOS SANTOS</t>
  </si>
  <si>
    <t>JADER PEREIRA TRICHES</t>
  </si>
  <si>
    <t>ISABELLY DAFINNY MOZAMBITE DE ARAUJO </t>
  </si>
  <si>
    <t>DARYANE VITORIA BONFORT SILVA</t>
  </si>
  <si>
    <t>DISTRIBUIÇÃO </t>
  </si>
  <si>
    <t>CD/Transportadora</t>
  </si>
  <si>
    <t>JEISA DOS SANTOS COSTA</t>
  </si>
  <si>
    <t>KALLYL DE SOUZA SEBASTIÃO</t>
  </si>
  <si>
    <t>JOÃO VITOR DA SILVA GOMES</t>
  </si>
  <si>
    <t>JOSIAS SANTOS BRASIL</t>
  </si>
  <si>
    <t>MARINA ALINE GUMBIESKI</t>
  </si>
  <si>
    <t>DANIELE DOS SANTOS MUNHOZ</t>
  </si>
  <si>
    <t>MARIA LUISA PEREIRA BELLO DA SILVA</t>
  </si>
  <si>
    <t>JULIANA DE PAULA</t>
  </si>
  <si>
    <t>ANA CLAUDIA MASCARELLO GONÇALVES</t>
  </si>
  <si>
    <t>JHANIELLY RIMAR DE OLIVEIRA</t>
  </si>
  <si>
    <t xml:space="preserve">SHEILA CRISTINA DE ARAUJO </t>
  </si>
  <si>
    <t>MAYARA LUIZA DA SILVA</t>
  </si>
  <si>
    <t>LUCAS EDUARDO BRUSKI STEINER</t>
  </si>
  <si>
    <t>ANA CAROLINA DA SILVA TEIXEIRA</t>
  </si>
  <si>
    <t>KELLY CRISTINA ARANTES AJAIME</t>
  </si>
  <si>
    <t>ARTHUR GABRIEL DOS SANTOS AUMONDES</t>
  </si>
  <si>
    <t>MATHEUS ALBUQUERQUE LEIAS</t>
  </si>
  <si>
    <t>LUDMILLA CORREA RAMOS</t>
  </si>
  <si>
    <t>JULIEL PAULI</t>
  </si>
  <si>
    <t>NATIARA GABRIELA DA SILVA</t>
  </si>
  <si>
    <t>Mar</t>
  </si>
  <si>
    <t>BEATRIZ LOURENÇO VIEIRA</t>
  </si>
  <si>
    <t>NAYLE GABREILLY DE MATOS AGUIAR DA SILVA</t>
  </si>
  <si>
    <t>JAQUELINE ELOISA FERNANDES</t>
  </si>
  <si>
    <t>ISRAEL DA SILVA FAGUNDES</t>
  </si>
  <si>
    <t>STEFANE MOURA SANTOS</t>
  </si>
  <si>
    <t>PATRICIA APARECIDA GUESSER</t>
  </si>
  <si>
    <t>BEATRIZ SANTOS ANUNCIAÇÃO</t>
  </si>
  <si>
    <t>ELANE SILVA DOS SANTOS</t>
  </si>
  <si>
    <t>DAYANI DIAS</t>
  </si>
  <si>
    <t>ANDRESSA THAIS MUHLMANN</t>
  </si>
  <si>
    <t>CABINETS</t>
  </si>
  <si>
    <t>ATRASO NA EMISSÃO</t>
  </si>
  <si>
    <t>MARIANA GUIMARÃES</t>
  </si>
  <si>
    <t>LUISA AMELIA VIVENES BASTARDO</t>
  </si>
  <si>
    <t xml:space="preserve">JESSICA MARTINS BIGUNAS PIRES </t>
  </si>
  <si>
    <t>ROGERIO ALVES DOS SANTOS</t>
  </si>
  <si>
    <t>Abr</t>
  </si>
  <si>
    <t>EDUARDO BRANCO CAVALHEIRO</t>
  </si>
  <si>
    <t>SAMARA SOARES LOTH</t>
  </si>
  <si>
    <t>WILLIAN MARCEL SILVEIRA</t>
  </si>
  <si>
    <t>SARA ELISE BARRETO</t>
  </si>
  <si>
    <t>JENIFER DOS SANTOS RAYMUNDO RAMOS</t>
  </si>
  <si>
    <t>CONFIRMAÇÃO DE ENTREGA - FUSION</t>
  </si>
  <si>
    <t>DEVOLUÇÃO - FUSION</t>
  </si>
  <si>
    <t>Mai</t>
  </si>
  <si>
    <t xml:space="preserve">ADRYAN KARINE DA SILVA SOUZA IBANHES </t>
  </si>
  <si>
    <t>MATHEUS MACHADO DE LIMA</t>
  </si>
  <si>
    <t>ELISANGELA ANTUNES DO LIVRAMENTO MAIA</t>
  </si>
  <si>
    <t>Jun</t>
  </si>
  <si>
    <t>PATRICK MIRANDA NUNES</t>
  </si>
  <si>
    <t>PEDRO XAVIER BRITO</t>
  </si>
  <si>
    <t>DESLIGAMENTO (TEMPERATURA)</t>
  </si>
  <si>
    <t>JÉSSICA OLIVEIRA CAPISTRANO</t>
  </si>
  <si>
    <t>JESSIKA RIBEIRO ARRUDA DE SOUSA</t>
  </si>
  <si>
    <t>ANA JULIA NUNES</t>
  </si>
  <si>
    <t xml:space="preserve">EVELYN PANTOJA FERREIRA </t>
  </si>
  <si>
    <t>ENTREGA FORA DO LOCAL - FUSION</t>
  </si>
  <si>
    <t>Jul</t>
  </si>
  <si>
    <t>EDIVANIA CARDOSO</t>
  </si>
  <si>
    <t>DOUGLAS PRIM</t>
  </si>
  <si>
    <t>KETLELIN DOS SANTOS DE OLIVEIRA</t>
  </si>
  <si>
    <t>DEIVD FRANÇA</t>
  </si>
  <si>
    <t>LAIS ANTENOR DE OLVEIRA</t>
  </si>
  <si>
    <t>MONICA BRUNELE DA SILVA NASCIMENTO</t>
  </si>
  <si>
    <t>SOLANGE MIRANDA DE ARAÚJO</t>
  </si>
  <si>
    <t>THIAGO WALLACE LUBKE</t>
  </si>
  <si>
    <t>JULIANA MARIA DA SILVA</t>
  </si>
  <si>
    <t>THIAGO RAFAEL MOZAMBITE DE ARAUJO</t>
  </si>
  <si>
    <t>LEONARDO FELIPE KANIA</t>
  </si>
  <si>
    <t xml:space="preserve">FERNANDA BATISTA SOMBRIO </t>
  </si>
  <si>
    <t>DOUGLAS RAFAEL GOMES</t>
  </si>
  <si>
    <t>HELEN MARIANA FRANÇA SILVA</t>
  </si>
  <si>
    <t>LUANA CRISTINI OLIVEIRA DE SOUZA</t>
  </si>
  <si>
    <t>VITOR TANI RIUZIM</t>
  </si>
  <si>
    <t>WENDELL DA SILVA PAIXÃO</t>
  </si>
  <si>
    <t>Ago</t>
  </si>
  <si>
    <t>KIMBERLY SILVA LIMA</t>
  </si>
  <si>
    <t>ANDRESA KALINE DIAS GUIMARÃES</t>
  </si>
  <si>
    <t>ELEANOR SASSE</t>
  </si>
  <si>
    <t>RAFAEL DA SILVA FARIA</t>
  </si>
  <si>
    <t>STHEFANY DE ASSIS PEREIRA</t>
  </si>
  <si>
    <t>DANIEL EDUARDO MONTEIRO LOPES</t>
  </si>
  <si>
    <t>ANGEL CRISTINA DE FREITAS SCHMIDT</t>
  </si>
  <si>
    <t>GABRIEL WULFF MESADRI</t>
  </si>
  <si>
    <t>TALITA PEREIRA DA ROCHA</t>
  </si>
  <si>
    <t>LETICIA CAMARGO DE MIRANDA</t>
  </si>
  <si>
    <t>ERICA JUCKS DA ROCHA</t>
  </si>
  <si>
    <t>GABRIELLI KUNKEL DE ANDRADE</t>
  </si>
  <si>
    <t>YGOR TAVEIRA DOS SANTOS</t>
  </si>
  <si>
    <t>HELLEN DE FRANÇA</t>
  </si>
  <si>
    <t>Set</t>
  </si>
  <si>
    <t>LETICIA RAMOS</t>
  </si>
  <si>
    <t>ANA CAROLINA DA COSTA</t>
  </si>
  <si>
    <t>ISABELA TELES MEDEIROS</t>
  </si>
  <si>
    <t>NICOLE DA MAIA PAPINI</t>
  </si>
  <si>
    <t>LILIAN GLENDA RAMOS DA SILVA</t>
  </si>
  <si>
    <t>HAZAEL LANARO</t>
  </si>
  <si>
    <t>RENAN GÓES CHAGAS</t>
  </si>
  <si>
    <t>JONATAS FLOR DA SILVA</t>
  </si>
  <si>
    <t>TALIA MARIA DE SOUZA</t>
  </si>
  <si>
    <t>JOSIMARI CORREA DA SILVA</t>
  </si>
  <si>
    <t>CARLOS AUGUSTO PROBSKY</t>
  </si>
  <si>
    <t>RAFAELA EMMENDORFER BERTOLD</t>
  </si>
  <si>
    <t>MAT.</t>
  </si>
  <si>
    <t>COLABORADORES</t>
  </si>
  <si>
    <t>EQUIPE</t>
  </si>
  <si>
    <t>SUPER</t>
  </si>
  <si>
    <t>ADMISSÃO</t>
  </si>
  <si>
    <t>SEXO</t>
  </si>
  <si>
    <t>SITUAÇÃO</t>
  </si>
  <si>
    <t>ALERTAS AUDITADOS</t>
  </si>
  <si>
    <t>MOTIVO DESAFIO</t>
  </si>
  <si>
    <t>Ano</t>
  </si>
  <si>
    <t>AVALIADOR</t>
  </si>
  <si>
    <t>OPÇÕES AUDITORIA</t>
  </si>
  <si>
    <t>MARCAÇÃO INCORRETA</t>
  </si>
  <si>
    <t>Critério</t>
  </si>
  <si>
    <t>Peso</t>
  </si>
  <si>
    <t>Tipo Ligação</t>
  </si>
  <si>
    <t>M</t>
  </si>
  <si>
    <t>LUCAS GUSTAVO IZAUDO</t>
  </si>
  <si>
    <t>MASCULINO</t>
  </si>
  <si>
    <t>DEMITIDO</t>
  </si>
  <si>
    <t>X</t>
  </si>
  <si>
    <t>Fixo</t>
  </si>
  <si>
    <t>ALINE</t>
  </si>
  <si>
    <t>N</t>
  </si>
  <si>
    <t>MISIANI PACHECO DA ROSA</t>
  </si>
  <si>
    <t>ALIANÇA</t>
  </si>
  <si>
    <t>JULIANO</t>
  </si>
  <si>
    <t>FEMININO</t>
  </si>
  <si>
    <t>Chave</t>
  </si>
  <si>
    <t>O</t>
  </si>
  <si>
    <t>COLABORATIVA</t>
  </si>
  <si>
    <t>ARTHUR RAMON UBER</t>
  </si>
  <si>
    <t>BAS - VERDE</t>
  </si>
  <si>
    <t>LUCAS</t>
  </si>
  <si>
    <t>GENIFFER</t>
  </si>
  <si>
    <t>P</t>
  </si>
  <si>
    <t>CALIBRAGEM</t>
  </si>
  <si>
    <t>UTI - AMARELA</t>
  </si>
  <si>
    <t>HANS</t>
  </si>
  <si>
    <t>VERIFICAR</t>
  </si>
  <si>
    <t>GISLAINE</t>
  </si>
  <si>
    <t>Q</t>
  </si>
  <si>
    <t>MONITORIA</t>
  </si>
  <si>
    <t>VALDEIR JONAS P. ANDRADE</t>
  </si>
  <si>
    <t>BAS - CINZA</t>
  </si>
  <si>
    <t>ADILSON</t>
  </si>
  <si>
    <t>HERVERT</t>
  </si>
  <si>
    <t>R</t>
  </si>
  <si>
    <t>AMANDA PEREIRA</t>
  </si>
  <si>
    <t>BAS - AMARELA</t>
  </si>
  <si>
    <t>Ponto de Apoio 2</t>
  </si>
  <si>
    <t>DANIELA</t>
  </si>
  <si>
    <t>T</t>
  </si>
  <si>
    <t>ANDERSON OTÁVIO ZEMIANI</t>
  </si>
  <si>
    <t>UTI - CINZA</t>
  </si>
  <si>
    <t xml:space="preserve">Policia 2 </t>
  </si>
  <si>
    <t>VANESSA</t>
  </si>
  <si>
    <t>U</t>
  </si>
  <si>
    <t>RODRIGO FURTADO FALCHETTO</t>
  </si>
  <si>
    <t>W</t>
  </si>
  <si>
    <t xml:space="preserve">LUCIAN ROBERTO AMARAL </t>
  </si>
  <si>
    <t>JANAINA CARDOZO CORREIA</t>
  </si>
  <si>
    <t>UTI - AZUL</t>
  </si>
  <si>
    <t>Relatos</t>
  </si>
  <si>
    <t>PRISCILA REGINA MAIA</t>
  </si>
  <si>
    <t>RJ - CINZA</t>
  </si>
  <si>
    <t>Nov</t>
  </si>
  <si>
    <t>Colaborativa</t>
  </si>
  <si>
    <t>THIAGO BACK</t>
  </si>
  <si>
    <t>Dez</t>
  </si>
  <si>
    <t>WELINGTON VOLNEY G</t>
  </si>
  <si>
    <t>ANDREY LUIZ ROSA</t>
  </si>
  <si>
    <t>CD/Transportadora 2</t>
  </si>
  <si>
    <t>PETERSON W FERREIRA</t>
  </si>
  <si>
    <t>TESTE</t>
  </si>
  <si>
    <t>BEATRIZ FARIAS</t>
  </si>
  <si>
    <t>GUILHERME CRISTOFOLINI</t>
  </si>
  <si>
    <t>BAS - AZUL</t>
  </si>
  <si>
    <t>IZADORA GEOVANA DA SILVA</t>
  </si>
  <si>
    <t>UTI - VERDE</t>
  </si>
  <si>
    <t>CONFIRMAR VALORIZAÇÃO</t>
  </si>
  <si>
    <t>ANDRELISE DA SILVA CASAGRANDE</t>
  </si>
  <si>
    <t>COBRANÇA DE OS</t>
  </si>
  <si>
    <t>DAYANE NOGUEIRA</t>
  </si>
  <si>
    <t>FRANCINE GOUVEIA</t>
  </si>
  <si>
    <t>EXCESSO DE VELOCIDADE</t>
  </si>
  <si>
    <t>FABIANE MICHELLE CORRÊA</t>
  </si>
  <si>
    <t>FRANCIELLE GUIMARÃES</t>
  </si>
  <si>
    <t>DANIELLA BARBOSA DE SOUZA</t>
  </si>
  <si>
    <t>LOGIN</t>
  </si>
  <si>
    <t>JOSIANE CECCON</t>
  </si>
  <si>
    <t>DOUGLAS DE AGUIAR</t>
  </si>
  <si>
    <t>AMANDA DE LIMA</t>
  </si>
  <si>
    <t>RECOLHA 60D</t>
  </si>
  <si>
    <t>CLEDEMILSON DA SILVA</t>
  </si>
  <si>
    <t>JULIANA QUINTINO</t>
  </si>
  <si>
    <t>VANESSA ZEMIANI</t>
  </si>
  <si>
    <t>JEISIANE COUTINHO</t>
  </si>
  <si>
    <t>DIST - CINZA</t>
  </si>
  <si>
    <t>EDINEIA</t>
  </si>
  <si>
    <t>BRUNA BATISTA CORREA</t>
  </si>
  <si>
    <t>DIST - AZUL</t>
  </si>
  <si>
    <t>TAMARA DE MORAES</t>
  </si>
  <si>
    <t>THIAGO FERMIANO DE ASSIS DA SILVA</t>
  </si>
  <si>
    <t>CENTRAL - CINZA</t>
  </si>
  <si>
    <t>TAYANA CRISTINA VAZ</t>
  </si>
  <si>
    <t>LUAN HERLON BONASSOLI</t>
  </si>
  <si>
    <t>LUCAS ALEGRE</t>
  </si>
  <si>
    <t>GABRIEL ROSA CERCAL</t>
  </si>
  <si>
    <t>MARCOS DE BITENCOURT</t>
  </si>
  <si>
    <t>KLEBSON JOSE DOS SANTOS</t>
  </si>
  <si>
    <t>BRUNA VIEIRA</t>
  </si>
  <si>
    <t>BRUNO LEMES HAAG</t>
  </si>
  <si>
    <t>ALINE CAMPOS DA SILVA</t>
  </si>
  <si>
    <t>TIAGO LUIS GARCIA</t>
  </si>
  <si>
    <t>VERONI</t>
  </si>
  <si>
    <t>JAQUELINE MARTA DA SILVA</t>
  </si>
  <si>
    <t>MARA MARIA ELISO FUCKNER</t>
  </si>
  <si>
    <t>RJ - VERDE</t>
  </si>
  <si>
    <t>EMILLYN ACEDINA DE ESPINDOLA</t>
  </si>
  <si>
    <t>JÉSSICA NOEMI</t>
  </si>
  <si>
    <t>RJ - AMARELA</t>
  </si>
  <si>
    <t>JULIANA DA SILVA DUTRA</t>
  </si>
  <si>
    <t>CARLISSON ALVES DA SILVA</t>
  </si>
  <si>
    <t>ANA CAROLINA ROSA</t>
  </si>
  <si>
    <t>MAICON DOUGLAS ANTUNES</t>
  </si>
  <si>
    <t>TAMYRIS DOS SANTOS OLIVEIRA</t>
  </si>
  <si>
    <t xml:space="preserve">GILIANE APARECIDA DIAS </t>
  </si>
  <si>
    <t>KATYUSSE FRANCINNE ALEXANDRE</t>
  </si>
  <si>
    <t>LUCAS RAFAEL DA SILVA</t>
  </si>
  <si>
    <t>FERNANDA DA MAIA BITTENCOURT</t>
  </si>
  <si>
    <t>PRISCILA BATISTA</t>
  </si>
  <si>
    <t>DIST - VERDE</t>
  </si>
  <si>
    <t>JHENIFER THALIA LUCHTEMBERG CARVALHO</t>
  </si>
  <si>
    <t>DAYANA JENIFFER DUARTE</t>
  </si>
  <si>
    <t>PÂMELA CRISTINA NEGHERBON</t>
  </si>
  <si>
    <t>FRANCISCO ANTONIO CUOZZO NETO</t>
  </si>
  <si>
    <t>HEMERSON LUIZ DA VEIGA JUNIOR</t>
  </si>
  <si>
    <t>THAYNÃ BEHLING DE AVIS</t>
  </si>
  <si>
    <t>LETHICIA MARTINS</t>
  </si>
  <si>
    <t>GABRIEL DOS ANJOS</t>
  </si>
  <si>
    <t>MERCOSUL LINE</t>
  </si>
  <si>
    <t>THAIS GABRIELA DA SILVA</t>
  </si>
  <si>
    <t>JBS</t>
  </si>
  <si>
    <t>DÉBORA SUELEN NOVACOSKI</t>
  </si>
  <si>
    <t>LEROY MERLIN</t>
  </si>
  <si>
    <t>CAROLAINE CRISTOFOLINI</t>
  </si>
  <si>
    <t>MIGUEL RAMOS MARTINS</t>
  </si>
  <si>
    <t>ANDRESSA PAULI PIMENTA</t>
  </si>
  <si>
    <t>ROGER JEAN SANTOS</t>
  </si>
  <si>
    <t>EXTERNO</t>
  </si>
  <si>
    <t>ROBSON</t>
  </si>
  <si>
    <t>GISLAINE ALCANTARA SANTO</t>
  </si>
  <si>
    <t>GABRIELA BENEDITO DE ALMEIDA PEREIRA</t>
  </si>
  <si>
    <t>JOAO VICTOR DE SOUZA</t>
  </si>
  <si>
    <t>LUAN IADELKA DE JESUS</t>
  </si>
  <si>
    <t>UNILEVER</t>
  </si>
  <si>
    <t>ZIRLEIDE RODRIGUES</t>
  </si>
  <si>
    <t>DENNYS</t>
  </si>
  <si>
    <t>ZIRLEIDE RODRIGUES DOS SANTOS</t>
  </si>
  <si>
    <t>ISABELA FERNANDES CAVALHEIRO</t>
  </si>
  <si>
    <t>RENATO DIONE VICENTE</t>
  </si>
  <si>
    <t>GRAYNE STEFANY LINO</t>
  </si>
  <si>
    <t>JHONNATAN AMANCIO REGIS</t>
  </si>
  <si>
    <t>MARCIA AUGUSTA CAETANO</t>
  </si>
  <si>
    <t>AMANDA DO ESPIRITO SANTO</t>
  </si>
  <si>
    <t>GABRIELY KRISTINE MARTINS</t>
  </si>
  <si>
    <t>ELAINE CRISTINA DAMACENO</t>
  </si>
  <si>
    <t>ALEXANDRE BISCAIA</t>
  </si>
  <si>
    <t>ALEXANDRE BISCAIA VEIGA</t>
  </si>
  <si>
    <t>MARCOS VINICIUS QUINTAL DA COSTA</t>
  </si>
  <si>
    <t>RAÍSSA CIPRIANO</t>
  </si>
  <si>
    <t>ANDRESSA PEREIRA DE LIMA</t>
  </si>
  <si>
    <t>LEONARDO DO SANTOS</t>
  </si>
  <si>
    <t>MICAELLA DA ROCHA OLIVEIRA</t>
  </si>
  <si>
    <t>JESSICA PAULA POLEZA</t>
  </si>
  <si>
    <t>RENATA CAROLINE DA SILVA</t>
  </si>
  <si>
    <t>CAMILA BUENO HONORATO</t>
  </si>
  <si>
    <t>MATHEUS SOUZA NUNES</t>
  </si>
  <si>
    <t>LUCAS VINICIUS OLIVEIRA BECKER</t>
  </si>
  <si>
    <t>JONATAN DE OLIVEIRA</t>
  </si>
  <si>
    <t>DIURNO</t>
  </si>
  <si>
    <t>RENAN MATHEUS MAXIMO</t>
  </si>
  <si>
    <t xml:space="preserve">JOAO PEDRO LOPES DA ROCHA </t>
  </si>
  <si>
    <t xml:space="preserve">GUILHERME DE AGUIAR BORGES </t>
  </si>
  <si>
    <t>PEDRO HENRIQUE PUHL</t>
  </si>
  <si>
    <t xml:space="preserve">LARISSA CRISTINA SILVA </t>
  </si>
  <si>
    <t xml:space="preserve">LEONARDO AMORIM </t>
  </si>
  <si>
    <t>JENNIFFER ALINE DOS SANTOS</t>
  </si>
  <si>
    <t>TAMARA EMANUELLE</t>
  </si>
  <si>
    <t>TAMARA EMANUELLE FERNANDES</t>
  </si>
  <si>
    <t>MARIA EDUARDA DO ROSÁRIO</t>
  </si>
  <si>
    <t>KATLIN SUHR DE JESUS</t>
  </si>
  <si>
    <t>MAYCON RODRIGO SCHUTA JUNIOR</t>
  </si>
  <si>
    <t>RAFAEL AUGUSTO PEREIRA NEVES</t>
  </si>
  <si>
    <t>GUSTAVO FARIA MIRALHA</t>
  </si>
  <si>
    <t>RAMON DIAS</t>
  </si>
  <si>
    <t>FAIFER PRIETO DE OLIVEIRA</t>
  </si>
  <si>
    <t xml:space="preserve">GIULIA MACHADO DE OLIVEIRA </t>
  </si>
  <si>
    <t>IVANDRO MARTINS</t>
  </si>
  <si>
    <t>MATEUS DE MATOS AMORIM</t>
  </si>
  <si>
    <t>GABRIEL KEVEN POLIDORO DE ALMEIDA</t>
  </si>
  <si>
    <t>FERNANDA KOCH</t>
  </si>
  <si>
    <t>LETICIA CRISTINA FAGUNGES</t>
  </si>
  <si>
    <t>BRUNO FABRICIO DE ASSIS</t>
  </si>
  <si>
    <t>ELIDA BEATRIZ GONÇALVES</t>
  </si>
  <si>
    <t>THAIS FERNANDA PEREIRA RIBEIRO</t>
  </si>
  <si>
    <t>ANA ESTELITA BORGES VIEIRA</t>
  </si>
  <si>
    <t>DAVI CRISTIANO DE ANDRADE</t>
  </si>
  <si>
    <t xml:space="preserve">ALINE BITENCOURT RAMOS DA SILVA </t>
  </si>
  <si>
    <t>MATHEUS RODRIGUES ROSCHER CHAVES</t>
  </si>
  <si>
    <t>GUSTAVO DE SA PEREIRA CAMACHO</t>
  </si>
  <si>
    <t>CRISTIAN EDUARDO DA LUZ</t>
  </si>
  <si>
    <t>BRUNO BONA MENDES</t>
  </si>
  <si>
    <t>AMANDA CAROLINE DOS SANTOS</t>
  </si>
  <si>
    <t>TALITA LEAL DAGOSTINI</t>
  </si>
  <si>
    <t>ADRYAN CELSO MARIA</t>
  </si>
  <si>
    <t>FRANCISCO LUCAS GOMES DA SILVA</t>
  </si>
  <si>
    <t>JOÃO VITOR CANDIDO DA ROSA</t>
  </si>
  <si>
    <t>BRUNO CLAUDIO SIMÃO DA SILVA</t>
  </si>
  <si>
    <t>EDER ALEX PRUDENCIO</t>
  </si>
  <si>
    <t>RAFAELA HEILER</t>
  </si>
  <si>
    <t>MARIO JUNIOR VARELA</t>
  </si>
  <si>
    <t>STEFANI GODGIG DA SILVA</t>
  </si>
  <si>
    <t xml:space="preserve">AMANDA GABRIELE PAULI PIMENTA </t>
  </si>
  <si>
    <t>JOÃO VITOR CAMPOS SILVEIRA</t>
  </si>
  <si>
    <t>CARLA FERNANDA FISCHER</t>
  </si>
  <si>
    <t>Geniffer</t>
  </si>
  <si>
    <t>NÁDIA CORREA GOMES MEDEIROS</t>
  </si>
  <si>
    <t>JEAN</t>
  </si>
  <si>
    <t>LUCAS ANTONINO TAGLIANETTI</t>
  </si>
  <si>
    <t>TALITA LEAL DAGOSTIN</t>
  </si>
  <si>
    <t>ANDERSON ALMEIDA SILVA</t>
  </si>
  <si>
    <t>ADAEL ADRIANO MORAES</t>
  </si>
  <si>
    <t>WASHINGTON MONNAKA NETTO</t>
  </si>
  <si>
    <t>IAGO BARBOAZA KONOPKA</t>
  </si>
  <si>
    <t>EDNA THAYNÁ PASSOS PEIRÃO</t>
  </si>
  <si>
    <t>MARIA HELENA BUENO SEQUEIRA</t>
  </si>
  <si>
    <t>DANIEL ALESSANDRO RODRIGUES CHAVES</t>
  </si>
  <si>
    <t>MATEUS SOARES</t>
  </si>
  <si>
    <t>CAROLINE CRISTINA DUDA</t>
  </si>
  <si>
    <t xml:space="preserve">GABRIEL AMARANTE RODRIGUES </t>
  </si>
  <si>
    <t>VITORIA ALEXSSANDRA MEURER DE OLIVEIRA</t>
  </si>
  <si>
    <t>MARCOS MANOEL CAMPOS DA SILVA</t>
  </si>
  <si>
    <t>EDUARDO FLORES</t>
  </si>
  <si>
    <t>LEONARDO MANOEL COPPI</t>
  </si>
  <si>
    <t>FELIPE FLORES</t>
  </si>
  <si>
    <t>JACKSON VITORIANO ALVES</t>
  </si>
  <si>
    <t>KARIN JOHANNA BARKEMEYER</t>
  </si>
  <si>
    <t>BEATRIZ DACOREGUI MEDEIROS</t>
  </si>
  <si>
    <t>ANA CAROLINE RODRIGUES GOMES</t>
  </si>
  <si>
    <t>JENNIFER CUSTÓDIO ROMÃO</t>
  </si>
  <si>
    <t>SABRINA KAROLAYNE LOPES</t>
  </si>
  <si>
    <t>CÉLULA</t>
  </si>
  <si>
    <t xml:space="preserve">JONATHAN LOURENÇO OLIVEIRA </t>
  </si>
  <si>
    <t>KAREN RAIANNY DA SILVA CARDOSOO</t>
  </si>
  <si>
    <t>LEONARDO LUIZ ALBINO</t>
  </si>
  <si>
    <t>ISAAC BRENDO MOZAMBITE DE ARAÚJO</t>
  </si>
  <si>
    <t>DANIEL DE SOUZA NUNES</t>
  </si>
  <si>
    <t>GABRIELE LUIZA EUGÊNIO</t>
  </si>
  <si>
    <t>AMANDA FRANCISCO ELESBÃO AMORIM</t>
  </si>
  <si>
    <t>THIAGO QUINTANILHA RODRIGUES VIEIRA</t>
  </si>
  <si>
    <t>EDER MORAIS TAVARES JUNIOR</t>
  </si>
  <si>
    <t>RENATO DE MORAES</t>
  </si>
  <si>
    <t>EMILLY CAROLINE DOS PASSOS</t>
  </si>
  <si>
    <t>CAROLINA MENDES DROZDEK</t>
  </si>
  <si>
    <t>ROBSON LEONARDO BORGES</t>
  </si>
  <si>
    <t>ADAELCIO GUEDES SAMPAIO</t>
  </si>
  <si>
    <t>LUIZ FERNANDO DE ABREU NASCIMENTO</t>
  </si>
  <si>
    <t>DIST - AMARELA</t>
  </si>
  <si>
    <t>BRUNA RAMOS</t>
  </si>
  <si>
    <t>MARCOS ANTÔNIO DE ALMEIDA</t>
  </si>
  <si>
    <t xml:space="preserve">GABRIEL FLORES BERNARDES </t>
  </si>
  <si>
    <t>LUIZA FERNANDA VIEIRA SIMAS</t>
  </si>
  <si>
    <t>PABLO VINICIUS DA ROSA CANDIDO</t>
  </si>
  <si>
    <t>MATHEUS RAMOS COSTA</t>
  </si>
  <si>
    <t xml:space="preserve">MATHEUS RAMOS COSTA </t>
  </si>
  <si>
    <t>LUIDY VIDAL BAGGIO</t>
  </si>
  <si>
    <t>GISLAINE RIBEIRO PRAGNUSSAT</t>
  </si>
  <si>
    <t>THIAGO PATRICK LEANDRO</t>
  </si>
  <si>
    <t>ANDRE MIGUEL PADILHA</t>
  </si>
  <si>
    <t>GRAZIELA TORRES</t>
  </si>
  <si>
    <t>ANDRESSA DIOGENES QUEIROZ</t>
  </si>
  <si>
    <t>KELLEN VAZ DA SILVA</t>
  </si>
  <si>
    <t>KAYQUE LIMA AMADEU</t>
  </si>
  <si>
    <t>GUILHERME MENEZES MIRANDA FILHO</t>
  </si>
  <si>
    <t>ROBSON JOSE SILVA SOUZA</t>
  </si>
  <si>
    <t>JULIANA FERREIRA DE SOUZA</t>
  </si>
  <si>
    <t>EDUARDO MIGUEL THOME</t>
  </si>
  <si>
    <t>HELLEN PIRES DE MORAIS KALBUSCH</t>
  </si>
  <si>
    <t>RODRIGO BARROS BITENCOURT</t>
  </si>
  <si>
    <t>JAMISSON DA SILVA COSTA</t>
  </si>
  <si>
    <t>NATHALIE ALISSANEA MARTINS</t>
  </si>
  <si>
    <t xml:space="preserve">LUIS SERGIO MARINHO MOTA </t>
  </si>
  <si>
    <t>JANAINA VIEIRA</t>
  </si>
  <si>
    <t>ALEXANDRE VINICIUS OLIVEIRA</t>
  </si>
  <si>
    <t>DEYSE CAMILA MARCONDES DE FRANÇA</t>
  </si>
  <si>
    <t>JOAO VITOR DE ALMEIDA DOS SANTOS</t>
  </si>
  <si>
    <t>GLADSON LUCAS MAXIMIANO</t>
  </si>
  <si>
    <t>EMANUELLE CONÇALVEZ</t>
  </si>
  <si>
    <t>NICOLLY MESQUITA SILVA</t>
  </si>
  <si>
    <t>BRUNO LENON AGRA</t>
  </si>
  <si>
    <t>PAMELA GABRIELLY QUINTINO</t>
  </si>
  <si>
    <t>KEMILLY DA SILVA</t>
  </si>
  <si>
    <t>ANDRIELLE SANTANA</t>
  </si>
  <si>
    <t>KERULLY NUNES ANDRADE</t>
  </si>
  <si>
    <t>DANIELA TEIXEIRA RAYMUNDO</t>
  </si>
  <si>
    <t>HELEN ROIK MIRANDA</t>
  </si>
  <si>
    <t>KARLYN FERRARI WERNER</t>
  </si>
  <si>
    <t>DANIELA MONTEIRO DE PAULA</t>
  </si>
  <si>
    <t>LAIS MAÇANEIRO</t>
  </si>
  <si>
    <t>ROSANGELA FURTADO</t>
  </si>
  <si>
    <t>LUIZ FERNANDO  LIBANIO DE LIMA</t>
  </si>
  <si>
    <t>LUIZ FERNANDO LIBANIO DE LIMA</t>
  </si>
  <si>
    <t xml:space="preserve">PALOMA LUIZA KIENBAUM </t>
  </si>
  <si>
    <t>LUIZA EDUARDA BRAMIGK PEREIRA</t>
  </si>
  <si>
    <t>FERNANDO LUIS BARBOSA DO REGO</t>
  </si>
  <si>
    <t>FERNANDO LUÍS BARBOSA DO RÊGO</t>
  </si>
  <si>
    <t>RAYSSA DE OLIVEIRA CANDIDO</t>
  </si>
  <si>
    <t>JHONATAN RAFAEL DO AMARAL</t>
  </si>
  <si>
    <t>KARLOS GUILHERME DE MOURA DA ROSA</t>
  </si>
  <si>
    <t>TIAGO STRAFIT NOVASKI</t>
  </si>
  <si>
    <t>LUCAS ANTONIO DE MELLO NOGUEIRA</t>
  </si>
  <si>
    <t>ANTONIO CARLOS DOS SANTOS</t>
  </si>
  <si>
    <t>STHEPHEN LUCCAS PINHO TARGA</t>
  </si>
  <si>
    <t xml:space="preserve">MILENA GONÇALVES </t>
  </si>
  <si>
    <t>KAYNARA BARBARA XAVIER HACK</t>
  </si>
  <si>
    <t>DEBORA ELISA DA SILVA FERREIRA</t>
  </si>
  <si>
    <t>MIRELLE DE SOUZA CORREA</t>
  </si>
  <si>
    <t>LUANA KUHNEN</t>
  </si>
  <si>
    <t>STEFANI PEREIRA MARCOLINO</t>
  </si>
  <si>
    <t>JOAILTON CESAR DA SILVA BENTO</t>
  </si>
  <si>
    <t>AYLA DE OLIVEIRA</t>
  </si>
  <si>
    <t>MAYARA DA ROCHA</t>
  </si>
  <si>
    <t>ANA CAROLINE ARAUJO DE FREITAS</t>
  </si>
  <si>
    <t>MATHEUS LEMOS SCHMITZ</t>
  </si>
  <si>
    <t>CRICIELLE RENATA FERREIRA</t>
  </si>
  <si>
    <t>VITORIA ALVES DA MAIA</t>
  </si>
  <si>
    <t>DANIEL LUCAS GONCALVES</t>
  </si>
  <si>
    <t>ARTHUR CAMBIAGHI</t>
  </si>
  <si>
    <t>DEBORA FRANCENER REIS</t>
  </si>
  <si>
    <t>SARA EMILLY DOS SANTOS</t>
  </si>
  <si>
    <t>KAUANE VIEIRA MACHADO</t>
  </si>
  <si>
    <t>MIRLEY SANTOS DE OLIVEIRA BORGES</t>
  </si>
  <si>
    <t>EMILLY CHRISTINA GONÇALVES</t>
  </si>
  <si>
    <t>EMILLY CHRISTINY GONÇALVES</t>
  </si>
  <si>
    <t>CAROLINE THAIZ BATISTA</t>
  </si>
  <si>
    <t>VALDIRENE DA SILVA</t>
  </si>
  <si>
    <t>NAYARA VEIGA NOVAIS</t>
  </si>
  <si>
    <t>ELIZEU CHIAPETTI DE LARA</t>
  </si>
  <si>
    <t>MARCIANO CHACON DOS SANTOS</t>
  </si>
  <si>
    <t>DIAS (DANIEL SIMON MACIEL)</t>
  </si>
  <si>
    <t>ALINE INDALENCIO</t>
  </si>
  <si>
    <t>ANDERSON DE MELLO CEZAR</t>
  </si>
  <si>
    <t>ANGEL DE SOUZA NETO</t>
  </si>
  <si>
    <t xml:space="preserve">ANA CARINA MARCONDES </t>
  </si>
  <si>
    <t>GABRIEL DE ALCANTARA DO ROSARIO</t>
  </si>
  <si>
    <t>ALEXANDRA FERREIRA DOS SANTOS</t>
  </si>
  <si>
    <t>LUCAS BUENO TRINDADE</t>
  </si>
  <si>
    <t xml:space="preserve">CAROLINA CLARA </t>
  </si>
  <si>
    <t>ANDRE GABRIEL DE SOUZA POLUHA</t>
  </si>
  <si>
    <t>JEFFERSON DE OLIVEIRA AGUIS</t>
  </si>
  <si>
    <t>KETHILIN DE SOUZA LIMAS</t>
  </si>
  <si>
    <t>RAFAELA COSTA SOUZA</t>
  </si>
  <si>
    <t>JULIA RAYSSA HINTZ</t>
  </si>
  <si>
    <t>NATASHA DE ALMEIDA VITOR</t>
  </si>
  <si>
    <t>ANDRE LUIS LUBIAN</t>
  </si>
  <si>
    <t>GABRIEL BUENDGENS BRAMBILA</t>
  </si>
  <si>
    <t>NAIARA MARTINS</t>
  </si>
  <si>
    <t>ARTHUR SERAFIM MARQUES</t>
  </si>
  <si>
    <t>DANIEL MATTEI</t>
  </si>
  <si>
    <t>ELAINE CRISTINA KRUM</t>
  </si>
  <si>
    <t>ANA CAROLINA ROQUE</t>
  </si>
  <si>
    <t>GISLAINE SOUZA DE CAMPOS</t>
  </si>
  <si>
    <t>PAOLA NAYANE CORRÊA GRUBER</t>
  </si>
  <si>
    <t>EDUARDO PEDRO ZEN</t>
  </si>
  <si>
    <t>ANA JÚLIA SILVA SOUSA</t>
  </si>
  <si>
    <t>RODRIGO DE SOUZA LACERDA</t>
  </si>
  <si>
    <t>YAGO FORMIGONI</t>
  </si>
  <si>
    <t>LUCAS FELIPE PIEKARSKI</t>
  </si>
  <si>
    <t>MILENE MORAES FLORES SANTOS</t>
  </si>
  <si>
    <t>RICHARD ROTHEBARTH KRAUS</t>
  </si>
  <si>
    <t>EDINÉIA</t>
  </si>
  <si>
    <t>DARIELE SANTOS RIBEIRO</t>
  </si>
  <si>
    <t>MATEUS CAMARGO DE MIRANDA</t>
  </si>
  <si>
    <t>THIAGO MORETTI</t>
  </si>
  <si>
    <t>JACKELINE GABRIELLI MAIA</t>
  </si>
  <si>
    <t>Dennys</t>
  </si>
  <si>
    <t>FRANCIELE ALMEIDA DA SILVA</t>
  </si>
  <si>
    <t>CESAR GABRIEL BRUNKE</t>
  </si>
  <si>
    <t>Distribuição</t>
  </si>
  <si>
    <t>Edinéia</t>
  </si>
  <si>
    <t>GABRIEL HENRIQUE DE MOURA</t>
  </si>
  <si>
    <t>LEONARDO SEBASTIÃO LIMA</t>
  </si>
  <si>
    <t>GABRIEL DE SOUZA MACHADO</t>
  </si>
  <si>
    <t>Edineia</t>
  </si>
  <si>
    <t>BIANKA EVELYN MACHADO LIMA</t>
  </si>
  <si>
    <t>ELIS GABRIELE GONÇALVES</t>
  </si>
  <si>
    <t>ADILSON CORREA MACEDO</t>
  </si>
  <si>
    <t>JOSOÉ CUSTODIO GARCIA</t>
  </si>
  <si>
    <t>ÉRICA DA SILVA BEZERRA</t>
  </si>
  <si>
    <t>Jean</t>
  </si>
  <si>
    <t>ZOE CHARLES SOARES CASTRO</t>
  </si>
  <si>
    <t>Gislaine</t>
  </si>
  <si>
    <t>ÉRICK DE SOUZA NUNES</t>
  </si>
  <si>
    <t>NICOLLE GONÇALVES PITZ</t>
  </si>
  <si>
    <t>GABRIEL MIRA DE SOUZA</t>
  </si>
  <si>
    <t>GUILHERME RAPHAEL ALBANO</t>
  </si>
  <si>
    <t>ÉRIK HAENDCHEN STOLF</t>
  </si>
  <si>
    <t>CAMILA VARELA DA SILVA</t>
  </si>
  <si>
    <t>LARISSA SANTANA NUNES</t>
  </si>
  <si>
    <t>MAYKELLY MAYARA MAGALHÃES</t>
  </si>
  <si>
    <t>NICOLAS SCHANOVEBER PACHECO</t>
  </si>
  <si>
    <t>JEAN CARLOS ALBERTTI DA COSTA</t>
  </si>
  <si>
    <t>NICOLAS DA ROCHA</t>
  </si>
  <si>
    <t>ROBERTA SAMPAIO BRITTO CORDEIRO</t>
  </si>
  <si>
    <t>FELIPE GUSTAVO DE ARAÚJO</t>
  </si>
  <si>
    <t>THUANY VIEIRA SARMENTO</t>
  </si>
  <si>
    <t>JOÃO CARLOS BATISTA</t>
  </si>
  <si>
    <t>KAROLINI CITTADIN</t>
  </si>
  <si>
    <t>JESSICA BIANCA SACRAMENTO</t>
  </si>
  <si>
    <t>MARIA LUIZA RICARDO MARTINS</t>
  </si>
  <si>
    <t>LUCAS DIOGO BECKER</t>
  </si>
  <si>
    <t>THIAGO REIMER</t>
  </si>
  <si>
    <t>JOHN LENNON CAMILO TURMERA</t>
  </si>
  <si>
    <t>GEAN MARLO MENZE</t>
  </si>
  <si>
    <t>BEATRIZ PEREIRA</t>
  </si>
  <si>
    <t>SUELEN DA SILVA RODRIGUES</t>
  </si>
  <si>
    <t>TAYNARA AMORIM FURTADO</t>
  </si>
  <si>
    <t>GIOVANA FLENIK GUIMARÃES</t>
  </si>
  <si>
    <t>JONATHAN MOREIRA PRIETO DA SILVA</t>
  </si>
  <si>
    <t>MARCELA ESTIMA PERALTA</t>
  </si>
  <si>
    <t>FELIPE DA COSTA SIMÕES</t>
  </si>
  <si>
    <t>CLAUDIA HENRIQUE MEDEIROS</t>
  </si>
  <si>
    <t>ADELE CRISTIANE DE ALMEIDA PEREIRA</t>
  </si>
  <si>
    <t>JENIFFER MACHADO DA COSTA</t>
  </si>
  <si>
    <t>MATHEUS ROBERTO ZUGE</t>
  </si>
  <si>
    <t>LARISSA COLONETTI</t>
  </si>
  <si>
    <t>MARIANGEL ELOIZA DIAZ DE AZACON</t>
  </si>
  <si>
    <t>KRYSTA LEANDRA SCHMITZ ZAQUINI</t>
  </si>
  <si>
    <t>LAIS SILVA DA SILVA</t>
  </si>
  <si>
    <t>MARCOS AURELIO CASTRO E SILVA JUNIOR</t>
  </si>
  <si>
    <t>LUCCAS DANNIEL VENTURI MENDONCA</t>
  </si>
  <si>
    <t>ISABELA CRISTINA FERREIRA DE SOUZA</t>
  </si>
  <si>
    <t>ALEXANDRE LAURENCE JOSÉ SCHELBAUER</t>
  </si>
  <si>
    <t>JEFTE FELIPE MENDES DE OLIVEIRA</t>
  </si>
  <si>
    <t>JEAN CARLOS CANDEIA BATISTA</t>
  </si>
  <si>
    <t>VITÓRIA PAULA DO PRADO ANGELO</t>
  </si>
  <si>
    <t>JAMILSON MESCOUTO DA ROSA</t>
  </si>
  <si>
    <t>SAIONARA DOS SANTOS DA ROCHA</t>
  </si>
  <si>
    <t>JULIA CIPRIANO</t>
  </si>
  <si>
    <t>LUCAS NOGUEIRA TORRES</t>
  </si>
  <si>
    <t>HELOISA CLARA DOS SANTOS</t>
  </si>
  <si>
    <t>KAREN ELAINE DE FREITAS LAURINDO</t>
  </si>
  <si>
    <t>CÁTIA REGINA BETT</t>
  </si>
  <si>
    <t>JENIFER NALANDA DA COSTA SCHMIDT</t>
  </si>
  <si>
    <t>MOHAMED CHALES DJALMA</t>
  </si>
  <si>
    <t>LUCAS YAN DULLIUS CARDOSO</t>
  </si>
  <si>
    <t>ROSANGELA SANTOS DE LIMA</t>
  </si>
  <si>
    <t>HEVELIN JARDIM PORTAL</t>
  </si>
  <si>
    <t>GABRIEL SILVA DA SILVA</t>
  </si>
  <si>
    <t>RAQUEL MONTEIRO</t>
  </si>
  <si>
    <t>WALDENYA GUSMAO DA SILVA APOLUCENA</t>
  </si>
  <si>
    <t>GABRIELE NAIARA</t>
  </si>
  <si>
    <t>GABRISE OLIVEIRA</t>
  </si>
  <si>
    <t>MATHEUS DE LUCAS THEIS</t>
  </si>
  <si>
    <t>ANDRESSA DE OLVEIRA</t>
  </si>
  <si>
    <t>AMANDA CRISTINA DE AVILA VANDERLINDE TEIXEIRA</t>
  </si>
  <si>
    <t>TATIANE JORGE DA SILVA</t>
  </si>
  <si>
    <t>MATEUS GUOLLO</t>
  </si>
  <si>
    <t>WENDEL SOARES CARVALHO</t>
  </si>
  <si>
    <t>CAROLINE SANTOS DOS SANTOS TENTARDINI</t>
  </si>
  <si>
    <t>BRUNO HENRIQUE TRANNIN</t>
  </si>
  <si>
    <t>LARISSA DOS SANTOS PINTO</t>
  </si>
  <si>
    <t>KEVEIN MARCHIOTTO MENDES</t>
  </si>
  <si>
    <t>BRUNA CORDEIRO VOLFE</t>
  </si>
  <si>
    <t>CAMILA MELO DE SOUZA</t>
  </si>
  <si>
    <t>ERIKER JUNHO DA SILVA CORDEIRO</t>
  </si>
  <si>
    <t>LEONARDO HENRIQUE EGGERS SAIBS</t>
  </si>
  <si>
    <t>BARBARA BASTOS</t>
  </si>
  <si>
    <t>GABRIELA CAETANO DA SILVA DA CRUZ</t>
  </si>
  <si>
    <t>LUAN JOSÉ GONTIJO DA CRUZ</t>
  </si>
  <si>
    <t>THALIA APARECIDA VELHO</t>
  </si>
  <si>
    <t>CATIA REGINA DOS SANTOS WERBINEN DO NASCIMENTO</t>
  </si>
  <si>
    <t>NIKOLLY DAVELES PATRICIO</t>
  </si>
  <si>
    <t>AGUIDA DE FATIMA DA SILVA DE OLIVEIRA</t>
  </si>
  <si>
    <t>MORGANA DE OLIVEIRA DE SOUZA</t>
  </si>
  <si>
    <t>LOHUAN ALVES FELIZARDO</t>
  </si>
  <si>
    <t>BRUNO ALESSANDRO RENDAKE MONTEIRO</t>
  </si>
  <si>
    <t>FRANCIELLY MACIEL ROCHA</t>
  </si>
  <si>
    <t>LUCAS NICOLAS DOS SANTOS GALLOTI</t>
  </si>
  <si>
    <t>VIVIANE NOWAKOVSKI PEREIRA</t>
  </si>
  <si>
    <t>KHAUANE MENDES DA SILVA</t>
  </si>
  <si>
    <t>KETLIN SANDRINI BERTOTTI DE VARGAS DE LIMA</t>
  </si>
  <si>
    <t>CRISTIANO ALVES</t>
  </si>
  <si>
    <t>GIULLIANO DO ROCIO GOMES JUNIOR</t>
  </si>
  <si>
    <t>MARIANA RODRIGUES DE ALMEIDA</t>
  </si>
  <si>
    <t>THAYNA SCHMIDT</t>
  </si>
  <si>
    <t>CAMILA DOS SANTOS</t>
  </si>
  <si>
    <t>GABRIEL ALEXSSANDER SILVA</t>
  </si>
  <si>
    <t>FELIPE DA ROSA ANGELI</t>
  </si>
  <si>
    <t>THAIS DA FONSECA LEMES</t>
  </si>
  <si>
    <t>SUELLEM CRISTINA GRACIAS</t>
  </si>
  <si>
    <t>ANDRESSA NUNES PAIVA</t>
  </si>
  <si>
    <t>KAMILA NOGUEIRA DE MELO</t>
  </si>
  <si>
    <t>JAMILA MOREIRA</t>
  </si>
  <si>
    <t>LAYSA HELLMANN</t>
  </si>
  <si>
    <t>TAINARA IGNACIO</t>
  </si>
  <si>
    <t>TAINARA IGNÁCIO</t>
  </si>
  <si>
    <t>FATIMA CRISTINA COMPER</t>
  </si>
  <si>
    <t>JULY MARIELI CABRAL</t>
  </si>
  <si>
    <t>KETHELYN ARDINO SEGUNDO</t>
  </si>
  <si>
    <t>AMANDA CARLA SILVA DE LIMA</t>
  </si>
  <si>
    <t>LETICIA MARTINI</t>
  </si>
  <si>
    <t>ALEXANDRE MARINO SIMÃO</t>
  </si>
  <si>
    <t>ANA BEATRIZ DA SILVA</t>
  </si>
  <si>
    <t>LOHAYNE ALVES FELIZARDO BEZERRA</t>
  </si>
  <si>
    <t>ELIZANDRA LISBOA BARBOSA</t>
  </si>
  <si>
    <t>ELIZANDRA LISBOA BARBOZA</t>
  </si>
  <si>
    <t>EVELIN DOS SANTOS</t>
  </si>
  <si>
    <t xml:space="preserve">EVELIN DOS SANTOS </t>
  </si>
  <si>
    <t>KANAMY STEWART DE SOUZA ALVES DAMIÃO</t>
  </si>
  <si>
    <t>MATHEUS PROTASIO GOES ROCHA</t>
  </si>
  <si>
    <t>YASMIM BAMBINETTI</t>
  </si>
  <si>
    <t>GEISON EDUARDO FERREIRA</t>
  </si>
  <si>
    <t>WASHINGTON VITÓRIA VIVONE DE PAULA</t>
  </si>
  <si>
    <t>PATRÍCIA REALINO MEURER</t>
  </si>
  <si>
    <t>ISAAC RIBEIRO ALCANTI</t>
  </si>
  <si>
    <t>CAROLINE SANTOS DE MENEZES</t>
  </si>
  <si>
    <t>MARIANA BAMBINA SEVERINO</t>
  </si>
  <si>
    <t>LAYSA GABRIELLE DOS SANTOS MANDELO</t>
  </si>
  <si>
    <t xml:space="preserve">JOÃO LUCAS RIGOLIN VILASBOAS </t>
  </si>
  <si>
    <t>LARISSA FERNANDES CANTUARIA</t>
  </si>
  <si>
    <t>GILVAN LUIZ DA CUNHA MORETTI</t>
  </si>
  <si>
    <t>FLÁVIA EDUARDA LAUNÉ DA SILVA</t>
  </si>
  <si>
    <t>ROBSON RODRIGUES </t>
  </si>
  <si>
    <t>JOYCE IVANA RAMOS DOS SANTOS</t>
  </si>
  <si>
    <t>ADRIELI CHERPINSKI</t>
  </si>
  <si>
    <t>JÉSSICA ALEXANDRA BARBOSA</t>
  </si>
  <si>
    <t>MARIA JULIA PROVENSI</t>
  </si>
  <si>
    <t>JENNIFER RODRIGUES</t>
  </si>
  <si>
    <t>DANIELA ROSA ANTUNES</t>
  </si>
  <si>
    <t>FERNANDA DE OLIVEIRA AZEVEDO</t>
  </si>
  <si>
    <t>LUCAS DANIEL ALVES DA ROCHA</t>
  </si>
  <si>
    <t>ALTERNATIVO</t>
  </si>
  <si>
    <t>PIETRO VELOSO ROSA</t>
  </si>
  <si>
    <t>CAROLINE RODRIGUES DA SILVA</t>
  </si>
  <si>
    <t>DAVID WILLIAN JUNGLES</t>
  </si>
  <si>
    <t>IGOR FORTUNA GAMARRA</t>
  </si>
  <si>
    <t>JACKSON ANDRÉ BRAGA</t>
  </si>
  <si>
    <t>ROGER FERNANDO NICOLODI</t>
  </si>
  <si>
    <t>INGRIDY DE SOUZA MOREIRA DA SILVA</t>
  </si>
  <si>
    <t>JOÃO VITOR FLORIANO TATSCH</t>
  </si>
  <si>
    <t>RAFAELA CANDIDO</t>
  </si>
  <si>
    <t>BRUNO DE CARVALHO PRADO</t>
  </si>
  <si>
    <t xml:space="preserve">CAMILA DANIELY DIAS </t>
  </si>
  <si>
    <t xml:space="preserve">CRISTHYAN DIOGO PATERNOLLI </t>
  </si>
  <si>
    <t>FELIPE MOACIR PACHECO</t>
  </si>
  <si>
    <t>RAFAELE APARECIDA DE SALES MARTINS</t>
  </si>
  <si>
    <t>AÇUCENA FERNANDES MATHIAS GOULART</t>
  </si>
  <si>
    <t>CLECIANY PEREIRA MARTINS GOMES</t>
  </si>
  <si>
    <t>BRENDA ALEXANDRE DE OLIVEIRA </t>
  </si>
  <si>
    <t xml:space="preserve">ANDRE VINICIUS SCHMITZ </t>
  </si>
  <si>
    <t>INGRID MAYARA RIBEIRO COELHO</t>
  </si>
  <si>
    <t>MARIA GABRIELA CARDOSO MACHADO</t>
  </si>
  <si>
    <t>AMANDA PADILHA DOS SANTOS</t>
  </si>
  <si>
    <t>JHONNY ARINS ALVES DE SOUZA</t>
  </si>
  <si>
    <t>LUCAS DE OLIVIEIRA  RODRIGUES</t>
  </si>
  <si>
    <t>RAYSSA LUANNE ALCANTRA DA SILVA</t>
  </si>
  <si>
    <t>MATHEUS GABRIEL DOS SANTOS</t>
  </si>
  <si>
    <t>LEONARDO GABRIEL SILVA DOS SANTOS</t>
  </si>
  <si>
    <t>RICARDO HENRIQUE MOREIRA LOPES</t>
  </si>
  <si>
    <t>THIAGO CORTÊS</t>
  </si>
  <si>
    <t>EMANOELA CARLA SANTOS PIMENTEL</t>
  </si>
  <si>
    <t>DANILO DA SILVA GRABOWSKI</t>
  </si>
  <si>
    <t>MARINA DE ARAÚJO DA CÂMARA</t>
  </si>
  <si>
    <t>ADRYENNE KAYLLANE TONIOTTI DA SILVA</t>
  </si>
  <si>
    <t>ANGELO VINICIUS BAESSO</t>
  </si>
  <si>
    <t>RAFAELA MIRELA WEBER</t>
  </si>
  <si>
    <t>BIANCA DA SILVA DUNZER</t>
  </si>
  <si>
    <t>MATHEUS FELIPPE SCHMIT</t>
  </si>
  <si>
    <t>MIRELA RODRIGUES FRANÇA</t>
  </si>
  <si>
    <t>AARON TREMENTOZA</t>
  </si>
  <si>
    <t>ALICE PREBIANCA</t>
  </si>
  <si>
    <t>RAFAELA CARDOSO</t>
  </si>
  <si>
    <t>VINICIUS DE MORAES</t>
  </si>
  <si>
    <t>KAROLINE EMANUELA CONSTÂNCIO DO ROSÁRIO</t>
  </si>
  <si>
    <t>PIETRO MORBIS CORREIA</t>
  </si>
  <si>
    <t xml:space="preserve">ANTHONY HENRIQUE DIAS DE JESUS </t>
  </si>
  <si>
    <t>MARIA JULIA GONCALVES LEITE</t>
  </si>
  <si>
    <t>JESSICA DO NASCIMENTO ALMEIDA</t>
  </si>
  <si>
    <t>GABRIEL FELIPE MOREIRA</t>
  </si>
  <si>
    <t>MYLENA RABECH DA SILVA</t>
  </si>
  <si>
    <t>WESLLEY SOUZA SAGAS</t>
  </si>
  <si>
    <t>LARYSSA SABRINE SCHMOELLER</t>
  </si>
  <si>
    <t>MAICON BRUCHEZ DA SILVA</t>
  </si>
  <si>
    <t xml:space="preserve">GABRIEL JOSE GARCIA </t>
  </si>
  <si>
    <t>JOSÉ MANOEL DOS SANTOS DA ROCHA</t>
  </si>
  <si>
    <t>HELLEN CRISTINA WEHRMEISTER</t>
  </si>
  <si>
    <t>FRANCIELE T. DA SILVA</t>
  </si>
  <si>
    <t>KARIN CARMEN TREVISAN</t>
  </si>
  <si>
    <t>MATEUS D. VILELA</t>
  </si>
  <si>
    <t>BRUNA ARIELI SOUZA DE SOUZA</t>
  </si>
  <si>
    <t>VIVIANI CRISTINA HOFF</t>
  </si>
  <si>
    <t>PAMELA DE PAULA FIGUEIREDO</t>
  </si>
  <si>
    <t>GUILHERME CAETANO DA SILVA</t>
  </si>
  <si>
    <t>CARLOS ALEXANDRE BUENO</t>
  </si>
  <si>
    <t>MATHEUS CORREA</t>
  </si>
  <si>
    <t xml:space="preserve">JESSICA RAYANE DA SILVA STRAPA </t>
  </si>
  <si>
    <t>KARINNA FABRE FURLAN OLIVEIRA</t>
  </si>
  <si>
    <t>WILLIAM CHRISTENSEN CORREA</t>
  </si>
  <si>
    <t>NIELLY CAMILY DA SILVA</t>
  </si>
  <si>
    <t>WALDENYA G. DA S. APOLUCENA</t>
  </si>
  <si>
    <t>STEFANI URBICH SASSI</t>
  </si>
  <si>
    <t>ARTHUR MAIA GRAF</t>
  </si>
  <si>
    <t xml:space="preserve">BRUNO GUSTAVO WARMELING </t>
  </si>
  <si>
    <t>LUANA NASCIMENTO VHNIESKA</t>
  </si>
  <si>
    <t>LUANA DO NASCIMENTO CORDEIRO</t>
  </si>
  <si>
    <t>SAMARA CRISTINA LOFFLER</t>
  </si>
  <si>
    <t>MARCUS VINICIUS ESCORCIO SANTANA</t>
  </si>
  <si>
    <t>GABRIELLY MENDES DE SOUZA</t>
  </si>
  <si>
    <t>MIRELLE STEFHANI DA COSTA SANTOS</t>
  </si>
  <si>
    <t>MICKAELLA CRISTINA REINERT</t>
  </si>
  <si>
    <t>AMANDA GONÇALVEZ DE ALMEIDA</t>
  </si>
  <si>
    <t>LUCAS WASHINGTON LOPES LEAL</t>
  </si>
  <si>
    <t>THALLITA VIEIRA DO PRADO</t>
  </si>
  <si>
    <t>MAYRA CAROLINE KUBERSKY ALLAS</t>
  </si>
  <si>
    <t>LUIZ EDUARDO GOES</t>
  </si>
  <si>
    <t>JENIFER NAVARRO LINS</t>
  </si>
  <si>
    <t>LEONARDO ADRIANO SIQUEIRA</t>
  </si>
  <si>
    <t>GUSTAVO GONÇALVES MONTANARI</t>
  </si>
  <si>
    <t>CAMILLE NOVAK SILVEIRA</t>
  </si>
  <si>
    <t>DARLAN DA COSTA FARIAS</t>
  </si>
  <si>
    <t xml:space="preserve">BRUNO EDUARDO FIGUEIREDO </t>
  </si>
  <si>
    <t>VICTOR PAESE BITTENCOURT MOREIRA</t>
  </si>
  <si>
    <t>GABRIELA SCHREIBER DE SOUZA</t>
  </si>
  <si>
    <t>ANA LORRAINE HICKMAN</t>
  </si>
  <si>
    <t>BRUNA GOMES DE OLIVEIRA BLANC XAVIER</t>
  </si>
  <si>
    <t>LUIS ARTURO LUCES</t>
  </si>
  <si>
    <t xml:space="preserve">TALITA DE SOUZA SOARES </t>
  </si>
  <si>
    <t>JUNIOR LEAB DIAS DO NASCIMENTO</t>
  </si>
  <si>
    <t>LETICIA DOS SANTOS</t>
  </si>
  <si>
    <t>GABRIEL ARRUDA DE SOUSA</t>
  </si>
  <si>
    <t>SABRINA D S DA C DEBORTOLO</t>
  </si>
  <si>
    <t>MAYKON WILLIAM SANTANA</t>
  </si>
  <si>
    <t xml:space="preserve">LUMA CRUZ SILVA </t>
  </si>
  <si>
    <t>GRACIELE SILVA DE SOUZA</t>
  </si>
  <si>
    <t>MATHEUS EDUARDO FELIPE</t>
  </si>
  <si>
    <t>GUILHERME FERREIRA</t>
  </si>
  <si>
    <t>ALISON CARDOZO BORGES</t>
  </si>
  <si>
    <t>LEONARDO ALVES</t>
  </si>
  <si>
    <t>ANDRINE MARIA STIVANELLO BEUALDO</t>
  </si>
  <si>
    <t>MARILIA JOSE VIEIRA DO PRADO</t>
  </si>
  <si>
    <t>CAROLINA MACHADO DE OLIVEIRA DA SILVA</t>
  </si>
  <si>
    <t>THAMYRES EDUARDA DE OLIVEIRA</t>
  </si>
  <si>
    <t>GUSTAVO DE SOUSA DA SILVA</t>
  </si>
  <si>
    <t>EDUARDO GUILHERME RIBEIRO DE ANDRADE</t>
  </si>
  <si>
    <t>RODINEI DA SILVA</t>
  </si>
  <si>
    <t>PAULO HENRIQUE CINTRA</t>
  </si>
  <si>
    <t>LUIS FELIPE GONÇALVES NORBERTO</t>
  </si>
  <si>
    <t>RAQUEL NIVEA FARIAS DE OLIVEIRA</t>
  </si>
  <si>
    <t>JÉSSICA MAIA MAURICIO</t>
  </si>
  <si>
    <t>JULIANA GONÇALVES ARCE</t>
  </si>
  <si>
    <t>PHILIPE JOSE TEIXEIRA</t>
  </si>
  <si>
    <t>GUSTAVO LEIPNIT</t>
  </si>
  <si>
    <t xml:space="preserve">JULIANA RIGOLIN DE OLIVEIRA </t>
  </si>
  <si>
    <t>JAQUELINE CRISTINA DE SOUZA DA SILVA</t>
  </si>
  <si>
    <t>LUIS ALEXANDRE SOUZA DE SÁ</t>
  </si>
  <si>
    <t>DAIANE RAMOS DOS SANTOS</t>
  </si>
  <si>
    <t>CRISTIAN RAMOS DOS SANTOS</t>
  </si>
  <si>
    <t>DENER MORAIS TAVARES</t>
  </si>
  <si>
    <t xml:space="preserve">RAFAEL ANTUNES MOREIRA </t>
  </si>
  <si>
    <t>FERNANDA CRISTINA CORREA</t>
  </si>
  <si>
    <t xml:space="preserve">RAUL FERNANDO ROCHA DA COSTA </t>
  </si>
  <si>
    <t>GABRIEL LONGEN DE OLIVEIRA</t>
  </si>
  <si>
    <t>JULIANO GROLA CAMPOS</t>
  </si>
  <si>
    <t>SABRINA KETELYN MARTINS</t>
  </si>
  <si>
    <t>CRISTIANE MARCONDES CARVALHO</t>
  </si>
  <si>
    <t>LETICIA MARIA DA SILVA SENA</t>
  </si>
  <si>
    <t xml:space="preserve">GABRIELA DO NASCIMENTO TEIXEIRA </t>
  </si>
  <si>
    <t>PRISCILA DE LIMA PEREIRA</t>
  </si>
  <si>
    <t>EUDER JOSE DA HORA DOS SANTOS</t>
  </si>
  <si>
    <t>OZIEL GODOY DO NASCIMENTO</t>
  </si>
  <si>
    <t>JOÃO VITOR DE OLIVEIRA</t>
  </si>
  <si>
    <t>LUIZ GUSTAVO FELIPE</t>
  </si>
  <si>
    <t>AMANDA CRISTINA SALDANHA</t>
  </si>
  <si>
    <t>DIOGO VENDRAME MARQUES</t>
  </si>
  <si>
    <t>RAFAEL ANTUNES MOREIRA</t>
  </si>
  <si>
    <t>WSANE WILHELM</t>
  </si>
  <si>
    <t>ANA CAROLINE ARAUJO</t>
  </si>
  <si>
    <t>LEO DOS SANTOS FERREIRA</t>
  </si>
  <si>
    <t>KAUANY VITORIA DE LIMA</t>
  </si>
  <si>
    <t xml:space="preserve">ALLISON HAUT MONTALVÃO </t>
  </si>
  <si>
    <t>NATALYA PINA CRUZ</t>
  </si>
  <si>
    <t>DHULYA CAROLINE CAITANO RODRIGUES</t>
  </si>
  <si>
    <t>BRUNO CORDEIRO VOLFE</t>
  </si>
  <si>
    <t>SAMUEL ANDRÉ KNAPICK</t>
  </si>
  <si>
    <t>JEAN KARLOS D AQUINO ROSA SANTIAGO</t>
  </si>
  <si>
    <t xml:space="preserve">ALBERTO MACIEL DE ARAUJO FILHO </t>
  </si>
  <si>
    <t>ROSENILDA CAETANO VALENTIM</t>
  </si>
  <si>
    <t>WENDEL DUARTE DOS SANTOS</t>
  </si>
  <si>
    <t>LISEANE DE OLIVEIRA</t>
  </si>
  <si>
    <t>HELOIZA REGINA DE FARIA AMORIM</t>
  </si>
  <si>
    <t>VICTOR DE SOUZA</t>
  </si>
  <si>
    <t>SUELEN MONIKE DIAS PUZI</t>
  </si>
  <si>
    <t xml:space="preserve">MARIA EDUARDA KOEHLER BOSO </t>
  </si>
  <si>
    <t>VINICIUS CRISTIAN MARCOLINO DOS SANTOS</t>
  </si>
  <si>
    <t>WILLIAN DE ANDRADE</t>
  </si>
  <si>
    <t>JENIFER SIQUEIRA</t>
  </si>
  <si>
    <t>JESSICA FERREIRA GOMES</t>
  </si>
  <si>
    <t>ADRIAN VINICIUS DE SOUZA</t>
  </si>
  <si>
    <t>RIAN MOCELIN</t>
  </si>
  <si>
    <t>AMANDA POTEL MERINO CAMPUSANO</t>
  </si>
  <si>
    <t>GIULIA MACHADO DE OLIVEIRA</t>
  </si>
  <si>
    <t>KELLY CRISTINA OLIVEIRA SANTOS</t>
  </si>
  <si>
    <t>LARISSA DE MELLO</t>
  </si>
  <si>
    <t xml:space="preserve">TAINARA BEATRIZ VASCONCELOS LOPES </t>
  </si>
  <si>
    <t>GEISA AMORIM</t>
  </si>
  <si>
    <t>FERNANDA DE FRANÇA TAVARES</t>
  </si>
  <si>
    <t>GEOVANNE DE ALMEIDA LIMA FEITOSA</t>
  </si>
  <si>
    <t>LEONARDO MAIA RODRIGUES</t>
  </si>
  <si>
    <t>GUSTAVO AMARAL NUNES</t>
  </si>
  <si>
    <t>FABRICIO SANTOS DURÃES JUNIOR</t>
  </si>
  <si>
    <t>QUEREN LAIS DE SOUZA BATISTA</t>
  </si>
  <si>
    <t>VAGNER TOMASI</t>
  </si>
  <si>
    <t xml:space="preserve">WENDER ALVES DA SILVA </t>
  </si>
  <si>
    <t>ALEX DA SILVA CORREA</t>
  </si>
  <si>
    <t xml:space="preserve">INGRYD MARTINS DA SILVA </t>
  </si>
  <si>
    <t xml:space="preserve">JULIANE DA SILVA FAGUNDES </t>
  </si>
  <si>
    <t>ADRIANA GONÇALVES DE SANTANA BRAGA</t>
  </si>
  <si>
    <t>GABRIEL RODRIGUES DALMOLIM</t>
  </si>
  <si>
    <t>JAIME ALVES CALANDRINE JUNIOR</t>
  </si>
  <si>
    <t>JIOVANNA NATIVIDADE</t>
  </si>
  <si>
    <t>TAYNA SANTANA DE MELO</t>
  </si>
  <si>
    <t>CARINA ELUISA NUNES GONÇALVES</t>
  </si>
  <si>
    <t>TASSIA CAMILA LIMA PALHETA</t>
  </si>
  <si>
    <t>SHEILA RABECK SANTOS DE ARAUJO</t>
  </si>
  <si>
    <t>ADRIAN CHRYSTIAN FERNANDES DE ALMEIDA</t>
  </si>
  <si>
    <t>DAYANE GONÇALVES FELIX </t>
  </si>
  <si>
    <t>JONATHAS DE FRANÇA DE CARVALHO</t>
  </si>
  <si>
    <t>ISABELA ROBERTA VENANCIO </t>
  </si>
  <si>
    <t>NICOLE DELL AQUILA</t>
  </si>
  <si>
    <t>LORRANA CAROLAY DA SILVA VALENTE</t>
  </si>
  <si>
    <t>GEOVANE COSTA DA SILVA</t>
  </si>
  <si>
    <t>LEANDRO JOSE SIMAS</t>
  </si>
  <si>
    <t>KAIO VINICIUS SOUTO DA SILVA</t>
  </si>
  <si>
    <t>Ref.Search</t>
  </si>
  <si>
    <t>Ref.Alerta</t>
  </si>
  <si>
    <t>Ref.Contato</t>
  </si>
  <si>
    <t>Ref.cod</t>
  </si>
  <si>
    <t>Questions</t>
  </si>
  <si>
    <t>Peso %</t>
  </si>
  <si>
    <t>Deflator %</t>
  </si>
  <si>
    <t>Deflator</t>
  </si>
  <si>
    <t>Se Identificou (nome, setor e empresa)?</t>
  </si>
  <si>
    <t>Informou o motivo do contato?</t>
  </si>
  <si>
    <t>Atenção, concentração e agilidade na transmissão de informações?</t>
  </si>
  <si>
    <t>Volume de Voz, Entonação e Condução denotam Credibilidade e Cordialidade?</t>
  </si>
  <si>
    <t>Realizou um atendimento cordial com educação? (Utilizando "senhor"/"obrigado"/"por favor")</t>
  </si>
  <si>
    <t>Demonstrou conhecimento técnico enfatizando os detalhes?</t>
  </si>
  <si>
    <t>Confirmou senha de segurança (Inicio da Ligação)?</t>
  </si>
  <si>
    <t>Confirmou o motivo do desvio?</t>
  </si>
  <si>
    <t>Questionou se motorista recebeu plano de viagem e instruções de rastreamento?</t>
  </si>
  <si>
    <t>Orientou motorista a retornar para rota ou permanecer parado até confirmação com cliente?</t>
  </si>
  <si>
    <t>Coletou qual itinerário está realizando?</t>
  </si>
  <si>
    <t>Informou dos riscos (problemas com seguro) em um eventual sinistro?</t>
  </si>
  <si>
    <t>Confirmou o motivo pelo qual motorista parou em local indevido?</t>
  </si>
  <si>
    <t>Orientou motorista a reiniciar e seguir para local homologado?</t>
  </si>
  <si>
    <t>Confirmou localização atual? (movimento/parado e referência)</t>
  </si>
  <si>
    <t>Passou orientações para forçar posicionamento? (Envio de mensagem, reset de bateria...)</t>
  </si>
  <si>
    <t>Procurou identificar motivo da perda de sinal? (Em baixo de cobertura, área tem sinal celular?)</t>
  </si>
  <si>
    <t>Procurou identificar motivo do Alerta? (Sinistro, Manutenção, problema, acionamento indevido)</t>
  </si>
  <si>
    <t>Informou as ações adotadas? (resumir os contatos/tratativas com ou sem sucesso)</t>
  </si>
  <si>
    <t>Informou o trajeto que o motorista está realizado e o que estava programado na rota?</t>
  </si>
  <si>
    <t>Questionou se tem conhecimento do motivo do desvio? Motorista informou antecipadamente?</t>
  </si>
  <si>
    <t>Informou as ações adotadas?</t>
  </si>
  <si>
    <t>Informou o local da parada (cidade / referência)?</t>
  </si>
  <si>
    <t>Confirmou se os pontos de parada autorizada, foram passados ao motorista?</t>
  </si>
  <si>
    <t>Indicou medidas de segurança (Seguir até posto autorizado, escolta, Pronta resposta...)?</t>
  </si>
  <si>
    <t>Informou o local da perda de posição (cidade / referência)?</t>
  </si>
  <si>
    <t>Questionou se conjunto possui equipamento de contingência?</t>
  </si>
  <si>
    <t>Confirmou os contatos do condutor?</t>
  </si>
  <si>
    <t>Enfatizou ao cliente que estava atuando em uma suspeita de sinistro?</t>
  </si>
  <si>
    <t>Informou o local em que o alerta foi gerado? (estado/cidade/parado ou em movimento/referência ex: posto, mecânica, rodovia)</t>
  </si>
  <si>
    <t>Questionou se tem informações do veículo e motorista recentemente? Ex: manutenção/revisão, problemas no rastreador... Pois o motorista as vezes pode procurar seu gestor ao inves da GR.</t>
  </si>
  <si>
    <t>Confirmou os contatos atuais do condutor?</t>
  </si>
  <si>
    <t>Informou o local em que o alerta foi gerado (cidade / referência)?</t>
  </si>
  <si>
    <t>Questionou se tem informações do veículo e motorista?</t>
  </si>
  <si>
    <t>Passou detalhes da última posição do veículo? (referência dentro do posto)</t>
  </si>
  <si>
    <t>Informou dados e as caracteristicas do veículo (cor, placa, modelo)?</t>
  </si>
  <si>
    <t>Solicitou verificar se conjunto (cavalo/carreta) estavam no local sem violações?</t>
  </si>
  <si>
    <t>Orientou o atendente a chamar o motorista?</t>
  </si>
  <si>
    <t>Solicitou deslocamento e/ou reporte da ocorrência para patrulhamento (foco na abordagem)?</t>
  </si>
  <si>
    <t>Passou detalhes do evento que indicam a suspeita?</t>
  </si>
  <si>
    <t>Passou dados e as caracteristicas do conjunto e motorista (cavalo, carreta, cor, modelo)?</t>
  </si>
  <si>
    <t>Passou detalhes do local da ocorrência? (Rodovia, Referência, KM...)</t>
  </si>
  <si>
    <t>Deixou telefone de contato para retorno?</t>
  </si>
  <si>
    <t>Utilizou o Alfabeto fonético?</t>
  </si>
  <si>
    <t>Passou detalhes do evento que ocorreu o sinistro?</t>
  </si>
  <si>
    <t>Confirmou com quem está falando?</t>
  </si>
  <si>
    <t>Informou que irá informar uma devolução confirmada?</t>
  </si>
  <si>
    <t>Atenção, concentração e agilidade na transmissão de informação?</t>
  </si>
  <si>
    <t>Informou nome do cliente?</t>
  </si>
  <si>
    <t>Informou endereço do cliente?</t>
  </si>
  <si>
    <t>Informou código do cliente?</t>
  </si>
  <si>
    <t>Quantidade de caixas?</t>
  </si>
  <si>
    <t>Ação resultante? (Envio de e-mail, ligação, WhatsApp) *Ação final ao atendimento</t>
  </si>
  <si>
    <t>Informou que irá informar uma devolução confirmada.</t>
  </si>
  <si>
    <t>Questionou temperatura do aparelho de frio?</t>
  </si>
  <si>
    <t>Questionou o módulo de ajuste? (Contínuo/Automático)</t>
  </si>
  <si>
    <t>Orientou a seguir padrão de temperatura da Unidade?</t>
  </si>
  <si>
    <t>Questionou com quem está falando?</t>
  </si>
  <si>
    <t>Informou ações adotadas?</t>
  </si>
  <si>
    <t>Questionou se possui conhecimento do ajuste?</t>
  </si>
  <si>
    <t>Confirmou ajuste do aparelho?</t>
  </si>
  <si>
    <t>Confirmou se houve desligamento? Confirmou causa?</t>
  </si>
  <si>
    <t>Reforçou sobre ríscos de devolução devido desligamento?</t>
  </si>
  <si>
    <t>Questionou motivo do atraso?</t>
  </si>
  <si>
    <t>Questionou se há previsão de chegada? (Caso ainda não tenha chego no cliente)</t>
  </si>
  <si>
    <t>Informar o número da OS, Placa ou AE (Algo que identifique de qual veículo está falando)</t>
  </si>
  <si>
    <t xml:space="preserve">Informou nº da programação ou outra informação semelhante? </t>
  </si>
  <si>
    <t>Solicitou emissão?</t>
  </si>
  <si>
    <t>Questionou se há previsão para descarga?</t>
  </si>
  <si>
    <t xml:space="preserve">Se identificou como Login? </t>
  </si>
  <si>
    <t>Informou notas e quantidade?</t>
  </si>
  <si>
    <t>Anotou o número do chamado?</t>
  </si>
  <si>
    <t>Realizou atendimento padrão (Saudação, nome, setor, empresa)?</t>
  </si>
  <si>
    <t>Realizou despedida padrão? (Tenha uma boa tarde/noite/dia/trabalho/descanso)</t>
  </si>
  <si>
    <t>Solicitou senha de segurança no início da ligação?</t>
  </si>
  <si>
    <t>Utilizou a função mudo corretamente? (Sem ser possível ouvir ruídos externos)</t>
  </si>
  <si>
    <t>Solicitou a AE/Placa para iniciar atendimento?</t>
  </si>
  <si>
    <t>Realizou o preenchimento do silêncio? (Não deixando a linha muda por mais de 45seg.)</t>
  </si>
  <si>
    <t>O tom de voz estava adequado? (Voz abafada, microfone mal colocado ou distante da boca)</t>
  </si>
  <si>
    <t>Utilizou linguagem apropriada? (Sem excessos de gírias, esteriótipos de apoio)</t>
  </si>
  <si>
    <t>Após a ligação finalizou corretamente sem reter a linha?</t>
  </si>
  <si>
    <t>Manteve foco na ligação tendo atenção e concetração?</t>
  </si>
  <si>
    <t>Questionou se há previsão para carga/descarga?</t>
  </si>
  <si>
    <t>Informar a OS, placa ou nome do cliente como identificação da operação</t>
  </si>
  <si>
    <t>Solicitar o envio da OS assinada pelo cliente para comprovação dos dados da operação</t>
  </si>
  <si>
    <t>Informou número da OS. Placa, AE ou DT? (Algo que identifique de qual veículo está falando)</t>
  </si>
  <si>
    <t>Questinou o motivo da falta ou atraso na valorização/espelhamento no sistema?</t>
  </si>
  <si>
    <t>Questionou quando vai conseguir valorizar? (caso não tenha feito)</t>
  </si>
  <si>
    <t>Orientou sobre o processo correto? (Valorizar com antecedência)</t>
  </si>
  <si>
    <t>Transferência</t>
  </si>
  <si>
    <t>Informou que iria realizar a transferência da ligação?</t>
  </si>
  <si>
    <t>Cliente 3</t>
  </si>
  <si>
    <t>Realizou o atendimento padrão (saudação + nome + setor + empresa)?</t>
  </si>
  <si>
    <t>Realizou despedida padrão (Tenha uma boa tarde/dia/noite/ trabalho/descanso)?</t>
  </si>
  <si>
    <t xml:space="preserve">Não enfatizou sobre bloqueio/cadastro negativado? </t>
  </si>
  <si>
    <t>Solicitou CPF/Placa para iniciar o atendimento?</t>
  </si>
  <si>
    <t>Informou se possui inquérito/processo/apontamento, qual estado/justiça federal e qual documento é necessário?</t>
  </si>
  <si>
    <t>Realizou o preenchimento do silêncio? (Não deixando a linha muda por mais de 60seg.)</t>
  </si>
  <si>
    <t>Utilizou linguagem apropriada? (Sem excessos de gírias, esteriótipo de apoio)</t>
  </si>
  <si>
    <t>Manteve foco na ligação tendo atenção e concentração?</t>
  </si>
  <si>
    <t>Informou qual documento é necessário?</t>
  </si>
  <si>
    <t>Motorista 3</t>
  </si>
  <si>
    <t>Motorista 4</t>
  </si>
  <si>
    <t>Saudação inicial (Bom dia, boa tarde, boa noite)</t>
  </si>
  <si>
    <t>Utilizou auto texto correto de acordo com a situação?</t>
  </si>
  <si>
    <t>Utilizou linguagem apropriada? (Sem usar gírias ou estereótipos de apoio)</t>
  </si>
  <si>
    <t>Fluxo do atendimento correspondeu a solicitação inicial? (Foco no atendimento)</t>
  </si>
  <si>
    <t>Realizou o preenchimento de ociosidade? (Não deixando atendimento sem retorno por mais de 3min)</t>
  </si>
  <si>
    <t>Questionou se podia encerrar o atendimento?</t>
  </si>
  <si>
    <t>Encerrou somente no tempo ocioso padrão? (3min)</t>
  </si>
  <si>
    <t>Foi realizado a despedida final padrão? (NCG)</t>
  </si>
  <si>
    <t>Foi realizada a qualificação correta do atendimento?</t>
  </si>
  <si>
    <t>Policia 3</t>
  </si>
  <si>
    <t>Informou que irá informar um Insucesso?</t>
  </si>
  <si>
    <t>Informou endereço?</t>
  </si>
  <si>
    <t>Informou que irá informar um Insucesso.</t>
  </si>
  <si>
    <t>Informou qual o cliente e código do cliente?</t>
  </si>
  <si>
    <t>Informou o endereço do cliente?</t>
  </si>
  <si>
    <t>Motivo da devolução? / Tempo de roadnet?</t>
  </si>
  <si>
    <t>Informou a Placa?</t>
  </si>
  <si>
    <t>Informou o nome do cliente?</t>
  </si>
  <si>
    <t>Informou a data que ocorreu a devolução?</t>
  </si>
  <si>
    <t>Confirmou o motivo que gerou o pedido não solicitado?</t>
  </si>
  <si>
    <t>Ação resultante?  (*Ação final ao atendimento - "vai registrar o retorno no relatório").</t>
  </si>
  <si>
    <t>Informou e confirmou o nome do cliente?</t>
  </si>
  <si>
    <t>Informou e confirmou o endereço do cliente?</t>
  </si>
  <si>
    <t>Se identificou (Nome, setor e empresa)?</t>
  </si>
  <si>
    <t>Volume de voz, entonação e condução denotam credibilidade e cordialidade?</t>
  </si>
  <si>
    <t>Informar o número da OS ou placa (Algo que identifique a viagem)</t>
  </si>
  <si>
    <t>Questionou motivo do atraso na emissão da viagem?</t>
  </si>
  <si>
    <t>Reforçou o prazo de emissão definido pelo cliente?</t>
  </si>
  <si>
    <t>Se identificou (nome, setor e empresa)?</t>
  </si>
  <si>
    <t>Atenção, concentração e agilidade na transmissão das informações?</t>
  </si>
  <si>
    <t>Reforçou com o motorista o horário que gerou excesso de velocidade?</t>
  </si>
  <si>
    <t>Motorista foi orientado a seguir a velocidade de 80km/h?</t>
  </si>
  <si>
    <t>Confirmou se motorista iniciou viagem?</t>
  </si>
  <si>
    <t>Se afirmação acima foi positiva, solicitou a macro de inicio?</t>
  </si>
  <si>
    <t>Se motorista não iniciou, reforçou que ao iniciar deve enviar a macro?</t>
  </si>
  <si>
    <t>Confirmou com quem está falando</t>
  </si>
  <si>
    <t>Questionou se a nota foi entregue ou finalizada?</t>
  </si>
  <si>
    <t xml:space="preserve">Se positivo cobrar a foto do canhoto e se negativo finalizar o atendimento. </t>
  </si>
  <si>
    <t>Questionou se a nota foi entregue ou finaliza?</t>
  </si>
  <si>
    <t>Questionou se ocorreu de fato a devolução?</t>
  </si>
  <si>
    <t>Se ocorreu a devolução, questionar o motivo. Se não ocorreu, solicitar que o motorista seja orientado em relação aos apontamentos.</t>
  </si>
  <si>
    <t>Questionou se o local de entrega realizado está correto?</t>
  </si>
  <si>
    <t>Se negativo, questionar quem orientou o descarregamento em outro local. Se positivo o questionamento acima finalizar o atendimento</t>
  </si>
  <si>
    <t>THALYSSA CHRISTIANE BARBOSA DA COSTA</t>
  </si>
  <si>
    <t>LUCAS LUCIO CARDOSO</t>
  </si>
  <si>
    <t>WESLEY DOS SANTOS</t>
  </si>
  <si>
    <t>ISABELLI DA SILVA</t>
  </si>
  <si>
    <t>LUCAS DA SILVA DOS SANTOS</t>
  </si>
  <si>
    <t>ERICK MICHEL MENEZES DOS SANTOS</t>
  </si>
  <si>
    <t>JHONATA MARQUES</t>
  </si>
  <si>
    <t>HERON MATHEUS IADELKA</t>
  </si>
  <si>
    <t>DANIELLA GOMES</t>
  </si>
  <si>
    <t>THAISA MACHADO COELHO</t>
  </si>
  <si>
    <t>LÍBIA EMANUELLA CASTRO CUNHA</t>
  </si>
  <si>
    <t>PARADA INDEVIDA LOGÍSTICA</t>
  </si>
  <si>
    <t>Educação (Utilizando "Por favor/ Obrigado")</t>
  </si>
  <si>
    <t>Questionou motivo da parada indevida?</t>
  </si>
  <si>
    <t>Orientou motorista a realizar paradas somente em locais homologados?</t>
  </si>
  <si>
    <t>DESVIO DE ROTA  LOGÍSTICA</t>
  </si>
  <si>
    <t>Questionou o motivo do desvio de rota?</t>
  </si>
  <si>
    <t>Orientou motorista a seguir a rota informada pela transportadora?</t>
  </si>
  <si>
    <t>LUANA BEATRIZ FREITAS DE SOUZA</t>
  </si>
  <si>
    <t>LUKA EDUARDO SOVERAL</t>
  </si>
  <si>
    <t>EMANUELLA FERREIRA MARQUES</t>
  </si>
  <si>
    <t>GLEDSON GONÇALVES DOS SANTOS</t>
  </si>
  <si>
    <t>RAQUEL MENDES DE OLIVEIRA</t>
  </si>
  <si>
    <t>CAMILA LAMIN</t>
  </si>
  <si>
    <t>DENISE DE SOUZA TAVARES</t>
  </si>
  <si>
    <t>RAFAEL DA ROSA</t>
  </si>
  <si>
    <t>MARILIA DOS SANTOS SOUZA</t>
  </si>
  <si>
    <t>LEUDYS DEL ROSARIO GARCIA</t>
  </si>
  <si>
    <t>VITORIA ALICE ADAO</t>
  </si>
  <si>
    <t>MARIA EDUARDA DE SOUZA</t>
  </si>
  <si>
    <t>TABATA ANDRIELY AGUIRRE DA SILVA</t>
  </si>
  <si>
    <t>JULIANE CRISTINA DA SILVA ASSIS COLAÇO</t>
  </si>
  <si>
    <t>YECZIBETH VALENTINA LÓPEZ SALAZAR</t>
  </si>
  <si>
    <t>LUIS HENRIQUE MIRANDA SILVA BELO</t>
  </si>
  <si>
    <t>JUCELEM XISTER DE LIMA</t>
  </si>
  <si>
    <t>ERIC VINICIUS DO NASCIMENTO</t>
  </si>
  <si>
    <t>CAUE MACHADO PERES</t>
  </si>
  <si>
    <t>ANY EVELYN MENDES DE MELO</t>
  </si>
  <si>
    <t>NATALI NEIVA DA SILVA</t>
  </si>
  <si>
    <t>JACIR MELO DOS SANTOS JUNIOR</t>
  </si>
  <si>
    <t>GUILHERME DE MENESES</t>
  </si>
  <si>
    <t>DAYANNA PUGSLEY</t>
  </si>
  <si>
    <t>LAURO DEODORO FUSINATO</t>
  </si>
  <si>
    <t>HELOIZA PADILHA</t>
  </si>
  <si>
    <t>173633219329497 4</t>
  </si>
  <si>
    <t>173644435252886 8</t>
  </si>
  <si>
    <t>173644380592426 9</t>
  </si>
  <si>
    <t>173643477082763 9</t>
  </si>
  <si>
    <t>173643449724258 8</t>
  </si>
  <si>
    <t>173644360243079 3</t>
  </si>
  <si>
    <t>173644376981495 3</t>
  </si>
  <si>
    <t>173644104299727 1</t>
  </si>
  <si>
    <t>173641204359113 2</t>
  </si>
  <si>
    <t>173632537574898 4</t>
  </si>
  <si>
    <t>173632457757026 9</t>
  </si>
  <si>
    <t>FOI ENCERRADO SEM DAR A TRATATIVA ADEQUADA AO ATENDIMENTO</t>
  </si>
  <si>
    <t>LIGAÇÃO ABANDONADA</t>
  </si>
  <si>
    <t>KENDRIO MURILLO DE LIMA SELLES</t>
  </si>
  <si>
    <t>BIANCA RIBEIRO CARVALHO</t>
  </si>
  <si>
    <t xml:space="preserve">(43) 996125108 MOT CONF SENHA INFORMOU QUE ESTA NA CASA DELE E O VEICULO ESTA EM POSTO HOMOLGADO PRA REINICIO AS 14H FOI SOLICITADO IR ATE O VEICULO PRA FAZER O PROCEDIMENTO PARA COMUNICAR INFOROMOU QUE ESTA INDO </t>
  </si>
  <si>
    <t>LIGAÇÃO EFETUADA (COM SUCESSO) PARA O MOTORISTA CLEIBSON MOISES FERREIRA DA SILVA - CEL: (13) 982330797 - SEM SENHA, CONF CPF, PAROU PARA ABASTECER, ORIENTADO DOS RISCOS, TA ESPERANDO NOTA FISCAL, DEPOIS VOLTA PARA O CLIENTE.</t>
  </si>
  <si>
    <t xml:space="preserve">RODRIGO DA SILVA SOUZA -  (66) 997109854 - INF CPF, DISSE QUE ESTAVA, ORIENTADO SOBRE SINISTRO, ORIENTADO </t>
  </si>
  <si>
    <t xml:space="preserve">61985929027 - MOT CONF SENHA INF QUE ESTA EM MOV PASSANDO PELA 158, VAI ENVIAR A LOC EM TEMPO REAL E PARAR NO PROXIMO LOCAL HOMOLOGADO REALIZAR O TESTE DE TEMPERATURA </t>
  </si>
  <si>
    <t xml:space="preserve">EDNILSON TEIXEIRA DOS SANTOS 11 97379-7585MOT CONF CPF, INFORMA QUE ESTÁ EM MOVIMENTO, PROXIMA PARADA EM 70KM NO POSTO, FARÁ PROCEDIMENTO PARA POSICIONAR VEICULO, ESVIARÁ LOC TEMPO REAL NO WHATS   </t>
  </si>
  <si>
    <t xml:space="preserve">MARIVAN GUIMARAES MACEDO 11 981733598INFORMOU QUE PAROU PARA ALIMENTAÇÃO E IRA RETORNAR </t>
  </si>
  <si>
    <t xml:space="preserve">JOSE VALDEMILSON DA SILVA DE JESUS - TJD8I45(11) 964386187 MOT CONF SENHA O MESMO INFOR QUE ESTAVA EM  GUARAPUAVA - PR O MESMO VAI FORÇAR POSIÇÃO </t>
  </si>
  <si>
    <t>LINDAELSON DE JESUS SOUZA - CEL: (71) 999956435 MOT CONF SENHA, INF SEMPRE ACONTECE ESSE DESVIOU DE ROTA, JA TINHA INF A TRANP DO AJUSTE OUTRAS VEZES, REC, P. VIAGEM, INST A RET OU PEDIR AJUSTE DE ROTA, AVISEI DOS RISCOS.</t>
  </si>
  <si>
    <t>(47) 997384019 ELIONAI CONFIRMA SENHA E INFORMA QUE IRA FAZER AS OPERAÇÕES PARA ESTAR TENTANDO REESTABELECER A CONEXÃO NOVAMENTE</t>
  </si>
  <si>
    <t>ELDER HENRIQUE FERREIRA PAEZ - CEL: (41) 997743291 MOT CONFIRMOU CPF. QUESTIONEI SOBRE O STATUS DA VIAGEM E MOT INFORMOU QUE ESTAVA PARADO EM ESTACIONAMENTO PAGO, QUE A CAMINHO DA ENTREGA O CLIENTE REAGENDOU A DATA DE ENTREGA PARA DIA 10/01/2025. MOT INFORMOU QUE TEM PREVISÃO DE REINICIO PARA AMANHÃ DE MANHÃ</t>
  </si>
  <si>
    <t>SOLICITOU SENHA OU CPF</t>
  </si>
  <si>
    <t>LIGAÇÃO EFETUADA (COM SUCESSO) 51 9910-3211 PARA O MOTORISTA O MESMO CONFIRMOU CPF, E INFORMOU QUE PASSOU A ROTA PARA A TRANSPORTADORA MAS PROVAVELMENTE NAO FIZERAM A ALTERAÇAO E QUE IRIA ENTRAR EM CONTATO COM A TRANSPORTADORA NOVAMENTE PARA SOLICITAR ALTERAÇAO, INFORMAMOS QUE EM CASO DE SINISTRO PODERIA NAO TER COBERTURA SECURITARIA</t>
  </si>
  <si>
    <t xml:space="preserve">VALDECIR 69992574663 INFORMO SENHA E INF QUE FOI NO BANHEIRO E FOI ORIENTADO DOS RISCOS </t>
  </si>
  <si>
    <t xml:space="preserve">LIGAÇÃO EFETUADA (COM SUCESSO) PARA O MOTORISTA ELIELSON RODRIGUES - CEL: (42) 991081914 MOT CONF SENHA E INFORMOU QUE ESTA SEGUINDO SENTIDO OURINHOS / PONTA GROSSA O MESMO FOI ORIENTADO A RETORNAR POREM INFORMOU QUE NÃO TERIA COMO POR CONTA DE ESTAR MUITO LONGE, ORIENTADO A SOLICITAR O AJUSTE A TRANS E CIENTE DOS RISCOS </t>
  </si>
  <si>
    <t xml:space="preserve">(19) 999008194 - MOT CONF A SENHA E INF QUE ESTA PARADO NO POSTO E ORIENTADO REALIZAR OS PROCEDIMENTOS </t>
  </si>
  <si>
    <t>(38) 999562950: WAGNER FERREIRA BATISTA&gt; MOT CONFIRMOU SENHA E INFORMA QUE ESTA EM MOVIMENTO PASSANDO PELA BR 135, INFORMA QUE A ANTENA DO VEICULO APRESENTA PROBLEMAS DESDE O INICIO DA VAIGEM, ORIENTADO A ENVIAR UMA MENSAGEM LIVRE PELO TECLADO</t>
  </si>
  <si>
    <t xml:space="preserve">JOAO BATISTA DE LIMA - (11) 982319354 - MOT CONFIRMOU A SENHA DE SEGURANÇA E INFORMOU QUE ESTÁ COM O CABO DO TECLADO COM  PROBLEMAS, SOLICITADOS VÍDEO DA CABINE NO WHATS PARA COLOCAR EM MANUTENÇÃO </t>
  </si>
  <si>
    <t xml:space="preserve">46988080565 MOT CONF SENHA, PARADA BANHEIRO, REINICIO DAQUI 5 MIN, ORIEN DOS RISCO. </t>
  </si>
  <si>
    <t xml:space="preserve"> 19 98822-9948 MOT CONF CPF INF QUE O VEICULO ESTA PARADO NO POSTO FISCAL E SO VAI DESCARREGAR SEXTA FEIRA INF QUE A TRASNP ESTA CIENTE DA PARADA</t>
  </si>
  <si>
    <t>69992801584 CONF CPF, INFORMOU QUE VAI PRO CHILE E QUE JA TINHA FALADO COM A SUA GESTORA PRA ALTERAR A ROTA PRA SEGUIR VIAGEM</t>
  </si>
  <si>
    <t>ENIR GIOVANNI FONSECA LOI - CEL: (53) 997065614 - CONF CPF -  PAROU PRA ALMOÇAR. DISSE QUE VAI SEGUIR EM 30 MIN. ORIENTADO DOS RISCOS. NAO QUER IR PARA O POSTO HOMOLOGADO PROX.</t>
  </si>
  <si>
    <t>MOT INFORMOU QUE PAROU PARA ALMOÇAR, E QUE NAO HAVIA POSTOS HOMOLOGADOS PROXIMOS, INFORMADO DOS POSTOS PROXIMOS E ORIENTADO DOS RISCOS</t>
  </si>
  <si>
    <t>ADERBAL GASPERASSO OWM6A23 3078121927996900127SENHA OKMOT INF QUE TECLADO ESTÁ CONECTADOTBM INF Q ESTÁ SEGUINDO ROTA CONFORME PLANO DE VIAGEM E JÁ HAVIAM SOLIC AJUSTECIENTE DOS RISCOS</t>
  </si>
  <si>
    <t>SELVINO ANTELMO RUBLESCK JUNIOR</t>
  </si>
  <si>
    <t>DEIRILENE DEANE LISBOA PEREIRA</t>
  </si>
  <si>
    <t>NÃO IDENTIFICOU O NOME NO INÍCIO DA LIGAÇÃO</t>
  </si>
  <si>
    <t xml:space="preserve">FRANCISCO OLIVEIRA LACERDA -  TEL 2: (11) 985328154 INF SENHA E INFORMOU QUE ESTA NO POSTO ALIANÇA EM LUZIANIA/GO. ORIENTADO A FORÇAR COMUNICAÇÃO E A PASSAR A LOCALIZAÇÃO EM TEMPO REAL </t>
  </si>
  <si>
    <t xml:space="preserve">JULIO ROBERTO DO NASCIMENTO OLIVEIRA(11) 970668168 CONF SENHA E INFORMOU QUE JÁ ESTÁ INDO PRA ROTA, SENTIDO ITABORAÍ </t>
  </si>
  <si>
    <t xml:space="preserve">MAURICIO GARCIA PIRES -  (67) 998077477 CONF O CPF E INF QUE AINDA ESTA NO LOCAL VAI FORÇAR A POSIÇÃO </t>
  </si>
  <si>
    <t xml:space="preserve">EDMILSON VIEIRA DE OLIVEIRA - CEL: (31) 992327171 - TEL 1: (31) 992327171 - CONFIRMOU SENHA INFORMOU QUE ESTA NO MESMO LOCAL , ESTA JANTA DO VAI PERNOITAR NO MESMO LOCAL. E RE INICIO AMANHA DISSE QUE O O LOCLA E RUIM DE SINAL VAI ENVIAR LOC EM TEMPO REAL POR 8 HORAS E FAZER OS PROCEDIMENTOS </t>
  </si>
  <si>
    <t>COOPERCARGO ESPÍRITO SANTO - 47 99200-0254 - INF QUE ENTRARÁ EM CONTATO COM O CONDUTOR E SOLICIT CONTATO ATUALIZADO.</t>
  </si>
  <si>
    <t>JOAO DOUGLAS RIBEIRO PALHANO47 997265655 - MOT ESTARA ENVIANDO O VIDEO DE VERIFICAÇÃO</t>
  </si>
  <si>
    <t xml:space="preserve">LIGAÇÃO EFETUADA (COM SUCESSO) PARA O MOTORISTA O MESMO INFORMOU QUE. 81998908566 ESTA TUDO BEM ESTA PERNOITANDO NO POSTO </t>
  </si>
  <si>
    <t xml:space="preserve">LUCIANA BARROS - RODOBARROS TRANSPORTES - 37 98402-9535 - LUCINANA ATENDEU E ME QUESTIONOU O PQ N MANDAR DESBLOQ P VEIC SE O MESMO MANDOU O REINICIO DE VIAGEM APOS UMA PARADA. INFORMEI A ELA Q SO MANDARIA O DESBLOQ APÓS TER UM CTT COM O CONDUTOR PARA TER CERTEZA Q ESTA TUDO BEM. QUESTIONEI SE SERIA POSSIVEL UM AUXILIO PARA TENTAR O CTT E A MESMA INFORMOU Q SE N ESTOU CONSEGUINDO, MUITO MENOS ELA TERIA. AGARDECI A ATENÇÃO E ENCERREI A LIGAÇÃO! </t>
  </si>
  <si>
    <t>IGOR BRUNO VENTURA BERNARDO - TEL 1: (81) 997000438 CONF SENHAINF QUE PAROU DEVIDO HORARIO E PAROU POIS NESSE LOCAL HAVIA COMIDACIENTE DOS RISCOSVAI RETORNAR AO TREVÃO</t>
  </si>
  <si>
    <t>#### MOTORISTA ####(( ATENDE ))DOUGLAS DA SILVA DE OLIVEIRA19991418992NAO CONFIRMA SENHACONFIRMOU CPFINFORMA QUE NAO ACHOU LOCAIS PROXIMOS, O LOCAL QUE ESTA JA ESTA TRAVADO POR OUTROS VEICULOSNAO TEM COMO SEGUIR.FICOU CIENTE DOS RISCOS</t>
  </si>
  <si>
    <t>FICOU RETENDO LINHA</t>
  </si>
  <si>
    <t>MOTORISTA INFORMOU AE COMO SENHA E OPERADORA ACATOU</t>
  </si>
  <si>
    <t>MOTORISTA CONFIRMOU CPF E OPERADORA NÃO QUESTIONOU SOBRE A SENHA</t>
  </si>
  <si>
    <t>ANDERSON QUERUBIM GARCIA(51) 981633647 CONFIRMO SENHA, INFORMA QUE ESTÁ TROCANDO O CABO DA BATERIA QUE DEU PROBLEMA,SE RESOLVER HOJE VAI SEGUIR VIAGEM, ORIENTADO MANDAR FOTOS DO VEICULO</t>
  </si>
  <si>
    <t>VICTOR LOPES DOS SANTOS (21) 976713169 - MOT CONF SENHA E DISSE QUE SE ENCONTRA PERTO DO CLIENTE, PAROU POIS O FAROL QUEIMOUE IRÁ PERNOITAR, DISSE QUE O LOCAL APARENTEMENTE É RUIM DE AREA POIS ULTIMAMENTE SEMPRE QUE PARA PERDE POSIÇÃO, DISSE QUE NAO ESTA DE BAIXO DE COBERTURA. FOI SOLICITADO O QUE FORÇASSE A COMUNICAÇÃO E ENVIASSE A SUA LOC NO WHATS.</t>
  </si>
  <si>
    <t xml:space="preserve">LIGAÇÃO EFETUADA (COM SUCESSO) PARA O MOTORISTA  12974045350, INFORMOU QUE PAROU PARA ABASTECIMENTO E ESTÁ CIENTE DOS RISCOS. INFORMOU QUE VAI REINICIAR </t>
  </si>
  <si>
    <t xml:space="preserve">71996423564 - CONFIRMOU CPF E INFORMOU QUE PAROU NO POSTO POR ESTÁ CANSADO E INFORMOU QUE ESTÁ TUDO CERTO COM O BAÚ E QUE ESTÁ GERANDO E ACHA QUE TEM PROBLEMA NO SENSOR - E INFORMOU QUE VAI GRAVAR O VIDEO ANTES DE INICIAR A VIAGEM </t>
  </si>
  <si>
    <t xml:space="preserve">LIGAÇÃO EFETUADA (COM SUCESSO) PARA O MOTORISTA  LEANDRO 11994739531 O MESMO INFORMOU QUE JA ESTAVA RODANDO, DISSE QUE ESTAVA TUDO BEM. SOLICITEI O VIDEO DA CABINE E O MESMO DISSE QUE NAO IA MANDAR O VIDEO. </t>
  </si>
  <si>
    <t>PASSOU INFORMAÇÃO DO ALERTA ANTES DE CONFIRMAR SENHA</t>
  </si>
  <si>
    <t>Obs.:</t>
  </si>
  <si>
    <t>PRF RONDONOPOLIS/MT - 06539283075 - PASSADAS INFORMAÇÕES DO VEICULO, EM CASO DE NOVIDADES RETORNAR OPENTECH</t>
  </si>
  <si>
    <t xml:space="preserve">65996231943 MOT INF SENHA, INF QUE ESTA TUDO OK, TEVE UM PROBLEMA COM O CABO DE ENGATE POREM JA FOI RESOLVIDO </t>
  </si>
  <si>
    <t xml:space="preserve">LIGAÇÃO EFETUADA (COM SUCESSO) PARA O PONTO DE APOIO, FALAMOS COM O POSTO 6333218100 QUE INFORMA QUE IRÁ PROCURAR O VEÍCULO E PEDIU PARA RETORNAR DENTRO DE 10MINUTOS </t>
  </si>
  <si>
    <t xml:space="preserve">JEIS CAMILLO VIEIRA BRAGA - TEL 2: (69) 992206781 - MOT CONFIRMOU SENHA E INFORMOU QUE PAROU PARA PERNOITE, O MESMO INFORMOU QUE NÃO POSSUI POSTO HOLOGADO A FRENTE, E JÁ INFORMOU SUA TRANSP, CIENTE DOS RISCOS </t>
  </si>
  <si>
    <t>RETENÇÃO DE LINHA</t>
  </si>
  <si>
    <t>CONF CPF AO INVÉS DA SENHA</t>
  </si>
  <si>
    <t xml:space="preserve">LIGAÇÃO EFETUADA (COM SUCESSO) PARA O MOTORISTA O MESMO INFORMOU QUE...ALCIDES FERNANDO BOLETTI - CEL: (43) 33791500 - TEL 1: (43) 33791500 - TEL 2: (43) 999078284, INFORMOU CPF E AVISOU QUE O VEICULO ESTÁ SEM BATERIA, ENVIOU VIDEO WPP </t>
  </si>
  <si>
    <t xml:space="preserve"> MARCUS MATTOS - GC COSAN  21 96966-0070  INFORMEI SOBRE O VEICULO ELE IRIA REVIFICAR .. </t>
  </si>
  <si>
    <t xml:space="preserve">OPERADORA PERDIDA COM AS INFORMAÇÕES, CLIENTE PRECISA FICAR PERGUNTANDO </t>
  </si>
  <si>
    <t>LEANDRO LIMA OLIVEIRA - (71) 996612007MOT ATENDEU, CONFIRMOU CPF, INFORMOU QUE NÃO RECEBEU SENHA. INFORMOU QUE PAROU PARA ABASTECER E PERNOITAR, O VEÍCULO FOI BLOQUEADO E O MESMO PRESSIONOU O BOTÃO PARA QUE ENTRASSEM EM CONTATO. FOI INFORMADO QUE O POSTO NÃO É HOMOLOGADO, ORIENTADO A SEGUIR PARA POSTO HOMOLOGADO, ORIENTADO A NÃO PRESSIONAR O BOTÃO SEM NECESSIDADE</t>
  </si>
  <si>
    <t>EDUARDO LUIZ JANUÁRIO</t>
  </si>
  <si>
    <t>LIGAÇÃO EFETUADA (COM SUCESSO) PARA O MOTORISTA (31) 975155387 - INFORMOU A SENHA SE SEGURANÇA, DISSE AINDA QUE NÃO SABIA QUE HAVIA PARADO EM LOCAL NÃO HOMOLOGADO PARA PERNOITAR E QUE ESTÁ SEGUINDO VIAGEM</t>
  </si>
  <si>
    <t>SOLICITOU A AUTORIZAÇÃO DE EMBARQUE AO INVÉS DA SENHA</t>
  </si>
  <si>
    <t xml:space="preserve">CLEMILSON MARCAL DE MAGALHAES - CEL: (21) 21999599120 - TEL 1: (21) 999599120 - TEL 2: (21) 999599120 2X SENHA OK  DESLIGOU A CHAVE GERAL DO VEICULO E ESTA EM SUA CASA AGORA . E DISSE QUE ESTA A 20 KM DO LOCAL .  E O MESMO N VAI ATE O LOCAL AGORA .   </t>
  </si>
  <si>
    <t>UTILIZAR A FUNÇÃO MUDO - NÃO CONFIRMOU NOME DO POSTO - PEDIU LOCALIZAÇÃO NO WHATS SEM NECESSIDADE, MOTORISTA NEM ESTAVA NO VEÍCULO.</t>
  </si>
  <si>
    <t xml:space="preserve">SERGIO LUIS MORAES - CEL: (11) 947947149 - LIGAÇAO EFETUADA COM SUCESSO, MOT CONF SENHA, TUDO CERTO COM A VIAGEM, SEM NOVEDADES </t>
  </si>
  <si>
    <t>(41) 995087078 - CONF CPF E NOME DA MAE FOI ORIENTADO SOBRE CASO DE SINISTROS INFOMOU QUE ESTA VOLTANDO PRA ROTA</t>
  </si>
  <si>
    <t>ALEX PEREIRA CASTELO BRANCO99984006324NÃO SABE A SENHA E CONFIMROU CPF. DISSE QUE ESTA DE BAIXO DA COBERTURA DO POSTO E QUE NÃO CONSEGUIRIA MEXER O VEICULO E NÃO ENVIARIA LOCALIZAÇÃO EM TEMPO REAL DE 8H</t>
  </si>
  <si>
    <t xml:space="preserve">CELIO DE JESUS ROSA DA CRUZ 11 99538-2118 CONFIRMOU A SENHA, DISSE QUE ESTAVA CANSADO E PAROU PARA TIRAR UM COCHILO, IRIA REINICIAR EM SEGUIDA, O MESMO FOI ORIENTADO DOS RISCOS </t>
  </si>
  <si>
    <t>ANA CLARA ALVES PEREIRA</t>
  </si>
  <si>
    <t xml:space="preserve">MILTON JOSE SANTANA - CEL: (67) 999129924 MOT CONF CPF E INFORMOU QUE ESTA NA ROTA QUE FOI PASSADO PARA ELE, FOI AVISO DO RISCO CASO SISTRO </t>
  </si>
  <si>
    <t>CLEITON ALVES DOS SANTOS - CEL: (71) 982565498 - TEL 1: (71) 982565498 - TEL 2: (71) 982565498MOT CONF SENHA, INFORMOU QUE ESTA PROXIMO DE FEIRA DE SANTANA, VAI ENVIAR A LOCALIZAÇÃO EM TEMPO REAL</t>
  </si>
  <si>
    <t>NÃO SOLICITOU SENHA</t>
  </si>
  <si>
    <t>POSTO CAJU079981291621 INFORMOU QUE VAI VERIFICAR SE O VEICULO ESTA NO PATIO DO POSTO RETORNAR DAQUI A 10 MINUTOS</t>
  </si>
  <si>
    <t>CELSO RICARDO SILVA LIRO - CEL: (74) 991107695 - MOT CONFIRMOU SENHA, INFORMOU QUE ESTA TUDO OK E ESTA EM POSTO FISCAL NO MOMENTO</t>
  </si>
  <si>
    <t>CONDUTOR ATENDEU INFORMOU CPF E INFORMA QUE ESTA ALMOÇANDO E QUE LOGO VAI REINICIAR(47) 996293232</t>
  </si>
  <si>
    <t>ADRIANO BOBSIN RITTER(51) 981689850MOT CONF DADOS, AFIRMA QUE ESTAVA DESCANSANDO E QUE VAI LIGAR E DESLIGAR O VEICULO, TAMBEM RESPONDEU VIA WPP E ENVIOU LOC EM TEMPO REAL POR 8 HORS</t>
  </si>
  <si>
    <t>(81) 995677194CONDUTOR CONFIRMA SENHA.AFIRMA QUE PAROU PARA TOMAR CAFÉ E RETORNA A ROTA EM 30 MINUTOS.CIENTE DOS RISCOS.</t>
  </si>
  <si>
    <t>INFORMOU ALERTA ANTES DE PEDIR SENHA</t>
  </si>
  <si>
    <t>PRISCILA DE LIMA</t>
  </si>
  <si>
    <t xml:space="preserve">MAISA SANTOS ALEXANDRE </t>
  </si>
  <si>
    <t>NÃO CONFIRMOU SENHA DE SEGURANÇA</t>
  </si>
  <si>
    <t>BBM</t>
  </si>
  <si>
    <t>48991050088 - MOT CONF SENHA, INFORMOU QUE A SAÍDA NO PLANO DE VIAGEM SEGUE POR UMA ROTA RUIM PARA CARRETA, A VIA É APERTADA, O MESMO PRECISOU SEGUIR POR OUTRO LUGAR MAS JÁ ESTÁ RETORNANDO A ROTA.</t>
  </si>
  <si>
    <t>RUAN RICHELI DA SILVA</t>
  </si>
  <si>
    <t>47991351354 CONF CPF, DISSE NAO SABER A SENHAVAI ENVIAR MACRO DE REINICIO</t>
  </si>
  <si>
    <t>EM LIGAÇÃO MOTORISTA INFORMOU QUE RECEBEU O PLANO DE VIAGEM MASW QUE NÃO SE ATENTOU AS ROTAS, ELE INFORMOU QUE  HAVIA SOLICITADO A ALTERAÇÃO PARA A OPERAÇÃO, ELE CONFIRMOU DADOS DE SEGURANÇA E ESTA CIENTE DOS RISCOS.54 981266901  ANGELINO PINHEIRO</t>
  </si>
  <si>
    <t>JEAN CARLOS CONSTANTINO MIRANDA</t>
  </si>
  <si>
    <t>FELIPE SILVA (41) 99187-0856 / INFORMADO SOBRE DESVIO DE ROTA / ORIENTADO A ALTERAR TRAJETO / CIENTE  DA POSSIVEL PERDA DE SEGURIDADE</t>
  </si>
  <si>
    <t xml:space="preserve">ANDERSON REIS DOS SANTOS - CEL: (69) 999224326 ( CONF CPF INFORMA QUE NÃO APERTOU, ESTA INDO CARREGAR E IRÁ ENVIAR VIDEO ) </t>
  </si>
  <si>
    <t>OSVANILDO FERREIRA MARIANO 24 99986-2907MOTORISTA INFORMA DADOS POSITIVMENTE E DIZ QUE ESTA PERNOITANDO NA CIDADE PARA QUE AMANHA REALIZE A TROCA DE PNEU.MOTORISTA CINETE DOS ROSCOS SECURTIARIOS E A ELE FOI OFERECIDO POSTO HOMOLOGADO PROXIMO PAREA DESLOCAMENTO, ONDE O MESMO RECUSA-SE A IR.</t>
  </si>
  <si>
    <t>ANDERSON VALDEMAR PEREIRA FRANCO (32) 991839685 CONFIRMOU SENHA RELATOU QUE NÃO PASSA CARRETA E JA HAVIA PEDIDO AJUSTE, ORIENTADO.</t>
  </si>
  <si>
    <t>18º BATALHÃO DE POLÍCIA MILITAR PONTES E LACERDA &gt;06532661190&gt; COM SUCESSO PM LEONARDO ANOTOU CARACTERISTICAS DA PLACA E NUMERO PARA CONTATO</t>
  </si>
  <si>
    <t>VALERIO JOSE SEBASTIAO(47) 996916811 - MOT CONF DADOS, INFORMA QUE ESTÁ CHEGANDO EM PROPRIÁ, EM MOVIMENTO. CHOVENDO NA REGIÃO</t>
  </si>
  <si>
    <t xml:space="preserve">EDINALDO ZECKEL DE FRANCA (42) 999019063  CONF CPF INF TUDO OK CHEGANDO EM EXTREMA </t>
  </si>
  <si>
    <t>FABIANO DA SILVA LINS - (81) 996340152 CONF DADOS, INF ESTAR PASSANDO POR VITÓRIA DE SANTO ANTÃO - ORIENTADO A FORÇAR COMUNICAÇÃO E ENVIAR A LOC</t>
  </si>
  <si>
    <t>JOSE ADEILTON DA SILVA BARBOSA - CEL:   1: (33) 9 9858 3853 MOT ATEN DEU CONF CPF E DISSE QUE RECEBEU O PLANO DE VIAGEM POREM A ROTA É POR ALI</t>
  </si>
  <si>
    <t>MOTORISTA NÃO TINHA SENHA, OPERADOR NÃO PEDIU DADOS E SEGUIU ATENDIMENTO</t>
  </si>
  <si>
    <t xml:space="preserve">LEDIFRAN A. EDUARDO 1° CONTATO77999404642 INF QUE JA ESTAVA VERIFICANDO E CONFIRMOU CONTATO DO CONDUTOR (34) 998088843. </t>
  </si>
  <si>
    <t>48996653164 CONF SENHA, INF QUE PNEU FUROU E PRECISOU PARAR NO POSTO, INF QUE APROVEITOU E JA TOMOU UM CAFE, ORIENTADO DOS RISCOS, MOT INF QUE JA VAI REINICIAR A ROTA</t>
  </si>
  <si>
    <t>AURELIO EVANGELISTA DE PAULA PAZ 91 982558743MOT CONF SENHA, INF QUE ESTÁ TUDO OK E NÃO MEXEU EM NADA NO PAINEL, VAI MANDAR O VIDEO PELO WHATS.</t>
  </si>
  <si>
    <t>ANDERSON VALDEMAR PEREIRA FRANCO11 96395-6343CONFIRMOU SENHA, INFOMRA QUE ESTA REALIZANDO A ROTA PASSANDO POR BR262 / BELO HORIZONETE / BR040 / CONGONHAS, CONFORMA INSTRUIDO</t>
  </si>
  <si>
    <t xml:space="preserve">LINDINEI DOS SANTOS SILVA - CEL (34) 984315459 MOT CONF SENHA, ALEGOU QUE ESTÁ ABASTECENDO NO LOCAL ORIENTADO DOS RISCOS E SEGUIR PARA O POSTO AUTORIZADO E REINICIAR SEGUNDA. </t>
  </si>
  <si>
    <t>DICA DE SENHA</t>
  </si>
  <si>
    <t xml:space="preserve">FABIO OLIVEIRA LIMA -  - TEL 2: (11) 967617924MOT INF QUE ESTA EM 3CORAÇÕES , VAI MANDAR LOC WHATS </t>
  </si>
  <si>
    <t xml:space="preserve"> &gt; GILVAN DA SILVA VIEIRA - (84) 986710405, CONDUTOR INFORMA QUE ESTA ABASTECENDO E VAI REINICIAR EM 10 MINUTOS, DIZ QUE FOI ORIENTADO PELO SEUS GESTORES A PARAR NO LOCAL, ORIENTAÇÕES PASSADAS. </t>
  </si>
  <si>
    <t xml:space="preserve">THIAGO RICARDO FIGUEIRO - CEL: (49) 999497543 -  LIG A CHAVE, ESTA GA NOTAS PARA SAIDA </t>
  </si>
  <si>
    <t xml:space="preserve">POSTO ALIANÇA (BANDEIRA BRANCA) 06399280-6555 // INFORMOU QUE VAI VERIFICAR E QUE ERA PRA RETORNAR EM 5 MINUTOS </t>
  </si>
  <si>
    <t>LIGAÇÃO EFETUADA (COM SUCESSO) PARA O MOTORISTA MARCOS SANTOS DE REZENDE - CEL: (21) 97014-8821 &gt; CONFIRMOU SENHA E INFORMOU QUE PAROU PARA ABASTECIMENTO E QUE LOGO VAI REINICIAR E FOI ORIENTADO DOS RISCOS</t>
  </si>
  <si>
    <t xml:space="preserve"> WILLIAN VILELLA ERMIDA RIBEIRO - CEL: (24) 99252-8262  MOTORISTA CONFIMOU SENHA E INFORMOU QUE ESTA NO POSTO RESENDÃO DO LADO DE OUTROS VEICULOS E VAI ENVIAR A LOCALIZAÇÃO PELO WHATS</t>
  </si>
  <si>
    <t xml:space="preserve">CTT APOIO:04932417527 POSTO SERRANO III ROD. RÉGIS BITTENCOURT, 651, SANTA CECÍLIA - SC, 89540-000 ATENDEU IRA VERIFICAR SE O VEICULO CONSTA NO LOCAL ANOTA AS CARACTERISTICAS E A PLACA. </t>
  </si>
  <si>
    <t>PEDRO SOUZA - CEL: (21) 964409216CONDUTOR INFORMOU QUE BATERIA APAGOU E QUE NÃO ESTÁ CONSEGUINDO REALIZAR MANUTENÇÃO.</t>
  </si>
  <si>
    <t xml:space="preserve">PRF PATO BRANCO/PR (41) 3535-2121 - NAO RECEBE (46) 99136-7659 - GUSTAVO PEGOU OS DADOS E 0800 </t>
  </si>
  <si>
    <t xml:space="preserve">PRF ALHANDRA/PB (83) 3533-4712 - SR RICARDO PEGOU OS DADOS E 0800 </t>
  </si>
  <si>
    <t>ROBSON TRANSPORTADORA ZANINI49 9 9911-1800 - FICOU CIENTE, VAI TENTAR CONTATO COM O CONDUTOR</t>
  </si>
  <si>
    <t>DEIVISON DOS SANTOS - CEL: #1CONTATOS (24) 999997963EM CONTATO COM O CONDUTOR, CONF DADOS, INFORMOU QUE ESTÁ DENTRO DA ROTA PASSADA, CIENTE DOS RISCOS, SOLICITAR PARA G2L O AJSUTE</t>
  </si>
  <si>
    <t>UNIDADE OPERACIONAL EM DOM ELISEUENDEREÇO: BR-010, KM 19, DOM ELISEU/PA9132829423COLETOU AS INFORMAÇÕES E O CONTATO PARA RETORNO, INFORMOU QUE NÃO TEM NENHUMA OCORRENCIA NA REGIÃO E RODOVIA NÃO TEM PEDAGIO</t>
  </si>
  <si>
    <t>UNIDADE OPERACIONAL PICOSENDEREÇO: BR 316, KM 294, POVOADO MIROLÂNDIA, PICOS - PI8633026366COLETOU AS INFORMAÇÕES E IRÁ ENTRAR EM CONTATO CASO TENHA RETORNO.INFORMOU QUE REGIÃO É DE SERRA E A PERDA DE SINAL É NATURAL NO LOCAL</t>
  </si>
  <si>
    <t>RONALDO DO CARMO LOPES(32) 991990540 - INFORMOU QUE VAI ABASTECER E VAI REINICIAR, PEDIU PARA BAIXAR LIBERADO, ORIENTADO DOS RISCOS.</t>
  </si>
  <si>
    <t>ACATOU CPF NO LUGAR DA SENHA</t>
  </si>
  <si>
    <t xml:space="preserve">11 99227-2411 MOT CONF CPF INFORMA QUE SEGUE EM MOVIMENTO VAI MANDAR LOC PELO WPP </t>
  </si>
  <si>
    <t xml:space="preserve">ADRIANO DA SILVA SANTOS TEIXEIRA - CEL:  (21) 967463621 ATENDEU CONF SENHA E INF ESTAR DENTRO DO GALPAO DO SENDAS DESCARREGANDO, FOI ORIENTADO A ENVIAR MSG NO TECL P FORÇAR POSIÇÃO  </t>
  </si>
  <si>
    <t>NÃO ATENDEU AO CONDUTOR E MESMO ASSIM QUALIFICOU A CHAMADA</t>
  </si>
  <si>
    <t xml:space="preserve">11 93020-2667 CONF SENHA, INFORMOU QUE NÃO MEXEU EM NADA E ESTÁ TUDO BEM, PASSOU POR UMA PARTE DA ESTRADA DE BURACOS, SOLICITADO VIDEO </t>
  </si>
  <si>
    <t>HEILAN FONSECA SANTOS - 11982153053 &gt;&gt;&gt; MOT CNF UM NUMERO A MAIS NA SENHA, NÃO QUIS CONFIRMAR O CPF POIS INFORMOU QUE NA LIGAÇÃO ANTERIR COM OUTRO OP. DA JBS FOI CONFIRMADO A SENHA QUE ELE ME PASSOU AGORA, ACATEI DESTA FORMA, MOT INF QUE ESTA EM MOVIMENTO SEGUINDA NA DUTRA SENTIDO LORENA, ESTA TUDO OK NA VIAGEM, REGIÃO RUIM DE SINAL</t>
  </si>
  <si>
    <t>11942442240 MOT CONF SENHA DE SEG, INF QUE ESTÁ ALMOÇANDO E DAQUI A UNS 10 MIN IRÁ REINICIAR A VIAGEM E IR PARA O CLIENTE SUPERMERCA CKJRUA ASSILTIDS. 136 7KM, FOI SOLIC MSG DE TUDO OK</t>
  </si>
  <si>
    <t>11960742517 - MOT CONF SENHA,INF QUE ESTA NO INDO PARA O CLIENTE , INF QUE A EG QIE ESTA PASSANDO É RUIM DE SINAL MESMO TEM MUITA ARVORE E PREDIO, INF QUE ESTA TUDO CERTO, ORIENTADO A FORÇAR POSIÇÃO</t>
  </si>
  <si>
    <t>11987721680LIG AO MOT COM SUCESSO CONF SENHA ESTA NO CLIENTE EMBAIXO DE COBERTURA, PEDIU COMANDO DE SUBIR O PINO DO BAU. INFOMROU QUE ESTA TUDO BEM COM A VIAGEM.</t>
  </si>
  <si>
    <t>NÃO SOLICITOU SENHA DE SEGURANÇA</t>
  </si>
  <si>
    <t>(11) 930202667 - CONFIRMOU SENHA E INFORMOU TUDO OKESTÁ SOZINHO E SEM AJUDANTE.VAI GRAVAR O VIDEO, FALTA UMA ENTREGA AINDA, MAS VAI REALIZAR AMANHÃ.</t>
  </si>
  <si>
    <t xml:space="preserve">11978611857 - MOT CONF SENHA INF QUE ESTA TRUDO OK COM A VIAGEM INF QUE O AJUDANTE ESBARROU NO BOTÃO, FOI SOLICITADO O VIDEO PARA CONFIRMAÇÃO </t>
  </si>
  <si>
    <t>(21) 966636490 MOT CONF SENHA E INFO QUE ESTÁ NO PRIMEIRO CLIENTE, REGIÃO RUIM DE SINAL.INFO QUE ESTA MOVIMENTANDO PRA VER SE O SINAL VOLTA POIS PRECISA DE MACROS</t>
  </si>
  <si>
    <t>ALEXANDER HILDEFONSO BARBOSA - 21991692903 MOT CONFIRMOU SENHA, ESTA EM MOVIMENTO, REGIAO RUIM DE SINAL, TUDO OK, ORIENTADO A ENVIAR MSG LIVRE E LOCALIZAÇÃO VIA WHATS</t>
  </si>
  <si>
    <t xml:space="preserve">MOT CONFIRMOU SENHA, INFORMOU QUE ESTA NO CLIENTE (SUPERMERCADO MUNDIAL) NA FAVELA DA ROCINHA, ESTA SEM AJUDANTE E ESTA TUDO BEM NA VIAGEM, ORIENTEI O MESMO A MANDAR UMA MENSAGEM LIVRE NO TECLADO PARA FORÇAR COMUNICAÇÃO CONOSCO </t>
  </si>
  <si>
    <t>MOT CONF CPF PORQUE A SENHA ESTÁ NO CAMINHÃO, PAROU PARA COMER E IR NO BANHEIRO. INFORMOU QUE JÁ VAI SAIR, EM 10 MINUTOS</t>
  </si>
  <si>
    <t xml:space="preserve">79998178228 - INF SENHA , INFORMOU QUE VAI SEGUIR PELA BR 346 E SEGUIRA LOGO APOS PELA BR 116 </t>
  </si>
  <si>
    <t>NÃO ATENDEU A LIGAÇÃO EM ATÉ 45  SEGUNDOS</t>
  </si>
  <si>
    <t>21974816861 - MOT CONF SENHA, INFORMOU QUE ESTÁ EM UMA REGIÃO RUIM DE SINAL, REGIÃO DE SERRA. SOLITADO FORÇAR SINAL</t>
  </si>
  <si>
    <t>82994324459 MOT CONFIRMOU CPF, DISSE QUE PAROU PARA COMAER E O TECLADO NÃO PASSOU AS MACROS, JÁ AVISOU A TRANSPORTADORA</t>
  </si>
  <si>
    <t>NÃO QUESTIONOU O MOTIVO PELO QUAL MOTORISTA NÃO CONFIRMOU A SENHA</t>
  </si>
  <si>
    <t xml:space="preserve">11981650971 MOT CONF SENHA E INFORMOU QUE ESTA EM SANTOS, O MESMO FOI INFORMADO A FAZER O EENVIO DAS UA LOC EM TEMPO REAL </t>
  </si>
  <si>
    <t>PEDIU INFORMAÇÃO ANTES DE CONFIRMAR SENHA E RETENÇÃO DE LINHA DURANTE QUASE 6 MINUTOS</t>
  </si>
  <si>
    <t>MOT CONFIRMOU CPF, INFORMOU QUE JÁ TA DE PERNOITE E VAI REINICIAR AMANHÃ 16/01 AS 07H00</t>
  </si>
  <si>
    <t>ALEXANDER HILDEFONSO BARBOSA - CEL: (21) 21964677813 - MOT CONF SENHA E INF QUE ESTA ESTA A CAMINHO DO MERCADO BH, ORIENTADO FORÇAR COMUNICAÇÃO</t>
  </si>
  <si>
    <t>ORLANYS ARREAZA</t>
  </si>
  <si>
    <t xml:space="preserve"> JOSE MARCOS BARBOSA - CEL: (11) 947467356  MOT INFORMA QUE ESTA BEM QUE O VEICULO ESTA BLOQUEADO NO CLIENTE, E SOLICITADO ENVIAR VIDEO NO WPP </t>
  </si>
  <si>
    <t>VICTOR HUGO DE MELO CAMACHO RODRIGUES (21) 993697236 (MOT INF QUE ESTA NO CLIENTE FOGÃO NOBRE QUE NA NOTA É MARINS, INF QUE A REGIÃO É RUIM DE SINAL DE TELEFONE E BVAI ENVIR LOC NO WPP )</t>
  </si>
  <si>
    <t xml:space="preserve">(16) 981718197 MOT CONF CPF, O MESMO INFORMOU QUE ESTA EM LOCAL RUIM DE SINA, IRA REINICIAR AMANHA AS 06, O MESMO ENCONTRA SE DE PERNOITE NO MOMENTO, FOI ORIETADO A ENVIA LOC NO WPP, E VAZER OS PROCEDIMENTOS PARA QUE O VEICULO VOLTE A POSICIONAR </t>
  </si>
  <si>
    <t xml:space="preserve">MOTORISTA PERGUNTA SE PODE CONFIRMAR O CPF POR SER MAIS RÁPIDO, OPERADORA NÃO INISISTE NA SENHA E ACATA. RETENÇÃO DE LINHA CERCA DE 12 MINUTOS </t>
  </si>
  <si>
    <t xml:space="preserve">MOTORISTA CONFIRMOU SENHA, INFORMOU QUE ESTA DE PERNOITE NO POSTO UIRAPURU EM UBÁ, FICARA EM PERNOITE ATE AS 06H MAIS OU MENOS, TENTARA FORÇAR COMUNICAÇÃO E INFORMOU QUE A REGIÃO É RUIM DE SINAL. </t>
  </si>
  <si>
    <t>PARADO NA SERRA, SEM SINAL DE INTERNET. ASSIM QUE CONSEGUIR VAI ENVIAR A LOC.</t>
  </si>
  <si>
    <t>SANDRO DE MORAES(11) 9 4961 8491 - PASSOU DE BAIXO DO TUNEL DO RODANEL, DISSE QUE PASSA POR 3 TUNEIS, PASSOU POR TODOS JÁ. DISSE QUE VAI PASSAR POR PRESIDIOS, MANDOU LOC EM TEMPO REAL POR 8H CASO GERE NOVAMENTE</t>
  </si>
  <si>
    <t>SCARLET MEROLI FERREIRA DE OLIVEIRA</t>
  </si>
  <si>
    <t xml:space="preserve">MOT CONF SENHA DIZ QUE ESTA PASSANDO POR LOCAL CO AREA RUIM MAS VAI MANDAR LOC NO WPP E OK NO TECLADO </t>
  </si>
  <si>
    <t xml:space="preserve">11967220303 &gt;&gt; CONFIRMOU SENHA, ESTA EM BERTIOGA COM UMA DEVOLUÇÃO, ESTA AGUARDANDO PARA IR DESCARREGAR, ORIENTADO A FORÇAR COMUNICAÇÃO COM O VEÍCULO E NOS INFORMAR QUANDO FOR DESCARREGAR. </t>
  </si>
  <si>
    <t>POLÍCIA RODOVIÁRIA FEDERAL - 07921073972 ROD. GOVERNADOR MÁRIO COVAS, KM 23 - S/N - CRUZ DA DONZELA, MALHADA DOS BOIS - SE, 49940-000ATENDENTE MALAQUIAS INFORMOU QUE NA REGIÃO ESTÁ CHOVENDO BASTANTEDISSE QUE A VIATURA ESTA EM OCORRENCIA E POR ISSO IRÁ DEMORAR PARA RETORNAR A BASE, E ASSIM QUE RETORNAR ELE IRÁ REPASSAR O CASO PARA QUE OS POLICIAS VERIFIQUEMINFORMOU QUE EM 1 HORA É PARA RETORNAR A LIGAÇÃO PARA VERIFICAR</t>
  </si>
  <si>
    <t>COMPORTAMENTO ANTIÉTICO</t>
  </si>
  <si>
    <t>EDMILSON NONATO DA CONCEICAO JUNIOR - CEL: (41) 988233431 -  POR LIGAÇÃO MOT CONFIRMOU A SENHA, O MESMO INFORMOU QUE ESTA JÁ ESTA EM MOVIMENTO, ORIENTAMOS O MESMO A MANDAR UMA MENSAGENS DE TUDO OK PELO TECLADO,  ORIENTAMOS O MESMOA MANDAR SUA LOCALIZAÇÃO EM TEMPO REAL DE 08H00.</t>
  </si>
  <si>
    <t xml:space="preserve">MOTO CONFIRMO SENHA , INFORMO QUE ESTA EM UM POSTO DE ABASTECIMEINTO , FOI ORIENTADO OS RISCOS E PARAR EM POSTOS HOMOLOGADOS, ELE INFORMO Q E SEGURO ESSE LOCAL  , FALO QUE IRIA REINICIAR DE AI UNAS 2 HORAS MAXIMO </t>
  </si>
  <si>
    <t>MICROFONE MUITO PRÓXIMO A  BOCA</t>
  </si>
  <si>
    <t>ARYELLE DE JESUS DA SILVA</t>
  </si>
  <si>
    <t>GUILHERME SOARES GRAPER</t>
  </si>
  <si>
    <t>JULIA AURA FERREIRA</t>
  </si>
  <si>
    <t>LEVI FERREIRA DOS SANTOS</t>
  </si>
  <si>
    <t>LUCAS JUNQUEIRA BASTOS DA SILVA</t>
  </si>
  <si>
    <t>LIGAÇÃO EFETUADA (COM SUCESSO) PARA O MOTORISTA 42 9813-1554 O MESMO INFORMOU QUE ESTÁ NO POSTO COMENDO, IRÁ REINICIAR CERCA DE 30 MINUTOS APROXIMADAMENTE, ORIENTADO A FORÇAR O SINAL DO VEÍCULO, VEÍCULO PROXIMO A ARVORES</t>
  </si>
  <si>
    <t>CONDUTOR PERGUNTA SE PODE CONFIRMAR CPF E OPERADOR NÃO QUESTIONA O PORQUE ELE NÃO CONFIRMA A SENHA</t>
  </si>
  <si>
    <t>MONTES CLAROS, MG (31) 3064-5445 COLHEU OS DADOS DO VEICULO E IRA RETORNAR CASO GERE OCORRENCIA NA REGIAO</t>
  </si>
  <si>
    <t>BRILHANTE TRANSPORTES NACIONAL E INTERNACIONAL LTDAPAULO ANDRE PIRES TOLEDO   (31) 99150-6634GR/RASTREAMENTO/MONITORAMENTOROTAS@BRILHANTETRANSPORTES.COM.BR 4599990-0549, EM CONTATO COM O TRANSPORTADOR, O MESMO SOLICITOU UM POSTO MAIS PROXIMO DO MOTORISTA, INFORMOU QUE IRIA ORIENTAR O MOT A SEGUIR ATÉ O LOCAL, SOLICITOU QUE ENVIASE O NOME DO POSTO E A LOCALIZAÇÃO PELO WHATS</t>
  </si>
  <si>
    <t>PM - CAMPINAS01932813812 PEGOU OS DADOS E IRÁ PASSAR PARA OS POLICIAMENTOS PROXIMOS , FICOU COM O 0800 QUALQUER NOVIDADE RETORNA</t>
  </si>
  <si>
    <t>POLICIA RODOVIARIA FEDERAL8132010732 EM CONTATO COLETOU OS DADOS E VAI ENVIAR UMA VIATURA E RETORNA</t>
  </si>
  <si>
    <t xml:space="preserve">COPOM SP - SÃO VICENTE/SP 013190 ATENDENTE COLETOU AS INFORMAÇÕES E IRÁ REPASSAR AS VIATURAS DA REGIÃO </t>
  </si>
  <si>
    <t xml:space="preserve">COPOM EMBU-GUAÇU028190 ATENDENTE COLETOU AS INFORMAÇÕES E IRÁ DESLOCAR UMA VIATURA ATÉ O LOCAL </t>
  </si>
  <si>
    <t>(21) 964250025 DEFERSON -  CONFIRMOU SENHA INFORMOU QUE JA FINALIZOU DESCARREGAMENTO APERTOU BOTÃO SEM QUERER QUANDO FOI PEGA RO TECLADO</t>
  </si>
  <si>
    <t>LIGAÇÃO EFETUADA (COM SUCESSO) PARA O MOTORISTA O MESMO INFORMOU QUE REGIO ADRIANO DA ROSA GONCALVES(53) 981371201HAVIA PASSADO POR CERRA POR ISSO INFLUENCIOU NO SINAL CONFIRMADO SENHA ORINETADO PASSAR LOCALIZAÇÃO VIA WHATSAPP</t>
  </si>
  <si>
    <t>PASSOU INFORMAÇÃO ANTES DE CONFIRMAR SENHA</t>
  </si>
  <si>
    <t xml:space="preserve"> (21) 965285697 CONF SENHA ESTA NO CLIENTE PADARIA SANTA MAR, REGIAO COM SINAL. FOI ORIENTADO</t>
  </si>
  <si>
    <t xml:space="preserve">JULIO CEZAR 21970089827 - MOT CONF SENHA E INFORMA QUE ESTÁ INDO PARA O MERCADO, QUE SERIA SEU PRÓXIMO CLIENTE, INFORMA QUE NUNCA ACONTECEU DE FICAR SEM POSIÇÃO NESSA REGIÃO, ENT N SABE SE É RUIM DE SINAL. </t>
  </si>
  <si>
    <t>(38) 991214174MOT CONF SENHA E INFORMOU QUE PAROU PARA URINAR E ABRIU A PORTA, FOI BLOQUEADO E APERTOU BOTÃO PARA CHAMAR A ATENÇAO, VAI ENVIAR VIDEO NO WPP</t>
  </si>
  <si>
    <t xml:space="preserve">11971740882 MOTORISTA FALOU QUE APERTOU O BOTÃO SEM QUERER </t>
  </si>
  <si>
    <t>8899354332 MOT ATENDCE CONF SENHA E INFORMA QUE ESTAVA FAZENDO MANUTENÇÃO (TROCA DE LAMPADA) INFORMOU PREV DE REINICIO E E STÁ PREVISTA PARA AS 16:00 DO DIA 23/01</t>
  </si>
  <si>
    <t xml:space="preserve">AGNALDO ALEGRIA - 19991550899 - CONFIRMOU CPF E NOME COMPLETO. INFORMOU QUE NÃO SABIA QUE POSTO ONDE ESTAVA NÃO ERA HOMOLOGADO. FOI ORIENTADO A SEGUIR ATÉ LOCAL HOMOLOGADO, ONDE LOCALIZAÇÃO FOI ENVIADA VIA WHATSAPP. </t>
  </si>
  <si>
    <t xml:space="preserve">VANDIK SILVA DE LIMA - CEL: (84) 994659883 - MOT ATENDEU CONFIRMOU SENHA E INFORMOU QUE ALI FOI O POSTO QUE DEU PRA PARAR POR CAUSA DO HORARIO INFORMADO DOS RISCOS E ORINTADO SEGUIR PARA OUTRO POSTO HOMOLOGADO </t>
  </si>
  <si>
    <t>CLEBER BORGES DA SILVA62 99433 5178 CONDUTOR INFORMA QUE ESTA SEGUINDO O GPS E QUE VAI PARAR NA BASE PARA ABASTECER, ORIENTADO A SOLICITAR ALTERAÇÃO DE ROTA.</t>
  </si>
  <si>
    <t>PRF  MARÍLIA - SP01434511044 HENRIQUE ANOTOU OS DADOS E 0800</t>
  </si>
  <si>
    <t>PRF  RIO NEGRINHO - SC04732080264 ANOTOU DADOS E 0800</t>
  </si>
  <si>
    <t xml:space="preserve">81988617850 MOT CONF SENHA E INF QUE PAROU PARA ABASTECER, JA VAI REINICIAR, ORINATDO E CIENTE DOS RISCOS, RECEBEU PLANO </t>
  </si>
  <si>
    <t>00;01:04</t>
  </si>
  <si>
    <t>APESAR DE UTILIZAR PALAVRAS COMO "SENHOR" E "OBRIGADA" OPERADORA NÃO REALIZOU UM BOM ATENDIMENTO, TOTALMENTE SEM VONTADE E SEM PACIÊNCIA.</t>
  </si>
  <si>
    <t>LIGAÇÃO EFETUADA (COM SUCESSO) PARA O MOTORISTA ROMILDO APARECIDO COLACO44991288830, INFORMOU QUE O LOCAL ESTA AUTORIZADO, DISSE QUE PAROU PARA ABASTECER E JANTAR, NÃO SABE SE IRA PERNOITAR NO LOCAL</t>
  </si>
  <si>
    <t>PRF - CARUARU8132010721 - ERICO COLETOU OS DADOS E INFORMOU QUE NÃO CONSEGUE DESLOSCAR UMA VIATURA, E NÃO POSSUI NENHUMA INFORMAÇÃO</t>
  </si>
  <si>
    <t>EM LIGAÇÃO MOTORISTA INFORMOU QUE RECEBEU O PLANO DE VIAGEM DA TRANSPORTADORA MAS QUE NÃO SE ATENTOU AO FINAL DO TRAGETO, FOI ORIENTADO A ENTRAR EM CONTATO COM TRANSPORTADORA E SOLCITAR AJUSTE DE ROTA, CONFIRMOU DADOS DE SEGURANÇA E ESTA CIENTE DOS RISCOS.JANILTON SILVA PEREIRA1987714865</t>
  </si>
  <si>
    <t xml:space="preserve">47 91330729 EM CONTATO COM O MOTORISTA O MESMO INFORMA QUE NÃO RECEBEU SENHA E NEM PLANO DE VIAGEM, ORIENTADO, E O MESMO JÁ IRÁ REINICIAR. </t>
  </si>
  <si>
    <t>PASSOU INFORMAÇÃO ANTES DE CONFIRMAR  A SENHA</t>
  </si>
  <si>
    <t>WESLEI MACHADO DE LIMA (11) 985053465 / MOT CONF SENHA / MOT INFORMA QUE NÃO RECEBEU PLANO DE VIAGENS COM ROTA / MOT INFORMA QUE VAI SEGUIR POR BARUERI -&gt; ITU -&gt; SALTO -&gt; INDAIATUBA / CIENTE DOS RISCOS</t>
  </si>
  <si>
    <t>WAGNER ANOTA DADOS E INFORMA QUE DESLOCARÁ UMA UNIDADE PARA O LOCALPOLÍCIA RODOVIÁRIA FEDERAL - IPIXUNA09132829422</t>
  </si>
  <si>
    <t>FALTOU O SETOR NO ATENDIMENTO PADRÃO</t>
  </si>
  <si>
    <t>JOSE DUARTE - CEL: (41) 998817913MOTORISTA CONFIRMA DADOS POSITIVAMENTE E INFORMA QU PAROU PARA TOMAR CAFE E JÁ SEGUIRÁ VIAGEM.AO MESMO É SOLICITADO PROCEDIMENTOS PADRÕES PARA RECUPERAR POSICIONAMENTE O EM RESPONTA O MESMO NFROMA QUE ASSIM QUE POSSIVEL IRÁ REALIZAR OS PROCEDIMENTOS</t>
  </si>
  <si>
    <t>00;03:30</t>
  </si>
  <si>
    <t>sIM</t>
  </si>
  <si>
    <t>BRUNA MIRANDA PEREIRA</t>
  </si>
  <si>
    <t>NATALIA DE SOUZA TORRES</t>
  </si>
  <si>
    <t xml:space="preserve">21 98166-4889CONF CPF ESTÁ NO CLIENTEHTTPS://MAPS.APP.GOO.GL/7CBP9D3Y2EIPKQRD8LOCAL RUIM DE SINAL </t>
  </si>
  <si>
    <t>FALTOU SETOR</t>
  </si>
  <si>
    <t>ALEXANDRE RICARDO RODRIGUES - 17996148025 &gt;&gt;&gt; MOT CNF SENHA, INF QUE ESTA NO SUPERMERCADO AMERELINHA AGUARDANDO PARA DESCARREGAR, TEM MAIS 5 NOTAS FORA ESSA. ESTA COM AJUDANTE;. INF QUE PODE TER BATIDO SEM QUERER NO BOTÃO MAS ESTA TUDO OK, VAI ENVIAR VIDEO NO WPP</t>
  </si>
  <si>
    <t>11970416806 MOT CONF SNEHA DE SEG, INF QUE ESTÁ NO CLIENTE JEAN LINO ALVESAV PAGIPIAM 2913 ESTÁ TUDO OK, REGIÃO É RUIM DE SINLA MAS ESTÁ TUDO OK, DOI SOLIC MS NO TECLADO E LOC NO WPP</t>
  </si>
  <si>
    <t xml:space="preserve">21971145725 - MOT CONF SENHA, INF QUE ESTA NO CLIENTE O MESMO INF QUE O LOCAL QUE ESTA NAO É RUIM DE SINAL, ORIENTADO A MANDAR A LOC  E MANDAR UM TUDO OK NO TECLADO </t>
  </si>
  <si>
    <t>NÃO CONFIRMOU SENHA</t>
  </si>
  <si>
    <t xml:space="preserve">21998131281 - CONFIRMOU SENHA, AJUDANTE [ MICHEL ] MOT CONFIRMOU SENHA TAMBÉM. CAMPO GRANDE INDO PARA GUARATIBA, RUIM DE SINAL, VAI PASSAR A LOCALIZAÇÃO POR WHAPPPRUA VICTOR ALVES 1540 PARADO NO SINAL.  </t>
  </si>
  <si>
    <t>FALTOU SAUDAÇÃO</t>
  </si>
  <si>
    <t xml:space="preserve">11958750249 - MOT COF SENHA INF QUE PASSOU POR UM BURACO E GEROU VIOLAÇÃO, INF QUE ESTA RETORNANDO PARA O CD PARA FICAR DE PERNOITE </t>
  </si>
  <si>
    <t>CARLOS ANDRE DA SILVA - CEL: (11) 959090785 -MOT CONFIRMOU SENHA, PAROU PARA IR AO BANHEIRO MAS JA VAI RE INICIAR, ORIENTADO ENVIAR MACRO CORRETA</t>
  </si>
  <si>
    <t>11932245396 - MOT CONF CPF, INFORMOU QUE ESTÁ DEBAIXO DO SHOPPING TERMINOU O DESCARREGAMENTO E ESTÁ SEGUINDO VIAGEM</t>
  </si>
  <si>
    <t>(11) 948536724 MOT CONFIRMOU SENHA, DISSE QUE ESTÁ EM LOCAL RUIM DE AREA E PASSOU POR HOSPITAL E AEROPORTO, TUDO CERTO</t>
  </si>
  <si>
    <t>FALTOU NOME E SETOR</t>
  </si>
  <si>
    <t>GUSTAVO HENRIQUE BAHRI HALASZ - TEL 2: (11) 993286457 MOT CONF SENHA E INF QUE ESBARROU SEM QUERER, ORIENTADO ENVIAR VIDEO NO WPP</t>
  </si>
  <si>
    <t xml:space="preserve">VICTOR DIEGO LIMA DE ARAUJO - (14) 998286027  MOT CONF SENHA INFORMA QUE ETA PASSANDO POR UMA REGION RUIM DE SINAL QUE TEM MUITA MATA MAS QUE ESTA TUDO CERTO </t>
  </si>
  <si>
    <t>NÃO ATENDEU</t>
  </si>
  <si>
    <t>ADROALDO FERNANDES MARTINS - CEL: (54) 981596585  MOT CONF DADOS, INFORMA QUE RECEBEU PLANO DE VIAGEM COM OS POSTOS HOMOLOGADOS, MAS QUE FEZ PRADA PARA SE ALIMENTAR, INFORMADO DOS RISCOS, DIZ QUE VAI REINICIAR EM 15 MINUTOS.</t>
  </si>
  <si>
    <t xml:space="preserve">(21) 970101362 &gt;&gt; NÃO TEM COMO OLHAR SENHA POIS ESTAVA DIRIGINDO, DISSE CPF, NÃO SE ATENTOU A ROTA, ORIENTADO DOS RISCOS, ORIENTADO A SEGUIR PARA O CLIENTE SEM PARADAS. DISSE QUE A ROTA CADASTRADA É MAIS PERIGOSA, SE TIVESSE OLHADO, TERIA PEDIDO ALTERAÇÃO PARA O SEU GESTOR, VAI SEGUIR DIRETO SEM PARADAS. </t>
  </si>
  <si>
    <t>ADALBERTO TAGLIAMENTO SOARES44999058225CONFIRMOU DADOS E FICOU DE FAZER OS PROCEDIMENTO PARA FORÇAR SINAL. MOT DISSE ESTAR EM PERNOITE NO PATIO DO POSTO EM LOCAL ABERTO E PRETENDE REINCIIAR AS 05H</t>
  </si>
  <si>
    <t>SILVIO COOTRASUL49 8801-4068ATENDEU E AFIRMOU QUE IRIA AVERIGUAR</t>
  </si>
  <si>
    <t>81984642792EM CONTATO COM CONDUTOR ELE AFIRMA QUE APERTOU O BOTÃO POIS ESTAVA BLOQUEADO. CONDUTOR CONFIRMA SENHA.</t>
  </si>
  <si>
    <t xml:space="preserve">STENIO JOSE DE SOUSA (81) 988697656 CONFIRMOU A SENHA, INFORMOU QUE O LOCAL É SEGURO E ESTAVA CANSADO PARA SEGUIR VIAGEM, OS OUTROS POSTOS QUE PASSOU NÃO TINHAM VAGA E VAI REINICIAR AS 5H, FOI ORIENTADO DOS RISCOS </t>
  </si>
  <si>
    <t>CARLOS ALBERTO RODRIGUES MORAES - CEL:(75) 982127173 CONDUTOR INFORMOU QUE ESTA NO POSTO REINICIA AS 5H IRA ENVIAR A LOCALIZAÇAO NO WPP</t>
  </si>
  <si>
    <t xml:space="preserve">JONICLEVERTON SANDES NASCIMENTO(47) 997164295CONFIRMADO SENHA PEDIIDO PARA PASSARMACRO PARA FORÇA O SINAL SOLICITADO LOCALIÇÃO EM TEMPO REAL </t>
  </si>
  <si>
    <t>DIRCEU DALTOE - CEL: (51) 999984718 - TEL 1: (51) 999984718 - TEL 2: (51) 999984718MOT CONF SENHA, INFORMOU QUE ESTA TUDO BEM ESTA NO POSTO FISCAL AGORA, NÃO FEZ NENHUM RESET OU DESLIGOU A BATERIA, VAI MANDAR FOTO DO VEICULO NO WHATSAPP</t>
  </si>
  <si>
    <t>NÃO SOLICITOU VIDEO</t>
  </si>
  <si>
    <t>NÃO CONFIRMOU DADOS</t>
  </si>
  <si>
    <t>ROBERTO OLIVEIRA DA SILVA JUNIOR(81) 971117942 CONDUTOR ATENDEU INFORMOU CPF E NOME COMPLETO, FALOU QUE ESTA NO CLIENTE MAIS ESTA TOMANDO CAFÉ SOLICITADO PARA ENVIAR UMA MENSAGEM DE TUDO E ENVIA A LOCALIZAÇÃO EM TEMPO REAL</t>
  </si>
  <si>
    <t>ISMAEL IZIDORIO DA SILVA FILHO - TEL 2: (81) 985425707 - MOT CONFIRMOU CPF, ESTA EM UMA MONTANHA, ESTA SEGUINDO PARA JOÃO PESSOA E ESTA TUDO OK</t>
  </si>
  <si>
    <t>CONDUTOR ATENDEU INFORMOU SENHA E INFORMA QUE ESTA ALMOÇANDO E QUE VAI REINICIAR DENTRE 1 HORA(81) 982759064</t>
  </si>
  <si>
    <t xml:space="preserve">COPOM 011190 - ACIONADO </t>
  </si>
  <si>
    <t>PMMG DE OURO BRANCO03137416596 EM CONTATO PEGOU OS DADOS DO VEICULO E INFORMOU QUE IRIA DESLOCAR UMA VIATURA</t>
  </si>
  <si>
    <t xml:space="preserve">EVERALDO APARECIDO DA ROSA - CEL: (43) 996444678 CONF SENHA INF QUE PASSOU A ROTA PARA ISABELA AJUSTAR, NÃO CONSEGUE IR PELA RIO DAS OSTRAS </t>
  </si>
  <si>
    <t>13991760271 CONF SENHA, INF QUE PAROU PARA ABASTECER, NAO SABIA QUE NAO PODIA PARAR NESTE LOCAL, ORIENTADO QUE NAO É HOMOLOGADO E DOS RISCOS, INF QUE JA VAI SAIR DO LOCAL</t>
  </si>
  <si>
    <t>JORGE LUIZ DE QUADROS VIDAL - 49) 999170122 CAIXA POSTAL / 49999170214 CONF DADOS, CIENTE, INF QUE ESTÁ TROCANDO A BATERIA QUE ARRIOU</t>
  </si>
  <si>
    <t xml:space="preserve">GILVAN ANTONIO DE BARROS (11) 970484841CONF SENHA E INF QUE SEMPRE FAZ ESSE CAMINHO. MOT ORIENTADO </t>
  </si>
  <si>
    <t>MICROFONE MAL COLOCADO</t>
  </si>
  <si>
    <t>FABIO DE PONTES NASCIMENTO11 970229136MOT CONF SENHA E INF QUE ESTÁ PASSANDO POR ITUMBIARA/GO, TUDO OK E SEGUE VIAGEM EM MOVIMENTO.IRÁ COMPARTILHAR LOC VIA WHATS.</t>
  </si>
  <si>
    <t>00;02:24</t>
  </si>
  <si>
    <t>JAIR CARDOSO DE ANDRADE(51) 995562177CONFIRMOU SENHA, ESTAVA PARADO NO POSTO PARA CAFE E ABASTECIMENTO, VAI ENVIAR MENSAGEM E ACIONE A IGNIÇÃO DE SEU VEÍCULO E ENVIE UMA MACRO, PARA FORÇAR A COMUNICAÇÃO COM A CENTRAL</t>
  </si>
  <si>
    <t>Nathália de Souza da Silva</t>
  </si>
  <si>
    <t>Observações</t>
  </si>
  <si>
    <t>ACATOU CPF COMO SENHA</t>
  </si>
  <si>
    <t>ACATOU AE COMO SENHA</t>
  </si>
  <si>
    <t>INFORMAÇÃO ANTES DA SENHA</t>
  </si>
  <si>
    <t xml:space="preserve"> NÃO USOU FUNÇÃO MUDO</t>
  </si>
  <si>
    <t>NÃO ATENDEU DENTRO DE 45 SEGUNDOS</t>
  </si>
  <si>
    <t>FALTOU NOME</t>
  </si>
  <si>
    <t>NÃO SOLICITOU VÍDEO</t>
  </si>
  <si>
    <t xml:space="preserve">ANDERSON ANDRE RODRIGUES - CEL: (47) 996324147 - T MOT INF QUE ESTA EM VIAGEM , MUITO TRANSITO, LOCAL RUIM DE SINAL , QUANDO PEGAR SINAL WI FI MANDA LOC WHATS </t>
  </si>
  <si>
    <t xml:space="preserve"> &gt; RICARDO GIRVENT - 11 98409-0131, INFORMOU QUE VAI TENTAR CONTATO COM O CONDUTOR.  </t>
  </si>
  <si>
    <t xml:space="preserve">MARCELO PEREIRA MARTINS - CEL: (27) 996025389 -  ESTA TUDO OK , IRA ENVIAR VIDEO DO TECLADO </t>
  </si>
  <si>
    <t xml:space="preserve">POLÍCIA RODOVIÁRIA FEDERAL SAFRA - ITAPEMERIM 2732126990 - GIOVANI COLETOU OS DADOS E VAI REPASSAR AS INFORMAÇÕES. NÃO POSSUI NENHUMA OCORRÊNCIA </t>
  </si>
  <si>
    <t xml:space="preserve">PRF - ITUMBIARA06232168886 QUEIROZ INFORMOU QUE NÃO TEM NENHUMA OCORRÊNCIA EM ANDAMENTO, PORÉM SE SURGIR ALGO ENTRARÁ EM CONTATO. </t>
  </si>
  <si>
    <t xml:space="preserve">GENESIO APARECIDO DA COSTA - 44997000161 / INFORMOU QUE ESTA TUDO OK E NO POSTO TRABUCO EM OSVALDO CRUZ // DISSE QUE IRA MANDAR LOCALIZAÇÃO E FORÇAR SINAL </t>
  </si>
  <si>
    <t xml:space="preserve"> MARCOS DA SILVA GODINHO - CEL: (21) 980674873 MOTORISTA CONFIRMOU CPF E INFORMOU QUE ESTA INDO PARA A BARRA DO PIRAÍ E ESTA EM MOVIMENTO.</t>
  </si>
  <si>
    <t>QUALIFICAÇÃO INCORRETA</t>
  </si>
  <si>
    <t xml:space="preserve">55 71 9363-0856 MOT CONF SENHA E INF QUE A RREGIÃO É RUIM DE SINAL, REINICIA POR VOLTA DAS 04/05H, VAI ENVIAR LOC NO WPP </t>
  </si>
  <si>
    <t>POLÍCIA RODOVIÁRIA FEDERAL - UNIDADE OPERACIONAL EM LAGOA VERMELHARODOVIA BR 285, KM 196,4, LAGOA VERMELHA - RS, 95300-000054991069377AGENTE KELLY COLETA INFORMAÇÕES PARA ENCAMINHAR OCORRÊNCIA PARA PRF PRÓXIMA.</t>
  </si>
  <si>
    <t>EDSON DONIZETI TAVARES (35) 999391814 - CONFIRMOU SENHA, VAI RETORNAR PARA O POSTO HOMOLOGADO</t>
  </si>
  <si>
    <t>AUTO POSTO 5° RODA / #1CONTATOS 06740420095MANOEL, SOLICITOU 20 MINUTOS PARA RETORNO, IRÁ VERIFICAR</t>
  </si>
  <si>
    <t>DIENES DOS SANTOS COELHO(21) 969246005 - INFORMOU QUE PAROU NA POLICIA RODOVIARIA PARA DESCANSAR VAI MANDAR LOC NO WHATSAPP</t>
  </si>
  <si>
    <t>MATHEUS AUGUSTO DE ABREU</t>
  </si>
  <si>
    <t>PEDRO PEREIRA DA ROCHA NETO</t>
  </si>
  <si>
    <t>BRUNO ROBERTO DA SILVA</t>
  </si>
  <si>
    <t xml:space="preserve">GILMAR 42999896639 INF SUA SENHA E INF QUE PARO PARA DESCANSAR O MESMO CIENTE DOS RISCOS E VAI SAIR </t>
  </si>
  <si>
    <t xml:space="preserve">MIKAEL DOS SANTOS CONTER BARBOSA - CEL: (27) 995702530 - MOT CONF A SENHA E INFOMOU QUE ESTA INDO POR ESSE ROTA E QUE A ROTA CADASTRADA NÃO PASSA BITREM E QUE ESTA INDO PARA ARACAJU </t>
  </si>
  <si>
    <t>(43) 9975-5783: CLAUDINEI BATISTA&gt; MOT CONFRIMOU SENHA E INFORMA QUE VAI ESTAR SEGUINDO SENTIDO PONTA GROSSA / CURITIBA ATÉ PARANAGUÁ, ORIENTADO SOBRE OS RISCOS ALEGA QUE VAI CONVERSAR COM A TRANSPORTADO POIS NÃO RECEBEU PLANO DE VIAGEM</t>
  </si>
  <si>
    <t xml:space="preserve">19981319622 MOT CONF CPF, ESTA MEXENDO NA SOLDA DO VEICULO E DESLIGOU A CHAVE GERAL. VAI MANDAR VIDEO QUANDO CHEGAR NO VEICULO. </t>
  </si>
  <si>
    <t>INFORMAÇÃO ANTES DE CONFIRMAR DADOS</t>
  </si>
  <si>
    <t xml:space="preserve">47988610234 MOT CONF SENHA, INF QUE TEVE QUE FAZER UM RESET NA BATERIA,SOLICITEI O VIDEO TUDO OK </t>
  </si>
  <si>
    <t>42999688696 CONF CPF, DISSE QUE AINDA ESTA PRÓXIMO A BORRACHARIA E SÓ ESTAVA DORMINDO, QUE AGORA IRIA TOMAR CAFÉ E DEPOIS VAI REINICIAR, PEDI A LOCALIZAÇÃO EM TEMPO REAL ATÉ QUE VOLTE A POSICIONAR</t>
  </si>
  <si>
    <t xml:space="preserve">MARCOS FURTADO CRUZ - (44) 998073105 - CONF SENHA, PAROU PARA ABASTECER E TOMAR BANHO. DISSE QUE É O POSTO ONDE A EMPRESA ABASTECE. SAI EM 01H. CIENTE DOS RISCOS. </t>
  </si>
  <si>
    <t>EDNILSON DE SOUZA OLIVEIRA RFS3I12 3104160231997200827 SENHA OKINF Q DESLIGOU BAT PARA VERIFICAR SE SUBIA MACROS NO TECL</t>
  </si>
  <si>
    <t>GILVAN TORRES DA INVENCAO - CEL: (73) 999885740 - LIGAÇÃO EFETUADA COM SUCESSO, MOT CONFIRMOU CPF, INFORMOU EM PAULISTANA, PIAUI, ESTA EM MOVIMENTO E EM AREA RUIM DE SINAL, FOI SOLICITADO LOC EM TEMPO REAL PELO WPP</t>
  </si>
  <si>
    <t xml:space="preserve">+55 19 98418-0246  MOTO CONFIRMO SENHA , FOI INFORMADO SOBRE AS VIOLAÇÕES DO VEICULO ELE INFORMO QUE NAO MEXEU EM NADA ORIENTADO A ENVIAR UM VIDEO 360 DA CBINE PARA VERIFICAR TUDO OK </t>
  </si>
  <si>
    <t>99992332976 - INFORMOU SENHA QUE NÃO CORRESPONDIA CONFIRMOU CPF INFORMOU QUE ESTÁ TUDO OK E QUE VAI ENVIAR LOCALIZAÇÃO POIS VAI INICIAR VIAGEM SOMENTE DIA 03/02</t>
  </si>
  <si>
    <t>00;02:46</t>
  </si>
  <si>
    <t>FALTOU SETOR E NOME</t>
  </si>
  <si>
    <t>PAULO HENRICK OLIVEIRA SANTOS</t>
  </si>
  <si>
    <t>GUILHERME APARECIDO PARENTE BOETTGER</t>
  </si>
  <si>
    <t xml:space="preserve">31996453258 MOT CONF SENHA INFORMOU QUE ESTA PARADO EM POSTO HOMOLOGADO PRA TOMAR CAFE , FOI ORIENTADO A LIGAR A IGNIÇÃO E MANDAR MENSAGEM NO TEXTO LIVRE PRA </t>
  </si>
  <si>
    <t xml:space="preserve">LIGAÇÃO EFETUADA (COM SUCESSO) PARA O MOTORISTA CELIO DARCI LAMBRECHT - CEL: (45) 999607170 - CONF CPF, VAI MANDAR LOC ESTA NO RESTAURANTE NO MOMENTO ORIENTADO A IR LIGAR IGNIÇÃO DEPOIS, AGUARDANDO AGENDAMENTO </t>
  </si>
  <si>
    <t xml:space="preserve">MARCIO DE LIMA SANTOS -  TEL 2: (47) 996641462CONFIRMOU SENHA INFORMOU QUE ESTÁ ABASTECENDO PREV 1H AONDE ESTÁ CIENTE DOS RISCOS RECEBEU PLANO DE VIAGEM </t>
  </si>
  <si>
    <t>FABRICIO SANTANA SANTOS - TEL 2: (71) 992589669 - INF SENHA, ESTÁ TOMANDO CAGÉ,  JÁ VAI REINICIAR A VIAGEM, ORIENTADO SOBRE OS RISCOS</t>
  </si>
  <si>
    <t xml:space="preserve">ALDEIR JOSE RODRIGUES - 62 99108-7824MOT CONF CPF, ESTÁ PASSANDO EM MOVIMENTO, ESTÁ HA 3KM DO PROXIMO CLIENTE, FARÁ PROCEDIMENTOS PARA FORÇAR POSIÇÃO, ENVIOU MACRO TEXTO LIVRE </t>
  </si>
  <si>
    <t xml:space="preserve">DAVI OLIVEIRA MARTINS (62) 994884913FOI INFORMADO DOS POSTOS MAIS PROXIMOS E SEGUIRA PARA LOCAL HOMOLOGADO </t>
  </si>
  <si>
    <t xml:space="preserve">FRANCISCO NETO ARAUJO DA SILVA - HDI9861: (88) 998669677 MOT OCNF SENHA O MESMO INFOR QUE ESTAVA NO POSTO TREVO O MESMO FOI ORIENTADO A FORÇA POSIÇÃO </t>
  </si>
  <si>
    <t>BRUNO DE PAULA DIAS MOTTA - CEL: (24) 998572827 MOT N SABE SENHA, CONF CPF INF Q PAROU P/ CAFÉ, REC P. VIAGEM. INST A PARAR EM POSTOS HOMOL E AVISEI DOS RISCO. VAI SAIR DAQUI A 1 HORA.</t>
  </si>
  <si>
    <t xml:space="preserve">(41)  9 9592 8351 VANDERLEI CONFIRMA CPF E INFORMA QUE ESTA TUDO CERTO COM SUA VIAGEM E QUE SEU VEICULO TERIA COMEÇADO A ALARMAR INFORMADO SOBRE O BOTÃO DE PANICO O MESMO INFORMOU QUE NÃO TERIA ACIONADO </t>
  </si>
  <si>
    <t>CHANER BOHN RAMOS - TEL 1: (48) 999216633 MOT CONFIRMOU CPF, DISSE QUE A SENHA ESTAVA DENTRO DO CAMINHÃO E MOT ESTAVA DENTRO DO POSTO ALMOÇANDO. INFORMOU QUE PAROU PARA ABASTECER E FAZER REFEIÇÃO E IRÁ RETORNAR POR VOLTA DE 30MIN, VEICULO NÃO ESTÁ SOB COBERTURA. SOLICITEI QUE LIGASSE O VEICULO E ENVIASSE MACRO PARA O VEICULO RECOBRAR A POSIÇÃO, MOT CONCORDOU</t>
  </si>
  <si>
    <t xml:space="preserve">LIGAÇÃO EFETUADA COM SUCESSO PARA O SR(A): DENISE A MESMA INFORMOU TER RECEBIDO UMA MENSAGEM DO MOTORISTA DIZENDO QUE ESTAVA TUDO BEM E QUE PODERIAMOS DESCONSIDERAR O BOTAO DE PANICO </t>
  </si>
  <si>
    <t>LIGAÇÃO EFETUADA (COM SUCESSO) PARA O (21) 967399237SENHA OK, FALOU QUE ESTA SEGUINDO GPS, ORIENTADO A VOLTAR P/ ROTA, POIS SEGURADA N COBRE. ORIENTADO A PEDIR PARA TRANSP. MUDAR ROTA</t>
  </si>
  <si>
    <t>NÃO SOUBE INFORMAR QUE A MACRO DE PERNOITE GEROU O BLOQUEIO</t>
  </si>
  <si>
    <t>COMENTÁRIO DESNECESSÁRIO SOBRE O QUE ESTAVA ACONTECENDO</t>
  </si>
  <si>
    <t>RUAN FELIPE PLOCHARSKI PEREIRA</t>
  </si>
  <si>
    <t>ISAIAS SANTOS DA PALMA</t>
  </si>
  <si>
    <t>WELLINGTON SILVA - CEL: (91) 982521254 INF CPF, INFORMOU QUE SE ENCONTRA NO LOCAL, INFORMOU QUE AINDA NÃO TEM PREVISÃO DE REINICIAR. INFORMOU QUE VAI PERNOITAR NO POSTO. E INFORMOU QUE VAI MANDAR A LOCALIZAÇÃO NO WHATSAPP</t>
  </si>
  <si>
    <t xml:space="preserve">DANIEL CABRAL GONCALVES11 96925-4211 CONF SENHA E INFORMOU QUE ESTÁ TUDO OK. VAI MANDAR LOC NO WHATS </t>
  </si>
  <si>
    <t xml:space="preserve">44 9988-1799 CONF O CPF INF QUE NÃO TEM SENHA FOI ORIENTADO A SOLICITAR COM A TRANSP E INF QUE O MOTIVO DA PARADA E PARA BANHO VAI SEGUIR  </t>
  </si>
  <si>
    <t xml:space="preserve">JULIANO SOARES DA SILVA |63 9988-9843CONF NOME E SENHA, INF QUE PAROU PARA ESTICAR AS PERNAS, FOI INF DOS RISCOS E ORIENTADO A SEG VIAGEM, MOT VAI SAIR </t>
  </si>
  <si>
    <t xml:space="preserve">MATHEUS CARDUCCI CAVALHEIRO - CEL: (11) 966297978 - CONFIRMOU CPF DISSE QUE APROU PARA HIGIENO E COMER E JA ESTA SEGUINDO </t>
  </si>
  <si>
    <t>PRF - UOP CAMPO REDONDO - CAMPO REDONDO - RN, 59230-000 - 08432151532 - ATENDEU, COLETOU OS DADOS E DISSE QUE QUALQUER ATUALIZAÇÃO ENTRARÁ EM CONTATO.</t>
  </si>
  <si>
    <t>LIGAÇÃO EFETUADA (COM SUCESSO) PARA O MOTORISTA  PHILLIPE DE OLIVEIRA SOUZA - CEL: (27) 33168818 - TEL 1: (27) 33168818 - TEL 2: (27) 996500720O MESMO INFORMOU QUE PAROU PARA IR AO BANHEIRO PASSADOA INFOÇOES DOS RISCOS</t>
  </si>
  <si>
    <t xml:space="preserve">JAMES BUSSONS DA SILVA (91) 984273859 - MOT ATENDEU CONFIR SENHA E COLABOROU EM REALIZR O PROCED E MANDAR UMA LOC NO WPP </t>
  </si>
  <si>
    <t>JEIS CAMILLO VIEIRA BRAGA TEL 1: (69) 992206781 CONF SENHAESTAVA MEXENDO NO PAINEL PARA TROCA DE FUZIVEL, INFORMOU QUE ESTÁ TUDO CERTO, ESTÁ ABASTECENDO E IRÁ PERNOITAR NO LOCALCIENTE DO PROCEDIMENTO, ESTAMOS AGUARDANDO VÍDEO DO PAINEL NO WPP</t>
  </si>
  <si>
    <t>#### CLIENTE ####(( ATENDE ))11947118734INFORMA QUE VAI TENTAR CONTATO TEM SEGUNDO RASTREADORDISSE QUE NAO PRECISA ENVIAR NINGUEM PRO LOCALFICOU CIENTE11947118734</t>
  </si>
  <si>
    <t>DEVAIR INUZOR FANELLI (17) 997576069 CONF SENHA, INFORMA QUE NÃO ACIONOU BOTÃO DE PÂNICO,SOLICITEI VIDEO 360</t>
  </si>
  <si>
    <t>CILAS NASCIMENTO DE JESUS(91) 981182733 - MOT CONF SENHA DISSE QUE SE ENCONTRA EM PERNOITE NO POSTO, IRIA ENVIAR LOC NO WHATS MAS NAO IRIA FORÇAR COMUNICAÇÃO DO VEICULO</t>
  </si>
  <si>
    <t>BRUNO AMARAL GONCALVES - (55) 996226230SENHA DE SEGURANÇA OK, MESMO ESTA NO PONTO DE APOIO, SOLICITOU DESBLOQUEIO, IRA ENCAMINHAR LOCALIZAÇÃO EM TEMPO REAL ATE A TECNOLOGIA VOLTAR A POSISIONAR, CHAMAR NO WHATS</t>
  </si>
  <si>
    <t>ACATOU SENHA INCORRETA</t>
  </si>
  <si>
    <t xml:space="preserve">LIGAÇÃO EFETUADA (COM SUCESSO) PARA O MOTORISTA WILITON JOSE DIONISIO FONE - (37) 999616882 O MESMO INFORMOU QUE ESTÁ PARADA ALMOÇO, FOI INFORMADO QUE O POSTO NÃO ESTAVA AUTORIZADO E ERA NECESSARIO A RETIRADA DO LOCAL. </t>
  </si>
  <si>
    <t xml:space="preserve">LIGAÇÃO EFETUADA (COM SUCESSO) PARA O MOTORISTA 65984670988, INFOTMOU QUE EST[Á EM MOVIEMNTO PASSANDO POR CASA VERDE. RECEBEU AS ORIENTAÇÕES PARA FORÇAR A POSIÇÃO DO VE´CIULO. SOLICITADO LOC </t>
  </si>
  <si>
    <t xml:space="preserve">BRUNO AMARAL GONCALVES (55) 996226230 - EM CTT COM O MOT O MESMO CONFIRMOU SENHA DE SEGURANÇA E INFORMOU QUE ESTAVA TUDO BEM E ESTAVA ABASTECENDO. SOLICITEI LOCALIZAÇÃO VIA WPP. </t>
  </si>
  <si>
    <t>CLOVIS CB TRANSPORTES - 43996787516 - INFORMA QUE VEICULO NÃO POSSUI SEGUNDO RASTREADOR, FICOU DE TENTAR CONTATO COM CONDUTOR PARA VERIFICAR A SITUAÇÃO.</t>
  </si>
  <si>
    <t xml:space="preserve">MARCUS SABINO11997303793INF QUE IRA VERIFICAR CONTATO COM O MOTORISTA </t>
  </si>
  <si>
    <t xml:space="preserve">LIGAÇÃO EFETUADA (COM SUCESSO) PARA O PONTO DE APOIO, FALAMOS COM O SRA RAQUEL 01635099990 INFORMA QUE O SEGURANÇA IRÁ PROCURAR O VEÍCULO NO PÁTIO </t>
  </si>
  <si>
    <t>SEBASTIAO DE OLIVEIRA - CEL: (11) 940191053  - CONFIRMOU SENHA INFORMOU ESTA EM MOVIMENTO QUASE CHEGANDO EM CAMPINAS  , MOTORISTA FOI ORIENTADO O MESMO INFORMOU QUE VAI ENVIA SUA LOC COM DURAÇÃO DE 8 HORAS .</t>
  </si>
  <si>
    <t xml:space="preserve">DIEGO PEREIRA DOS SANTOS - TEL 2: (99) 991485078 - MOT CONFIRMOU SENHA E INFORMOU QUE PAROU PARA ABASTECIMENTO E PERNOITE, ORNRTADO SE DESLOCAR PARA POSTO HOMOLOGADO A 4KM, MESMO IRA SE DESLOCAR </t>
  </si>
  <si>
    <t xml:space="preserve">LIGAÇÃO EFETUADA (COM SUCESSO) PARA O MOTORISTA O MESMO INFORMOU RAFAEL DE MENESES FIGUEIREDO - CEL: (55) 991992231,  O MESMO DISSE NAO TER RECEBIDO PLANO DE VIAGEM, NÃO SABIA SUA SENHA, CONFIRMOU SEU CPF E SUA DATA DE NASCIMENTO, DISSE QUE APERTOU O BOTAO DE PANICO PARA SOLICITAR DESBLOQUEIO </t>
  </si>
  <si>
    <t xml:space="preserve">   FRANCINALDO ALVES FERREIRA   11 98074-3829  MOT CONF SENHA, INFORMEI QUE O VEICULO PERDEU POSIÇÃO , SOLICITEI QEU FIZESSE O PROCEDIMENTO  E MANDASSE A LOCALIZAÇÃO EM TEMPO REAL VIA WHATS </t>
  </si>
  <si>
    <t>LEANDRO DA SILVA SEVERINO(47) 991249890MOT ATENDEU, CONFIRMOU CPF, INFORMOU QUE PAROU PARA HIGIENECONFIRMOU QUE RECEBEU PLANO DE VIAGEMINFORMOU QUE EM BREVE IRÁ REINICIARFOI INFORMADO DOS RISCOS</t>
  </si>
  <si>
    <t>11 99918-2436MOT CONF CPF E INFORMOU QUE ESTA TUDO OK PASSANDO PELA CIDADE DE ITAOBIM, ASSIM QUE PUDER VAI ENVIAR LOC NO WPP</t>
  </si>
  <si>
    <t>HDI9I69 88997320900 MOT CONF SENHA E INF QUE RECEBUE PLANO DE VIAGEM, PAROU POR FALTA DE ATENÇÃO. FOI INSTRUIDOREINICIANDO</t>
  </si>
  <si>
    <t>CARLOS RONI CAPELLA DA ROSA - (51) 985529824 - INFORMOU CPF E DISSE QUE O TABLET ESTÁ QUEBRADO, NÃO CONSEGUE ENVIAR MACROS. PAROU EM POSTO QUE DISSE NORMALMENTE PARAR E QUE EMPRESA/TRANSPORTADORA ESTÁ CIENTE. CONDUTOR ALEGA QUE IRÁ REINICIAR AS 5 DA MANHÃ E SEGUIR DIRETO PRO CLIENTE. CIENTE DOS RISCOS.</t>
  </si>
  <si>
    <t xml:space="preserve">GLEYDSON MAGELA DE ANDRADE - CEL: (31) 997031242 ATENDEU CONF SENHA E INF Q ESTÁ A CAMINHO DE SUA ULT ENTREGA EM REG RUIM DE SINAL, FOI ORIENTADO A ENVIAR MACRO DE FIM APÓS DESCARREGAR E ESTIVER VAZIO, CONF VIAGEM OK SEM ANORMALIDADES </t>
  </si>
  <si>
    <t>41) 995491693  THIAGO CONF SENHA  ESTA NA BR INDO PRA GUARAPUAVA PRO PRIMEIRO CLIENTE REGIAO SEM SINAL COM SERRA. FOI ORIENTADO</t>
  </si>
  <si>
    <t>ADRIANO BARROS CAVALCANTI - CEL: (21) 982423157 - CONFIRMA SENHA, INFORMA QUE ESTA NO CLIENTE BITENCUL, REGIAO RUIM DE SINAL, SOLCIAT FORCAR POSIAÇOE DAQUI UMA HORA RETOMO JCTT</t>
  </si>
  <si>
    <t xml:space="preserve">VICTOR HUGO DE MELO CAMACHO RODRIGUES - CEL: (21) 993697236 - TEL 1: (21) 00000000 - TEL 2: (21) 993697236  SENHA OK , ESTA NO CLIENTE DESCAREGANDO E LUGAR É BEM RUIM DE SINAL , DISSE QUE VAI MANDAR A MACRO  E LOC NO WAPP   </t>
  </si>
  <si>
    <t xml:space="preserve">(21) 974276619 MOT CONF SENHA E INFO QUE ESTA A CAMINHO DO CLIENTE.REGIÃO RUIM DE SINAL. ORIENTADO A ENVIAR TUDO OK </t>
  </si>
  <si>
    <t xml:space="preserve">LUIZ FELIPE 21 975715644 - MOT CONF SENHA E INF Q ESTÁ NA PORTARIA AGUARDANDO A ESCOLTA E NÃO ACIONOU OU ESBARROU NO BOTÃO. ORIENTADO A ENVIAR VIDEO. </t>
  </si>
  <si>
    <t xml:space="preserve">MOT CONFIRMOU SENHA, INFORMOU QUE ESTA NO CLIENTE, ESTA TUDO BEM E ORIENTEI O MESMO A MANDAR MENSAGEM LIVRE NO TECLADO PARA FORÇAR COMUNICAÇÃO CONOSCO </t>
  </si>
  <si>
    <t xml:space="preserve">11 92010-7685 MOT CONF SENHA, INFORMOU QUE ESTÁ NO POSTO PARA ABASTECER E ALMOÇAR E MANDOU A MACRO, QUE LOCAL É RUIM DE SINAL SIM E VAI FORÇAR POSIÇÃO QUANDO RETORNAR PRO VEÍCULO </t>
  </si>
  <si>
    <t>21995744773 - INF SENHA , ESTA EM AREA MUITO RUIM DE SINAL , ORIENTADO A PASSAR LOCALIZAÇÃO NO WPP</t>
  </si>
  <si>
    <t xml:space="preserve"> 19 98343-0908 MOT CONF SENHA E INFORMOU QUE FEZ PARADA PARA ALMOÇAR </t>
  </si>
  <si>
    <t>LUCAS OTAVIO FABRICIO GOIS(19) 995854456 (MOT INFORMA QUE FOI BLOQ EM MOV E NÃO É A PRIMEIRA VEZ QUE OCORRE BLOQ PELO SENSOR DO PAINEL )</t>
  </si>
  <si>
    <t xml:space="preserve">(47) 999127269 MOT CONF CPF, O MESMO INFORMOU QUE PAROU NO LOCAL POIS PRECISAVA IR AO BANHEIRO, O MESMO DISSE QUE PAROU NESSE POSTO POIS O HOMOLOGADO SERIA MUITO LONGE, FOI ORIENTADO SOBRE OS RISCOS DE PARADAS EM LOCAIS NAO AUTORIZADOS, INFORMOU QUE VAI REINICIAR </t>
  </si>
  <si>
    <t xml:space="preserve">MOTORISTA INFORMOU QUE ESTÁ TUDO CERTO E QUE ESTÁ GERANDO ESSE ALERTA DEPOIS DO T4S INSTALADO, VAI TER QUE CHEGAR  E PARAR O VEÍCULO PARA MANUTENÇÃO DO SENSOR </t>
  </si>
  <si>
    <t xml:space="preserve">(48) 988189784 SILVIO CONFIRMOU SENHA INFORMOU QUE ESTA NO POSTO GRAAL OLIVEIRA, AGUARDANDO PARA REALIZAR O PAGAMENTO DO ABASTECIMENTO, SEM PREVISAO DE REINICIO </t>
  </si>
  <si>
    <t xml:space="preserve">ADRIANO JOSE CORREIA - (55) 984343333 &gt; MOT CONF CPF E INFORMOU QUE VAI ESTA SEGUINDO EM DIREÇAO A LONDRINA &gt; GUARAPUAVA &gt; CHAPECO FOI ORIENTADO SOBRE OS RISCOS E SOLICITAR AJUSTE AO GESTOR </t>
  </si>
  <si>
    <t xml:space="preserve">LIGAÇÃO (44) 991027458 MOT CONFIRMA CPF INFORMA QUE PAROU PARA ALMOÇAR E JÁ VAI REINICIAR </t>
  </si>
  <si>
    <t>MARONY REZENDE MARQUES34997067700MOT CONF CPF, INFORMOU QUE PAROU PARA REALIZAR ALIMENTAÇÃO NO LOCAL, JA ESTA REINICIANDO VIAGEM E IRÁ SEGUIR ATÉ A FILIAL EM JUNDIAI/SP</t>
  </si>
  <si>
    <t>POLÍCIA RODOVIÁRIA DE BAURU - 1ª CIASP 300 KM 338+400M, ROD. MAL. RONDON - VILA AVIACAO B, BAURU - SP, 17047-85214 3223-7132 - CABO MATHEUS INFORMOU QUE NÃO ATENDE A REGIÃO, PORPEM COLETOU DADOS E 0800, SOLICITOU ESTA ENTRANDO EM CONTATO COM A BASE DE AVARÉ.</t>
  </si>
  <si>
    <t>UNIDADE OPERACIONAL ARARANGUÁENDEREÇO: BR 101, KM 421,1 ? CEP 88904-020(48) 98818-5830 - COLETOU DADOS DO VEÍCULO, QUALQUER INFORMAÇÃO NOS RETORNA.</t>
  </si>
  <si>
    <t>44991335767MOT INFORMOU QUE SECOU AGUA DDA BATERIA. QUASE PEGOU FOGO, TEVE QUE ACIONAR A TROCA COM URGENCIA, SOLICITADO VIDEO</t>
  </si>
  <si>
    <t xml:space="preserve">63992171115 MOT CONF SENHA INF QUE SUA ROTA FOI PASSADA POR ALI MESMO, INF QUE SUA TRANSP CONF QUE ESTAVA NA ROTA CORRETA, VAI RETORNAR EM ARARAQUARA, CIENTE DE RISCOS </t>
  </si>
  <si>
    <t>MOT CONF CPF E INFROMOUQ EU NAO ACIONOU</t>
  </si>
  <si>
    <t>FABIANO LONGUE - (13) 996239184 - MOT CONF SENHA DE SEGURANÇA E INFORMOU QUE ESTA PARADO POR MOTIVO RESTRIÇÃO E FOI ORIENTADO QUE EM CASO DE SINISTRO A SEGURADORA PODE NÃO COBRIR, VAI RETORNAR A RODAR AS 10H</t>
  </si>
  <si>
    <t xml:space="preserve">ARNALDO JARBAS DA COSTA ARAUJO - CEL: (11) 995591217 EM CONTATO COM O CONDUTOR O MESMO INFORMOU SENHA E CPF IUNFORMOU ESTA NO POSTO MARAJO EM NOVA OLINDA - TO INFORMADO E ORIENTADO REALIZAR PROCEDIMENTO PARA FORÇAR POSIÇÃO DO VEICULO O MESMO ENCAMINHOU LOCALIZAÇÃO EM TEMPO REAL COM DURAÇÃO DE 8 HORAS VIA WHATSAPP O MESMO IRA REINICIAR VIAGEM POR VOLTAS DAS 08H 09H ORIENTADO SEGUE OS PROCEDIMENTOS E ENCAMINHAR MACROS CORRETAMENTE  </t>
  </si>
  <si>
    <t xml:space="preserve">LIG AO MOT COM SUCESSO CONF SENHA O MESMO INFORMOU QUE ALI É UM POSTO DE CONSENSONARIA E O MESMO DISSE QUE ESTAVA COM DOR DE BARRIGA E PAROU ALI PARA USAR O BANHEIRO E ALMOÇAR. O MOT DISSE QUE LOGO REINICIA E NAO SABIA QUE NÃO ERA HOMOLOGADO </t>
  </si>
  <si>
    <t xml:space="preserve">MOT CONFIRMOU SENHA, ESTÃO NO CLIENTE EDITE DA SILVA. </t>
  </si>
  <si>
    <t>GLAUCIO MACHADO - CEL:  (41) 997186892 - MOT CONFIRMA SENHA, INFORMA QUE A ANTENA DO VEICULO PODE ESTA COM PROBLEMA, ENTÃO VAI ENVIAR SUA LOCALIZAÇÃO EM TEMPO REAL.</t>
  </si>
  <si>
    <t>CHECKLIST</t>
  </si>
  <si>
    <t>Realizou um atendimento cordial, utilizando linguagem apropriada? (Sem gírias, utilizando "por favor", obrigado", etc)</t>
  </si>
  <si>
    <t>PROCESSO</t>
  </si>
  <si>
    <t>CARLOS ALBERTO RODRIGUES DE SIQUEIRA62 999984454 CX POSTAL62 981841711 MOT CONF SENHA, INF QUE ESTÁ EM MOVIMENTO SEGUINDO POR MAGÉ, FOI ORIENTADO, A AREA NÃO É RUIM DE SINAL, VAI MANDAR A LOC NO WHATS E MANDOU JÁ NO TECLADO TUDO OK PRA FORÇAR A POS.</t>
  </si>
  <si>
    <t xml:space="preserve">COPOM RJ 021190 SOLDADO MONICA COLETOU AS INFORMAÇÕES E IRÁ REPASSAR AO BATALHÃO MAIS PRÓXIMO </t>
  </si>
  <si>
    <t xml:space="preserve">COPOM SP  011190 COLETOU AS INFORMAÇÕES E IRÁ REPASSAR PARA A VIATURA MAIS PRÓXIMA IR AVERIGUAR </t>
  </si>
  <si>
    <t>21190 - COPOM</t>
  </si>
  <si>
    <t xml:space="preserve">COPOM - 21190 - ACIONADO </t>
  </si>
  <si>
    <t>MELHORAR RELATO</t>
  </si>
  <si>
    <t xml:space="preserve">JONNAS DA COSTA LOPES - CEL: (83) 988120664 - POR LIGAÇÃO MOT  CONFIRMOU A SENHA, O MESMO INFORMOU QUE ESTA EM MOVIMENTO NORMAL, INFORMOU QUE O LOCAL E RUIM DE SINAL, ORIENTAMOS O MESMO A FAZER UNS COMANDO PARA FORÇAR A COMUNICAÇÃO DO VEICULO, FALOU QUE ASSIM QUE ACHAR UM POSTO IRA FAZER, SOLICITAMOS O MESMO A MANDAR SUA LOCALIZAÇÃO EM TEMPO REAL DE 08H00 O MESMO SE RECUSOU </t>
  </si>
  <si>
    <t>COMPORTAMENTO INADEQUADO</t>
  </si>
  <si>
    <t>Realizou a saudação inicial de forma cordial? (Exemplo: Bom dia, boa tarde, boa noite)</t>
  </si>
  <si>
    <t>Enviou o auto texto perguntando qual o tipo de veículo?</t>
  </si>
  <si>
    <t>Seguiu corretamente o fluxo do checklist conforme a solicitação inicial? (Respondeu todas as perguntas corretamente, sem atalhos ou omissões)</t>
  </si>
  <si>
    <t>Informou o status final do checklist (aprovado ou reprovado)?</t>
  </si>
  <si>
    <t>Se reprovado, informou corretamente o motivo da reprovação? (Descrição clara do problema identificado)</t>
  </si>
  <si>
    <t>Anexou imagens dos testes no SIL, correspondentes ao veículo e tecnologia analisada?</t>
  </si>
  <si>
    <t>A informação passada no atendimento corresponde ao que foi registrado no SIL? (Exemplo: divergência entre status ou motivo da reprovação)</t>
  </si>
  <si>
    <t>Encerrou o checklist no SIL em até 5 minutos após informar o status final? (Evita atrasos na atualização das informações)</t>
  </si>
  <si>
    <t>Realizou a despedida padrão de forma cordial? (Exemplo: "Atendimento finalizado, obrigado!")</t>
  </si>
  <si>
    <t>Encerrou o atendimento no Weon em até 5 minutos após informar o status final do checklist? (Agilidade no encerramento evita filas de atendimento)</t>
  </si>
  <si>
    <t>Realizou a qualificação correta do atendimento? (Classificação adequada da interação no sistema)</t>
  </si>
  <si>
    <t>MONITORAMENTO 1</t>
  </si>
  <si>
    <t>MONITORAMENTO 2</t>
  </si>
  <si>
    <t>Realizou atendimento padrão? (Saudação, nome, setor, empresa)</t>
  </si>
  <si>
    <t>Solicitou o nome da pessoa com quem está falando?</t>
  </si>
  <si>
    <t>Confirmou se a pessoa é motorista ou transportadora</t>
  </si>
  <si>
    <t>Solicitou o número da Nota Fiscal? (Confirmar 2x caso não localize)</t>
  </si>
  <si>
    <t>Confirmou o nome do cliente que está no nosso sistema? [Informe o cliente]</t>
  </si>
  <si>
    <t>Confirmou o telefone do motorista?</t>
  </si>
  <si>
    <t>Questionou o motivo da ocorrência?</t>
  </si>
  <si>
    <t>Confirmou quanto tempo que foi finalizado a descarga?</t>
  </si>
  <si>
    <t>Informou o número da Ocorrência gerada no sistema?</t>
  </si>
  <si>
    <t>Solicitou que retorne o contato após 2 horas para realizar uma atuação da ocorrência?</t>
  </si>
  <si>
    <t>LOGISTICA REVERSA</t>
  </si>
  <si>
    <t>Questionou a data de agendamento?</t>
  </si>
  <si>
    <t>Questionou se possui notas de outros clientes?</t>
  </si>
  <si>
    <t>LIGAÇÃO EFETUADA (COM SUCESSO) PARA O MOTORISTA JOSENILSON HELENO DA SILVA - CEL: 81 981970074 ATENDEU, CONF CPF E INFORMA QUE ESTÁ EM PERNOITE NO POSTO REFORÇO ATÉ 21/02 05H, INFORMA QUE REGIÃO É RUIM DE SINAL, IRÁ FORÇAR COMUNICAÇÃO E ENVIAR LOCALIZAÇÃO VIA WHATS SE CHEGAR AS MENSAGENS</t>
  </si>
  <si>
    <t>LIGAÇÃO EFETUADA (COM SUCESSO) PARA O MOTORISTA JAILTON ANDRADE DA SILVA - CEL: (21) 979763463 &gt; CONFIRMOU SENHA E INFORMOU QUE PAROU PORQUE PRECISAVA IR AO BANHEIRO E NÃO TEVE COMO CHEGAR AO LOCAL HOMOLOGADO, ORIENTADO E CIENTE DOS RISCOS</t>
  </si>
  <si>
    <t>CEZAR RICARDO SERAFIM LIRA83 99812 3456 CONDUTOR INFORMA QUE ESTA TUDO CERTO NA VIAGEM PAROU PARA PERNOITE E ESTA TUDO OK COM A BATERIA, NÃO DESLIGOU A CHAVE GERAL.</t>
  </si>
  <si>
    <t>Solicitou ao número da NF de devolução?</t>
  </si>
  <si>
    <t>Solicitou informação dos produtos/itens/caixas devolvidos?</t>
  </si>
  <si>
    <t>LIGAÇÃO EFETUADA (COM SUCESSO) PARA O MOTORISTAJOSE ALIFI COSTA DOS SANTOS - CEL: (11) 985906893 - MOT CONF SENHA E INF QUE TA NO GRAAL DE BARUERI POSTO SEGURO COM SEGURANÇA, ESTA EM PERNOITE E REINICIA DEPOIS DAS 10:00. VAI ENVIA LOC NO WPP</t>
  </si>
  <si>
    <t>41997616337 - MOT CONF SENHA, INFORMOU QUE PAROU PARA ABASTECER E DESCANSAR UM POUCO, FOI ORIENTADO SOBRE OS RISCOS, O MESMO INFORMOU QUE VAI REINICIAR AS 12:00.</t>
  </si>
  <si>
    <t>RETENÇÃO DE LINHA E NÃO SOLICITOU VIDEO</t>
  </si>
  <si>
    <t>Critério Avaliado</t>
  </si>
  <si>
    <t>O operador se identificou informando nome, setor e empresa?</t>
  </si>
  <si>
    <t>Critérios de Auditoria – Alerta Prioritário no Contato com o Motorista</t>
  </si>
  <si>
    <t>Por que é importante</t>
  </si>
  <si>
    <t>Exemplo do que pode ser dito</t>
  </si>
  <si>
    <t>"Antes de prosseguirmos, poderia me confirmar sua senha de segurança, por favor?"</t>
  </si>
  <si>
    <t>O tom de voz adequado reforça confiança e profissionalismo, garantindo que o motorista siga as instruções corretamente.</t>
  </si>
  <si>
    <t>Utilizou a função mudo corretamente para evitar ruídos externos?</t>
  </si>
  <si>
    <t>O uso correto do mudo evita interferências e mantém a qualidade da chamada.</t>
  </si>
  <si>
    <t>"Vou colocar no mudo enquanto verifico as informações. Já volto com você."</t>
  </si>
  <si>
    <t>Evitou silêncios prolongados (mais de 45 segundos sem interação)?</t>
  </si>
  <si>
    <t>O preenchimento do silêncio mantém o contato ativo e evita que o motorista pense que a ligação caiu.</t>
  </si>
  <si>
    <t>"Estou verificando os dados no sistema. Aguarde um momento enquanto faço a consulta."</t>
  </si>
  <si>
    <t>Encerrar a ligação de forma objetiva evita atrasos no atendimento.</t>
  </si>
  <si>
    <t>Realizou a despedida padrão com cordialidade?</t>
  </si>
  <si>
    <t>Um encerramento educado mantém a postura profissional do atendimento.</t>
  </si>
  <si>
    <t>"Obrigado por sua atenção. Tenha um excelente dia!"</t>
  </si>
  <si>
    <t>O motorista precisa entender rapidamente a gravidade da situação para corrigir a ação.</t>
  </si>
  <si>
    <t>O operador confirmou o motivo pelo qual o motorista parou em local indevido?</t>
  </si>
  <si>
    <t>Identificar a razão da parada permite avaliar riscos e definir a melhor orientação.</t>
  </si>
  <si>
    <t>"Você precisou parar por algum motivo específico? Houve alguma falha no veículo?"</t>
  </si>
  <si>
    <t>O operador confirmou se o motorista recebeu o plano de viagem e instruções de rastreamento?</t>
  </si>
  <si>
    <t>"Você recebeu todas as orientações sobre os locais homologados para parada?"</t>
  </si>
  <si>
    <t>O operador orientou o motorista a reiniciar a viagem e seguir para um local homologado?</t>
  </si>
  <si>
    <t>A correção imediata da rota reduz riscos operacionais e de segurança.</t>
  </si>
  <si>
    <t>"Por favor, retome sua viagem e siga para um local autorizado o mais breve possível."</t>
  </si>
  <si>
    <t>O operador informou os riscos operacionais da parada indevida, incluindo problemas com seguro?</t>
  </si>
  <si>
    <t>Deixar claro os impactos de uma parada irregular faz com que o motorista compreenda a importância da orientação.</t>
  </si>
  <si>
    <t>"Essa parada pode comprometer a cobertura do seguro em caso de sinistro. Precisamos que o veículo esteja em um local adequado."</t>
  </si>
  <si>
    <t>A identificação profissionaliza o atendimento e garante clareza sobre quem está ligando.</t>
  </si>
  <si>
    <t>O operador informou claramente o motivo do contato?</t>
  </si>
  <si>
    <t>O motorista precisa entender rapidamente a situação para fornecer informações precisas.</t>
  </si>
  <si>
    <t>O operador confirmou a localização e a condição do motorista?</t>
  </si>
  <si>
    <t>Ter a posição exata e saber se há risco permite uma melhor análise da ocorrência.</t>
  </si>
  <si>
    <t>O operador identificou o motivo do alerta? (Sinistro, manutenção, problema técnico, acionamento indevido, etc.)</t>
  </si>
  <si>
    <t>A causa do alerta precisa ser identificada rapidamente para tomada de decisão.</t>
  </si>
  <si>
    <t>O motorista precisa entender rapidamente o problema para colaborar com a solução.</t>
  </si>
  <si>
    <t>É essencial identificar se a falta de sinal está relacionada ao deslocamento ou a um local de sombra de sinal.</t>
  </si>
  <si>
    <t>Passou orientações para forçar posicionamento do rastreador? (Envio de mensagem, reset de bateria, etc.)</t>
  </si>
  <si>
    <t>Medidas corretivas ajudam a restabelecer o sinal, garantindo continuidade no monitoramento.</t>
  </si>
  <si>
    <t>O operador procurou identificar o motivo da perda de sinal? (Embaixo de cobertura, área sem sinal de celular, falha no rastreador, etc.)</t>
  </si>
  <si>
    <t>Compreender a causa ajuda na tomada de decisão e no suporte adequado ao motorista.</t>
  </si>
  <si>
    <t>"Estamos identificando um desvio de rota no seu trajeto e precisamos entender a situação."</t>
  </si>
  <si>
    <t>O operador confirmou o motivo do desvio de rota?</t>
  </si>
  <si>
    <t>Identificar o motivo do desvio é essencial para definir as próximas ações e validar se houve uma alteração planejada.</t>
  </si>
  <si>
    <t>"O que aconteceu para que você saísse da rota planejada?"</t>
  </si>
  <si>
    <t>Confirmou se o motorista recebeu o plano de viagem e instruções de rastreamento?</t>
  </si>
  <si>
    <t>Garante que o motorista tinha ciência do trajeto e das regras de monitoramento antes do desvio.</t>
  </si>
  <si>
    <t>"Você recebeu o plano de viagem com as instruções de rastreamento antes do início da viagem?"</t>
  </si>
  <si>
    <t>Orientou o motorista a retornar para a rota ou permanecer parado até confirmação com o cliente?</t>
  </si>
  <si>
    <t>Dependendo do motivo do desvio, é necessário orientar a retomada do trajeto ou aguardar autorização.</t>
  </si>
  <si>
    <t>"Por segurança, oriento que retorne ao trajeto previsto. Caso haja alguma mudança, vamos confirmar com o cliente."</t>
  </si>
  <si>
    <t>Coletou qual itinerário o motorista está realizando?</t>
  </si>
  <si>
    <t>Ajuda a entender se houve uma falha na programação da rota ou se o motorista recebeu uma nova orientação de terceiros.</t>
  </si>
  <si>
    <t>O operador informou os riscos operacionais e de seguro caso o motorista continue fora da rota?</t>
  </si>
  <si>
    <t>Esclarece ao motorista que a saída não autorizada da rota pode impactar na cobertura do seguro em caso de sinistro.</t>
  </si>
  <si>
    <t>"Caso ocorra um sinistro fora da rota homologada, pode haver problemas com a cobertura do seguro da carga e do veículo."</t>
  </si>
  <si>
    <t>O volume de voz, entonação e condução da chamada transmitiram credibilidade e cordialidade, sem excesso de girias?</t>
  </si>
  <si>
    <t>"Estou efetuando contato pois identificamos que o veículo está parado em um local não autorizado. Precisamos verificar essa situação."</t>
  </si>
  <si>
    <t>"Pode me confirmar onde exatamente você está agora? Movimento ou parado?"</t>
  </si>
  <si>
    <t>Após a resolução do alerta, finalizou corretamente a ligação sem reter a linha desnecessariamente (10s)?</t>
  </si>
  <si>
    <t>"Bom dia/Boa tarde/Boa noite, aqui é [Nome], do setor [setor] da Opentech."</t>
  </si>
  <si>
    <t>Exemplo do que pode ser</t>
  </si>
  <si>
    <t>O operador informou os riscos operacionais e de seguro caso o sinal não restabelecer?</t>
  </si>
  <si>
    <t>"Caso ocorra um sinistro com o sinal desatualizado, pode haver problemas com a cobertura do seguro da carga e do veículo."</t>
  </si>
  <si>
    <t>"Estamos identificando a perda do sinal do rastreador e precisamos entender a situação."</t>
  </si>
  <si>
    <t>O atendente precisa entender rapidamente o objetivo da ligação para colaborar com a solução.</t>
  </si>
  <si>
    <t>"Estamos monitorando um veículo que deve realizar parada no seu ponto de apoio e gostaríamos de confirmar algumas informações."</t>
  </si>
  <si>
    <t>O operador informou os dados e as características do veículo? (cor, placa, modelo)</t>
  </si>
  <si>
    <t>Garante que a verificação seja feita no veículo correto.</t>
  </si>
  <si>
    <t>"O veículo que estamos monitorando é um [modelo] de cor [cor], placa [placa]."</t>
  </si>
  <si>
    <t>O operador passou detalhes da última posição do veículo? (Referência dentro do posto)</t>
  </si>
  <si>
    <t>Confirma se o veículo realmente está no local indicado pelo sistema.</t>
  </si>
  <si>
    <t>"O sistema mostra que ele está na área de abastecimento do posto. Pode confirmar essa informação?"</t>
  </si>
  <si>
    <t>O operador solicitou que o atendente verificasse se o conjunto (cavalo/carreta) estava no local sem violações?</t>
  </si>
  <si>
    <t>Certifica que não houve irregularidades ou violações durante a parada.</t>
  </si>
  <si>
    <t>O operador orientou o atendente a chamar o motorista?</t>
  </si>
  <si>
    <t>Em alguns casos, falar diretamente com o motorista pode acelerar a verificação da situação.</t>
  </si>
  <si>
    <t>"Poderia solicitar que o motorista venha até o telefone para conversarmos?"</t>
  </si>
  <si>
    <t>Processo de Auditoria Telefônica – Acionamento Policial</t>
  </si>
  <si>
    <t>O operador solicitou deslocamento e/ou reporte da ocorrência para patrulhamento?</t>
  </si>
  <si>
    <t>Garante que a solicitação seja clara e direta, aumentando a chance de uma abordagem rápida.</t>
  </si>
  <si>
    <t>"Solicitamos apoio para patrulhamento e abordagem do veículo em situação suspeita."</t>
  </si>
  <si>
    <t>O operador passou detalhes do evento que indicam a suspeita?</t>
  </si>
  <si>
    <t>O operador informou os dados e as características do conjunto e do motorista? (cavalo, carreta, cor, modelo)</t>
  </si>
  <si>
    <t>Garante que a abordagem seja feita no veículo correto.</t>
  </si>
  <si>
    <t>"Trata-se de um [modelo] de cor [cor], placa [placa], puxando uma carreta [tipo]."</t>
  </si>
  <si>
    <t>O operador passou detalhes do local da ocorrência? (Rodovia, Referência, KM)</t>
  </si>
  <si>
    <t>Ajuda a equipe policial a identificar com precisão a localização para uma resposta mais rápida.</t>
  </si>
  <si>
    <t>"O último posicionamento do veículo foi na BR-101, próximo ao KM 75, sentido sul."</t>
  </si>
  <si>
    <t>O operador deixou telefone de contato para retorno?</t>
  </si>
  <si>
    <t>Garante um canal de comunicação aberto para atualizações e suporte adicional.</t>
  </si>
  <si>
    <t>Evita erros na transmissão de placas e códigos, garantindo clareza.</t>
  </si>
  <si>
    <t>O operador informou as ações adotadas, resumindo os contatos/tratativas realizados (com ou sem sucesso)?</t>
  </si>
  <si>
    <t>Garante que o cliente tenha visibilidade sobre os esforços da equipe e os próximos passos.</t>
  </si>
  <si>
    <t>"Já realizamos tentativas de contato com o motorista e ponto de apoio, sem sucesso até o momento. Estamos acionando as autoridades locais."</t>
  </si>
  <si>
    <t>Ajuda o cliente a entender o contexto e avaliar o risco da situação.</t>
  </si>
  <si>
    <t>O operador questionou se o cliente tem informações recentes sobre o veículo e o motorista? (Ex.: manutenção, revisão, problemas no rastreador)</t>
  </si>
  <si>
    <t>Permite cruzar informações, pois o motorista pode ter informado o cliente antes da gerenciadora.</t>
  </si>
  <si>
    <t>"O motorista mencionou recentemente alguma manutenção, revisão ou problemas no rastreador diretamente com vocês?"</t>
  </si>
  <si>
    <t>O operador confirmou os contatos atuais do condutor?</t>
  </si>
  <si>
    <t>Garante que os números utilizados estão corretos, evitando tentativas de contato desatualizadas.</t>
  </si>
  <si>
    <t>"O número de telefone que temos registrado para o condutor é [número]. Confirma se está correto ou há outro contato atualizado?"</t>
  </si>
  <si>
    <t>O operador enfatizou ao cliente que estava atuando em uma suspeita de sinistro?</t>
  </si>
  <si>
    <t>Alerta o cliente sobre a gravidade da situação, reforçando a necessidade de atenção e suporte imediato.</t>
  </si>
  <si>
    <t>"Estamos tratando este caso como uma suspeita de sinistro e intensificando as tratativas para garantir a segurança da carga e do veículo."</t>
  </si>
  <si>
    <t>O operador registrou corretamente o contato no sistema, incluindo número de telefone, nome do responsável, e resumo da conversa?</t>
  </si>
  <si>
    <t>Garante rastreabilidade e facilita acompanhamentos posteriores.</t>
  </si>
  <si>
    <t>"Contato registrado: Cliente [Nome], Telefone: (XX) XXXX-XXXX, Responsável: [Nome], Resumo: Cliente informou que...</t>
  </si>
  <si>
    <t>O cliente precisa entender rapidamente a situação para fornecer informações precisas.</t>
  </si>
  <si>
    <t>O operador informou as ações adotadas até o momento?</t>
  </si>
  <si>
    <t>Garante que o cliente tenha clareza sobre as tratativas realizadas e próximos passos.</t>
  </si>
  <si>
    <t>"Já realizamos tentativas de contato com o motorista e ponto de apoio, além de enviar comandos ao rastreador, sem sucesso até o momento."</t>
  </si>
  <si>
    <t>O operador questionou se o conjunto possui equipamento de contingência? (Ex.: isca, rastreador secundário, bloqueio remoto)</t>
  </si>
  <si>
    <t>Identifica possíveis alternativas para recuperar a visibilidade do veículo.</t>
  </si>
  <si>
    <t>O operador informou corretamente o local da parada? (Cidade, estado, referência como rodovia, posto, mecânica, etc.)</t>
  </si>
  <si>
    <t>"O veículo está parado em [cidade], próximo a [posto/mecânica/km da rodovia]."</t>
  </si>
  <si>
    <t>O operador confirmou se os pontos de parada autorizada foram passados ao motorista antes do início da viagem?</t>
  </si>
  <si>
    <t>"O motorista recebeu os pontos de parada autorizada antes do início da viagem? Estava ciente das restrições?"</t>
  </si>
  <si>
    <t>O operador informou ao cliente sobre os riscos operacionais e de seguro caso a parada indevida permaneça?</t>
  </si>
  <si>
    <t>Esclarece ao cliente o impacto da parada não autorizada na cobertura do seguro e segurança da carga.</t>
  </si>
  <si>
    <t>"Caso ocorra um sinistro enquanto o veículo está fora dos pontos autorizados, pode haver impacto na cobertura do seguro da carga e do veículo."</t>
  </si>
  <si>
    <t>O operador indicou medidas de segurança ao cliente? (Ex.: Seguir até posto autorizado, acionar escolta, pronta resposta, etc.)</t>
  </si>
  <si>
    <t>Sugere alternativas para mitigar riscos e reforçar a segurança da operação.</t>
  </si>
  <si>
    <t>"Estou entrando em contato devido a um alerta parada indevida detectado no sistema. Preciso verificar ua situação."</t>
  </si>
  <si>
    <t>O operador informou as ações adotadas até o momento? (Resumir os contatos/tratativas com ou sem sucesso)</t>
  </si>
  <si>
    <t>"Já tentamos contato com o motorista e não obtivemos retorno. Também acionamos o ponto de apoio mais próximo e seguimos monitorando a movimentação do veículo."</t>
  </si>
  <si>
    <t>O operador informou o trajeto que o motorista está realizando e o que estava programado na rota?</t>
  </si>
  <si>
    <t>Ajuda o cliente a entender a divergência e avaliar o risco da situação.</t>
  </si>
  <si>
    <t>"O motorista deveria seguir pela [Rodovia X], mas desviou para a [Rodovia Y] sem comunicação prévia."</t>
  </si>
  <si>
    <t>O operador questionou se o cliente tem conhecimento do motivo do desvio? O motorista informou antecipadamente?</t>
  </si>
  <si>
    <t>Verifica se o cliente recebeu algum aviso do motorista, evitando alarmes desnecessários.</t>
  </si>
  <si>
    <t>O operador confirmou se o motorista recebeu o plano de viagem e instruções de rastreamento antes da viagem?</t>
  </si>
  <si>
    <t>Garante que o motorista tinha ciência da rota planejada e das regras de rastreamento.</t>
  </si>
  <si>
    <t>"O motorista recebeu o plano de viagem com a rota definida e as instruções de rastreamento antes da viagem?"</t>
  </si>
  <si>
    <t>O operador enfatizou sobre bloqueio/cadastro negativado?</t>
  </si>
  <si>
    <t>O operador solicitou CPF/Placa para iniciar o atendimento?</t>
  </si>
  <si>
    <t>Solicitar esses dados garante que o atendimento seja feito de forma precisa e rápida, evitando erros de identificação.</t>
  </si>
  <si>
    <t>"Por favor, poderia me fornecer o CPF ou a placa do veículo para que possamos iniciar o atendimento?"</t>
  </si>
  <si>
    <t>Fornecer informações sobre inquérito ou processo em andamento ajuda a evitar surpresas e garante que o cliente tenha clareza sobre os documentos exigidos.</t>
  </si>
  <si>
    <t>"O documento necessário para seguir com a tratativa é o [Tipo de Documento]."</t>
  </si>
  <si>
    <t>O operador informou se o cliente possui inquérito/processo/apontamento?</t>
  </si>
  <si>
    <t>Informou que a devolução foi confirmada e qual o próximo passo?</t>
  </si>
  <si>
    <t>Garante clareza ao cliente sobre a situação da devolução e os próximos passos.</t>
  </si>
  <si>
    <t>"A devolução foi confirmada e agora seguiremos com [ação necessária, ex: coleta/agendamento]."</t>
  </si>
  <si>
    <t>Informou o nome do cliente corretamente?</t>
  </si>
  <si>
    <t>Garante que a devolução seja associada ao cliente correto.</t>
  </si>
  <si>
    <t>Evita erros logísticos e garante o direcionamento correto.</t>
  </si>
  <si>
    <t>Informou o código do cliente?</t>
  </si>
  <si>
    <t>Facilita a rastreabilidade e conferência da devolução.</t>
  </si>
  <si>
    <t>Confirmou a quantidade de caixas a serem devolvidas?</t>
  </si>
  <si>
    <t>Evita divergências no recebimento e controle logístico.</t>
  </si>
  <si>
    <t>Ação resultante (e-mail, ligação, mobile) foi registrada corretamente?</t>
  </si>
  <si>
    <t>Garante rastreabilidade do atendimento e comunicação eficiente entre setores.</t>
  </si>
  <si>
    <t>"Ação registrada no sistema: Envio de e-mail para [cliente/responsável] com a confirmação da devolução."</t>
  </si>
  <si>
    <t>Garante que a informação seja passada para a pessoa correta.</t>
  </si>
  <si>
    <t>"Por gentileza, estou falando com [Nome do Cliente/Responsável]?"</t>
  </si>
  <si>
    <t>Informou que irá comunicar um insucesso?</t>
  </si>
  <si>
    <t>Transparência no atendimento para que o cliente saiba o motivo do contato.</t>
  </si>
  <si>
    <t>"Estamos entrando em contato para informar um insucesso referente ao [pedido/serviço]."</t>
  </si>
  <si>
    <t>O operador realizou a qualificação do atendimento corretamente</t>
  </si>
  <si>
    <t>O operador informou qual documento é necessário?</t>
  </si>
  <si>
    <t>O operador informou qual o estado/justiça federal?</t>
  </si>
  <si>
    <t>Garante que o cliente compreenda de imediato a razão do contato.</t>
  </si>
  <si>
    <t>"Estou entrando em contato para informar sobre uma [ocorrência]."</t>
  </si>
  <si>
    <t>Tempo estimado é essencial para planejamento logístico.</t>
  </si>
  <si>
    <t>Garante clareza e objetividade no atendimento.</t>
  </si>
  <si>
    <t>"Estou entrando em contato para informar sobre a entrega do pedido."</t>
  </si>
  <si>
    <t>Informou a Placa do veículo?</t>
  </si>
  <si>
    <t>Facilita a identificação do transporte e agiliza o recebimento.</t>
  </si>
  <si>
    <t>Informou o nome do cliente?</t>
  </si>
  <si>
    <t>Confirmação da identidade do destinatário evita erros na entrega.</t>
  </si>
  <si>
    <t>Evita desencontros e garante que a entrega seja feita corretamente.</t>
  </si>
  <si>
    <t>Informou a quantidade de caixas?</t>
  </si>
  <si>
    <t>Assegura que o cliente saiba exatamente o que está recebendo.</t>
  </si>
  <si>
    <t>"A entrega contém X caixas."</t>
  </si>
  <si>
    <t>Garante que o contato seja feito com a pessoa correta e responsável.</t>
  </si>
  <si>
    <t>"Por gentileza, estou falando com [Nome]?"</t>
  </si>
  <si>
    <t>"Estou entrando em contato para tratar sobre a devolução do pedido."</t>
  </si>
  <si>
    <t>Confirmação da identidade do cliente para evitar erros.</t>
  </si>
  <si>
    <t>Garante precisão no acompanhamento do processo.</t>
  </si>
  <si>
    <t>"A devolução ocorreu no dia XX/XX."</t>
  </si>
  <si>
    <t>Identifica a raiz do problema para evitar reincidência.</t>
  </si>
  <si>
    <t>"O pedido foi devolvido devido a [motivo específico]."</t>
  </si>
  <si>
    <t>"Estou entrando em contato para informar sobre uma recolha."</t>
  </si>
  <si>
    <t>Garante que o motorista compreenda a razão do contato.</t>
  </si>
  <si>
    <t>"Estou entrando em contato para verificar a situação da sua estadia no cliente."</t>
  </si>
  <si>
    <t>Assegura que a informação seja repassada para a pessoa correta.</t>
  </si>
  <si>
    <t>"Estou falando com o motorista [Nome]?"</t>
  </si>
  <si>
    <t>Permite acompanhar e gerenciar o tempo de estadia do veículo.</t>
  </si>
  <si>
    <t>"Você já tem previsão para a descarga no cliente?"</t>
  </si>
  <si>
    <t>Verificou se houve alguma intercorrência no processo?</t>
  </si>
  <si>
    <t>Identifica possíveis problemas que possam impactar a operação.</t>
  </si>
  <si>
    <t>"Houve algum imprevisto que esteja atrasando a descarga?"</t>
  </si>
  <si>
    <t>Registrou no sistema todas as informações repassadas?</t>
  </si>
  <si>
    <t>Registro detalhado da conversa.</t>
  </si>
  <si>
    <t>Adicionado</t>
  </si>
  <si>
    <t>"Estou entrando em contato para verificar a temperatura da carga."</t>
  </si>
  <si>
    <t>Questionou a temperatura do aparelho de frio?</t>
  </si>
  <si>
    <t>Confirma se a temperatura está dentro dos padrões exigidos.</t>
  </si>
  <si>
    <t>"Qual a temperatura atual do equipamento?"</t>
  </si>
  <si>
    <t>Garante que o equipamento esteja na configuração correta.</t>
  </si>
  <si>
    <t>"O modo do aparelho está configurado como contínuo ou automático?"</t>
  </si>
  <si>
    <t>Orientou a seguir o padrão de temperatura da Unidade?</t>
  </si>
  <si>
    <t>Evita desvios e mantém a integridade da carga.</t>
  </si>
  <si>
    <t>Identifica possíveis problemas técnicos.</t>
  </si>
  <si>
    <t>Perguntou sobre o funcionamento do aparelho?</t>
  </si>
  <si>
    <t>Garante que o motor de refrigeração está operando corretamente.</t>
  </si>
  <si>
    <t>"O motor do equipamento de frio está ligado e funcionando normalmente?"</t>
  </si>
  <si>
    <t>Garante rastreabilidade e histórico do atendimento.</t>
  </si>
  <si>
    <t>"Estou entrando em contato porque o equipamento de frio foi desligado."</t>
  </si>
  <si>
    <t>Garante que o equipamento está na configuração correta.</t>
  </si>
  <si>
    <t>Confirmou se houve desligamento?</t>
  </si>
  <si>
    <t>Confirma se o equipamento realmente foi desligado.</t>
  </si>
  <si>
    <t>"O aparelho foi desligado manualmente ou houve falha?"</t>
  </si>
  <si>
    <t>Confirmou a causa do desligamento?</t>
  </si>
  <si>
    <t>Identifica o motivo do problema.</t>
  </si>
  <si>
    <t>"O desligamento foi intencional ou ocorreu por falha elétrica?"</t>
  </si>
  <si>
    <t>Reforçou sobre riscos de devolução devido ao desligamento?</t>
  </si>
  <si>
    <t>Alerta o motorista sobre as consequências da falha.</t>
  </si>
  <si>
    <t>"Caso o equipamento fique desligado, a carga pode ser comprometida e devolvida ao cliente."</t>
  </si>
  <si>
    <t>Orientou religamento imediato, se necessário?</t>
  </si>
  <si>
    <t>Garante ação corretiva imediata.</t>
  </si>
  <si>
    <t>"Favor religar o equipamento e ajustar para a temperatura correta."</t>
  </si>
  <si>
    <t>Garante que o motorista compreenda o motivo do contato.</t>
  </si>
  <si>
    <t>"Estou entrando em contato sobre o atraso na entrega."</t>
  </si>
  <si>
    <t>Questionou o motivo do atraso?</t>
  </si>
  <si>
    <t>Identifica o motivo do atraso para ações corretivas.</t>
  </si>
  <si>
    <t>"Qual foi o motivo do atraso na entrega?"</t>
  </si>
  <si>
    <t>Questionou se há previsão de chegada?</t>
  </si>
  <si>
    <t>Permite estimar o tempo restante para a entrega.</t>
  </si>
  <si>
    <t>"Você tem uma previsão de chegada ao cliente?"</t>
  </si>
  <si>
    <t>Verifica se o cliente já foi informado.</t>
  </si>
  <si>
    <t>"Você avisou alguém sobre o atraso?"</t>
  </si>
  <si>
    <t>"Estou entrando em contato para verificar o início da viagem."</t>
  </si>
  <si>
    <t>Evita erros de comunicação e garante que está falando com o motorista correto.</t>
  </si>
  <si>
    <t>Informou o número da OS, Placa ou AE?</t>
  </si>
  <si>
    <t>Permite identificar corretamente a viagem e o veículo.</t>
  </si>
  <si>
    <t>"Estou confirmando a viagem do veículo de placa [XXX-0000]."</t>
  </si>
  <si>
    <t>Confirmou se o motorista iniciou a viagem?</t>
  </si>
  <si>
    <t>Garante que a viagem já está em andamento.</t>
  </si>
  <si>
    <t>"Você já iniciou a viagem?"</t>
  </si>
  <si>
    <t>Se a resposta for positiva, solicitou a macro de início?</t>
  </si>
  <si>
    <t>Garante o envio correto das informações no sistema.</t>
  </si>
  <si>
    <t>"Por favor, envie a macro de início de viagem."</t>
  </si>
  <si>
    <t>Se o motorista ainda não iniciou, reforçou a necessidade do envio da macro ao iniciar?</t>
  </si>
  <si>
    <t>Evita falhas no registro da operação.</t>
  </si>
  <si>
    <t>"Assim que iniciar a viagem, lembre-se de enviar a macro de início."</t>
  </si>
  <si>
    <t>Garante que o motorista compreenda a razão da abordagem.</t>
  </si>
  <si>
    <t>"Estou entrando em contato para tratar de um excesso de velocidade registrado no sistema."</t>
  </si>
  <si>
    <t>Reforçou com o motorista o horário e local do excesso de velocidade?</t>
  </si>
  <si>
    <t>Garante que o motorista tenha ciência exata da infração.</t>
  </si>
  <si>
    <t>"O sistema registrou excesso de velocidade às [horário] na [rodovia/local]."</t>
  </si>
  <si>
    <t>Garante que a instrução correta seja reforçada.</t>
  </si>
  <si>
    <t>"Reforçamos que o limite de velocidade seguro é 80km/h."</t>
  </si>
  <si>
    <t>Verificou se o motorista enfrentou alguma situação que justificasse o excesso?</t>
  </si>
  <si>
    <t>Permite entender se houve algum fator externo que influenciou.</t>
  </si>
  <si>
    <t>"O que ocorreu para que o excesso de velocidade fosse registrado?"</t>
  </si>
  <si>
    <t>Reforçou a importância da condução segura e riscos envolvidos?</t>
  </si>
  <si>
    <t>Garante que o motorista compreenda os impactos da infração.</t>
  </si>
  <si>
    <t>"Ultrapassar o limite de velocidade pode comprometer sua segurança e a do veículo."</t>
  </si>
  <si>
    <t>Informou a Placa ou AE?</t>
  </si>
  <si>
    <t>A coleta correta da informação inicial é essencial para garantir a precisão do atendimento.</t>
  </si>
  <si>
    <t>Seguiu corretamente o fluxo do checklist conforme a solicitação inicial?</t>
  </si>
  <si>
    <t>Evita omissões ou atalhos que possam comprometer a precisão do checklist.</t>
  </si>
  <si>
    <t>Realizou um atendimento cordial, utilizando linguagem apropriada?</t>
  </si>
  <si>
    <t>Garante que a interação seja profissional e respeitosa.</t>
  </si>
  <si>
    <t>Transmite claramente a situação do veículo, evitando confusão.</t>
  </si>
  <si>
    <t>Se reprovado, informou corretamente o motivo da reprovação?</t>
  </si>
  <si>
    <t>A comunicação clara e detalhada é importante para a compreensão do problema.</t>
  </si>
  <si>
    <t>A documentação visual ajuda a validar o processo e oferece respaldo para a decisão.</t>
  </si>
  <si>
    <t>A informação passada no atendimento corresponde ao que foi registrado no SIL?</t>
  </si>
  <si>
    <t>Verifica a consistência das informações entre o atendimento e o sistema.</t>
  </si>
  <si>
    <t>Encerrou o checklist no SIL em até 5 minutos após informar o status final?</t>
  </si>
  <si>
    <t>Garante agilidade na atualização das informações, evitando atrasos.</t>
  </si>
  <si>
    <t>Terminar o atendimento de maneira educada fortalece a boa impressão do serviço.</t>
  </si>
  <si>
    <t>"Atendimento finalizado, obrigado por utilizar nossos serviços."</t>
  </si>
  <si>
    <t>Encerrou o atendimento no Weon em até 5 minutos após informar o status final do checklist?</t>
  </si>
  <si>
    <t>Evita filas de atendimento e promove agilidade no processo.</t>
  </si>
  <si>
    <t>Realizou a qualificação correta do atendimento?</t>
  </si>
  <si>
    <t>A qualificação correta ajuda a categorizar e analisar a qualidade do atendimento.</t>
  </si>
  <si>
    <t>A linguagem profissional e adequada assegura que a interação seja respeitosa e clara.</t>
  </si>
  <si>
    <t>Fluxo do atendimento correspondeu à solicitação inicial? (Foco no atendimento)</t>
  </si>
  <si>
    <t>Evita desvio do foco e garante que o cliente receba a ajuda necessária sem interrupções desnecessárias.</t>
  </si>
  <si>
    <t>Manter o atendimento ágil e sem interrupções prolongadas garante a boa experiência para o cliente.</t>
  </si>
  <si>
    <t>A cordialidade e a educação fazem parte do atendimento de excelência.</t>
  </si>
  <si>
    <t>A confirmação do cliente antes de encerrar a interação demonstra cuidado e respeito pela necessidade do cliente.</t>
  </si>
  <si>
    <t>Garantir que o atendimento só seja encerrado após o tempo padrão evita a interrupção prematura do serviço.</t>
  </si>
  <si>
    <t>A despedida padrão demonstra cordialidade e encerra o atendimento de forma profissional.</t>
  </si>
  <si>
    <t>A qualificação correta ajuda a categorizar e analisar a qualidade do atendimento realizado.</t>
  </si>
  <si>
    <t>Foi realizado a despedida final padrão?</t>
  </si>
  <si>
    <t>Garantir que o cliente saiba o motivo pelo qual está sendo contatado, facilitando a compreensão.</t>
  </si>
  <si>
    <t>Confirmação da identidade do cliente é fundamental para garantir que a interação está sendo realizada com a pessoa correta.</t>
  </si>
  <si>
    <t>O cliente deve ser informado sobre o que está sendo feito para resolver a situação, garantindo transparência.</t>
  </si>
  <si>
    <t>Confirmar que o cliente tem conhecimento sobre o ajuste ajuda a alinhar as expectativas e esclarece dúvidas.</t>
  </si>
  <si>
    <t>Verificou se há alguma falha ou motorista reportou algo?</t>
  </si>
  <si>
    <t>"O motorista reportou algum alerta ou erro no painel?"</t>
  </si>
  <si>
    <t>O cliente deve ser informado claramente sobre o motivo do contato para garantir entendimento e clareza.</t>
  </si>
  <si>
    <t>O cliente deve ser informado sobre as medidas tomadas para resolver a situação e os próximos passos.</t>
  </si>
  <si>
    <t>Verificar se o cliente tem conhecimento sobre o ajuste realizado evita confusões e proporciona mais clareza.</t>
  </si>
  <si>
    <t>Reforçou sobre riscos de devolução devido desligamento?</t>
  </si>
  <si>
    <t>Reforçar os riscos de devolução de produtos devido ao desligamento ajuda a alertar o cliente sobre a importância da manutenção da temperatura.</t>
  </si>
  <si>
    <t>"Favor orientar o motorista a religar o equipamento e ajustar para a temperatura correta."</t>
  </si>
  <si>
    <t>O cliente deve ser informado claramente sobre a necessidade de ativação da AE.</t>
  </si>
  <si>
    <t>Informou nº da programação ou outra informação semelhante?</t>
  </si>
  <si>
    <t>Fornecer a identificação correta da solicitação evita confusão e agiliza o atendimento.</t>
  </si>
  <si>
    <t>É essencial confirmar a solicitação da ativação para garantir que o processo seja iniciado corretamente.</t>
  </si>
  <si>
    <t>Reforçou com o cliente a importância da emissão dentro do prazo?</t>
  </si>
  <si>
    <t>Assegurar que o cliente entenda a urgência da ativação para evitar impactos operacionais.</t>
  </si>
  <si>
    <t>Acrescentado</t>
  </si>
  <si>
    <t>O cliente precisa entender claramente o motivo do contato.</t>
  </si>
  <si>
    <t>Essencial para identificar a entrega específica e evitar erros.</t>
  </si>
  <si>
    <t>Importante para entender e registrar a causa do atraso.</t>
  </si>
  <si>
    <t>Permite informar corretamente ao cliente quando a entrega será realizada.</t>
  </si>
  <si>
    <t>"Estou entrando em contato para informar sobre um atraso na entrega do seu pedido."</t>
  </si>
  <si>
    <t>Reforçou o impacto do atraso na operação e no cliente?</t>
  </si>
  <si>
    <t>Sensibilizar sobre o impacto logístico e comercial.</t>
  </si>
  <si>
    <t>"Esse atraso pode comprometer a programação de entrega e gerar custos extras."</t>
  </si>
  <si>
    <t>Garantir clareza e objetividade na comunicação com o cliente.</t>
  </si>
  <si>
    <t>"Estou entrando em contato para verificar o atraso na emissão da viagem."</t>
  </si>
  <si>
    <t>Informou o número da OS ou placa?</t>
  </si>
  <si>
    <t>Facilitar a identificação da viagem e evitar dúvidas na tratativa.</t>
  </si>
  <si>
    <t>"Estou verificando a emissão da viagem referente à OS 56789, veículo de placa ABC1234."</t>
  </si>
  <si>
    <t>Questionou o motivo do atraso na emissão da viagem?</t>
  </si>
  <si>
    <t>Identificar a causa do atraso para adoção das melhores medidas.</t>
  </si>
  <si>
    <t>"Qual o motivo do atraso na emissão dessa viagem?"</t>
  </si>
  <si>
    <t>"Estou entrando em contato para tratar sobre a cobrança da OS referente à sua operação."</t>
  </si>
  <si>
    <t>Informou a OS, placa ou nome do cliente?</t>
  </si>
  <si>
    <t>Facilitar a identificação da operação e evitar dúvidas na tratativa.</t>
  </si>
  <si>
    <t>Solicitou o envio da OS assinada pelo cliente para comprovação dos dados?</t>
  </si>
  <si>
    <t>Garantir que a operação tenha respaldo documental para evitar questionamentos futuros.</t>
  </si>
  <si>
    <t>"Poderia encaminhar a OS assinada para a devida comprovação e registro?"</t>
  </si>
  <si>
    <t>Reforçou sobre riscos de pendência na cobrança da OS?</t>
  </si>
  <si>
    <t>Alertar o cliente sobre as consequências da não regularização da OS.</t>
  </si>
  <si>
    <t>"Caso a OS não seja enviada no prazo, poderá haver impacto na liberação de novos carregamentos."</t>
  </si>
  <si>
    <t>Garantir que as informações sobre notas e quantidade sejam claras e completas para o atendimento.</t>
  </si>
  <si>
    <t>Assegurar que o número do chamado foi registrado corretamente para futuras consultas.</t>
  </si>
  <si>
    <t>Assegura que o motivo do contato foi esclarecido de forma objetiva.</t>
  </si>
  <si>
    <t>"Estou entrando em contato para esclarecer o motivo da não valorização do seu serviço."</t>
  </si>
  <si>
    <t>Informou número da OS, Placa, AE ou DT? (Algo que identifique de qual veículo está falando)</t>
  </si>
  <si>
    <t>A identificação correta da operação é fundamental para o andamento do atendimento.</t>
  </si>
  <si>
    <t>"Estou verificando a OS 123456, referente ao veículo placa ABC-1234."</t>
  </si>
  <si>
    <t>Questionou o motivo da falta ou atraso na valorização/espelhamento no sistema?</t>
  </si>
  <si>
    <t>Identificar a causa do atraso ou falta de valorização ajuda a resolver o problema rapidamente.</t>
  </si>
  <si>
    <t>"Você sabe me informar o motivo do atraso na valorização do processo?"</t>
  </si>
  <si>
    <t>Entender o prazo para a valorização ajuda a alinhar as expectativas do cliente.</t>
  </si>
  <si>
    <t>"Quando podemos esperar que o processo de valorização seja concluído?"</t>
  </si>
  <si>
    <t>Informar o cliente sobre a importância de valorizar com antecedência ajuda a evitar falhas no processo.</t>
  </si>
  <si>
    <t>"Lembrando que a valorização deve ser feita com antecedência para garantir a atualização correta no sistema."</t>
  </si>
  <si>
    <t>Esclarece imediatamente ao cliente a razão do contato, evitando confusão.</t>
  </si>
  <si>
    <t>"Estou entrando em contato para confirmar o local de entrega da sua carga."</t>
  </si>
  <si>
    <t>Verifica se o problema de entrega foi causado por um erro de local e resolve a situação rapidamente.</t>
  </si>
  <si>
    <t>"O local de entrega registrado foi o correto?"</t>
  </si>
  <si>
    <t>Se positivo o questionamento acima, finalizar o atendimento</t>
  </si>
  <si>
    <t>Evita prolongamento do atendimento sem necessidade, gerando agilidade.</t>
  </si>
  <si>
    <t>"Ótimo, então seu pedido foi entregue corretamente. Caso precise de mais algo, fico à disposição."</t>
  </si>
  <si>
    <t>Se negativo, questionar quem orientou o descarregamento em outro local?</t>
  </si>
  <si>
    <t>Esclarece onde ocorreu o erro para resolver e evitar problemas futuros.</t>
  </si>
  <si>
    <t>"Quem foi que orientou o descarregamento no local incorreto?"</t>
  </si>
  <si>
    <t>Esclarece imediatamente o motivo do contato, evitando mal-entendidos e preparando o cliente para a conversa.</t>
  </si>
  <si>
    <t>"Estou entrando em contato para confirmar a devolução do seu pedido."</t>
  </si>
  <si>
    <t>Confirma se a devolução foi realizada ou não, ajudando a esclarecer qualquer erro no processo.</t>
  </si>
  <si>
    <t>"A devolução foi realizada conforme o combinado?"</t>
  </si>
  <si>
    <t>Questionou o motivo da devolução?</t>
  </si>
  <si>
    <t>Identifica a razão da devolução, possibilitando uma resolução adequada e evitando problemas futuros.</t>
  </si>
  <si>
    <t>"Você sabe o motivo da devolução dessa carga?"</t>
  </si>
  <si>
    <t>Não ocorreu devolução? Solicitar que o motorista seja orientado em relação aos apontamentos</t>
  </si>
  <si>
    <t>Encoraja a ação corretiva imediata e ajuda a evitar que o erro se repita.</t>
  </si>
  <si>
    <t>Confirmou se a pessoa é motorista ou transportadora?</t>
  </si>
  <si>
    <t>Garante que o atendimento seja direcionado corretamente, evitando mal-entendidos.</t>
  </si>
  <si>
    <t>Solicitou o número da Nota Fiscal? (Confirmar 2x caso não localize)</t>
  </si>
  <si>
    <t>Garante que todas as informações necessárias sejam verificadas corretamente para resolver a ocorrência.</t>
  </si>
  <si>
    <t>Confirmou o nome do cliente que está no nosso sistema? [Informe o cliente]</t>
  </si>
  <si>
    <t>Garante que as informações no sistema correspondem às do cliente, evitando possíveis erros.</t>
  </si>
  <si>
    <t>Assegura que o contato correto com o motorista seja feito, agilizando a resolução da ocorrência.</t>
  </si>
  <si>
    <t>Identifica rapidamente o motivo da ocorrência para tomar ações corretivas e resolver o problema com mais eficiência.</t>
  </si>
  <si>
    <t>Solicitou o número da NF de devolução?</t>
  </si>
  <si>
    <t>Ajuda a identificar a devolução corretamente e associá-la ao processo.</t>
  </si>
  <si>
    <t>Confirma os detalhes sobre os itens envolvidos na devolução para garantir o processo correto de auditoria.</t>
  </si>
  <si>
    <t>Informou o número da Ocorrência gerada no sistema?</t>
  </si>
  <si>
    <t>Registra corretamente a ocorrência para rastrear o progresso e garantir que a situação seja resolvida.</t>
  </si>
  <si>
    <t>"A ocorrência gerada no sistema é [número da ocorrência], podemos dar andamento?"</t>
  </si>
  <si>
    <t>Garante que o processo de follow-up seja realizado, permitindo que a situação seja devidamente acompanhada.</t>
  </si>
  <si>
    <t>Critérios de Auditoria – Alerta Prioritário no Contato com o Cliente</t>
  </si>
  <si>
    <t>"Estou entrando em contato devido a um alerta de perda de posição detectado no sistema. Preciso verificar a situação."</t>
  </si>
  <si>
    <t>É fundamental que não seja citado possíveis bloqueios ou registros negativos em relação ao cadastro.</t>
  </si>
  <si>
    <t>"O tempo de espera é até [horário].”</t>
  </si>
  <si>
    <t>Informou o motivo da devolução?</t>
  </si>
  <si>
    <t>Garante transparência, evita frustrações, melhora processos, fortalece a confiança e previne problemas futuros.</t>
  </si>
  <si>
    <t>"A equipe informou que o cliente devolveu por [motivo da devolução]."</t>
  </si>
  <si>
    <t>Garante transparência, evita divergências, facilita o controle de estoque e previne erros logísticos.</t>
  </si>
  <si>
    <t>"É uma volumetria de [quantidade de caixas]."</t>
  </si>
  <si>
    <t>Ação resultante (e-mail, ligação, mobile). Ação final ao atendimento</t>
  </si>
  <si>
    <t>"Se o senhor puder aceitar o template que enviei no WhatsApp para darmos sequência."</t>
  </si>
  <si>
    <t>Dependendo do motivo do desvio, é necessário orientar a retomada do trajeto.</t>
  </si>
  <si>
    <t>"Por segurança, oriento que retorne ao trajeto previsto."</t>
  </si>
  <si>
    <t>"São 6 notas e o final é 8463"</t>
  </si>
  <si>
    <t>"Gostaria de solicitar a abertura de um chamado.”</t>
  </si>
  <si>
    <t>"Pode me informar o número do chamado para registrar aqui?”</t>
  </si>
  <si>
    <t>Garante controle, evita custos extras, melhora registros e otimiza a logística.</t>
  </si>
  <si>
    <t>"Em quanto tempo finalizou a descarga?"</t>
  </si>
  <si>
    <t>Evita atrasos, conflitos e garante organização logística.</t>
  </si>
  <si>
    <t>"Possui uma data para o agendamento?"</t>
  </si>
  <si>
    <t>Evita erros, garante conferência correta e organiza a logística.</t>
  </si>
  <si>
    <t>"Você possui notas de outros clientes?"</t>
  </si>
  <si>
    <t>O operador se identificou informando saudação?</t>
  </si>
  <si>
    <t>O operador se identificou informando saudação, nome, setor e empresa?</t>
  </si>
  <si>
    <t>"Consegue me informar o que ocorreu para esse alerta ter subido para mim?"</t>
  </si>
  <si>
    <t xml:space="preserve">A solicitação do vídeo é essencial para análise mais detalhada e para garantir a segurança do motorista e da carga. </t>
  </si>
  <si>
    <t>Exemplo: Cliente [Nome], Telefone: (XX) XXXX-XXXX, Responsável: [Nome], Resumo: Motorista/Cliente informou que...</t>
  </si>
  <si>
    <t>O volume de voz, entonação e condução da chamada transmitiram credibilidade e cordialidade, sem excesso de gírias?</t>
  </si>
  <si>
    <t>"Estou entrando em contato devido a um alerta prioritário detectado no sistema. Preciso verificar a situação."</t>
  </si>
  <si>
    <t>O operador informou corretamente o local onde gerou o alerta? (Cidade, estado, referência como rodovia, posto, mecânica, etc.)</t>
  </si>
  <si>
    <t>"O veículo estava na cidade de [cidade], próximo ao [posto/mecânica/km da rodovia]."</t>
  </si>
  <si>
    <t>Exemplo: Cliente [Nome], Telefone: (XX) XXXX-XXXX, Responsável: [Nome], Resumo: Cliente informou que...</t>
  </si>
  <si>
    <t>Critérios de Auditoria – Alerta Posição em Atraso no Contato com o Motorista</t>
  </si>
  <si>
    <t>"O caminhão está parado ou em movimento? Você pode me passar um ponto de referência posto, km da rodovia? Qual a cidade?"</t>
  </si>
  <si>
    <t>O operador confirmou a localização atual do motorista? (Em movimento/parado, cidade e referência de local)</t>
  </si>
  <si>
    <t>"Precisamos tentar restabelecer o sinal. Você pode desligar e religar a chave geral do veículo? Ou enviar uma mensagem no teclado?"</t>
  </si>
  <si>
    <t>"Você está em um local coberto, como um túnel ou garagem? Sabe me informar se a região é ruim de sinal?"</t>
  </si>
  <si>
    <t>Evita prejuízos, melhora a segurança e assegura responsabilidade e garante monitoramento contínuo.</t>
  </si>
  <si>
    <t>Critérios de Auditoria – Alerta Posição em Atraso no Contato com o Cliente</t>
  </si>
  <si>
    <t>O operador informou corretamente o local onde perdeu a posição? (Estado, cidade, parado/movimento, referência como posto, mecânica, rodovia)</t>
  </si>
  <si>
    <t>"A última posição do veículo foi na cidade [cidade], no estado de [estado], com o veículo parado no posto [nome] na rodovia [rodovia]."</t>
  </si>
  <si>
    <t>Garantir que o motorista esteja ciente das regras e que tenha em mãos os locais homologados.</t>
  </si>
  <si>
    <t>A saída imediata do local reduz riscos operacionais e de segurança.</t>
  </si>
  <si>
    <t>Critérios de Auditoria – Alerta Parada Indevida no Contato com o Motorista</t>
  </si>
  <si>
    <t>Verifica se o motorista tinha conhecimento prévio das regras de parada.</t>
  </si>
  <si>
    <t>"Solicitamos que oriente o motorista a seguir até o posto autorizado mais próximo. Caso a parada persista, poderá ter problemas com a seguradora.</t>
  </si>
  <si>
    <t>Critérios de Auditoria – Alerta Desvio de Rota no Contato com o Motorista</t>
  </si>
  <si>
    <t>"Por onde o senhor vai seguir agora? Esse trajeto foi repassado por alguém?"</t>
  </si>
  <si>
    <t>"Estou entrando em contato devido a um alerta de desvio de rota detectado no sistema. Preciso verificar a situação."</t>
  </si>
  <si>
    <t>"O motorista entrou em contato com vocês para informar que iria desviar? Há alguma orientação interna sobre essa mudança de rota?"</t>
  </si>
  <si>
    <t>O operador indicou medidas de segurança ao cliente? (Ex.: Retornar a rota correta ou realizar o ajuste no sistema)</t>
  </si>
  <si>
    <t>"Solicitamos que oriente o motorista a seguir pela rota correta ou que seja feita a alteração via SIL."</t>
  </si>
  <si>
    <t>"Pode verificar se o conjunto esta sem nenhuma violação?"</t>
  </si>
  <si>
    <t>Processo de Auditoria Telefônica – Ponto de Apoio</t>
  </si>
  <si>
    <t>"Somos uma Gerenciadora de Risco, e estamos monitorando um veículo que gerou um alerta de [alerta] e não temos contato com o motorista, gostaríamos de solicitar apoio nessa ocorrência".</t>
  </si>
  <si>
    <t>"Podem retornar para o número 0800 727 6101 Opção 3 para qualquer atualização."</t>
  </si>
  <si>
    <t>"Placa do veículo: Alfa, Bravo, Charlie, primeiro, segundo, terceiro, quarto."</t>
  </si>
  <si>
    <t>Processo de Auditoria Telefônica – Receptiva (Impedimentos)</t>
  </si>
  <si>
    <t>Fornecer informações sobre inquérito ou processo em andamento ajuda a evitar surpresas.</t>
  </si>
  <si>
    <t>"Conforme consta em nosso sistema, há um processo do ano [ano], no estado [Estado], o número do processo é [Número]."</t>
  </si>
  <si>
    <t>Garante que o cliente tenha clareza sobre os documentos exigidos.</t>
  </si>
  <si>
    <t>"A devolução ocorreu no cliente [Nome do Cliente]."</t>
  </si>
  <si>
    <t>"O endereço do cliente é [Endereço]."</t>
  </si>
  <si>
    <t>"Código do cliente [Código]."</t>
  </si>
  <si>
    <t>"São [XX] caixas."</t>
  </si>
  <si>
    <t>"O nome do cliente é [Nome do Cliente]."</t>
  </si>
  <si>
    <t>"O endereço é [Endereço]."</t>
  </si>
  <si>
    <t>"A placa do veículo é XXX-0000."</t>
  </si>
  <si>
    <t>"O nome do cliente é [Nome do cliente]."</t>
  </si>
  <si>
    <t>"O endereço é [rua, número, cidade]."</t>
  </si>
  <si>
    <t>"O nome do cliente é [Nome]."</t>
  </si>
  <si>
    <t>Ação resultante. Registrar o retorno no relatório.</t>
  </si>
  <si>
    <t>"Informação registrada no sistema.”</t>
  </si>
  <si>
    <t xml:space="preserve">Critérios para Contato com Cliente – Recolha 60D </t>
  </si>
  <si>
    <t>"O nome do cliente é [Nome]"</t>
  </si>
  <si>
    <t>"A temperatura deve estar ajustada para [X]°C no [Contínuo/Automático], conforme o padrão da Unidade."</t>
  </si>
  <si>
    <t>"Com quem estou falando, por favor?'"</t>
  </si>
  <si>
    <t>"Estou entrando em contato para verificar o controle de temperatura do veículo."</t>
  </si>
  <si>
    <t>"Tentei contato com o condutor para verificar, mas sem sucesso."</t>
  </si>
  <si>
    <t>"O senhor tem conhecimento sobre o ajuste que foi feito no sistema de temperatura?'"</t>
  </si>
  <si>
    <t>"A temperatura deve estar ajustada para [X]°C no[Contínuo/Automático], conforme o padrão da Unidade."</t>
  </si>
  <si>
    <t>"Como esta o ajuste do aparelho?"</t>
  </si>
  <si>
    <t>Critérios para Contato com Motorista – Desl. Temperatura</t>
  </si>
  <si>
    <t>"Estou entrando em contato sobre o desligamento do sistema de temperatura do veículo."</t>
  </si>
  <si>
    <t>"Tentamos contato com o condutor, mas sem sucesso"</t>
  </si>
  <si>
    <t>"O senhor tem conhecimento do ajuste que foi feito no sistema de temperatura?'"</t>
  </si>
  <si>
    <t>"Vale ressaltar que o desligamento pode causar danos ao produto, o que poderia gerar problemas com devolução."</t>
  </si>
  <si>
    <t>Critérios para Contato com Motorista – Início de viagem Deep</t>
  </si>
  <si>
    <t>Critérios para Contato com Motorista – Excesso de Velocidade</t>
  </si>
  <si>
    <t>"Estou entrando em contato para solicitar a ativação da AE referente à programação X."</t>
  </si>
  <si>
    <t>"O número da programação é 12345.'"</t>
  </si>
  <si>
    <t>"Você pode por favor realizar a emissão da AE?"</t>
  </si>
  <si>
    <t>"Para evitar problemas na operação, é essencial que a AE seja ativada até o horário combinado.'"</t>
  </si>
  <si>
    <t>"O número da OS é 12345"</t>
  </si>
  <si>
    <t>"Qual foi o motivo do atraso?'"</t>
  </si>
  <si>
    <t>"Qual a previsão de chegada ao destino?'"</t>
  </si>
  <si>
    <t>Critérios para Contato com Cliente –  Atraso na Emissão</t>
  </si>
  <si>
    <t>"Para evitar problemas na operação, é essencial que a AE seja emitida até o horário combinado.'"</t>
  </si>
  <si>
    <t xml:space="preserve">Critérios para Contato com Cliente –   Cobrança de OS </t>
  </si>
  <si>
    <t>"A placa do veículo é ABC-1234."</t>
  </si>
  <si>
    <t>Critérios para Contato com Cliente –   Abertura de Chamado</t>
  </si>
  <si>
    <t>O operador se identificou informando saudação, nome e que é LogIn?</t>
  </si>
  <si>
    <t>"Bom dia/Boa tarde/Boa noite, aqui é [Nome], da LogIn."</t>
  </si>
  <si>
    <t>Critérios para Contato com Cliente – Conf. Valorização</t>
  </si>
  <si>
    <t>Critérios para Contato com Cliente – Fusion Entrega Fora do Local</t>
  </si>
  <si>
    <t>Critérios para Contato com Cliente – Fusion Devolução</t>
  </si>
  <si>
    <t>"Como a devolução não ocorreu, favor orientar o motorista para corrigir os apontamentos e evitar futuros problemas."</t>
  </si>
  <si>
    <t>"Você poderia me informar qual o motivo da ocorrência?"</t>
  </si>
  <si>
    <t>"A ocorrência gerada no sistema é [número da ocorrência]"</t>
  </si>
  <si>
    <t>O operador se identificou informando saudação.</t>
  </si>
  <si>
    <t>"Bom dia/Boa tarde/Boa noite."</t>
  </si>
  <si>
    <t>"Por favor, pode me informar quando realizar a solicitação"</t>
  </si>
  <si>
    <t>"Qual o tipo do veículo? 1 - Carreta: Baú 2 - Carreta: Graneleiro - Saider - Contêiner 3 - Toco-Truck: Baú 4 - Toco-Truck: Graneleiro - Saider - Contêiner 5 - Outro: Nos informe o tipo"</t>
  </si>
  <si>
    <t>"Senhor(a) informo que o veículo está *APROVADO* no Checklist. Agradecemos o contato!"</t>
  </si>
  <si>
    <t>"Prezado (a), informo que seu veículo foi *REPROVADO* por: sensor de baú. Dessa forma, favor verificar com o responsável para realizar manutenção no item que ficou reprovado e posteriormente agendar um novo check list via SIL. Agradecemos o contato!"</t>
  </si>
  <si>
    <t>Evitou silêncios prolongados (mais de 60 segundos sem interação)?</t>
  </si>
  <si>
    <t>"Estou realizando a abertura do seu chamado. Aguarde mais um momento."</t>
  </si>
  <si>
    <t>"Por gentileza, pode me informar se você é motorista ou da transportadora?"</t>
  </si>
  <si>
    <t>"Você pode me fornecer o número da nota fiscal?"</t>
  </si>
  <si>
    <t>"Qual o nome do cliente?"</t>
  </si>
  <si>
    <t>"Confirma pra mim o número do motorista"</t>
  </si>
  <si>
    <t>"Qual o número da NF de devolução?"</t>
  </si>
  <si>
    <t>"Quais são os produtos e qual a quantidade?"</t>
  </si>
  <si>
    <t>"Por favor, preciso que retorne o contato daqui 2 horas para que possamos realizar a atualização da ocorrência."</t>
  </si>
  <si>
    <t>"O senhor consegue enviar para nós um vídeo no WhatsApp? No vídeo precisa falar seu nome, senha de segurança, data e horário atuais”</t>
  </si>
  <si>
    <t>O operador utilizou o alfabeto fonético ao passar informações?</t>
  </si>
  <si>
    <t>Solicitou a AE/Placa para iniciar o atendimento?</t>
  </si>
  <si>
    <t>"Para darmos continuidade ao seu atendimento, poderia me informar a AE ou a placa do veículo, por favor?"</t>
  </si>
  <si>
    <t>Solicitar a AE/Placa é essencial para identificar de qual viagem e veículo se trata, para agilizar o atendimento, evitando erros e problemas futuros.</t>
  </si>
  <si>
    <t>Informou o endereço correto do cliente?</t>
  </si>
  <si>
    <t>Realizou um atendimento cordial com educação? (Utilizando "obrigado"/"por favor"/"senhor")</t>
  </si>
  <si>
    <t>"Me informe sua placa por favor"</t>
  </si>
  <si>
    <t>"Posso ajudar com algo mais ou posso encerrar nossa conversa?"</t>
  </si>
  <si>
    <t>"Por gentileza, com quem eu falo?"</t>
  </si>
  <si>
    <t>Confirmou a senha de segurança no inicio da Ligação?</t>
  </si>
  <si>
    <t>Utilizou linguagem apropriada? (Sem excessos de gírias e vícios de linguagem)</t>
  </si>
  <si>
    <t>Atender com cordialidade e educação transmite respeito, melhora a imagem profissional e ajuda a construir confiança com quem está ligando.</t>
  </si>
  <si>
    <t>"O senhor poderia me informar porque.."</t>
  </si>
  <si>
    <t>Garantir clareza, profissionalismo e credibilidade, evitando mal-entendidos e transmitindo seriedade no atendimento.</t>
  </si>
  <si>
    <t>O operador orientou o motorista a realizar paradas somente em locais homologados?</t>
  </si>
  <si>
    <t>Orientou o motorista a seguir a rota informada pela transportadora?</t>
  </si>
  <si>
    <t>Caso esteja desligado, orientou religamento imediato, se necessário?</t>
  </si>
  <si>
    <t>Questionou se há previsão de chegada? (Caso não tenha chego ainda no cliente)</t>
  </si>
  <si>
    <t>Confirmou se foi comunicado a base ou cliente sobre o atraso?</t>
  </si>
  <si>
    <t>Atendimento finalizado!</t>
  </si>
  <si>
    <t>Se estiver atrasada, questionou o motivo do atraso na emissão?</t>
  </si>
  <si>
    <t>"Conforme consta em nosso sistema, há um processo do ano [0000], no estado [XXXXXX], o número do processo é [0000000000]."</t>
  </si>
  <si>
    <t>O operador confirmou a senha de segurança antes de prosseguir?</t>
  </si>
  <si>
    <t>A verificação de senha protege a comunicação e evita repasses indevidos de informações.</t>
  </si>
  <si>
    <t>"Estou entrando em contato devido a um alerta detectado no sistema. Preciso verificar sua situação."</t>
  </si>
  <si>
    <t xml:space="preserve">O operador solicitou vídeo do veículo nos casos necessários (Painel violado, Botão de pânico, Perda de Bateria, Teclado Desconectado, Sensor de desengate e baú)? </t>
  </si>
  <si>
    <t>Informou o tempo de espera?</t>
  </si>
  <si>
    <t>"Estamos tratando este caso como uma suspeita de sinistro."</t>
  </si>
  <si>
    <t>"Já realizamos tentativas de contato com o motorista e ponto de apoio, sem sucesso até o momento."</t>
  </si>
  <si>
    <t>"Esse veículo possui algum equipamento de contingência, como segundo rastreador ou isca?"</t>
  </si>
  <si>
    <t>"O número de telefone que temos registrado para o condutor é [número]. Pode me confirmar se é esse mesmo?"</t>
  </si>
  <si>
    <t>"Antendimento finalizado!"</t>
  </si>
  <si>
    <t>CONTROLE DE TEMPERATURA - CONTATO MOTORISTA</t>
  </si>
  <si>
    <t>ESTADIA - CONTATO MOTORISTA</t>
  </si>
  <si>
    <t>ATRASO - CONTATO MOTORISTA</t>
  </si>
  <si>
    <t>PARADA INDEVIDA (LOG) - CONTATO MOTORISTA</t>
  </si>
  <si>
    <t>DESVIO DE ROTA (LOG) - CONTATO MOTORISTA</t>
  </si>
  <si>
    <t>POSIÇÃO EM ATRASO (LOG) - CONTATO MOTORISTA</t>
  </si>
  <si>
    <t>CONTROLE DE TEMPERATURA - CONTATO CLIENTE</t>
  </si>
  <si>
    <t>DESLIGAMENTO DE TEMPERATURA - CONTATO CLIENTE</t>
  </si>
  <si>
    <t>ATRASO DE ENTREGA - CONTATO CLIENTE</t>
  </si>
  <si>
    <t>ATIVAÇÃO DE AE - CONTATO CLIENTE</t>
  </si>
  <si>
    <t>OPERAÇÃO TABORDA - WHATSAPP</t>
  </si>
  <si>
    <t>CHATBOT - RECEPTIVO</t>
  </si>
  <si>
    <t>PROCESSO CHECKLIST - WHATSAPP</t>
  </si>
  <si>
    <t>LOSS TREE - CONTATO CLIENTE</t>
  </si>
  <si>
    <t>DEVOLUÇÃO - CONTATO CLIENTE</t>
  </si>
  <si>
    <t>ATUAÇÃO TRATATIVA - CONTATO CLIENTE</t>
  </si>
  <si>
    <t>CABINETS - CONTATO CLIENTE</t>
  </si>
  <si>
    <t>DISTRIBUIÇÃO - CONTATO CLIENTE</t>
  </si>
  <si>
    <t>MONITORAMENTO I - RECEPTIVA</t>
  </si>
  <si>
    <t>MONITORAMENTO II - RECEPTIVA</t>
  </si>
  <si>
    <t>LOGÍSTICA REVERSA - RECEPTIVA</t>
  </si>
  <si>
    <t>ANTECEDENTES - RECEPTIVA</t>
  </si>
  <si>
    <t>RECEPTIVA</t>
  </si>
  <si>
    <t>Critérios de Auditoria – Sensores no Contato com o Motorista</t>
  </si>
  <si>
    <t>O operador identificou o motivo do alerta? (Sinistro, manutenção, problema no sensor, etc.)</t>
  </si>
  <si>
    <t xml:space="preserve">O operador solicitou vídeo do sensor? </t>
  </si>
  <si>
    <t>ATRASO NO INÍCIO DA VIAGEM - CONTATO MOTORISTA</t>
  </si>
  <si>
    <t>ATRASO NO INÍCIO DA VIAGEM - CONTATO CLIENTE</t>
  </si>
  <si>
    <t>Questionou o motivo de não haver iniciado a viagem?</t>
  </si>
  <si>
    <t>Confirmou se foi comunicado a base ou cliente sobre o atraso no início?</t>
  </si>
  <si>
    <t>Questionou se há previsão de início?</t>
  </si>
  <si>
    <t>Utilizou a função mudo
corretamente para evitar ruídos externos?</t>
  </si>
  <si>
    <t>O volume de voz, entonação e
condução da chamada
transmitiram credibilidade e
cordialidade, sem excesso de
gírias?</t>
  </si>
  <si>
    <t>Identifica o motivo de não ter iniciado para ações corretivas.</t>
  </si>
  <si>
    <t>"Qual foi o motivo de não ter iniciado a viagem até o momento?"</t>
  </si>
  <si>
    <t>Permite estimar o tempo restante para o início.</t>
  </si>
  <si>
    <t>"Você tem uma previsão para iniciar a viagem?"</t>
  </si>
  <si>
    <t>"Você avisou alguém sobre o atraso no início?"</t>
  </si>
  <si>
    <t>"Estou falando com o motorista
[Nome]?"</t>
  </si>
  <si>
    <t>"O número da AE é 12345".</t>
  </si>
  <si>
    <t>Questionou se há previsão de
início?</t>
  </si>
  <si>
    <t>O uso correto do mudo evita
interferências e mantém a qualidade da chamada.</t>
  </si>
  <si>
    <t>Após a resolução do alerta,
finalizou corretamente a ligação sem reter a linha
desnecessariamente (10s)?</t>
  </si>
  <si>
    <t>VIAGEM SEM ESPELHAMENTO - CONTATO CLIENTE</t>
  </si>
  <si>
    <t>PERDA DE POSIÇÃO - CONTATO CLIENTE</t>
  </si>
  <si>
    <t>É essencial repassar o contato feito ou as tentativas de contato realizadas com o condutor.</t>
  </si>
  <si>
    <t>"Estou entrando em contato pois um veículo perdeu o sinal."</t>
  </si>
  <si>
    <t>"Até o momento não consegui contato com o condutor"</t>
  </si>
  <si>
    <t>O operador informou que o espelhamento foi retirado da conta da Opentech?</t>
  </si>
  <si>
    <t>Operador solicitou ao cliente para refazer o espelhamento do veículo?</t>
  </si>
  <si>
    <t>Informa ao cliente que o veículo está sem sinal para nós, impedindo o monitoramento da viagem.</t>
  </si>
  <si>
    <t>"Verifiquei no sistema que essa viagem foi gerada, mas o espelhamento do veículo não foi direcionado para a Opentech, impedindo o monitoramento correto da viagem."</t>
  </si>
  <si>
    <t>"Por gentileza, preciso que o espelhamento do veículo seja feito para a Opentech, para que possamos realizar o acompanhamento."</t>
  </si>
  <si>
    <t xml:space="preserve">Demonstra para o cliente que estamos atentos antes mesmo da viagem ser iniciada. </t>
  </si>
  <si>
    <t>PARADA EXCESSIVA - CONTATO MOTORISTA</t>
  </si>
  <si>
    <t>PARADA EXCESSIVA - CONTATO CLIENTE</t>
  </si>
  <si>
    <t>"Estou falando com o "Estou falando com o motorista [Nome]?"</t>
  </si>
  <si>
    <t>O operador confirmou o motivo pelo qual o motorista está parado a tanto tempo?</t>
  </si>
  <si>
    <t>Identifica o motivo de não ter reiniciado a viagem.</t>
  </si>
  <si>
    <t>"Qual foi o motivo do atraso no reinício da viagem?"</t>
  </si>
  <si>
    <t>Questionou se há previsão de reiniciar a viagem?</t>
  </si>
  <si>
    <t>Permite estimar o tempo restante para o reinício.</t>
  </si>
  <si>
    <t>"Você tem uma previsão para reiniciar a viagem?"</t>
  </si>
  <si>
    <t>O operador confirmou se o cliente sabe o motivo pelo qual o motorista está parado a tanto tempo?</t>
  </si>
  <si>
    <t>"Qual foi o motivo do atraso no reinício da viagem por parte do condutor?"</t>
  </si>
  <si>
    <t>Questionou se o cliente sabe se há previsão de reiniciar a viagem?</t>
  </si>
  <si>
    <t>"Você tem alguma informação sobre a previsão para o condutor reiniciar a viagem?"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</si>
</sst>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3" formatCode="_-* #,##0.00_-;\-* #,##0.00_-;_-* &quot;-&quot;??_-;_-@_-"/>
    <numFmt numFmtId="164" formatCode="[$-416]General"/>
    <numFmt numFmtId="165" formatCode="d/m/yy\ h:mm;@"/>
    <numFmt numFmtId="166" formatCode="0.0000"/>
    <numFmt numFmtId="167" formatCode="0.0"/>
  </numFmts>
  <fonts count="38" x14ac:knownFonts="1">
    <font>
      <sz val="11"/>
      <color theme="1"/>
      <name val="Calibri"/>
      <family val="2"/>
      <scheme val="minor"/>
    </font>
    <font>
      <b/>
      <sz val="11"/>
      <color theme="1"/>
      <name val="Calibri"/>
      <family val="2"/>
      <scheme val="minor"/>
    </font>
    <font>
      <sz val="11"/>
      <name val="Calibri"/>
      <family val="2"/>
      <scheme val="minor"/>
    </font>
    <font>
      <sz val="11"/>
      <color theme="1"/>
      <name val="Calibri"/>
      <family val="2"/>
      <scheme val="minor"/>
    </font>
    <font>
      <sz val="11"/>
      <color rgb="FF000000"/>
      <name val="Calibri"/>
      <family val="2"/>
    </font>
    <font>
      <sz val="11"/>
      <color theme="0"/>
      <name val="Calibri"/>
      <family val="2"/>
      <scheme val="minor"/>
    </font>
    <font>
      <sz val="11"/>
      <color theme="0" tint="-0.14999847407452621"/>
      <name val="Calibri"/>
      <family val="2"/>
      <scheme val="minor"/>
    </font>
    <font>
      <b/>
      <sz val="9"/>
      <color indexed="81"/>
      <name val="Segoe UI"/>
      <family val="2"/>
    </font>
    <font>
      <sz val="10"/>
      <name val="Arial"/>
      <family val="2"/>
    </font>
    <font>
      <sz val="11"/>
      <color indexed="8"/>
      <name val="Calibri"/>
      <family val="2"/>
    </font>
    <font>
      <b/>
      <sz val="10"/>
      <color theme="1"/>
      <name val="Calibri"/>
      <family val="2"/>
      <scheme val="minor"/>
    </font>
    <font>
      <b/>
      <sz val="9"/>
      <color theme="1"/>
      <name val="Calibri"/>
      <family val="2"/>
      <scheme val="minor"/>
    </font>
    <font>
      <sz val="9"/>
      <color theme="1"/>
      <name val="Calibri"/>
      <family val="2"/>
      <scheme val="minor"/>
    </font>
    <font>
      <sz val="9"/>
      <name val="Calibri"/>
      <family val="2"/>
      <scheme val="minor"/>
    </font>
    <font>
      <sz val="8"/>
      <color theme="1"/>
      <name val="Arial"/>
      <family val="2"/>
    </font>
    <font>
      <b/>
      <sz val="9"/>
      <color theme="5" tint="-0.249977111117893"/>
      <name val="Calibri"/>
      <family val="2"/>
      <scheme val="minor"/>
    </font>
    <font>
      <sz val="11"/>
      <color rgb="FF000000"/>
      <name val="Calibri"/>
      <family val="2"/>
      <scheme val="minor"/>
    </font>
    <font>
      <sz val="14"/>
      <name val="Calibri"/>
      <family val="2"/>
      <scheme val="minor"/>
    </font>
    <font>
      <sz val="8"/>
      <color theme="1"/>
      <name val="Calibri"/>
      <family val="2"/>
      <scheme val="minor"/>
    </font>
    <font>
      <sz val="8"/>
      <name val="Calibri"/>
      <family val="2"/>
      <scheme val="minor"/>
    </font>
    <font>
      <b/>
      <sz val="8"/>
      <color theme="1"/>
      <name val="Calibri"/>
      <family val="2"/>
      <scheme val="minor"/>
    </font>
    <font>
      <b/>
      <sz val="9"/>
      <color theme="0"/>
      <name val="Calibri"/>
      <family val="2"/>
      <scheme val="minor"/>
    </font>
    <font>
      <sz val="9"/>
      <color theme="0" tint="-0.14999847407452621"/>
      <name val="Calibri"/>
      <family val="2"/>
      <scheme val="minor"/>
    </font>
    <font>
      <sz val="9"/>
      <color theme="0"/>
      <name val="Calibri"/>
      <family val="2"/>
      <scheme val="minor"/>
    </font>
    <font>
      <sz val="8"/>
      <color theme="0" tint="-0.14999847407452621"/>
      <name val="Calibri"/>
      <family val="2"/>
      <scheme val="minor"/>
    </font>
    <font>
      <b/>
      <sz val="8"/>
      <color theme="0"/>
      <name val="Calibri"/>
      <family val="2"/>
      <scheme val="minor"/>
    </font>
    <font>
      <b/>
      <sz val="12"/>
      <color theme="0"/>
      <name val="Calibri"/>
      <family val="2"/>
      <scheme val="minor"/>
    </font>
    <font>
      <b/>
      <sz val="8"/>
      <name val="Calibri"/>
      <family val="2"/>
      <scheme val="minor"/>
    </font>
    <font>
      <sz val="8"/>
      <color rgb="FF000000"/>
      <name val="Calibri"/>
      <family val="2"/>
      <scheme val="minor"/>
    </font>
    <font>
      <sz val="8"/>
      <color rgb="FF000000"/>
      <name val="Arial"/>
      <family val="2"/>
    </font>
    <font>
      <b/>
      <sz val="13.5"/>
      <color theme="1"/>
      <name val="Calibri"/>
      <family val="2"/>
      <scheme val="minor"/>
    </font>
    <font>
      <sz val="11"/>
      <color rgb="FFFF0000"/>
      <name val="Calibri"/>
      <family val="2"/>
      <scheme val="minor"/>
    </font>
    <font>
      <b/>
      <sz val="11"/>
      <color rgb="FFFF0000"/>
      <name val="Calibri"/>
      <family val="2"/>
      <scheme val="minor"/>
    </font>
    <font>
      <b/>
      <sz val="11"/>
      <name val="Calibri"/>
      <family val="2"/>
      <scheme val="minor"/>
    </font>
    <font>
      <b/>
      <sz val="11"/>
      <color rgb="FF000000"/>
      <name val="Calibri"/>
      <family val="2"/>
      <scheme val="minor"/>
    </font>
    <font>
      <b/>
      <sz val="11"/>
      <color theme="0"/>
      <name val="Calibri"/>
      <family val="2"/>
      <scheme val="minor"/>
    </font>
    <font>
      <b/>
      <sz val="13.5"/>
      <color theme="0"/>
      <name val="Calibri"/>
      <family val="2"/>
      <scheme val="minor"/>
    </font>
    <font>
      <b/>
      <sz val="13.5"/>
      <name val="Calibri"/>
      <family val="2"/>
      <scheme val="minor"/>
    </font>
  </fonts>
  <fills count="19">
    <fill>
      <patternFill patternType="none"/>
    </fill>
    <fill>
      <patternFill patternType="gray125"/>
    </fill>
    <fill>
      <patternFill patternType="solid">
        <fgColor theme="0" tint="-0.14999847407452621"/>
        <bgColor indexed="64"/>
      </patternFill>
    </fill>
    <fill>
      <patternFill patternType="solid">
        <fgColor theme="2"/>
        <bgColor indexed="64"/>
      </patternFill>
    </fill>
    <fill>
      <patternFill patternType="solid">
        <fgColor theme="5"/>
        <bgColor indexed="64"/>
      </patternFill>
    </fill>
    <fill>
      <patternFill patternType="solid">
        <fgColor theme="4"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theme="5"/>
        <bgColor theme="5"/>
      </patternFill>
    </fill>
    <fill>
      <patternFill patternType="solid">
        <fgColor theme="0"/>
        <bgColor indexed="64"/>
      </patternFill>
    </fill>
    <fill>
      <patternFill patternType="solid">
        <fgColor theme="1"/>
        <bgColor indexed="64"/>
      </patternFill>
    </fill>
    <fill>
      <patternFill patternType="solid">
        <fgColor rgb="FFFFFFFF"/>
        <bgColor indexed="64"/>
      </patternFill>
    </fill>
    <fill>
      <patternFill patternType="solid">
        <fgColor rgb="FFFF0000"/>
        <bgColor indexed="64"/>
      </patternFill>
    </fill>
    <fill>
      <patternFill patternType="solid">
        <fgColor rgb="FF00FF00"/>
        <bgColor indexed="64"/>
      </patternFill>
    </fill>
    <fill>
      <patternFill patternType="solid">
        <fgColor rgb="FF0000FF"/>
        <bgColor indexed="64"/>
      </patternFill>
    </fill>
    <fill>
      <patternFill patternType="solid">
        <fgColor rgb="FFFF9999"/>
        <bgColor indexed="64"/>
      </patternFill>
    </fill>
    <fill>
      <patternFill patternType="solid">
        <fgColor rgb="FFFF6600"/>
        <bgColor indexed="64"/>
      </patternFill>
    </fill>
    <fill>
      <patternFill patternType="solid">
        <fgColor rgb="FFFF5500"/>
        <bgColor indexed="64"/>
      </patternFill>
    </fill>
    <fill>
      <patternFill patternType="solid">
        <fgColor rgb="FFFFFF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theme="9"/>
      </left>
      <right style="thin">
        <color theme="9"/>
      </right>
      <top style="thin">
        <color theme="9"/>
      </top>
      <bottom style="thin">
        <color theme="9"/>
      </bottom>
      <diagonal/>
    </border>
    <border>
      <left style="thin">
        <color theme="5"/>
      </left>
      <right/>
      <top/>
      <bottom/>
      <diagonal/>
    </border>
    <border>
      <left style="thin">
        <color theme="9"/>
      </left>
      <right/>
      <top style="thin">
        <color theme="9"/>
      </top>
      <bottom/>
      <diagonal/>
    </border>
    <border>
      <left style="thin">
        <color theme="9" tint="-0.249977111117893"/>
      </left>
      <right style="thin">
        <color theme="9" tint="-0.249977111117893"/>
      </right>
      <top style="thin">
        <color theme="9" tint="-0.249977111117893"/>
      </top>
      <bottom style="thin">
        <color theme="9" tint="-0.249977111117893"/>
      </bottom>
      <diagonal/>
    </border>
    <border>
      <left style="thin">
        <color indexed="64"/>
      </left>
      <right style="thin">
        <color indexed="64"/>
      </right>
      <top style="thin">
        <color indexed="64"/>
      </top>
      <bottom/>
      <diagonal/>
    </border>
    <border>
      <left style="thin">
        <color theme="9" tint="-0.249977111117893"/>
      </left>
      <right style="thin">
        <color theme="9" tint="-0.249977111117893"/>
      </right>
      <top style="thin">
        <color theme="9" tint="-0.249977111117893"/>
      </top>
      <bottom/>
      <diagonal/>
    </border>
    <border>
      <left/>
      <right style="medium">
        <color indexed="64"/>
      </right>
      <top/>
      <bottom style="medium">
        <color indexed="64"/>
      </bottom>
      <diagonal/>
    </border>
    <border>
      <left style="thin">
        <color indexed="64"/>
      </left>
      <right style="thin">
        <color indexed="64"/>
      </right>
      <top/>
      <bottom style="thin">
        <color indexed="64"/>
      </bottom>
      <diagonal/>
    </border>
  </borders>
  <cellStyleXfs count="6">
    <xf numFmtId="0" fontId="0" fillId="0" borderId="0"/>
    <xf numFmtId="9" fontId="3" fillId="0" borderId="0" applyFont="0" applyFill="0" applyBorder="0" applyAlignment="0" applyProtection="0"/>
    <xf numFmtId="164" fontId="4" fillId="0" borderId="0" applyBorder="0" applyProtection="0"/>
    <xf numFmtId="0" fontId="8" fillId="0" borderId="0"/>
    <xf numFmtId="0" fontId="9" fillId="0" borderId="0"/>
    <xf numFmtId="43" fontId="3" fillId="0" borderId="0" applyFont="0" applyFill="0" applyBorder="0" applyAlignment="0" applyProtection="0"/>
  </cellStyleXfs>
  <cellXfs count="215">
    <xf numFmtId="0" fontId="0" fillId="0" borderId="0" xfId="0"/>
    <xf numFmtId="0" fontId="0" fillId="0" borderId="0" xfId="0" applyAlignment="1">
      <alignment horizontal="left" vertical="center"/>
    </xf>
    <xf numFmtId="0" fontId="0" fillId="2" borderId="0" xfId="0" applyFill="1"/>
    <xf numFmtId="0" fontId="0" fillId="0" borderId="0" xfId="0" applyAlignment="1">
      <alignment horizontal="center"/>
    </xf>
    <xf numFmtId="0" fontId="0" fillId="0" borderId="0" xfId="0" applyAlignment="1">
      <alignment horizontal="left"/>
    </xf>
    <xf numFmtId="9" fontId="0" fillId="0" borderId="0" xfId="1" applyFont="1" applyAlignment="1">
      <alignment horizontal="center"/>
    </xf>
    <xf numFmtId="2" fontId="0" fillId="0" borderId="0" xfId="0" applyNumberFormat="1" applyAlignment="1">
      <alignment horizontal="center"/>
    </xf>
    <xf numFmtId="165" fontId="0" fillId="0" borderId="0" xfId="0" applyNumberFormat="1" applyAlignment="1">
      <alignment horizontal="center"/>
    </xf>
    <xf numFmtId="0" fontId="2" fillId="0" borderId="0" xfId="0" applyFont="1" applyAlignment="1">
      <alignment horizontal="center" vertical="center"/>
    </xf>
    <xf numFmtId="0" fontId="2" fillId="0" borderId="0" xfId="0" applyFont="1" applyAlignment="1">
      <alignment horizontal="left" vertical="center"/>
    </xf>
    <xf numFmtId="9" fontId="0" fillId="0" borderId="0" xfId="0" applyNumberFormat="1" applyAlignment="1">
      <alignment horizontal="center"/>
    </xf>
    <xf numFmtId="0" fontId="0" fillId="0" borderId="0" xfId="0" applyAlignment="1">
      <alignment horizontal="center" vertical="center"/>
    </xf>
    <xf numFmtId="10" fontId="0" fillId="0" borderId="0" xfId="1" applyNumberFormat="1" applyFont="1" applyAlignment="1">
      <alignment horizontal="center"/>
    </xf>
    <xf numFmtId="0" fontId="0" fillId="0" borderId="0" xfId="0" applyAlignment="1">
      <alignment horizontal="right" vertical="center"/>
    </xf>
    <xf numFmtId="0" fontId="0" fillId="0" borderId="0" xfId="0" applyAlignment="1">
      <alignment horizontal="right"/>
    </xf>
    <xf numFmtId="0" fontId="0" fillId="0" borderId="0" xfId="0" applyAlignment="1">
      <alignment vertical="center"/>
    </xf>
    <xf numFmtId="0" fontId="1" fillId="5" borderId="1" xfId="0" applyFont="1" applyFill="1" applyBorder="1" applyAlignment="1">
      <alignment horizontal="center" vertical="center"/>
    </xf>
    <xf numFmtId="2" fontId="1" fillId="5" borderId="1" xfId="0" applyNumberFormat="1" applyFont="1" applyFill="1" applyBorder="1" applyAlignment="1">
      <alignment horizontal="center" vertical="center"/>
    </xf>
    <xf numFmtId="0" fontId="0" fillId="0" borderId="1" xfId="0" applyBorder="1" applyAlignment="1">
      <alignment horizontal="center" vertical="center"/>
    </xf>
    <xf numFmtId="0" fontId="2" fillId="0" borderId="0" xfId="0" applyFont="1"/>
    <xf numFmtId="0" fontId="1" fillId="5" borderId="2" xfId="0" applyFont="1" applyFill="1" applyBorder="1" applyAlignment="1">
      <alignment horizontal="center" vertical="center"/>
    </xf>
    <xf numFmtId="49" fontId="0" fillId="0" borderId="0" xfId="5" applyNumberFormat="1" applyFont="1" applyAlignment="1">
      <alignment horizontal="right" vertical="center"/>
    </xf>
    <xf numFmtId="14" fontId="0" fillId="0" borderId="0" xfId="0" applyNumberFormat="1" applyAlignment="1">
      <alignment horizontal="center" vertical="center"/>
    </xf>
    <xf numFmtId="14" fontId="0" fillId="0" borderId="0" xfId="0" applyNumberFormat="1" applyAlignment="1">
      <alignment horizontal="center"/>
    </xf>
    <xf numFmtId="0" fontId="5" fillId="0" borderId="0" xfId="0" applyFont="1" applyAlignment="1">
      <alignment horizontal="left"/>
    </xf>
    <xf numFmtId="21" fontId="0" fillId="0" borderId="0" xfId="0" applyNumberFormat="1" applyAlignment="1">
      <alignment horizontal="right"/>
    </xf>
    <xf numFmtId="14" fontId="16" fillId="0" borderId="0" xfId="0" applyNumberFormat="1" applyFont="1" applyAlignment="1">
      <alignment horizontal="center" vertical="center"/>
    </xf>
    <xf numFmtId="22" fontId="0" fillId="0" borderId="0" xfId="0" applyNumberFormat="1" applyAlignment="1">
      <alignment vertical="center"/>
    </xf>
    <xf numFmtId="0" fontId="0" fillId="0" borderId="4" xfId="0" applyBorder="1" applyAlignment="1">
      <alignment horizontal="right"/>
    </xf>
    <xf numFmtId="1" fontId="0" fillId="0" borderId="0" xfId="0" applyNumberFormat="1" applyAlignment="1">
      <alignment horizontal="center"/>
    </xf>
    <xf numFmtId="0" fontId="17" fillId="0" borderId="0" xfId="0" applyFont="1" applyAlignment="1">
      <alignment horizontal="center" vertical="center"/>
    </xf>
    <xf numFmtId="0" fontId="1" fillId="0" borderId="1" xfId="0" applyFont="1" applyBorder="1" applyAlignment="1">
      <alignment horizontal="center" vertical="center"/>
    </xf>
    <xf numFmtId="0" fontId="1" fillId="0" borderId="1" xfId="0" applyFont="1" applyBorder="1" applyAlignment="1">
      <alignment horizontal="left" vertical="center"/>
    </xf>
    <xf numFmtId="0" fontId="1" fillId="0" borderId="3" xfId="0" applyFont="1" applyBorder="1" applyAlignment="1">
      <alignment horizontal="center" vertical="center"/>
    </xf>
    <xf numFmtId="0" fontId="11" fillId="0" borderId="0" xfId="0" applyFont="1" applyAlignment="1">
      <alignment horizontal="center" vertical="center" wrapText="1"/>
    </xf>
    <xf numFmtId="0" fontId="10" fillId="0" borderId="0" xfId="0" applyFont="1" applyAlignment="1">
      <alignment horizontal="center" vertical="center" wrapText="1"/>
    </xf>
    <xf numFmtId="0" fontId="14" fillId="0" borderId="0" xfId="0" applyFont="1" applyAlignment="1">
      <alignment horizontal="center" vertical="center"/>
    </xf>
    <xf numFmtId="0" fontId="18" fillId="0" borderId="0" xfId="0" applyFont="1" applyAlignment="1">
      <alignment horizontal="left" vertical="center"/>
    </xf>
    <xf numFmtId="10" fontId="18" fillId="0" borderId="0" xfId="1" applyNumberFormat="1" applyFont="1" applyAlignment="1">
      <alignment horizontal="left" vertical="center"/>
    </xf>
    <xf numFmtId="2" fontId="18" fillId="0" borderId="0" xfId="0" applyNumberFormat="1" applyFont="1" applyAlignment="1">
      <alignment horizontal="left" vertical="center"/>
    </xf>
    <xf numFmtId="9" fontId="18" fillId="0" borderId="0" xfId="0" applyNumberFormat="1" applyFont="1" applyAlignment="1">
      <alignment horizontal="left" vertical="center"/>
    </xf>
    <xf numFmtId="166" fontId="18" fillId="0" borderId="0" xfId="0" applyNumberFormat="1" applyFont="1" applyAlignment="1">
      <alignment horizontal="left" vertical="center"/>
    </xf>
    <xf numFmtId="0" fontId="18" fillId="6" borderId="0" xfId="0" applyFont="1" applyFill="1" applyAlignment="1">
      <alignment horizontal="left" vertical="center"/>
    </xf>
    <xf numFmtId="0" fontId="19" fillId="0" borderId="0" xfId="0" applyFont="1" applyAlignment="1">
      <alignment horizontal="left" vertical="center"/>
    </xf>
    <xf numFmtId="0" fontId="19" fillId="6" borderId="0" xfId="0" applyFont="1" applyFill="1" applyAlignment="1">
      <alignment horizontal="left" vertical="center"/>
    </xf>
    <xf numFmtId="0" fontId="18" fillId="0" borderId="0" xfId="0" applyFont="1" applyAlignment="1">
      <alignment horizontal="left" vertical="center" wrapText="1"/>
    </xf>
    <xf numFmtId="9" fontId="19" fillId="0" borderId="0" xfId="0" applyNumberFormat="1" applyFont="1" applyAlignment="1">
      <alignment horizontal="left" vertical="center"/>
    </xf>
    <xf numFmtId="166" fontId="19" fillId="0" borderId="0" xfId="0" applyNumberFormat="1" applyFont="1" applyAlignment="1">
      <alignment horizontal="left" vertical="center"/>
    </xf>
    <xf numFmtId="1" fontId="0" fillId="0" borderId="0" xfId="0" applyNumberFormat="1" applyAlignment="1">
      <alignment horizontal="center" vertical="center"/>
    </xf>
    <xf numFmtId="0" fontId="18" fillId="0" borderId="1" xfId="0" applyFont="1" applyBorder="1" applyAlignment="1">
      <alignment horizontal="left" vertical="center"/>
    </xf>
    <xf numFmtId="0" fontId="6" fillId="2" borderId="0" xfId="0" applyFont="1" applyFill="1"/>
    <xf numFmtId="0" fontId="22" fillId="2" borderId="0" xfId="0" applyFont="1" applyFill="1"/>
    <xf numFmtId="0" fontId="24" fillId="2" borderId="0" xfId="0" applyFont="1" applyFill="1" applyAlignment="1">
      <alignment horizontal="left" vertical="center"/>
    </xf>
    <xf numFmtId="21" fontId="14" fillId="2" borderId="0" xfId="0" applyNumberFormat="1" applyFont="1" applyFill="1" applyAlignment="1">
      <alignment horizontal="left" vertical="center" wrapText="1"/>
    </xf>
    <xf numFmtId="21" fontId="6" fillId="2" borderId="0" xfId="0" applyNumberFormat="1" applyFont="1" applyFill="1"/>
    <xf numFmtId="0" fontId="12" fillId="2" borderId="0" xfId="0" applyFont="1" applyFill="1"/>
    <xf numFmtId="0" fontId="13" fillId="2" borderId="0" xfId="0" applyFont="1" applyFill="1" applyAlignment="1" applyProtection="1">
      <alignment horizontal="left" wrapText="1"/>
      <protection locked="0"/>
    </xf>
    <xf numFmtId="0" fontId="0" fillId="2" borderId="0" xfId="0" applyFill="1" applyAlignment="1" applyProtection="1">
      <alignment horizontal="center"/>
      <protection locked="0"/>
    </xf>
    <xf numFmtId="10" fontId="0" fillId="0" borderId="0" xfId="1" applyNumberFormat="1" applyFont="1" applyAlignment="1">
      <alignment horizontal="left" vertical="center"/>
    </xf>
    <xf numFmtId="0" fontId="18" fillId="0" borderId="0" xfId="0" applyFont="1" applyAlignment="1">
      <alignment wrapText="1"/>
    </xf>
    <xf numFmtId="0" fontId="25" fillId="8" borderId="5" xfId="0" applyFont="1" applyFill="1" applyBorder="1" applyAlignment="1">
      <alignment horizontal="left" vertical="center" wrapText="1"/>
    </xf>
    <xf numFmtId="0" fontId="25" fillId="8" borderId="0" xfId="0" applyFont="1" applyFill="1" applyAlignment="1">
      <alignment horizontal="left" vertical="center" wrapText="1"/>
    </xf>
    <xf numFmtId="2" fontId="25" fillId="8" borderId="0" xfId="0" applyNumberFormat="1" applyFont="1" applyFill="1" applyAlignment="1">
      <alignment horizontal="left" vertical="center" wrapText="1"/>
    </xf>
    <xf numFmtId="2" fontId="25" fillId="8" borderId="0" xfId="0" applyNumberFormat="1" applyFont="1" applyFill="1" applyAlignment="1">
      <alignment horizontal="center" vertical="center" wrapText="1"/>
    </xf>
    <xf numFmtId="0" fontId="0" fillId="7" borderId="0" xfId="0" applyFill="1"/>
    <xf numFmtId="2" fontId="0" fillId="7" borderId="0" xfId="0" applyNumberFormat="1" applyFill="1" applyAlignment="1">
      <alignment horizontal="center"/>
    </xf>
    <xf numFmtId="0" fontId="0" fillId="7" borderId="0" xfId="0" applyFill="1" applyAlignment="1">
      <alignment horizontal="center"/>
    </xf>
    <xf numFmtId="0" fontId="0" fillId="7" borderId="0" xfId="0" applyFill="1" applyAlignment="1">
      <alignment horizontal="center" vertical="center"/>
    </xf>
    <xf numFmtId="0" fontId="5" fillId="0" borderId="1" xfId="0" applyFont="1" applyBorder="1" applyAlignment="1">
      <alignment horizontal="left"/>
    </xf>
    <xf numFmtId="0" fontId="0" fillId="0" borderId="1" xfId="0" applyBorder="1" applyAlignment="1">
      <alignment horizontal="left"/>
    </xf>
    <xf numFmtId="1" fontId="0" fillId="0" borderId="1" xfId="0" applyNumberFormat="1" applyBorder="1" applyAlignment="1">
      <alignment horizontal="center"/>
    </xf>
    <xf numFmtId="165" fontId="0" fillId="0" borderId="1" xfId="0" applyNumberFormat="1" applyBorder="1" applyAlignment="1">
      <alignment horizontal="center"/>
    </xf>
    <xf numFmtId="0" fontId="0" fillId="0" borderId="1" xfId="0" applyBorder="1" applyAlignment="1">
      <alignment horizontal="center"/>
    </xf>
    <xf numFmtId="0" fontId="17" fillId="0" borderId="1" xfId="0" applyFont="1" applyBorder="1" applyAlignment="1">
      <alignment horizontal="center" vertical="center"/>
    </xf>
    <xf numFmtId="1" fontId="0" fillId="0" borderId="1" xfId="0" applyNumberFormat="1" applyBorder="1" applyAlignment="1">
      <alignment horizontal="center" vertical="center"/>
    </xf>
    <xf numFmtId="21" fontId="0" fillId="0" borderId="1" xfId="0" applyNumberFormat="1" applyBorder="1" applyAlignment="1">
      <alignment horizontal="right"/>
    </xf>
    <xf numFmtId="0" fontId="0" fillId="0" borderId="1" xfId="0" applyBorder="1"/>
    <xf numFmtId="2" fontId="0" fillId="7" borderId="1" xfId="0" applyNumberFormat="1" applyFill="1" applyBorder="1" applyAlignment="1">
      <alignment horizontal="center"/>
    </xf>
    <xf numFmtId="0" fontId="0" fillId="0" borderId="1" xfId="0" applyBorder="1" applyAlignment="1">
      <alignment horizontal="left" vertical="center"/>
    </xf>
    <xf numFmtId="0" fontId="0" fillId="7" borderId="1" xfId="0" applyFill="1" applyBorder="1"/>
    <xf numFmtId="0" fontId="0" fillId="7" borderId="1" xfId="0" applyFill="1" applyBorder="1" applyAlignment="1">
      <alignment horizontal="center" vertical="center"/>
    </xf>
    <xf numFmtId="0" fontId="0" fillId="7" borderId="1" xfId="0" applyFill="1" applyBorder="1" applyAlignment="1">
      <alignment horizontal="center"/>
    </xf>
    <xf numFmtId="0" fontId="26" fillId="4" borderId="1" xfId="0" applyFont="1" applyFill="1" applyBorder="1" applyAlignment="1">
      <alignment horizontal="left" vertical="center" wrapText="1"/>
    </xf>
    <xf numFmtId="1" fontId="26" fillId="4" borderId="1" xfId="0" applyNumberFormat="1" applyFont="1" applyFill="1" applyBorder="1" applyAlignment="1">
      <alignment horizontal="center" vertical="center" wrapText="1"/>
    </xf>
    <xf numFmtId="165" fontId="26" fillId="4" borderId="1" xfId="0" applyNumberFormat="1" applyFont="1" applyFill="1" applyBorder="1" applyAlignment="1">
      <alignment horizontal="center" vertical="center" wrapText="1"/>
    </xf>
    <xf numFmtId="0" fontId="26" fillId="4" borderId="1" xfId="0" applyFont="1" applyFill="1" applyBorder="1" applyAlignment="1">
      <alignment horizontal="center" vertical="center" wrapText="1"/>
    </xf>
    <xf numFmtId="21" fontId="26" fillId="4" borderId="1" xfId="0" applyNumberFormat="1" applyFont="1" applyFill="1" applyBorder="1" applyAlignment="1">
      <alignment horizontal="right" vertical="center" wrapText="1"/>
    </xf>
    <xf numFmtId="0" fontId="26" fillId="4" borderId="1" xfId="0" applyFont="1" applyFill="1" applyBorder="1" applyAlignment="1">
      <alignment vertical="center" wrapText="1"/>
    </xf>
    <xf numFmtId="0" fontId="26" fillId="0" borderId="0" xfId="0" applyFont="1" applyAlignment="1">
      <alignment vertical="center" wrapText="1"/>
    </xf>
    <xf numFmtId="167" fontId="25" fillId="8" borderId="0" xfId="0" applyNumberFormat="1" applyFont="1" applyFill="1" applyAlignment="1">
      <alignment horizontal="center" vertical="center" wrapText="1"/>
    </xf>
    <xf numFmtId="167" fontId="0" fillId="0" borderId="0" xfId="0" applyNumberFormat="1" applyAlignment="1">
      <alignment horizontal="center"/>
    </xf>
    <xf numFmtId="0" fontId="15" fillId="0" borderId="1" xfId="0" applyFont="1" applyBorder="1" applyAlignment="1">
      <alignment horizontal="left" vertical="center"/>
    </xf>
    <xf numFmtId="1" fontId="11" fillId="0" borderId="1" xfId="0" applyNumberFormat="1" applyFont="1" applyBorder="1" applyAlignment="1" applyProtection="1">
      <alignment horizontal="left" vertical="center"/>
      <protection hidden="1"/>
    </xf>
    <xf numFmtId="0" fontId="12" fillId="0" borderId="1" xfId="0" applyFont="1" applyBorder="1" applyAlignment="1">
      <alignment horizontal="left" vertical="center"/>
    </xf>
    <xf numFmtId="0" fontId="12" fillId="0" borderId="1" xfId="0" applyFont="1" applyBorder="1" applyAlignment="1" applyProtection="1">
      <alignment horizontal="center" vertical="center"/>
      <protection locked="0"/>
    </xf>
    <xf numFmtId="22" fontId="11" fillId="0" borderId="1" xfId="0" applyNumberFormat="1" applyFont="1" applyBorder="1" applyAlignment="1">
      <alignment horizontal="left" vertical="center"/>
    </xf>
    <xf numFmtId="0" fontId="10" fillId="0" borderId="1" xfId="0" applyFont="1" applyBorder="1" applyAlignment="1" applyProtection="1">
      <alignment horizontal="left" vertical="center"/>
      <protection locked="0"/>
    </xf>
    <xf numFmtId="0" fontId="20" fillId="3" borderId="1" xfId="0" applyFont="1" applyFill="1" applyBorder="1" applyAlignment="1">
      <alignment horizontal="left" vertical="center"/>
    </xf>
    <xf numFmtId="1" fontId="12" fillId="0" borderId="1" xfId="0" applyNumberFormat="1" applyFont="1" applyBorder="1" applyAlignment="1">
      <alignment horizontal="left" vertical="center"/>
    </xf>
    <xf numFmtId="0" fontId="23" fillId="4" borderId="1" xfId="0" applyFont="1" applyFill="1" applyBorder="1" applyAlignment="1">
      <alignment horizontal="center" vertical="center"/>
    </xf>
    <xf numFmtId="0" fontId="12" fillId="4" borderId="1" xfId="0" applyFont="1" applyFill="1" applyBorder="1" applyAlignment="1">
      <alignment horizontal="left" vertical="center"/>
    </xf>
    <xf numFmtId="0" fontId="27" fillId="0" borderId="1" xfId="0" applyFont="1" applyBorder="1" applyAlignment="1">
      <alignment horizontal="left" vertical="center"/>
    </xf>
    <xf numFmtId="20" fontId="12" fillId="4" borderId="1" xfId="0" applyNumberFormat="1" applyFont="1" applyFill="1" applyBorder="1" applyAlignment="1">
      <alignment horizontal="left" vertical="center"/>
    </xf>
    <xf numFmtId="0" fontId="28" fillId="0" borderId="0" xfId="0" applyFont="1" applyAlignment="1">
      <alignment horizontal="left" vertical="center" wrapText="1"/>
    </xf>
    <xf numFmtId="0" fontId="28" fillId="0" borderId="0" xfId="0" applyFont="1" applyAlignment="1">
      <alignment horizontal="left" vertical="center"/>
    </xf>
    <xf numFmtId="0" fontId="6" fillId="2" borderId="0" xfId="0" quotePrefix="1" applyFont="1" applyFill="1"/>
    <xf numFmtId="0" fontId="15" fillId="0" borderId="3" xfId="0" applyFont="1" applyBorder="1" applyAlignment="1">
      <alignment horizontal="left" vertical="center"/>
    </xf>
    <xf numFmtId="0" fontId="12" fillId="0" borderId="2" xfId="0" applyFont="1" applyBorder="1" applyAlignment="1">
      <alignment horizontal="left" vertical="center"/>
    </xf>
    <xf numFmtId="0" fontId="20" fillId="9" borderId="6" xfId="0" applyFont="1" applyFill="1" applyBorder="1" applyAlignment="1">
      <alignment horizontal="left" vertical="center"/>
    </xf>
    <xf numFmtId="21" fontId="29" fillId="0" borderId="1" xfId="0" applyNumberFormat="1" applyFont="1" applyBorder="1" applyAlignment="1">
      <alignment horizontal="left"/>
    </xf>
    <xf numFmtId="0" fontId="2" fillId="9" borderId="1" xfId="0" applyFont="1" applyFill="1" applyBorder="1" applyAlignment="1">
      <alignment horizontal="center" vertical="center"/>
    </xf>
    <xf numFmtId="1" fontId="12" fillId="0" borderId="2" xfId="0" applyNumberFormat="1" applyFont="1" applyBorder="1" applyAlignment="1">
      <alignment horizontal="left"/>
    </xf>
    <xf numFmtId="0" fontId="2" fillId="0" borderId="1" xfId="0" applyFont="1" applyBorder="1" applyAlignment="1">
      <alignment horizontal="center" vertical="center"/>
    </xf>
    <xf numFmtId="0" fontId="0" fillId="9" borderId="1" xfId="0" applyFill="1" applyBorder="1" applyAlignment="1">
      <alignment horizontal="center"/>
    </xf>
    <xf numFmtId="0" fontId="0" fillId="0" borderId="3" xfId="0" applyBorder="1" applyAlignment="1">
      <alignment horizontal="left"/>
    </xf>
    <xf numFmtId="1" fontId="0" fillId="0" borderId="8" xfId="0" applyNumberFormat="1" applyBorder="1" applyAlignment="1">
      <alignment horizontal="center"/>
    </xf>
    <xf numFmtId="165" fontId="0" fillId="0" borderId="8" xfId="0" applyNumberFormat="1" applyBorder="1" applyAlignment="1">
      <alignment horizontal="center"/>
    </xf>
    <xf numFmtId="0" fontId="2" fillId="0" borderId="8" xfId="0" applyFont="1" applyBorder="1" applyAlignment="1">
      <alignment horizontal="center" vertical="center"/>
    </xf>
    <xf numFmtId="0" fontId="0" fillId="0" borderId="8" xfId="0" applyBorder="1" applyAlignment="1">
      <alignment horizontal="center"/>
    </xf>
    <xf numFmtId="0" fontId="0" fillId="0" borderId="8" xfId="0" applyBorder="1" applyAlignment="1">
      <alignment horizontal="left"/>
    </xf>
    <xf numFmtId="0" fontId="17" fillId="0" borderId="8" xfId="0" applyFont="1" applyBorder="1" applyAlignment="1">
      <alignment horizontal="center" vertical="center"/>
    </xf>
    <xf numFmtId="1" fontId="0" fillId="0" borderId="8" xfId="0" applyNumberFormat="1" applyBorder="1" applyAlignment="1">
      <alignment horizontal="center" vertical="center"/>
    </xf>
    <xf numFmtId="21" fontId="0" fillId="0" borderId="8" xfId="0" applyNumberFormat="1" applyBorder="1" applyAlignment="1">
      <alignment horizontal="right"/>
    </xf>
    <xf numFmtId="0" fontId="0" fillId="0" borderId="8" xfId="0" applyBorder="1"/>
    <xf numFmtId="2" fontId="0" fillId="7" borderId="8" xfId="0" applyNumberFormat="1" applyFill="1" applyBorder="1" applyAlignment="1">
      <alignment horizontal="center"/>
    </xf>
    <xf numFmtId="0" fontId="0" fillId="0" borderId="8" xfId="0" applyBorder="1" applyAlignment="1">
      <alignment horizontal="left" vertical="center"/>
    </xf>
    <xf numFmtId="1" fontId="0" fillId="0" borderId="7" xfId="0" applyNumberFormat="1" applyBorder="1" applyAlignment="1">
      <alignment horizontal="center"/>
    </xf>
    <xf numFmtId="165" fontId="0" fillId="0" borderId="7" xfId="0" applyNumberFormat="1" applyBorder="1" applyAlignment="1">
      <alignment horizontal="center"/>
    </xf>
    <xf numFmtId="0" fontId="2" fillId="0" borderId="7" xfId="0" applyFont="1" applyBorder="1" applyAlignment="1">
      <alignment horizontal="center" vertical="center"/>
    </xf>
    <xf numFmtId="0" fontId="0" fillId="0" borderId="7" xfId="0" applyBorder="1" applyAlignment="1">
      <alignment horizontal="center"/>
    </xf>
    <xf numFmtId="0" fontId="0" fillId="0" borderId="7" xfId="0" applyBorder="1" applyAlignment="1">
      <alignment horizontal="left"/>
    </xf>
    <xf numFmtId="0" fontId="17" fillId="0" borderId="7" xfId="0" applyFont="1" applyBorder="1" applyAlignment="1">
      <alignment horizontal="center" vertical="center"/>
    </xf>
    <xf numFmtId="1" fontId="0" fillId="0" borderId="7" xfId="0" applyNumberFormat="1" applyBorder="1" applyAlignment="1">
      <alignment horizontal="center" vertical="center"/>
    </xf>
    <xf numFmtId="21" fontId="0" fillId="0" borderId="7" xfId="0" applyNumberFormat="1" applyBorder="1" applyAlignment="1">
      <alignment horizontal="right"/>
    </xf>
    <xf numFmtId="0" fontId="0" fillId="0" borderId="7" xfId="0" applyBorder="1"/>
    <xf numFmtId="2" fontId="0" fillId="7" borderId="7" xfId="0" applyNumberFormat="1" applyFill="1" applyBorder="1" applyAlignment="1">
      <alignment horizontal="center"/>
    </xf>
    <xf numFmtId="0" fontId="0" fillId="0" borderId="7" xfId="0" applyBorder="1" applyAlignment="1">
      <alignment horizontal="left" vertical="center"/>
    </xf>
    <xf numFmtId="1" fontId="0" fillId="0" borderId="9" xfId="0" applyNumberFormat="1" applyBorder="1" applyAlignment="1">
      <alignment horizontal="center"/>
    </xf>
    <xf numFmtId="165" fontId="0" fillId="0" borderId="9" xfId="0" applyNumberFormat="1" applyBorder="1" applyAlignment="1">
      <alignment horizontal="center"/>
    </xf>
    <xf numFmtId="0" fontId="2" fillId="0" borderId="9" xfId="0" applyFont="1" applyBorder="1" applyAlignment="1">
      <alignment horizontal="center" vertical="center"/>
    </xf>
    <xf numFmtId="0" fontId="0" fillId="0" borderId="9" xfId="0" applyBorder="1" applyAlignment="1">
      <alignment horizontal="center"/>
    </xf>
    <xf numFmtId="0" fontId="0" fillId="0" borderId="9" xfId="0" applyBorder="1" applyAlignment="1">
      <alignment horizontal="left"/>
    </xf>
    <xf numFmtId="0" fontId="17" fillId="0" borderId="9" xfId="0" applyFont="1" applyBorder="1" applyAlignment="1">
      <alignment horizontal="center" vertical="center"/>
    </xf>
    <xf numFmtId="1" fontId="0" fillId="0" borderId="9" xfId="0" applyNumberFormat="1" applyBorder="1" applyAlignment="1">
      <alignment horizontal="center" vertical="center"/>
    </xf>
    <xf numFmtId="21" fontId="0" fillId="0" borderId="9" xfId="0" applyNumberFormat="1" applyBorder="1" applyAlignment="1">
      <alignment horizontal="right"/>
    </xf>
    <xf numFmtId="0" fontId="0" fillId="0" borderId="9" xfId="0" applyBorder="1"/>
    <xf numFmtId="2" fontId="0" fillId="7" borderId="9" xfId="0" applyNumberFormat="1" applyFill="1" applyBorder="1" applyAlignment="1">
      <alignment horizontal="center"/>
    </xf>
    <xf numFmtId="0" fontId="0" fillId="0" borderId="9" xfId="0" applyBorder="1" applyAlignment="1">
      <alignment horizontal="left" vertical="center"/>
    </xf>
    <xf numFmtId="0" fontId="1" fillId="0" borderId="0" xfId="0" applyFont="1" applyAlignment="1">
      <alignment horizontal="center" vertical="center" wrapText="1"/>
    </xf>
    <xf numFmtId="0" fontId="0" fillId="0" borderId="0" xfId="0" applyAlignment="1">
      <alignment vertical="center" wrapText="1"/>
    </xf>
    <xf numFmtId="0" fontId="1" fillId="0" borderId="0" xfId="0" applyFont="1" applyAlignment="1">
      <alignment vertical="center" wrapText="1"/>
    </xf>
    <xf numFmtId="0" fontId="30" fillId="0" borderId="0" xfId="0" applyFont="1" applyAlignment="1">
      <alignment vertical="center"/>
    </xf>
    <xf numFmtId="0" fontId="1" fillId="0" borderId="1" xfId="0" applyFont="1" applyBorder="1" applyAlignment="1">
      <alignment horizontal="center" vertical="center" wrapText="1"/>
    </xf>
    <xf numFmtId="0" fontId="0" fillId="0" borderId="1" xfId="0" applyBorder="1" applyAlignment="1">
      <alignment vertical="center" wrapText="1"/>
    </xf>
    <xf numFmtId="0" fontId="1" fillId="0" borderId="1" xfId="0" applyFont="1" applyBorder="1" applyAlignment="1">
      <alignment vertical="center" wrapText="1"/>
    </xf>
    <xf numFmtId="2" fontId="0" fillId="0" borderId="0" xfId="0" applyNumberFormat="1"/>
    <xf numFmtId="2" fontId="0" fillId="0" borderId="1" xfId="0" applyNumberFormat="1" applyBorder="1" applyAlignment="1">
      <alignment horizontal="center" vertical="center" wrapText="1"/>
    </xf>
    <xf numFmtId="0" fontId="1" fillId="9" borderId="1" xfId="0" applyFont="1" applyFill="1" applyBorder="1" applyAlignment="1">
      <alignment vertical="center" wrapText="1"/>
    </xf>
    <xf numFmtId="2" fontId="0" fillId="9" borderId="1" xfId="0" applyNumberFormat="1" applyFill="1" applyBorder="1" applyAlignment="1">
      <alignment horizontal="center" vertical="center" wrapText="1"/>
    </xf>
    <xf numFmtId="0" fontId="0" fillId="9" borderId="1" xfId="0" applyFill="1" applyBorder="1" applyAlignment="1">
      <alignment vertical="center" wrapText="1"/>
    </xf>
    <xf numFmtId="0" fontId="0" fillId="0" borderId="1" xfId="0" applyBorder="1" applyAlignment="1">
      <alignment wrapText="1"/>
    </xf>
    <xf numFmtId="0" fontId="1" fillId="0" borderId="1" xfId="0" applyFont="1" applyBorder="1" applyAlignment="1">
      <alignment wrapText="1"/>
    </xf>
    <xf numFmtId="0" fontId="0" fillId="0" borderId="8" xfId="0" applyBorder="1" applyAlignment="1">
      <alignment vertical="center" wrapText="1"/>
    </xf>
    <xf numFmtId="0" fontId="31" fillId="10" borderId="0" xfId="0" applyFont="1" applyFill="1" applyAlignment="1">
      <alignment vertical="center"/>
    </xf>
    <xf numFmtId="0" fontId="32" fillId="0" borderId="0" xfId="0" applyFont="1" applyAlignment="1">
      <alignment vertical="center" wrapText="1"/>
    </xf>
    <xf numFmtId="0" fontId="31" fillId="0" borderId="0" xfId="0" applyFont="1" applyAlignment="1">
      <alignment vertical="center" wrapText="1"/>
    </xf>
    <xf numFmtId="2" fontId="2" fillId="0" borderId="1" xfId="0" applyNumberFormat="1" applyFont="1" applyBorder="1" applyAlignment="1">
      <alignment horizontal="center" vertical="center" wrapText="1"/>
    </xf>
    <xf numFmtId="0" fontId="2" fillId="0" borderId="1" xfId="0" applyFont="1" applyBorder="1" applyAlignment="1">
      <alignment vertical="center" wrapText="1"/>
    </xf>
    <xf numFmtId="0" fontId="16" fillId="0" borderId="10" xfId="0" applyFont="1" applyBorder="1" applyAlignment="1">
      <alignment vertical="center" wrapText="1"/>
    </xf>
    <xf numFmtId="0" fontId="34" fillId="11" borderId="1" xfId="0" applyFont="1" applyFill="1" applyBorder="1" applyAlignment="1">
      <alignment vertical="center" wrapText="1"/>
    </xf>
    <xf numFmtId="0" fontId="16" fillId="11" borderId="1" xfId="0" applyFont="1" applyFill="1" applyBorder="1" applyAlignment="1">
      <alignment horizontal="center" vertical="center" wrapText="1"/>
    </xf>
    <xf numFmtId="0" fontId="16" fillId="11" borderId="1" xfId="0" applyFont="1" applyFill="1" applyBorder="1" applyAlignment="1">
      <alignment vertical="center" wrapText="1"/>
    </xf>
    <xf numFmtId="0" fontId="34" fillId="0" borderId="1" xfId="0" applyFont="1" applyBorder="1" applyAlignment="1">
      <alignment vertical="center" wrapText="1"/>
    </xf>
    <xf numFmtId="0" fontId="16" fillId="0" borderId="1" xfId="0" applyFont="1" applyBorder="1" applyAlignment="1">
      <alignment horizontal="center" vertical="center" wrapText="1"/>
    </xf>
    <xf numFmtId="0" fontId="16" fillId="0" borderId="1" xfId="0" applyFont="1" applyBorder="1" applyAlignment="1">
      <alignment vertical="center" wrapText="1"/>
    </xf>
    <xf numFmtId="0" fontId="33" fillId="0" borderId="1" xfId="0" applyFont="1" applyBorder="1" applyAlignment="1">
      <alignment vertical="center" wrapText="1"/>
    </xf>
    <xf numFmtId="0" fontId="0" fillId="0" borderId="1" xfId="0" quotePrefix="1" applyBorder="1" applyAlignment="1">
      <alignment vertical="center" wrapText="1"/>
    </xf>
    <xf numFmtId="0" fontId="0" fillId="0" borderId="1" xfId="0" applyBorder="1" applyAlignment="1">
      <alignment horizontal="left" vertical="center" wrapText="1"/>
    </xf>
    <xf numFmtId="0" fontId="0" fillId="0" borderId="0" xfId="0" applyAlignment="1">
      <alignment wrapText="1"/>
    </xf>
    <xf numFmtId="0" fontId="31" fillId="0" borderId="0" xfId="0" applyFont="1" applyAlignment="1">
      <alignment horizontal="center" wrapText="1"/>
    </xf>
    <xf numFmtId="0" fontId="35" fillId="12" borderId="1" xfId="0" applyFont="1" applyFill="1" applyBorder="1" applyAlignment="1">
      <alignment horizontal="center" vertical="center" wrapText="1"/>
    </xf>
    <xf numFmtId="0" fontId="35" fillId="13" borderId="1" xfId="0" applyFont="1" applyFill="1" applyBorder="1" applyAlignment="1">
      <alignment horizontal="center" vertical="center" wrapText="1"/>
    </xf>
    <xf numFmtId="0" fontId="35" fillId="14" borderId="1" xfId="0" applyFont="1" applyFill="1" applyBorder="1" applyAlignment="1">
      <alignment horizontal="center" vertical="center" wrapText="1"/>
    </xf>
    <xf numFmtId="0" fontId="35" fillId="15" borderId="1" xfId="0" applyFont="1" applyFill="1" applyBorder="1" applyAlignment="1">
      <alignment horizontal="center" vertical="center" wrapText="1"/>
    </xf>
    <xf numFmtId="0" fontId="35" fillId="16" borderId="1" xfId="0" applyFont="1" applyFill="1" applyBorder="1" applyAlignment="1">
      <alignment horizontal="center" vertical="center" wrapText="1"/>
    </xf>
    <xf numFmtId="0" fontId="35" fillId="17" borderId="1" xfId="0" applyFont="1" applyFill="1" applyBorder="1" applyAlignment="1">
      <alignment horizontal="center" vertical="center" wrapText="1"/>
    </xf>
    <xf numFmtId="0" fontId="33" fillId="18" borderId="1" xfId="0" applyFont="1" applyFill="1" applyBorder="1" applyAlignment="1">
      <alignment horizontal="center" vertical="center" wrapText="1"/>
    </xf>
    <xf numFmtId="0" fontId="34" fillId="9" borderId="1" xfId="0" applyFont="1" applyFill="1" applyBorder="1" applyAlignment="1">
      <alignment vertical="center" wrapText="1"/>
    </xf>
    <xf numFmtId="0" fontId="1" fillId="0" borderId="1" xfId="0" applyFont="1" applyBorder="1" applyAlignment="1">
      <alignment horizontal="left" vertical="center" wrapText="1"/>
    </xf>
    <xf numFmtId="2" fontId="0" fillId="0" borderId="1" xfId="0" applyNumberFormat="1" applyBorder="1" applyAlignment="1">
      <alignment vertical="center" wrapText="1"/>
    </xf>
    <xf numFmtId="0" fontId="0" fillId="9" borderId="0" xfId="0" applyFill="1"/>
    <xf numFmtId="0" fontId="0" fillId="9" borderId="0" xfId="0" applyFill="1" applyAlignment="1">
      <alignment horizontal="center" vertical="center"/>
    </xf>
    <xf numFmtId="2" fontId="0" fillId="9" borderId="0" xfId="0" applyNumberFormat="1" applyFill="1" applyAlignment="1">
      <alignment horizontal="center" vertical="center"/>
    </xf>
    <xf numFmtId="0" fontId="0" fillId="9" borderId="0" xfId="0" applyFill="1" applyAlignment="1">
      <alignment horizontal="left" vertical="center" wrapText="1"/>
    </xf>
    <xf numFmtId="2" fontId="0" fillId="0" borderId="1" xfId="0" applyNumberFormat="1" applyBorder="1" applyAlignment="1">
      <alignment horizontal="center" vertical="center"/>
    </xf>
    <xf numFmtId="0" fontId="0" fillId="9" borderId="0" xfId="0" applyFill="1" applyAlignment="1">
      <alignment vertical="center" wrapText="1"/>
    </xf>
    <xf numFmtId="167" fontId="0" fillId="9" borderId="0" xfId="0" applyNumberFormat="1" applyFill="1" applyAlignment="1">
      <alignment vertical="center" wrapText="1"/>
    </xf>
    <xf numFmtId="0" fontId="33" fillId="9" borderId="1" xfId="0" applyFont="1" applyFill="1" applyBorder="1" applyAlignment="1">
      <alignment horizontal="center" vertical="center" wrapText="1"/>
    </xf>
    <xf numFmtId="0" fontId="36" fillId="13" borderId="1" xfId="0" applyFont="1" applyFill="1" applyBorder="1" applyAlignment="1">
      <alignment horizontal="center" vertical="center" wrapText="1"/>
    </xf>
    <xf numFmtId="21" fontId="19" fillId="0" borderId="1" xfId="0" applyNumberFormat="1" applyFont="1" applyBorder="1" applyAlignment="1" applyProtection="1">
      <alignment horizontal="left" vertical="center" wrapText="1"/>
      <protection locked="0"/>
    </xf>
    <xf numFmtId="0" fontId="19" fillId="0" borderId="1" xfId="0" applyFont="1" applyBorder="1" applyAlignment="1" applyProtection="1">
      <alignment horizontal="left" vertical="center" wrapText="1"/>
      <protection locked="0"/>
    </xf>
    <xf numFmtId="0" fontId="21" fillId="4" borderId="1" xfId="0" applyFont="1" applyFill="1" applyBorder="1" applyAlignment="1">
      <alignment horizontal="center" vertical="center"/>
    </xf>
    <xf numFmtId="0" fontId="6" fillId="2" borderId="0" xfId="0" applyFont="1" applyFill="1" applyAlignment="1">
      <alignment horizontal="center"/>
    </xf>
    <xf numFmtId="0" fontId="15" fillId="7" borderId="1" xfId="0" applyFont="1" applyFill="1" applyBorder="1" applyAlignment="1">
      <alignment horizontal="center" vertical="center"/>
    </xf>
    <xf numFmtId="0" fontId="36" fillId="12" borderId="1" xfId="0" applyFont="1" applyFill="1" applyBorder="1" applyAlignment="1">
      <alignment horizontal="center" vertical="center"/>
    </xf>
    <xf numFmtId="0" fontId="37" fillId="18" borderId="1" xfId="0" applyFont="1" applyFill="1" applyBorder="1" applyAlignment="1">
      <alignment horizontal="center" vertical="center"/>
    </xf>
    <xf numFmtId="0" fontId="36" fillId="14" borderId="1" xfId="0" applyFont="1" applyFill="1" applyBorder="1" applyAlignment="1">
      <alignment horizontal="center" vertical="center" wrapText="1"/>
    </xf>
    <xf numFmtId="0" fontId="36" fillId="15" borderId="1" xfId="0" applyFont="1" applyFill="1" applyBorder="1" applyAlignment="1">
      <alignment horizontal="center" vertical="center" wrapText="1"/>
    </xf>
    <xf numFmtId="0" fontId="36" fillId="16" borderId="1" xfId="0" applyFont="1" applyFill="1" applyBorder="1" applyAlignment="1">
      <alignment horizontal="center" vertical="center"/>
    </xf>
    <xf numFmtId="0" fontId="36" fillId="17" borderId="0" xfId="0" applyFont="1" applyFill="1" applyAlignment="1">
      <alignment horizontal="center" vertical="center"/>
    </xf>
    <xf numFmtId="0" fontId="0" fillId="0" borderId="8" xfId="0" applyBorder="1" applyAlignment="1">
      <alignment horizontal="center" vertical="center" wrapText="1"/>
    </xf>
    <xf numFmtId="0" fontId="0" fillId="0" borderId="11" xfId="0" applyBorder="1" applyAlignment="1">
      <alignment horizontal="center" vertical="center" wrapText="1"/>
    </xf>
    <xf numFmtId="0" fontId="30" fillId="0" borderId="0" xfId="0" applyFont="1" applyAlignment="1">
      <alignment horizontal="center" vertical="center"/>
    </xf>
    <xf numFmtId="0" fontId="36" fillId="4" borderId="0" xfId="0" applyFont="1" applyFill="1" applyAlignment="1">
      <alignment horizontal="center" vertical="center"/>
    </xf>
    <xf numFmtId="0" fontId="36" fillId="17" borderId="1" xfId="0" applyFont="1" applyFill="1" applyBorder="1" applyAlignment="1">
      <alignment horizontal="center" vertical="center"/>
    </xf>
  </cellXfs>
  <cellStyles count="6">
    <cellStyle name="Excel Built-in Normal" xfId="2" xr:uid="{00000000-0005-0000-0000-000000000000}"/>
    <cellStyle name="Excel Built-in Normal 2" xfId="4" xr:uid="{00000000-0005-0000-0000-000001000000}"/>
    <cellStyle name="Normal" xfId="0" builtinId="0"/>
    <cellStyle name="Normal 2" xfId="3" xr:uid="{00000000-0005-0000-0000-000003000000}"/>
    <cellStyle name="Porcentagem" xfId="1" builtinId="5"/>
    <cellStyle name="Vírgula" xfId="5" builtinId="3"/>
  </cellStyles>
  <dxfs count="47">
    <dxf>
      <font>
        <strike val="0"/>
        <outline val="0"/>
        <shadow val="0"/>
        <u val="none"/>
        <vertAlign val="baseline"/>
        <sz val="8"/>
        <name val="Calibri"/>
        <scheme val="minor"/>
      </font>
      <numFmt numFmtId="166" formatCode="0.0000"/>
      <alignment horizontal="left" vertical="center" textRotation="0" wrapText="0" indent="0" justifyLastLine="0" shrinkToFit="0" readingOrder="0"/>
    </dxf>
    <dxf>
      <font>
        <strike val="0"/>
        <outline val="0"/>
        <shadow val="0"/>
        <u val="none"/>
        <vertAlign val="baseline"/>
        <sz val="8"/>
        <name val="Calibri"/>
        <scheme val="minor"/>
      </font>
      <numFmt numFmtId="13" formatCode="0%"/>
      <alignment horizontal="left" vertical="center" textRotation="0" wrapText="0" indent="0" justifyLastLine="0" shrinkToFit="0" readingOrder="0"/>
    </dxf>
    <dxf>
      <font>
        <strike val="0"/>
        <outline val="0"/>
        <shadow val="0"/>
        <u val="none"/>
        <vertAlign val="baseline"/>
        <sz val="8"/>
        <name val="Calibri"/>
        <scheme val="minor"/>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8"/>
        <color theme="1"/>
        <name val="Calibri"/>
        <scheme val="minor"/>
      </font>
      <numFmt numFmtId="14" formatCode="0.00%"/>
      <alignment horizontal="left" vertical="center" textRotation="0" wrapText="0" indent="0" justifyLastLine="0" shrinkToFit="0" readingOrder="0"/>
    </dxf>
    <dxf>
      <font>
        <strike val="0"/>
        <outline val="0"/>
        <shadow val="0"/>
        <u val="none"/>
        <vertAlign val="baseline"/>
        <sz val="8"/>
        <name val="Calibri"/>
        <scheme val="minor"/>
      </font>
      <alignment horizontal="left" vertical="center" textRotation="0" wrapText="0" indent="0" justifyLastLine="0" shrinkToFit="0" readingOrder="0"/>
    </dxf>
    <dxf>
      <font>
        <strike val="0"/>
        <outline val="0"/>
        <shadow val="0"/>
        <u val="none"/>
        <vertAlign val="baseline"/>
        <sz val="8"/>
        <name val="Calibri"/>
        <scheme val="minor"/>
      </font>
      <alignment horizontal="left" vertical="center" textRotation="0" wrapText="0" indent="0" justifyLastLine="0" shrinkToFit="0" readingOrder="0"/>
    </dxf>
    <dxf>
      <font>
        <strike val="0"/>
        <outline val="0"/>
        <shadow val="0"/>
        <u val="none"/>
        <vertAlign val="baseline"/>
        <sz val="8"/>
        <name val="Calibri"/>
        <scheme val="minor"/>
      </font>
      <alignment horizontal="left" vertical="center" textRotation="0" indent="0" justifyLastLine="0" shrinkToFit="0" readingOrder="0"/>
    </dxf>
    <dxf>
      <font>
        <strike val="0"/>
        <outline val="0"/>
        <shadow val="0"/>
        <u val="none"/>
        <vertAlign val="baseline"/>
        <sz val="8"/>
        <name val="Calibri"/>
        <scheme val="minor"/>
      </font>
      <alignment horizontal="left" vertical="center" textRotation="0" indent="0" justifyLastLine="0" shrinkToFit="0" readingOrder="0"/>
    </dxf>
    <dxf>
      <font>
        <strike val="0"/>
        <outline val="0"/>
        <shadow val="0"/>
        <u val="none"/>
        <vertAlign val="baseline"/>
        <sz val="8"/>
        <name val="Calibri"/>
        <scheme val="minor"/>
      </font>
      <alignment horizontal="left" vertical="center" textRotation="0" indent="0" justifyLastLine="0" shrinkToFit="0" readingOrder="0"/>
    </dxf>
    <dxf>
      <font>
        <strike val="0"/>
        <outline val="0"/>
        <shadow val="0"/>
        <u val="none"/>
        <vertAlign val="baseline"/>
        <sz val="8"/>
        <name val="Calibri"/>
        <scheme val="minor"/>
      </font>
      <alignment horizontal="left" vertical="center" textRotation="0" wrapText="0" indent="0" justifyLastLine="0" shrinkToFit="0" readingOrder="0"/>
    </dxf>
    <dxf>
      <alignment horizontal="left" vertical="center"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fill>
        <patternFill patternType="none">
          <fgColor indexed="64"/>
          <bgColor indexed="65"/>
        </patternFill>
      </fil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general" vertical="bottom" textRotation="0" wrapText="0" indent="0" justifyLastLine="0" shrinkToFit="0" readingOrder="0"/>
    </dxf>
    <dxf>
      <alignment horizontal="general" vertical="bottom" textRotation="0" wrapText="0" indent="0" justifyLastLine="0" shrinkToFit="0" readingOrder="0"/>
    </dxf>
    <dxf>
      <alignment horizontal="lef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1"/>
        <color theme="1"/>
        <name val="Calibri"/>
        <scheme val="minor"/>
      </font>
      <fill>
        <patternFill patternType="solid">
          <fgColor indexed="64"/>
          <bgColor theme="4" tint="0.79998168889431442"/>
        </patternFill>
      </fill>
      <alignment horizontal="center" vertical="center" textRotation="0" wrapText="0" indent="0" justifyLastLine="0" shrinkToFit="0" readingOrder="0"/>
    </dxf>
    <dxf>
      <font>
        <b/>
        <i val="0"/>
        <color theme="0"/>
      </font>
      <fill>
        <patternFill>
          <bgColor rgb="FF00B050"/>
        </patternFill>
      </fill>
    </dxf>
    <dxf>
      <font>
        <b/>
        <i val="0"/>
        <color theme="0"/>
      </font>
      <fill>
        <patternFill>
          <bgColor rgb="FF0070C0"/>
        </patternFill>
      </fill>
    </dxf>
    <dxf>
      <font>
        <b/>
        <i val="0"/>
        <color theme="0"/>
      </font>
      <fill>
        <patternFill>
          <bgColor rgb="FFFF0000"/>
        </patternFill>
      </fill>
    </dxf>
    <dxf>
      <font>
        <b/>
        <i val="0"/>
        <color theme="0"/>
      </font>
      <fill>
        <patternFill>
          <bgColor theme="5"/>
        </patternFill>
      </fill>
    </dxf>
    <dxf>
      <font>
        <color theme="0"/>
      </font>
      <border>
        <vertical/>
        <horizontal/>
      </border>
    </dxf>
    <dxf>
      <font>
        <color theme="0"/>
      </font>
      <border>
        <left/>
        <right/>
        <top/>
        <bottom/>
        <vertical/>
        <horizontal/>
      </border>
    </dxf>
    <dxf>
      <font>
        <b val="0"/>
        <i val="0"/>
        <color theme="0"/>
      </font>
      <border>
        <left/>
        <right/>
        <top/>
        <bottom/>
        <vertical/>
        <horizontal/>
      </border>
    </dxf>
    <dxf>
      <numFmt numFmtId="167" formatCode="0.0"/>
      <alignment horizontal="center" textRotation="0" indent="0" justifyLastLine="0" shrinkToFit="0" readingOrder="0"/>
    </dxf>
    <dxf>
      <numFmt numFmtId="167" formatCode="0.0"/>
      <alignment horizontal="center" textRotation="0" indent="0" justifyLastLine="0" shrinkToFit="0" readingOrder="0"/>
    </dxf>
    <dxf>
      <numFmt numFmtId="167" formatCode="0.0"/>
      <alignment horizontal="center" textRotation="0" indent="0" justifyLastLine="0" shrinkToFit="0" readingOrder="0"/>
    </dxf>
    <dxf>
      <numFmt numFmtId="167" formatCode="0.0"/>
      <alignment horizontal="center" textRotation="0" indent="0" justifyLastLine="0" shrinkToFit="0" readingOrder="0"/>
    </dxf>
    <dxf>
      <numFmt numFmtId="167" formatCode="0.0"/>
      <alignment horizontal="center" textRotation="0" indent="0" justifyLastLine="0" shrinkToFit="0" readingOrder="0"/>
    </dxf>
    <dxf>
      <numFmt numFmtId="167" formatCode="0.0"/>
      <alignment horizontal="center" textRotation="0" indent="0" justifyLastLine="0" shrinkToFit="0" readingOrder="0"/>
    </dxf>
    <dxf>
      <numFmt numFmtId="0" formatCode="General"/>
    </dxf>
    <dxf>
      <numFmt numFmtId="2" formatCode="0.00"/>
      <alignment horizontal="center" textRotation="0" indent="0" justifyLastLine="0" shrinkToFit="0" readingOrder="0"/>
    </dxf>
    <dxf>
      <numFmt numFmtId="2" formatCode="0.00"/>
      <alignment horizontal="center" textRotation="0" indent="0" justifyLastLine="0" shrinkToFit="0" readingOrder="0"/>
    </dxf>
    <dxf>
      <numFmt numFmtId="0" formatCode="General"/>
    </dxf>
    <dxf>
      <numFmt numFmtId="0" formatCode="General"/>
    </dxf>
    <dxf>
      <border outline="0">
        <top style="thin">
          <color theme="5"/>
        </top>
      </border>
    </dxf>
    <dxf>
      <font>
        <b/>
        <i val="0"/>
        <strike val="0"/>
        <condense val="0"/>
        <extend val="0"/>
        <outline val="0"/>
        <shadow val="0"/>
        <u val="none"/>
        <vertAlign val="baseline"/>
        <sz val="8"/>
        <color theme="0"/>
        <name val="Calibri"/>
        <scheme val="minor"/>
      </font>
      <numFmt numFmtId="2" formatCode="0.00"/>
      <fill>
        <patternFill patternType="solid">
          <fgColor theme="5"/>
          <bgColor theme="5"/>
        </patternFill>
      </fill>
      <alignment horizontal="center" vertical="center" textRotation="0" wrapText="1" indent="0" justifyLastLine="0" shrinkToFit="0" readingOrder="0"/>
    </dxf>
    <dxf>
      <font>
        <b/>
        <i val="0"/>
        <color rgb="FFFF0000"/>
      </font>
      <fill>
        <patternFill>
          <bgColor theme="1"/>
        </patternFill>
      </fill>
    </dxf>
    <dxf>
      <font>
        <b/>
        <i val="0"/>
        <color rgb="FFFF0000"/>
      </font>
      <fill>
        <patternFill>
          <bgColor theme="1"/>
        </patternFill>
      </fill>
    </dxf>
    <dxf>
      <fill>
        <patternFill>
          <bgColor rgb="FF92D050"/>
        </patternFill>
      </fill>
    </dxf>
    <dxf>
      <fill>
        <patternFill>
          <bgColor rgb="FFFF8B8B"/>
        </patternFill>
      </fill>
    </dxf>
    <dxf>
      <fill>
        <patternFill>
          <bgColor rgb="FF92D050"/>
        </patternFill>
      </fill>
    </dxf>
    <dxf>
      <font>
        <b/>
        <i val="0"/>
        <color theme="5" tint="-0.24994659260841701"/>
      </font>
      <fill>
        <patternFill patternType="solid">
          <fgColor auto="1"/>
          <bgColor theme="0"/>
        </patternFill>
      </fill>
    </dxf>
    <dxf>
      <fill>
        <patternFill>
          <bgColor theme="5"/>
        </patternFill>
      </fill>
      <border>
        <left style="thin">
          <color theme="0" tint="-0.14993743705557422"/>
        </left>
        <right style="thin">
          <color theme="0" tint="-0.14993743705557422"/>
        </right>
        <top style="thin">
          <color theme="0" tint="-0.14993743705557422"/>
        </top>
        <bottom style="thin">
          <color theme="0" tint="-0.14993743705557422"/>
        </bottom>
      </border>
    </dxf>
    <dxf>
      <font>
        <b/>
        <i val="0"/>
        <color theme="0"/>
      </font>
      <fill>
        <patternFill>
          <bgColor theme="5"/>
        </patternFill>
      </fill>
    </dxf>
  </dxfs>
  <tableStyles count="2" defaultTableStyle="TableStyleMedium2" defaultPivotStyle="PivotStyleLight16">
    <tableStyle name="Estilo de Segmentação de Dados 1" pivot="0" table="0" count="1" xr9:uid="{00000000-0011-0000-FFFF-FFFF00000000}">
      <tableStyleElement type="headerRow" dxfId="46"/>
    </tableStyle>
    <tableStyle name="Estilo de Segmentação de Dados 2" pivot="0" table="0" count="7" xr9:uid="{00000000-0011-0000-FFFF-FFFF01000000}">
      <tableStyleElement type="wholeTable" dxfId="45"/>
      <tableStyleElement type="headerRow" dxfId="44"/>
    </tableStyle>
  </tableStyles>
  <colors>
    <mruColors>
      <color rgb="FFFF5500"/>
      <color rgb="FFFFAFAF"/>
      <color rgb="FFFF6600"/>
      <color rgb="FFFF9999"/>
      <color rgb="FFFF7C80"/>
      <color rgb="FF0000FF"/>
      <color rgb="FF00FF00"/>
      <color rgb="FFCC00CC"/>
      <color rgb="FFFF7979"/>
      <color rgb="FFF8F200"/>
    </mruColors>
  </colors>
  <extLst>
    <ext xmlns:x14="http://schemas.microsoft.com/office/spreadsheetml/2009/9/main" uri="{46F421CA-312F-682f-3DD2-61675219B42D}">
      <x14:dxfs count="5">
        <dxf>
          <font>
            <color theme="0"/>
          </font>
          <fill>
            <patternFill>
              <bgColor theme="5"/>
            </patternFill>
          </fill>
          <border>
            <left style="thin">
              <color theme="2" tint="-0.749961851863155"/>
            </left>
            <right style="thin">
              <color theme="2" tint="-0.749961851863155"/>
            </right>
            <top style="thin">
              <color theme="2" tint="-0.749961851863155"/>
            </top>
            <bottom style="thin">
              <color theme="2" tint="-0.749961851863155"/>
            </bottom>
          </border>
        </dxf>
        <dxf>
          <font>
            <b/>
            <i val="0"/>
            <color theme="0"/>
          </font>
          <fill>
            <patternFill>
              <bgColor theme="5"/>
            </patternFill>
          </fill>
          <border>
            <left style="thin">
              <color theme="2" tint="-0.749961851863155"/>
            </left>
            <right style="thin">
              <color theme="2" tint="-0.749961851863155"/>
            </right>
            <top style="thin">
              <color theme="2" tint="-0.749961851863155"/>
            </top>
            <bottom style="thin">
              <color theme="2" tint="-0.749961851863155"/>
            </bottom>
          </border>
        </dxf>
        <dxf>
          <font>
            <color theme="1"/>
          </font>
          <fill>
            <patternFill>
              <bgColor theme="0"/>
            </patternFill>
          </fill>
          <border>
            <left style="thin">
              <color theme="0"/>
            </left>
            <right style="thin">
              <color theme="0"/>
            </right>
            <top style="thin">
              <color theme="0"/>
            </top>
            <bottom style="thin">
              <color theme="0"/>
            </bottom>
          </border>
        </dxf>
        <dxf>
          <font>
            <b val="0"/>
            <i val="0"/>
            <color theme="1"/>
          </font>
          <fill>
            <patternFill>
              <bgColor theme="0"/>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fill>
            <patternFill>
              <bgColor theme="0" tint="-0.14996795556505021"/>
            </patternFill>
          </fill>
          <border>
            <left style="thin">
              <color theme="5"/>
            </left>
            <right style="thin">
              <color theme="5"/>
            </right>
            <top style="thin">
              <color theme="5"/>
            </top>
            <bottom style="thin">
              <color theme="5"/>
            </bottom>
          </border>
        </dxf>
      </x14:dxfs>
    </ext>
    <ext xmlns:x14="http://schemas.microsoft.com/office/spreadsheetml/2009/9/main" uri="{EB79DEF2-80B8-43e5-95BD-54CBDDF9020C}">
      <x14:slicerStyles defaultSlicerStyle="SlicerStyleLight1">
        <x14:slicerStyle name="Estilo de Segmentação de Dados 1"/>
        <x14:slicerStyle name="Estilo de Segmentação de Dados 2">
          <x14:slicerStyleElements>
            <x14:slicerStyleElement type="unselectedItemWithData" dxfId="4"/>
            <x14:slicerStyleElement type="selectedItemWithData" dxfId="3"/>
            <x14:slicerStyleElement type="selectedItemWithNoData" dxfId="2"/>
            <x14:slicerStyleElement type="hoveredSelectedItemWith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microsoft.com/office/2017/10/relationships/person" Target="persons/person.xml"/><Relationship Id="rId65"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15</xdr:row>
          <xdr:rowOff>50800</xdr:rowOff>
        </xdr:from>
        <xdr:to>
          <xdr:col>8</xdr:col>
          <xdr:colOff>571500</xdr:colOff>
          <xdr:row>15</xdr:row>
          <xdr:rowOff>431800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1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t-BR" sz="1100" b="0" i="0" u="none" strike="noStrike" baseline="0">
                  <a:solidFill>
                    <a:srgbClr val="000000"/>
                  </a:solidFill>
                  <a:latin typeface="Calibri"/>
                  <a:cs typeface="Calibri"/>
                </a:rPr>
                <a:t>Arquivar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16</xdr:row>
          <xdr:rowOff>127000</xdr:rowOff>
        </xdr:from>
        <xdr:to>
          <xdr:col>9</xdr:col>
          <xdr:colOff>342900</xdr:colOff>
          <xdr:row>18</xdr:row>
          <xdr:rowOff>50800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100-000004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pt-BR" sz="1100" b="0" i="0" u="none" strike="noStrike" baseline="0">
                  <a:solidFill>
                    <a:srgbClr val="000000"/>
                  </a:solidFill>
                  <a:latin typeface="Calibri"/>
                  <a:cs typeface="Calibri"/>
                </a:rPr>
                <a:t>Limpar Campos</a:t>
              </a:r>
            </a:p>
          </xdr:txBody>
        </xdr:sp>
        <xdr:clientData fPrintsWithSheet="0"/>
      </xdr:twoCellAnchor>
    </mc:Choice>
    <mc:Fallback/>
  </mc:AlternateContent>
  <xdr:twoCellAnchor>
    <xdr:from>
      <xdr:col>9</xdr:col>
      <xdr:colOff>447675</xdr:colOff>
      <xdr:row>16</xdr:row>
      <xdr:rowOff>180976</xdr:rowOff>
    </xdr:from>
    <xdr:to>
      <xdr:col>10</xdr:col>
      <xdr:colOff>130957</xdr:colOff>
      <xdr:row>18</xdr:row>
      <xdr:rowOff>19039</xdr:rowOff>
    </xdr:to>
    <xdr:pic macro="[0]!EstaPasta_de_trabalho.Apresentar_off">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duotone>
            <a:schemeClr val="accent2">
              <a:shade val="45000"/>
              <a:satMod val="135000"/>
            </a:schemeClr>
            <a:prstClr val="white"/>
          </a:duotone>
        </a:blip>
        <a:stretch>
          <a:fillRect/>
        </a:stretch>
      </xdr:blipFill>
      <xdr:spPr>
        <a:xfrm>
          <a:off x="11496675" y="3533776"/>
          <a:ext cx="292882" cy="285738"/>
        </a:xfrm>
        <a:prstGeom prst="rect">
          <a:avLst/>
        </a:prstGeom>
      </xdr:spPr>
    </xdr:pic>
    <xdr:clientData/>
  </xdr:twoCellAnchor>
  <xdr:twoCellAnchor>
    <xdr:from>
      <xdr:col>10</xdr:col>
      <xdr:colOff>238125</xdr:colOff>
      <xdr:row>16</xdr:row>
      <xdr:rowOff>190500</xdr:rowOff>
    </xdr:from>
    <xdr:to>
      <xdr:col>10</xdr:col>
      <xdr:colOff>514350</xdr:colOff>
      <xdr:row>18</xdr:row>
      <xdr:rowOff>9524</xdr:rowOff>
    </xdr:to>
    <xdr:pic macro="[0]!EstaPasta_de_trabalho.Apresentar_on">
      <xdr:nvPicPr>
        <xdr:cNvPr id="5" name="Imagem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2">
          <a:duotone>
            <a:schemeClr val="accent2">
              <a:shade val="45000"/>
              <a:satMod val="135000"/>
            </a:schemeClr>
            <a:prstClr val="white"/>
          </a:duotone>
        </a:blip>
        <a:stretch>
          <a:fillRect/>
        </a:stretch>
      </xdr:blipFill>
      <xdr:spPr>
        <a:xfrm>
          <a:off x="11896725" y="3543300"/>
          <a:ext cx="276225" cy="266699"/>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Peterson Wellington Ferreira Santos" id="{11493C0A-FFE6-4A39-8F9D-2CD2375298B2}" userId="S::peterson.santos@opentechgr.com.br::0317e18a-701f-4bd0-96f2-5f8ac0fa6ec1"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ela3" displayName="Tabela3" ref="A1:R13" totalsRowShown="0" headerRowDxfId="38" tableBorderDxfId="37">
  <autoFilter ref="A1:R13" xr:uid="{00000000-0009-0000-0100-000003000000}"/>
  <tableColumns count="18">
    <tableColumn id="1" xr3:uid="{00000000-0010-0000-0000-000001000000}" name="ID" dataDxfId="36">
      <calculatedColumnFormula>Tabela3[[#This Row],[MÊS]]&amp;Tabela3[[#This Row],[MATRICULA]]&amp;Tabela3[[#This Row],[ANO]]</calculatedColumnFormula>
    </tableColumn>
    <tableColumn id="2" xr3:uid="{00000000-0010-0000-0000-000002000000}" name="ANO"/>
    <tableColumn id="3" xr3:uid="{00000000-0010-0000-0000-000003000000}" name="MÊS"/>
    <tableColumn id="4" xr3:uid="{00000000-0010-0000-0000-000004000000}" name="MATRICULA"/>
    <tableColumn id="5" xr3:uid="{00000000-0010-0000-0000-000005000000}" name="COLABORADOR" dataDxfId="35">
      <calculatedColumnFormula>IFERROR(VLOOKUP(Tabela3[[#This Row],[MATRICULA]],'BD Campos'!A:B,2,0),"")</calculatedColumnFormula>
    </tableColumn>
    <tableColumn id="6" xr3:uid="{00000000-0010-0000-0000-000006000000}" name="OPERACIONAL" dataDxfId="34">
      <calculatedColumnFormula>IFERROR(AVERAGE(Tabela3[[#This Row],[A1]:[A4]]),"")</calculatedColumnFormula>
    </tableColumn>
    <tableColumn id="7" xr3:uid="{00000000-0010-0000-0000-000007000000}" name="TELEFÔNICA" dataDxfId="33">
      <calculatedColumnFormula>IFERROR(IF(Tabela3[[#This Row],[SETOR]]="RECEPTIVO","",AVERAGE(Tabela3[[#This Row],[A5]:[A6]])),"")</calculatedColumnFormula>
    </tableColumn>
    <tableColumn id="8" xr3:uid="{00000000-0010-0000-0000-000008000000}" name="DESEMPENHO" dataDxfId="32">
      <calculatedColumnFormula>IFERROR(IF(Tabela3[[#This Row],[STATUS]]="INATIVO","INATIVO",IF(Tabela3[[#This Row],[STATUS]]="QRT","INATIVO",IF(Tabela3[[#This Row],[OPERACIONAL]]&gt;7.99999,"BOM","RUIM"))),"")</calculatedColumnFormula>
    </tableColumn>
    <tableColumn id="9" xr3:uid="{00000000-0010-0000-0000-000009000000}" name="STATUS"/>
    <tableColumn id="10" xr3:uid="{00000000-0010-0000-0000-00000A000000}" name="TURNO / OPERAÇÃO"/>
    <tableColumn id="11" xr3:uid="{00000000-0010-0000-0000-00000B000000}" name="SUPERVISOR"/>
    <tableColumn id="12" xr3:uid="{00000000-0010-0000-0000-00000C000000}" name="SETOR"/>
    <tableColumn id="14" xr3:uid="{00000000-0010-0000-0000-00000E000000}" name="A1" dataDxfId="31">
      <calculatedColumnFormula>IFERROR(VLOOKUP(Tabela3[[#This Row],[MÊS]]&amp;Tabela3[[#This Row],[ANO]]&amp;Tabela3[[#This Row],[MATRICULA]]&amp;"1"&amp;Tabela3[[#This Row],[SETOR]]&amp;"PADRÃO",BD!B:Z,25,0),"")</calculatedColumnFormula>
    </tableColumn>
    <tableColumn id="15" xr3:uid="{00000000-0010-0000-0000-00000F000000}" name="A2" dataDxfId="30">
      <calculatedColumnFormula>IFERROR(VLOOKUP(Tabela3[[#This Row],[MÊS]]&amp;Tabela3[[#This Row],[ANO]]&amp;Tabela3[[#This Row],[MATRICULA]]&amp;"2"&amp;Tabela3[[#This Row],[SETOR]]&amp;"PADRÃO",BD!B:Z,25,0),"")</calculatedColumnFormula>
    </tableColumn>
    <tableColumn id="16" xr3:uid="{00000000-0010-0000-0000-000010000000}" name="A3" dataDxfId="29">
      <calculatedColumnFormula>IFERROR(VLOOKUP(Tabela3[[#This Row],[MÊS]]&amp;Tabela3[[#This Row],[ANO]]&amp;Tabela3[[#This Row],[MATRICULA]]&amp;"3"&amp;Tabela3[[#This Row],[SETOR]]&amp;"PADRÃO",BD!B:Z,25,0),"")</calculatedColumnFormula>
    </tableColumn>
    <tableColumn id="17" xr3:uid="{00000000-0010-0000-0000-000011000000}" name="A4" dataDxfId="28">
      <calculatedColumnFormula>IFERROR(VLOOKUP(Tabela3[[#This Row],[MÊS]]&amp;Tabela3[[#This Row],[ANO]]&amp;Tabela3[[#This Row],[MATRICULA]]&amp;"4"&amp;Tabela3[[#This Row],[SETOR]]&amp;"PADRÃO",BD!B:Z,25,0),"")</calculatedColumnFormula>
    </tableColumn>
    <tableColumn id="18" xr3:uid="{00000000-0010-0000-0000-000012000000}" name="A5" dataDxfId="27">
      <calculatedColumnFormula>IFERROR(VLOOKUP(Tabela3[[#This Row],[MÊS]]&amp;Tabela3[[#This Row],[ANO]]&amp;Tabela3[[#This Row],[MATRICULA]]&amp;"5"&amp;Tabela3[[#This Row],[SETOR]]&amp;"PADRÃO",BD!B:Z,25,0),"")</calculatedColumnFormula>
    </tableColumn>
    <tableColumn id="19" xr3:uid="{00000000-0010-0000-0000-000013000000}" name="A6" dataDxfId="26">
      <calculatedColumnFormula>IFERROR(VLOOKUP(Tabela3[[#This Row],[MÊS]]&amp;Tabela3[[#This Row],[ANO]]&amp;Tabela3[[#This Row],[MATRICULA]]&amp;"6"&amp;Tabela3[[#This Row],[SETOR]]&amp;"PADRÃO",BD!B:Z,25,0),"")</calculatedColumnFormula>
    </tableColumn>
  </tableColumns>
  <tableStyleInfo name="TableStyleLight10" showFirstColumn="0" showLastColumn="0" showRowStripes="1" showColumnStripes="1"/>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ela43" displayName="Tabela43" ref="A1:G1084" totalsRowShown="0" headerRowDxfId="18">
  <autoFilter ref="A1:G1084" xr:uid="{C54DA902-0D21-4523-B657-02B5FC4D098E}"/>
  <tableColumns count="7">
    <tableColumn id="1" xr3:uid="{00000000-0010-0000-0100-000001000000}" name="MAT." dataDxfId="17"/>
    <tableColumn id="2" xr3:uid="{00000000-0010-0000-0100-000002000000}" name="COLABORADORES" dataDxfId="16"/>
    <tableColumn id="3" xr3:uid="{00000000-0010-0000-0100-000003000000}" name="EQUIPE" dataDxfId="15"/>
    <tableColumn id="4" xr3:uid="{00000000-0010-0000-0100-000004000000}" name="SUPER" dataDxfId="14"/>
    <tableColumn id="5" xr3:uid="{00000000-0010-0000-0100-000005000000}" name="ADMISSÃO" dataDxfId="13"/>
    <tableColumn id="6" xr3:uid="{00000000-0010-0000-0100-000006000000}" name="SEXO" dataDxfId="12"/>
    <tableColumn id="7" xr3:uid="{00000000-0010-0000-0100-000007000000}" name="SITUAÇÃO" dataDxfId="1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2000000}" name="Tabela1" displayName="Tabela1" ref="A1:I1287" totalsRowShown="0" headerRowDxfId="10" dataDxfId="9">
  <autoFilter ref="A1:I1287" xr:uid="{00000000-0009-0000-0100-000001000000}">
    <filterColumn colId="1">
      <filters>
        <filter val="LOGISTICA REVERSA"/>
      </filters>
    </filterColumn>
  </autoFilter>
  <tableColumns count="9">
    <tableColumn id="1" xr3:uid="{00000000-0010-0000-0200-000001000000}" name="Ref.Search" dataDxfId="8">
      <calculatedColumnFormula>B2&amp;C2&amp;D2</calculatedColumnFormula>
    </tableColumn>
    <tableColumn id="2" xr3:uid="{00000000-0010-0000-0200-000002000000}" name="Ref.Alerta" dataDxfId="7"/>
    <tableColumn id="3" xr3:uid="{00000000-0010-0000-0200-000003000000}" name="Ref.Contato" dataDxfId="6"/>
    <tableColumn id="4" xr3:uid="{00000000-0010-0000-0200-000004000000}" name="Ref.cod" dataDxfId="5"/>
    <tableColumn id="5" xr3:uid="{00000000-0010-0000-0200-000005000000}" name="Questions" dataDxfId="4"/>
    <tableColumn id="6" xr3:uid="{00000000-0010-0000-0200-000006000000}" name="Peso %" dataDxfId="3" dataCellStyle="Porcentagem"/>
    <tableColumn id="7" xr3:uid="{00000000-0010-0000-0200-000007000000}" name="Peso" dataDxfId="2">
      <calculatedColumnFormula>IF(OR(B2="FIXO",B2="XFIXO"),IF(F2="","ERRO",10*F2)*'BD Campos'!$W$2,IF(F2="","ERRO",10*F2)*'BD Campos'!$W$3)</calculatedColumnFormula>
    </tableColumn>
    <tableColumn id="8" xr3:uid="{00000000-0010-0000-0200-000008000000}" name="Deflator %" dataDxfId="1"/>
    <tableColumn id="9" xr3:uid="{00000000-0010-0000-0200-000009000000}" name="Deflator" dataDxfId="0">
      <calculatedColumnFormula>H2*G2*-1</calculatedColumnFormula>
    </tableColumn>
  </tableColumns>
  <tableStyleInfo name="TableStyleLight9" showFirstColumn="1" showLastColumn="1" showRowStripes="1" showColumnStripes="1"/>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 dT="2023-03-06T15:09:23.47" personId="{11493C0A-FFE6-4A39-8F9D-2CD2375298B2}" id="{DAE5C216-C84C-4031-B835-5FE26BAFF672}">
    <text>Fórmula:
=[@MÊS]&amp;[@MATRICULA]&amp;[@ANO]</text>
  </threadedComment>
  <threadedComment ref="E1" dT="2023-03-06T15:09:08.85" personId="{11493C0A-FFE6-4A39-8F9D-2CD2375298B2}" id="{ECE8A33D-3F60-47B1-8ADF-120B7E9B5B35}">
    <text>Fórmula: =SEERRO(PROCV([@MATRICULA];'BD Campos'!A:B;2;0);"")</text>
  </threadedComment>
  <threadedComment ref="F1" dT="2023-03-06T15:09:34.34" personId="{11493C0A-FFE6-4A39-8F9D-2CD2375298B2}" id="{D229BB33-5E04-4D98-BBFF-BD8CFAA90D0E}">
    <text>Fórmula:
=SEERRO(MÉDIA(Tabela3[@[A1]:[A4]]);"")</text>
  </threadedComment>
  <threadedComment ref="G1" dT="2023-03-06T15:09:45.66" personId="{11493C0A-FFE6-4A39-8F9D-2CD2375298B2}" id="{F83ADFE9-65DD-41BA-80EC-DC8833ED9B61}">
    <text>Fórmula:
=SEERRO(SE([@SETOR]="RECEPTIVO";"";MÉDIA(Tabela3[@[A5]:[A6]]));"")</text>
  </threadedComment>
</ThreadedComments>
</file>

<file path=xl/threadedComments/threadedComment2.xml><?xml version="1.0" encoding="utf-8"?>
<ThreadedComments xmlns="http://schemas.microsoft.com/office/spreadsheetml/2018/threadedcomments" xmlns:x="http://schemas.openxmlformats.org/spreadsheetml/2006/main">
  <threadedComment ref="A1" dT="2023-03-06T15:29:45.71" personId="{11493C0A-FFE6-4A39-8F9D-2CD2375298B2}" id="{9120223C-E9C7-4A02-865B-659FC3CE09C4}">
    <text>=E2&amp;ANO(D2)&amp;F2&amp;J2&amp;K2&amp;""</text>
  </threadedComment>
  <threadedComment ref="B1" dT="2023-03-06T15:29:52.18" personId="{11493C0A-FFE6-4A39-8F9D-2CD2375298B2}" id="{03DC823E-7DF8-42B0-A79F-39C6735ED6FE}">
    <text>=E2&amp;ANO(D2)&amp;F2&amp;H2&amp;K2&amp;AC2</text>
  </threadedComment>
  <threadedComment ref="G1" dT="2023-03-06T15:24:02.52" personId="{11493C0A-FFE6-4A39-8F9D-2CD2375298B2}" id="{2140F62A-982B-4C03-9421-3011ABBF831B}">
    <text>=SEERRO(PROCV(F2;'BD Campos'!A:B;2;0);"")</text>
  </threadedComment>
  <threadedComment ref="Z1" dT="2023-03-06T15:20:08.09" personId="{11493C0A-FFE6-4A39-8F9D-2CD2375298B2}" id="{614C4329-7B89-40EE-B5CE-62627F1D9C46}">
    <text>Fórmula:
=SOMA(AL2:AR2)</text>
  </threadedComment>
  <threadedComment ref="AE1" dT="2023-03-06T15:20:22.67" personId="{11493C0A-FFE6-4A39-8F9D-2CD2375298B2}" id="{ECE29D01-1E24-41E7-B1E2-AFBB9802A20F}">
    <text>Fórmula:
=E2&amp;F2</text>
  </threadedComment>
  <threadedComment ref="AF1" dT="2023-03-06T15:20:29.45" personId="{11493C0A-FFE6-4A39-8F9D-2CD2375298B2}" id="{8598EA8D-8342-49A2-A152-E142B5B9B737}">
    <text>=SE(N2="";"";SE(N2="SIM";PROCV($I2&amp;$J2&amp;N$1;Pesos!$A:$I;7;FALSO);PROCV($I2&amp;$J2&amp;N$1;Pesos!$A:$I;9;FALSO)))</text>
  </threadedComment>
  <threadedComment ref="AG1" dT="2023-03-06T15:20:35.81" personId="{11493C0A-FFE6-4A39-8F9D-2CD2375298B2}" id="{919CBF98-0C78-47B0-B8AC-59749D70FDCD}">
    <text>=SE(O2="";"";SE(O2="SIM";PROCV($I2&amp;$J2&amp;O$1;Pesos!$A:$I;7;FALSO);PROCV($I2&amp;$J2&amp;O$1;Pesos!$A:$I;9;FALSO)))</text>
  </threadedComment>
  <threadedComment ref="AH1" dT="2023-03-06T15:20:42.62" personId="{11493C0A-FFE6-4A39-8F9D-2CD2375298B2}" id="{C2D1FCC0-A7D0-499E-82E5-DA5E09099024}">
    <text>=SE(P2="";"";SE(P2="SIM";PROCV($I2&amp;$J2&amp;P$1;Pesos!$A:$I;7;FALSO);PROCV($I2&amp;$J2&amp;P$1;Pesos!$A:$I;9;FALSO)))</text>
  </threadedComment>
  <threadedComment ref="AI1" dT="2023-03-06T15:20:49.50" personId="{11493C0A-FFE6-4A39-8F9D-2CD2375298B2}" id="{4F5C6571-808A-43ED-8E6E-772CF58E7BAB}">
    <text>=SE(Q2="";"";SE(Q2="SIM";PROCV($I2&amp;$J2&amp;Q$1;Pesos!$A:$I;7;FALSO);PROCV($I2&amp;$J2&amp;Q$1;Pesos!$A:$I;9;FALSO)))</text>
  </threadedComment>
  <threadedComment ref="AJ1" dT="2023-03-06T15:20:56.47" personId="{11493C0A-FFE6-4A39-8F9D-2CD2375298B2}" id="{AD19C19D-B8A5-4D44-9370-890B763B252F}">
    <text>=SE(R2="";"";SE(R2="SIM";PROCV($I2&amp;$J2&amp;R$1;Pesos!$A:$I;7;FALSO);PROCV($I2&amp;$J2&amp;R$1;Pesos!$A:$I;9;FALSO)))</text>
  </threadedComment>
  <threadedComment ref="AK1" dT="2023-03-06T15:21:02.73" personId="{11493C0A-FFE6-4A39-8F9D-2CD2375298B2}" id="{E8F33FC3-5CBE-4AE8-B035-3C53983CFB3F}">
    <text>=SE(S2="";"";SE(S2="SIM";PROCV($I2&amp;$J2&amp;S$1;Pesos!$A:$I;7;FALSO);PROCV($I2&amp;$J2&amp;S$1;Pesos!$A:$I;9;FALSO)))</text>
  </threadedComment>
  <threadedComment ref="AL1" dT="2023-03-06T15:21:08.97" personId="{11493C0A-FFE6-4A39-8F9D-2CD2375298B2}" id="{E5EAF177-88BC-4166-BB5C-5113A2F145B6}">
    <text>=SOMA(AF2:AK2)</text>
  </threadedComment>
  <threadedComment ref="AM1" dT="2023-03-06T15:21:18.85" personId="{11493C0A-FFE6-4A39-8F9D-2CD2375298B2}" id="{78F496E0-281F-4A0D-AB34-FC102BBC6D6D}">
    <text>=SE(T2="";"";SE(T2="SIM";PROCV($I2&amp;$J2&amp;T$1;Pesos!$A:$I;7;FALSO);PROCV($I2&amp;$J2&amp;T$1;Pesos!$A:$I;9;FALSO)))</text>
  </threadedComment>
  <threadedComment ref="AN1" dT="2023-03-06T15:21:25.17" personId="{11493C0A-FFE6-4A39-8F9D-2CD2375298B2}" id="{7D1249AB-5210-465A-8ADF-9035B5C1B4FB}">
    <text>=SE(U2="";"";SE(U2="SIM";PROCV($I2&amp;$J2&amp;U$1;Pesos!$A:$I;7;FALSO);PROCV($I2&amp;$J2&amp;U$1;Pesos!$A:$I;9;FALSO)))</text>
  </threadedComment>
  <threadedComment ref="AO1" dT="2023-03-06T15:21:31.32" personId="{11493C0A-FFE6-4A39-8F9D-2CD2375298B2}" id="{C9BDB4F7-8706-4A99-8BE1-C6A1A3E3A3C6}">
    <text>=SE(V2="";"";SE(V2="SIM";PROCV($I2&amp;$J2&amp;V$1;Pesos!$A:$I;7;FALSO);PROCV($I2&amp;$J2&amp;V$1;Pesos!$A:$I;9;FALSO)))</text>
  </threadedComment>
  <threadedComment ref="AP1" dT="2023-03-06T15:21:37.34" personId="{11493C0A-FFE6-4A39-8F9D-2CD2375298B2}" id="{ABCCF277-2DF5-4234-86E3-46EB8655EA1F}">
    <text>=SE(W2="";"";SE(W2="SIM";PROCV($I2&amp;$J2&amp;W$1;Pesos!$A:$I;7;FALSO);PROCV($I2&amp;$J2&amp;W$1;Pesos!$A:$I;9;FALSO)))</text>
  </threadedComment>
  <threadedComment ref="AQ1" dT="2023-03-06T15:21:43.55" personId="{11493C0A-FFE6-4A39-8F9D-2CD2375298B2}" id="{77260111-C72C-4B9F-BD13-BEAA4F964BEF}">
    <text>=SE(X2="";"";SE(X2="SIM";PROCV($I2&amp;$J2&amp;X$1;Pesos!$A:$I;7;FALSO);PROCV($I2&amp;$J2&amp;X$1;Pesos!$A:$I;9;FALSO)))</text>
  </threadedComment>
  <threadedComment ref="AR1" dT="2023-03-06T15:21:49.73" personId="{11493C0A-FFE6-4A39-8F9D-2CD2375298B2}" id="{BE2742C4-8FF8-42DC-A572-EF6FC4446016}">
    <text>=SE(Y2="";"";SE(Y2="SIM";PROCV($I2&amp;$J2&amp;Y$1;Pesos!$A:$I;7;FALSO);PROCV($I2&amp;$J2&amp;Y$1;Pesos!$A:$I;9;FALSO)))</text>
  </threadedComment>
  <threadedComment ref="AS1" dT="2023-03-06T15:21:55.68" personId="{11493C0A-FFE6-4A39-8F9D-2CD2375298B2}" id="{A1D259EB-71C0-48A8-A33E-B16CCF144A66}">
    <text>=SEERRO(Z2*PROCV(J2;'BD Campos'!$Y$1:$Z$12;2;FALSO);"0")</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1">
    <tabColor rgb="FF00B050"/>
  </sheetPr>
  <dimension ref="A1:R13"/>
  <sheetViews>
    <sheetView showGridLines="0" topLeftCell="B1" workbookViewId="0">
      <selection activeCell="D19" sqref="D19"/>
    </sheetView>
  </sheetViews>
  <sheetFormatPr defaultRowHeight="14.5" x14ac:dyDescent="0.35"/>
  <cols>
    <col min="1" max="1" width="3" hidden="1" customWidth="1"/>
    <col min="2" max="2" width="6.1796875" customWidth="1"/>
    <col min="3" max="3" width="6" customWidth="1"/>
    <col min="4" max="4" width="11.1796875" customWidth="1"/>
    <col min="5" max="5" width="38.1796875" bestFit="1" customWidth="1"/>
    <col min="6" max="6" width="11.453125" style="6" customWidth="1"/>
    <col min="7" max="7" width="11" style="6" customWidth="1"/>
    <col min="8" max="8" width="10.453125" customWidth="1"/>
    <col min="9" max="9" width="8.1796875" bestFit="1" customWidth="1"/>
    <col min="10" max="10" width="19.1796875" bestFit="1" customWidth="1"/>
    <col min="11" max="11" width="16.81640625" bestFit="1" customWidth="1"/>
    <col min="12" max="12" width="14.54296875" bestFit="1" customWidth="1"/>
    <col min="13" max="18" width="5" style="90" customWidth="1"/>
  </cols>
  <sheetData>
    <row r="1" spans="1:18" s="59" customFormat="1" ht="26.25" customHeight="1" x14ac:dyDescent="0.25">
      <c r="A1" s="60" t="s">
        <v>0</v>
      </c>
      <c r="B1" s="60" t="s">
        <v>1</v>
      </c>
      <c r="C1" s="61" t="s">
        <v>2</v>
      </c>
      <c r="D1" s="61" t="s">
        <v>3</v>
      </c>
      <c r="E1" s="61" t="s">
        <v>4</v>
      </c>
      <c r="F1" s="63" t="s">
        <v>5</v>
      </c>
      <c r="G1" s="63" t="s">
        <v>6</v>
      </c>
      <c r="H1" s="62" t="s">
        <v>7</v>
      </c>
      <c r="I1" s="62" t="s">
        <v>8</v>
      </c>
      <c r="J1" s="61" t="s">
        <v>9</v>
      </c>
      <c r="K1" s="61" t="s">
        <v>10</v>
      </c>
      <c r="L1" s="61" t="s">
        <v>11</v>
      </c>
      <c r="M1" s="89" t="s">
        <v>12</v>
      </c>
      <c r="N1" s="89" t="s">
        <v>13</v>
      </c>
      <c r="O1" s="89" t="s">
        <v>14</v>
      </c>
      <c r="P1" s="89" t="s">
        <v>15</v>
      </c>
      <c r="Q1" s="89" t="s">
        <v>16</v>
      </c>
      <c r="R1" s="89" t="s">
        <v>17</v>
      </c>
    </row>
    <row r="2" spans="1:18" x14ac:dyDescent="0.35">
      <c r="A2" t="str">
        <f>Tabela3[[#This Row],[MÊS]]&amp;Tabela3[[#This Row],[MATRICULA]]&amp;Tabela3[[#This Row],[ANO]]</f>
        <v>FEV108192023</v>
      </c>
      <c r="B2">
        <v>2023</v>
      </c>
      <c r="C2" t="s">
        <v>18</v>
      </c>
      <c r="D2">
        <v>10819</v>
      </c>
      <c r="E2" t="str">
        <f>IFERROR(VLOOKUP(Tabela3[[#This Row],[MATRICULA]],'BD Campos'!A:B,2,0),"")</f>
        <v>SAMUEL ANDRÉ KNAPICK</v>
      </c>
      <c r="F2" s="6" t="str">
        <f>IFERROR(AVERAGE(Tabela3[[#This Row],[A1]:[A4]]),"")</f>
        <v/>
      </c>
      <c r="G2" s="6" t="str">
        <f>IFERROR(IF(Tabela3[[#This Row],[SETOR]]="RECEPTIVO","",AVERAGE(Tabela3[[#This Row],[A5]:[A6]])),"")</f>
        <v/>
      </c>
      <c r="H2" t="str">
        <f>IFERROR(IF(Tabela3[[#This Row],[STATUS]]="INATIVO","INATIVO",IF(Tabela3[[#This Row],[STATUS]]="QRT","INATIVO",IF(Tabela3[[#This Row],[OPERACIONAL]]&gt;7.99999,"BOM","RUIM"))),"")</f>
        <v>BOM</v>
      </c>
      <c r="I2" t="s">
        <v>19</v>
      </c>
      <c r="J2" t="s">
        <v>20</v>
      </c>
      <c r="K2" t="s">
        <v>21</v>
      </c>
      <c r="L2" t="s">
        <v>22</v>
      </c>
      <c r="M2" s="90" t="str">
        <f>IFERROR(VLOOKUP(Tabela3[[#This Row],[MÊS]]&amp;Tabela3[[#This Row],[ANO]]&amp;Tabela3[[#This Row],[MATRICULA]]&amp;"1"&amp;Tabela3[[#This Row],[SETOR]]&amp;"PADRÃO",BD!B:Z,25,0),"")</f>
        <v/>
      </c>
      <c r="N2" s="90" t="str">
        <f>IFERROR(VLOOKUP(Tabela3[[#This Row],[MÊS]]&amp;Tabela3[[#This Row],[ANO]]&amp;Tabela3[[#This Row],[MATRICULA]]&amp;"2"&amp;Tabela3[[#This Row],[SETOR]]&amp;"PADRÃO",BD!B:Z,25,0),"")</f>
        <v/>
      </c>
      <c r="O2" s="90" t="str">
        <f>IFERROR(VLOOKUP(Tabela3[[#This Row],[MÊS]]&amp;Tabela3[[#This Row],[ANO]]&amp;Tabela3[[#This Row],[MATRICULA]]&amp;"3"&amp;Tabela3[[#This Row],[SETOR]]&amp;"PADRÃO",BD!B:Z,25,0),"")</f>
        <v/>
      </c>
      <c r="P2" s="90" t="str">
        <f>IFERROR(VLOOKUP(Tabela3[[#This Row],[MÊS]]&amp;Tabela3[[#This Row],[ANO]]&amp;Tabela3[[#This Row],[MATRICULA]]&amp;"4"&amp;Tabela3[[#This Row],[SETOR]]&amp;"PADRÃO",BD!B:Z,25,0),"")</f>
        <v/>
      </c>
      <c r="Q2" s="90" t="str">
        <f>IFERROR(VLOOKUP(Tabela3[[#This Row],[MÊS]]&amp;Tabela3[[#This Row],[ANO]]&amp;Tabela3[[#This Row],[MATRICULA]]&amp;"5"&amp;Tabela3[[#This Row],[SETOR]]&amp;"PADRÃO",BD!B:Z,25,0),"")</f>
        <v/>
      </c>
      <c r="R2" s="90" t="str">
        <f>IFERROR(VLOOKUP(Tabela3[[#This Row],[MÊS]]&amp;Tabela3[[#This Row],[ANO]]&amp;Tabela3[[#This Row],[MATRICULA]]&amp;"6"&amp;Tabela3[[#This Row],[SETOR]]&amp;"PADRÃO",BD!B:Z,25,0),"")</f>
        <v/>
      </c>
    </row>
    <row r="3" spans="1:18" x14ac:dyDescent="0.35">
      <c r="A3" t="str">
        <f>Tabela3[[#This Row],[MÊS]]&amp;Tabela3[[#This Row],[MATRICULA]]&amp;Tabela3[[#This Row],[ANO]]</f>
        <v>FEV108292023</v>
      </c>
      <c r="B3">
        <v>2023</v>
      </c>
      <c r="C3" t="s">
        <v>18</v>
      </c>
      <c r="D3">
        <v>10829</v>
      </c>
      <c r="E3" t="str">
        <f>IFERROR(VLOOKUP(Tabela3[[#This Row],[MATRICULA]],'BD Campos'!A:B,2,0),"")</f>
        <v>LUISA CUNHA KAISER MARTINS</v>
      </c>
      <c r="F3" s="6" t="str">
        <f>IFERROR(AVERAGE(Tabela3[[#This Row],[A1]:[A4]]),"")</f>
        <v/>
      </c>
      <c r="G3" s="6" t="str">
        <f>IFERROR(IF(Tabela3[[#This Row],[SETOR]]="RECEPTIVO","",AVERAGE(Tabela3[[#This Row],[A5]:[A6]])),"")</f>
        <v/>
      </c>
      <c r="H3" t="str">
        <f>IFERROR(IF(Tabela3[[#This Row],[STATUS]]="INATIVO","INATIVO",IF(Tabela3[[#This Row],[STATUS]]="QRT","INATIVO",IF(Tabela3[[#This Row],[OPERACIONAL]]&gt;7.99999,"BOM","RUIM"))),"")</f>
        <v>BOM</v>
      </c>
      <c r="I3" t="s">
        <v>19</v>
      </c>
      <c r="J3" t="s">
        <v>20</v>
      </c>
      <c r="K3" t="s">
        <v>21</v>
      </c>
      <c r="L3" t="s">
        <v>22</v>
      </c>
      <c r="M3" s="90" t="str">
        <f>IFERROR(VLOOKUP(Tabela3[[#This Row],[MÊS]]&amp;Tabela3[[#This Row],[ANO]]&amp;Tabela3[[#This Row],[MATRICULA]]&amp;"1"&amp;Tabela3[[#This Row],[SETOR]]&amp;"PADRÃO",BD!B:Z,25,0),"")</f>
        <v/>
      </c>
      <c r="N3" s="90" t="str">
        <f>IFERROR(VLOOKUP(Tabela3[[#This Row],[MÊS]]&amp;Tabela3[[#This Row],[ANO]]&amp;Tabela3[[#This Row],[MATRICULA]]&amp;"2"&amp;Tabela3[[#This Row],[SETOR]]&amp;"PADRÃO",BD!B:Z,25,0),"")</f>
        <v/>
      </c>
      <c r="O3" s="90" t="str">
        <f>IFERROR(VLOOKUP(Tabela3[[#This Row],[MÊS]]&amp;Tabela3[[#This Row],[ANO]]&amp;Tabela3[[#This Row],[MATRICULA]]&amp;"3"&amp;Tabela3[[#This Row],[SETOR]]&amp;"PADRÃO",BD!B:Z,25,0),"")</f>
        <v/>
      </c>
      <c r="P3" s="90" t="str">
        <f>IFERROR(VLOOKUP(Tabela3[[#This Row],[MÊS]]&amp;Tabela3[[#This Row],[ANO]]&amp;Tabela3[[#This Row],[MATRICULA]]&amp;"4"&amp;Tabela3[[#This Row],[SETOR]]&amp;"PADRÃO",BD!B:Z,25,0),"")</f>
        <v/>
      </c>
      <c r="Q3" s="90" t="str">
        <f>IFERROR(VLOOKUP(Tabela3[[#This Row],[MÊS]]&amp;Tabela3[[#This Row],[ANO]]&amp;Tabela3[[#This Row],[MATRICULA]]&amp;"5"&amp;Tabela3[[#This Row],[SETOR]]&amp;"PADRÃO",BD!B:Z,25,0),"")</f>
        <v/>
      </c>
      <c r="R3" s="90" t="str">
        <f>IFERROR(VLOOKUP(Tabela3[[#This Row],[MÊS]]&amp;Tabela3[[#This Row],[ANO]]&amp;Tabela3[[#This Row],[MATRICULA]]&amp;"6"&amp;Tabela3[[#This Row],[SETOR]]&amp;"PADRÃO",BD!B:Z,25,0),"")</f>
        <v/>
      </c>
    </row>
    <row r="4" spans="1:18" x14ac:dyDescent="0.35">
      <c r="A4" t="str">
        <f>Tabela3[[#This Row],[MÊS]]&amp;Tabela3[[#This Row],[MATRICULA]]&amp;Tabela3[[#This Row],[ANO]]</f>
        <v>FEV108302023</v>
      </c>
      <c r="B4">
        <v>2023</v>
      </c>
      <c r="C4" t="s">
        <v>18</v>
      </c>
      <c r="D4">
        <v>10830</v>
      </c>
      <c r="E4" t="str">
        <f>IFERROR(VLOOKUP(Tabela3[[#This Row],[MATRICULA]],'BD Campos'!A:B,2,0),"")</f>
        <v>JEAN KARLOS D AQUINO ROSA SANTIAGO</v>
      </c>
      <c r="F4" s="6" t="str">
        <f>IFERROR(AVERAGE(Tabela3[[#This Row],[A1]:[A4]]),"")</f>
        <v/>
      </c>
      <c r="G4" s="6" t="str">
        <f>IFERROR(IF(Tabela3[[#This Row],[SETOR]]="RECEPTIVO","",AVERAGE(Tabela3[[#This Row],[A5]:[A6]])),"")</f>
        <v/>
      </c>
      <c r="H4" t="str">
        <f>IFERROR(IF(Tabela3[[#This Row],[STATUS]]="INATIVO","INATIVO",IF(Tabela3[[#This Row],[STATUS]]="QRT","INATIVO",IF(Tabela3[[#This Row],[OPERACIONAL]]&gt;7.99999,"BOM","RUIM"))),"")</f>
        <v>BOM</v>
      </c>
      <c r="I4" t="s">
        <v>19</v>
      </c>
      <c r="J4" t="s">
        <v>20</v>
      </c>
      <c r="K4" t="s">
        <v>21</v>
      </c>
      <c r="L4" t="s">
        <v>22</v>
      </c>
      <c r="M4" s="90" t="str">
        <f>IFERROR(VLOOKUP(Tabela3[[#This Row],[MÊS]]&amp;Tabela3[[#This Row],[ANO]]&amp;Tabela3[[#This Row],[MATRICULA]]&amp;"1"&amp;Tabela3[[#This Row],[SETOR]]&amp;"PADRÃO",BD!B:Z,25,0),"")</f>
        <v/>
      </c>
      <c r="N4" s="90" t="str">
        <f>IFERROR(VLOOKUP(Tabela3[[#This Row],[MÊS]]&amp;Tabela3[[#This Row],[ANO]]&amp;Tabela3[[#This Row],[MATRICULA]]&amp;"2"&amp;Tabela3[[#This Row],[SETOR]]&amp;"PADRÃO",BD!B:Z,25,0),"")</f>
        <v/>
      </c>
      <c r="O4" s="90" t="str">
        <f>IFERROR(VLOOKUP(Tabela3[[#This Row],[MÊS]]&amp;Tabela3[[#This Row],[ANO]]&amp;Tabela3[[#This Row],[MATRICULA]]&amp;"3"&amp;Tabela3[[#This Row],[SETOR]]&amp;"PADRÃO",BD!B:Z,25,0),"")</f>
        <v/>
      </c>
      <c r="P4" s="90" t="str">
        <f>IFERROR(VLOOKUP(Tabela3[[#This Row],[MÊS]]&amp;Tabela3[[#This Row],[ANO]]&amp;Tabela3[[#This Row],[MATRICULA]]&amp;"4"&amp;Tabela3[[#This Row],[SETOR]]&amp;"PADRÃO",BD!B:Z,25,0),"")</f>
        <v/>
      </c>
      <c r="Q4" s="90" t="str">
        <f>IFERROR(VLOOKUP(Tabela3[[#This Row],[MÊS]]&amp;Tabela3[[#This Row],[ANO]]&amp;Tabela3[[#This Row],[MATRICULA]]&amp;"5"&amp;Tabela3[[#This Row],[SETOR]]&amp;"PADRÃO",BD!B:Z,25,0),"")</f>
        <v/>
      </c>
      <c r="R4" s="90" t="str">
        <f>IFERROR(VLOOKUP(Tabela3[[#This Row],[MÊS]]&amp;Tabela3[[#This Row],[ANO]]&amp;Tabela3[[#This Row],[MATRICULA]]&amp;"6"&amp;Tabela3[[#This Row],[SETOR]]&amp;"PADRÃO",BD!B:Z,25,0),"")</f>
        <v/>
      </c>
    </row>
    <row r="5" spans="1:18" x14ac:dyDescent="0.35">
      <c r="A5" t="str">
        <f>Tabela3[[#This Row],[MÊS]]&amp;Tabela3[[#This Row],[MATRICULA]]&amp;Tabela3[[#This Row],[ANO]]</f>
        <v>FEV197842023</v>
      </c>
      <c r="B5">
        <v>2023</v>
      </c>
      <c r="C5" t="s">
        <v>18</v>
      </c>
      <c r="D5">
        <v>19784</v>
      </c>
      <c r="E5" t="str">
        <f>IFERROR(VLOOKUP(Tabela3[[#This Row],[MATRICULA]],'BD Campos'!A:B,2,0),"")</f>
        <v>RAFAEL ANTUNES MOREIRA</v>
      </c>
      <c r="F5" s="6" t="str">
        <f>IFERROR(AVERAGE(Tabela3[[#This Row],[A1]:[A4]]),"")</f>
        <v/>
      </c>
      <c r="G5" s="6" t="str">
        <f>IFERROR(IF(Tabela3[[#This Row],[SETOR]]="RECEPTIVO","",AVERAGE(Tabela3[[#This Row],[A5]:[A6]])),"")</f>
        <v/>
      </c>
      <c r="H5" t="str">
        <f>IFERROR(IF(Tabela3[[#This Row],[STATUS]]="INATIVO","INATIVO",IF(Tabela3[[#This Row],[STATUS]]="QRT","INATIVO",IF(Tabela3[[#This Row],[OPERACIONAL]]&gt;7.99999,"BOM","RUIM"))),"")</f>
        <v>BOM</v>
      </c>
      <c r="I5" t="s">
        <v>19</v>
      </c>
      <c r="J5" t="s">
        <v>23</v>
      </c>
      <c r="K5" t="s">
        <v>24</v>
      </c>
      <c r="L5" t="s">
        <v>25</v>
      </c>
      <c r="M5" s="90" t="str">
        <f>IFERROR(VLOOKUP(Tabela3[[#This Row],[MÊS]]&amp;Tabela3[[#This Row],[ANO]]&amp;Tabela3[[#This Row],[MATRICULA]]&amp;"1"&amp;Tabela3[[#This Row],[SETOR]]&amp;"PADRÃO",BD!B:Z,25,0),"")</f>
        <v/>
      </c>
      <c r="N5" s="90" t="str">
        <f>IFERROR(VLOOKUP(Tabela3[[#This Row],[MÊS]]&amp;Tabela3[[#This Row],[ANO]]&amp;Tabela3[[#This Row],[MATRICULA]]&amp;"2"&amp;Tabela3[[#This Row],[SETOR]]&amp;"PADRÃO",BD!B:Z,25,0),"")</f>
        <v/>
      </c>
      <c r="O5" s="90" t="str">
        <f>IFERROR(VLOOKUP(Tabela3[[#This Row],[MÊS]]&amp;Tabela3[[#This Row],[ANO]]&amp;Tabela3[[#This Row],[MATRICULA]]&amp;"3"&amp;Tabela3[[#This Row],[SETOR]]&amp;"PADRÃO",BD!B:Z,25,0),"")</f>
        <v/>
      </c>
      <c r="P5" s="90" t="str">
        <f>IFERROR(VLOOKUP(Tabela3[[#This Row],[MÊS]]&amp;Tabela3[[#This Row],[ANO]]&amp;Tabela3[[#This Row],[MATRICULA]]&amp;"4"&amp;Tabela3[[#This Row],[SETOR]]&amp;"PADRÃO",BD!B:Z,25,0),"")</f>
        <v/>
      </c>
      <c r="Q5" s="90" t="str">
        <f>IFERROR(VLOOKUP(Tabela3[[#This Row],[MÊS]]&amp;Tabela3[[#This Row],[ANO]]&amp;Tabela3[[#This Row],[MATRICULA]]&amp;"5"&amp;Tabela3[[#This Row],[SETOR]]&amp;"PADRÃO",BD!B:Z,25,0),"")</f>
        <v/>
      </c>
      <c r="R5" s="90" t="str">
        <f>IFERROR(VLOOKUP(Tabela3[[#This Row],[MÊS]]&amp;Tabela3[[#This Row],[ANO]]&amp;Tabela3[[#This Row],[MATRICULA]]&amp;"6"&amp;Tabela3[[#This Row],[SETOR]]&amp;"PADRÃO",BD!B:Z,25,0),"")</f>
        <v/>
      </c>
    </row>
    <row r="6" spans="1:18" x14ac:dyDescent="0.35">
      <c r="A6" t="str">
        <f>Tabela3[[#This Row],[MÊS]]&amp;Tabela3[[#This Row],[MATRICULA]]&amp;Tabela3[[#This Row],[ANO]]</f>
        <v>FEV41782023</v>
      </c>
      <c r="B6">
        <v>2023</v>
      </c>
      <c r="C6" t="s">
        <v>18</v>
      </c>
      <c r="D6">
        <v>4178</v>
      </c>
      <c r="E6" t="str">
        <f>IFERROR(VLOOKUP(Tabela3[[#This Row],[MATRICULA]],'BD Campos'!A:B,2,0),"")</f>
        <v>DHULYA CAROLINE CAITANO RODRIGUES</v>
      </c>
      <c r="F6" s="6" t="str">
        <f>IFERROR(AVERAGE(Tabela3[[#This Row],[A1]:[A4]]),"")</f>
        <v/>
      </c>
      <c r="G6" s="6" t="str">
        <f>IFERROR(IF(Tabela3[[#This Row],[SETOR]]="RECEPTIVO","",AVERAGE(Tabela3[[#This Row],[A5]:[A6]])),"")</f>
        <v/>
      </c>
      <c r="H6" t="str">
        <f>IFERROR(IF(Tabela3[[#This Row],[STATUS]]="INATIVO","INATIVO",IF(Tabela3[[#This Row],[STATUS]]="QRT","INATIVO",IF(Tabela3[[#This Row],[OPERACIONAL]]&gt;7.99999,"BOM","RUIM"))),"")</f>
        <v>BOM</v>
      </c>
      <c r="I6" t="s">
        <v>19</v>
      </c>
      <c r="J6" t="s">
        <v>26</v>
      </c>
      <c r="K6" t="s">
        <v>27</v>
      </c>
      <c r="L6" t="s">
        <v>22</v>
      </c>
      <c r="M6" s="90" t="str">
        <f>IFERROR(VLOOKUP(Tabela3[[#This Row],[MÊS]]&amp;Tabela3[[#This Row],[ANO]]&amp;Tabela3[[#This Row],[MATRICULA]]&amp;"1"&amp;Tabela3[[#This Row],[SETOR]]&amp;"PADRÃO",BD!B:Z,25,0),"")</f>
        <v/>
      </c>
      <c r="N6" s="90" t="str">
        <f>IFERROR(VLOOKUP(Tabela3[[#This Row],[MÊS]]&amp;Tabela3[[#This Row],[ANO]]&amp;Tabela3[[#This Row],[MATRICULA]]&amp;"2"&amp;Tabela3[[#This Row],[SETOR]]&amp;"PADRÃO",BD!B:Z,25,0),"")</f>
        <v/>
      </c>
      <c r="O6" s="90" t="str">
        <f>IFERROR(VLOOKUP(Tabela3[[#This Row],[MÊS]]&amp;Tabela3[[#This Row],[ANO]]&amp;Tabela3[[#This Row],[MATRICULA]]&amp;"3"&amp;Tabela3[[#This Row],[SETOR]]&amp;"PADRÃO",BD!B:Z,25,0),"")</f>
        <v/>
      </c>
      <c r="P6" s="90" t="str">
        <f>IFERROR(VLOOKUP(Tabela3[[#This Row],[MÊS]]&amp;Tabela3[[#This Row],[ANO]]&amp;Tabela3[[#This Row],[MATRICULA]]&amp;"4"&amp;Tabela3[[#This Row],[SETOR]]&amp;"PADRÃO",BD!B:Z,25,0),"")</f>
        <v/>
      </c>
      <c r="Q6" s="90" t="str">
        <f>IFERROR(VLOOKUP(Tabela3[[#This Row],[MÊS]]&amp;Tabela3[[#This Row],[ANO]]&amp;Tabela3[[#This Row],[MATRICULA]]&amp;"5"&amp;Tabela3[[#This Row],[SETOR]]&amp;"PADRÃO",BD!B:Z,25,0),"")</f>
        <v/>
      </c>
      <c r="R6" s="90" t="str">
        <f>IFERROR(VLOOKUP(Tabela3[[#This Row],[MÊS]]&amp;Tabela3[[#This Row],[ANO]]&amp;Tabela3[[#This Row],[MATRICULA]]&amp;"6"&amp;Tabela3[[#This Row],[SETOR]]&amp;"PADRÃO",BD!B:Z,25,0),"")</f>
        <v/>
      </c>
    </row>
    <row r="7" spans="1:18" x14ac:dyDescent="0.35">
      <c r="A7" t="str">
        <f>Tabela3[[#This Row],[MÊS]]&amp;Tabela3[[#This Row],[MATRICULA]]&amp;Tabela3[[#This Row],[ANO]]</f>
        <v>FEV41792023</v>
      </c>
      <c r="B7">
        <v>2023</v>
      </c>
      <c r="C7" t="s">
        <v>18</v>
      </c>
      <c r="D7">
        <v>4179</v>
      </c>
      <c r="E7" t="str">
        <f>IFERROR(VLOOKUP(Tabela3[[#This Row],[MATRICULA]],'BD Campos'!A:B,2,0),"")</f>
        <v>BRUNO CORDEIRO VOLFE</v>
      </c>
      <c r="F7" s="6" t="str">
        <f>IFERROR(AVERAGE(Tabela3[[#This Row],[A1]:[A4]]),"")</f>
        <v/>
      </c>
      <c r="G7" s="6" t="str">
        <f>IFERROR(IF(Tabela3[[#This Row],[SETOR]]="RECEPTIVO","",AVERAGE(Tabela3[[#This Row],[A5]:[A6]])),"")</f>
        <v/>
      </c>
      <c r="H7" t="str">
        <f>IFERROR(IF(Tabela3[[#This Row],[STATUS]]="INATIVO","INATIVO",IF(Tabela3[[#This Row],[STATUS]]="QRT","INATIVO",IF(Tabela3[[#This Row],[OPERACIONAL]]&gt;7.99999,"BOM","RUIM"))),"")</f>
        <v>BOM</v>
      </c>
      <c r="I7" t="s">
        <v>19</v>
      </c>
      <c r="J7" t="s">
        <v>26</v>
      </c>
      <c r="K7" t="s">
        <v>27</v>
      </c>
      <c r="L7" t="s">
        <v>22</v>
      </c>
      <c r="M7" s="90" t="str">
        <f>IFERROR(VLOOKUP(Tabela3[[#This Row],[MÊS]]&amp;Tabela3[[#This Row],[ANO]]&amp;Tabela3[[#This Row],[MATRICULA]]&amp;"1"&amp;Tabela3[[#This Row],[SETOR]]&amp;"PADRÃO",BD!B:Z,25,0),"")</f>
        <v/>
      </c>
      <c r="N7" s="90" t="str">
        <f>IFERROR(VLOOKUP(Tabela3[[#This Row],[MÊS]]&amp;Tabela3[[#This Row],[ANO]]&amp;Tabela3[[#This Row],[MATRICULA]]&amp;"2"&amp;Tabela3[[#This Row],[SETOR]]&amp;"PADRÃO",BD!B:Z,25,0),"")</f>
        <v/>
      </c>
      <c r="O7" s="90" t="str">
        <f>IFERROR(VLOOKUP(Tabela3[[#This Row],[MÊS]]&amp;Tabela3[[#This Row],[ANO]]&amp;Tabela3[[#This Row],[MATRICULA]]&amp;"3"&amp;Tabela3[[#This Row],[SETOR]]&amp;"PADRÃO",BD!B:Z,25,0),"")</f>
        <v/>
      </c>
      <c r="P7" s="90" t="str">
        <f>IFERROR(VLOOKUP(Tabela3[[#This Row],[MÊS]]&amp;Tabela3[[#This Row],[ANO]]&amp;Tabela3[[#This Row],[MATRICULA]]&amp;"4"&amp;Tabela3[[#This Row],[SETOR]]&amp;"PADRÃO",BD!B:Z,25,0),"")</f>
        <v/>
      </c>
      <c r="Q7" s="90" t="str">
        <f>IFERROR(VLOOKUP(Tabela3[[#This Row],[MÊS]]&amp;Tabela3[[#This Row],[ANO]]&amp;Tabela3[[#This Row],[MATRICULA]]&amp;"5"&amp;Tabela3[[#This Row],[SETOR]]&amp;"PADRÃO",BD!B:Z,25,0),"")</f>
        <v/>
      </c>
      <c r="R7" s="90" t="str">
        <f>IFERROR(VLOOKUP(Tabela3[[#This Row],[MÊS]]&amp;Tabela3[[#This Row],[ANO]]&amp;Tabela3[[#This Row],[MATRICULA]]&amp;"6"&amp;Tabela3[[#This Row],[SETOR]]&amp;"PADRÃO",BD!B:Z,25,0),"")</f>
        <v/>
      </c>
    </row>
    <row r="8" spans="1:18" x14ac:dyDescent="0.35">
      <c r="A8" t="str">
        <f>Tabela3[[#This Row],[MÊS]]&amp;Tabela3[[#This Row],[MATRICULA]]&amp;Tabela3[[#This Row],[ANO]]</f>
        <v>FEV108252023</v>
      </c>
      <c r="B8">
        <v>2023</v>
      </c>
      <c r="C8" t="s">
        <v>18</v>
      </c>
      <c r="D8">
        <v>10825</v>
      </c>
      <c r="E8" t="str">
        <f>IFERROR(VLOOKUP(Tabela3[[#This Row],[MATRICULA]],'BD Campos'!A:B,2,0),"")</f>
        <v>ISMAEL ROMULO AZEVEDO GOMES</v>
      </c>
      <c r="F8" s="6" t="str">
        <f>IFERROR(AVERAGE(Tabela3[[#This Row],[A1]:[A4]]),"")</f>
        <v/>
      </c>
      <c r="G8" s="6" t="str">
        <f>IFERROR(IF(Tabela3[[#This Row],[SETOR]]="RECEPTIVO","",AVERAGE(Tabela3[[#This Row],[A5]:[A6]])),"")</f>
        <v/>
      </c>
      <c r="H8" t="str">
        <f>IFERROR(IF(Tabela3[[#This Row],[STATUS]]="INATIVO","INATIVO",IF(Tabela3[[#This Row],[STATUS]]="QRT","INATIVO",IF(Tabela3[[#This Row],[OPERACIONAL]]&gt;7.99999,"BOM","RUIM"))),"")</f>
        <v>BOM</v>
      </c>
      <c r="I8" t="s">
        <v>19</v>
      </c>
      <c r="J8" t="s">
        <v>28</v>
      </c>
      <c r="K8" t="s">
        <v>29</v>
      </c>
      <c r="L8" t="s">
        <v>22</v>
      </c>
      <c r="M8" s="90" t="str">
        <f>IFERROR(VLOOKUP(Tabela3[[#This Row],[MÊS]]&amp;Tabela3[[#This Row],[ANO]]&amp;Tabela3[[#This Row],[MATRICULA]]&amp;"1"&amp;Tabela3[[#This Row],[SETOR]]&amp;"PADRÃO",BD!B:Z,25,0),"")</f>
        <v/>
      </c>
      <c r="N8" s="90" t="str">
        <f>IFERROR(VLOOKUP(Tabela3[[#This Row],[MÊS]]&amp;Tabela3[[#This Row],[ANO]]&amp;Tabela3[[#This Row],[MATRICULA]]&amp;"2"&amp;Tabela3[[#This Row],[SETOR]]&amp;"PADRÃO",BD!B:Z,25,0),"")</f>
        <v/>
      </c>
      <c r="O8" s="90" t="str">
        <f>IFERROR(VLOOKUP(Tabela3[[#This Row],[MÊS]]&amp;Tabela3[[#This Row],[ANO]]&amp;Tabela3[[#This Row],[MATRICULA]]&amp;"3"&amp;Tabela3[[#This Row],[SETOR]]&amp;"PADRÃO",BD!B:Z,25,0),"")</f>
        <v/>
      </c>
      <c r="P8" s="90" t="str">
        <f>IFERROR(VLOOKUP(Tabela3[[#This Row],[MÊS]]&amp;Tabela3[[#This Row],[ANO]]&amp;Tabela3[[#This Row],[MATRICULA]]&amp;"4"&amp;Tabela3[[#This Row],[SETOR]]&amp;"PADRÃO",BD!B:Z,25,0),"")</f>
        <v/>
      </c>
      <c r="Q8" s="90" t="str">
        <f>IFERROR(VLOOKUP(Tabela3[[#This Row],[MÊS]]&amp;Tabela3[[#This Row],[ANO]]&amp;Tabela3[[#This Row],[MATRICULA]]&amp;"5"&amp;Tabela3[[#This Row],[SETOR]]&amp;"PADRÃO",BD!B:Z,25,0),"")</f>
        <v/>
      </c>
      <c r="R8" s="90" t="str">
        <f>IFERROR(VLOOKUP(Tabela3[[#This Row],[MÊS]]&amp;Tabela3[[#This Row],[ANO]]&amp;Tabela3[[#This Row],[MATRICULA]]&amp;"6"&amp;Tabela3[[#This Row],[SETOR]]&amp;"PADRÃO",BD!B:Z,25,0),"")</f>
        <v/>
      </c>
    </row>
    <row r="9" spans="1:18" x14ac:dyDescent="0.35">
      <c r="A9" t="str">
        <f>Tabela3[[#This Row],[MÊS]]&amp;Tabela3[[#This Row],[MATRICULA]]&amp;Tabela3[[#This Row],[ANO]]</f>
        <v>FEV108262023</v>
      </c>
      <c r="B9">
        <v>2023</v>
      </c>
      <c r="C9" t="s">
        <v>18</v>
      </c>
      <c r="D9">
        <v>10826</v>
      </c>
      <c r="E9" t="str">
        <f>IFERROR(VLOOKUP(Tabela3[[#This Row],[MATRICULA]],'BD Campos'!A:B,2,0),"")</f>
        <v>GABRIEL RIBEIRO GUILHERME</v>
      </c>
      <c r="F9" s="6" t="str">
        <f>IFERROR(AVERAGE(Tabela3[[#This Row],[A1]:[A4]]),"")</f>
        <v/>
      </c>
      <c r="G9" s="6" t="str">
        <f>IFERROR(IF(Tabela3[[#This Row],[SETOR]]="RECEPTIVO","",AVERAGE(Tabela3[[#This Row],[A5]:[A6]])),"")</f>
        <v/>
      </c>
      <c r="H9" t="str">
        <f>IFERROR(IF(Tabela3[[#This Row],[STATUS]]="INATIVO","INATIVO",IF(Tabela3[[#This Row],[STATUS]]="QRT","INATIVO",IF(Tabela3[[#This Row],[OPERACIONAL]]&gt;7.99999,"BOM","RUIM"))),"")</f>
        <v>BOM</v>
      </c>
      <c r="I9" t="s">
        <v>19</v>
      </c>
      <c r="J9" t="s">
        <v>28</v>
      </c>
      <c r="K9" t="s">
        <v>29</v>
      </c>
      <c r="L9" t="s">
        <v>22</v>
      </c>
      <c r="M9" s="90" t="str">
        <f>IFERROR(VLOOKUP(Tabela3[[#This Row],[MÊS]]&amp;Tabela3[[#This Row],[ANO]]&amp;Tabela3[[#This Row],[MATRICULA]]&amp;"1"&amp;Tabela3[[#This Row],[SETOR]]&amp;"PADRÃO",BD!B:Z,25,0),"")</f>
        <v/>
      </c>
      <c r="N9" s="90" t="str">
        <f>IFERROR(VLOOKUP(Tabela3[[#This Row],[MÊS]]&amp;Tabela3[[#This Row],[ANO]]&amp;Tabela3[[#This Row],[MATRICULA]]&amp;"2"&amp;Tabela3[[#This Row],[SETOR]]&amp;"PADRÃO",BD!B:Z,25,0),"")</f>
        <v/>
      </c>
      <c r="O9" s="90" t="str">
        <f>IFERROR(VLOOKUP(Tabela3[[#This Row],[MÊS]]&amp;Tabela3[[#This Row],[ANO]]&amp;Tabela3[[#This Row],[MATRICULA]]&amp;"3"&amp;Tabela3[[#This Row],[SETOR]]&amp;"PADRÃO",BD!B:Z,25,0),"")</f>
        <v/>
      </c>
      <c r="P9" s="90" t="str">
        <f>IFERROR(VLOOKUP(Tabela3[[#This Row],[MÊS]]&amp;Tabela3[[#This Row],[ANO]]&amp;Tabela3[[#This Row],[MATRICULA]]&amp;"4"&amp;Tabela3[[#This Row],[SETOR]]&amp;"PADRÃO",BD!B:Z,25,0),"")</f>
        <v/>
      </c>
      <c r="Q9" s="90" t="str">
        <f>IFERROR(VLOOKUP(Tabela3[[#This Row],[MÊS]]&amp;Tabela3[[#This Row],[ANO]]&amp;Tabela3[[#This Row],[MATRICULA]]&amp;"5"&amp;Tabela3[[#This Row],[SETOR]]&amp;"PADRÃO",BD!B:Z,25,0),"")</f>
        <v/>
      </c>
      <c r="R9" s="90" t="str">
        <f>IFERROR(VLOOKUP(Tabela3[[#This Row],[MÊS]]&amp;Tabela3[[#This Row],[ANO]]&amp;Tabela3[[#This Row],[MATRICULA]]&amp;"6"&amp;Tabela3[[#This Row],[SETOR]]&amp;"PADRÃO",BD!B:Z,25,0),"")</f>
        <v/>
      </c>
    </row>
    <row r="10" spans="1:18" x14ac:dyDescent="0.35">
      <c r="A10" t="str">
        <f>Tabela3[[#This Row],[MÊS]]&amp;Tabela3[[#This Row],[MATRICULA]]&amp;Tabela3[[#This Row],[ANO]]</f>
        <v>FEV108312023</v>
      </c>
      <c r="B10">
        <v>2023</v>
      </c>
      <c r="C10" t="s">
        <v>18</v>
      </c>
      <c r="D10">
        <v>10831</v>
      </c>
      <c r="E10" t="str">
        <f>IFERROR(VLOOKUP(Tabela3[[#This Row],[MATRICULA]],'BD Campos'!A:B,2,0),"")</f>
        <v>RODRIGO KANIA CUNHA</v>
      </c>
      <c r="F10" s="6" t="str">
        <f>IFERROR(AVERAGE(Tabela3[[#This Row],[A1]:[A4]]),"")</f>
        <v/>
      </c>
      <c r="G10" s="6" t="str">
        <f>IFERROR(IF(Tabela3[[#This Row],[SETOR]]="RECEPTIVO","",AVERAGE(Tabela3[[#This Row],[A5]:[A6]])),"")</f>
        <v/>
      </c>
      <c r="H10" t="str">
        <f>IFERROR(IF(Tabela3[[#This Row],[STATUS]]="INATIVO","INATIVO",IF(Tabela3[[#This Row],[STATUS]]="QRT","INATIVO",IF(Tabela3[[#This Row],[OPERACIONAL]]&gt;7.99999,"BOM","RUIM"))),"")</f>
        <v>BOM</v>
      </c>
      <c r="I10" t="s">
        <v>19</v>
      </c>
      <c r="J10" t="s">
        <v>28</v>
      </c>
      <c r="K10" t="s">
        <v>29</v>
      </c>
      <c r="L10" t="s">
        <v>22</v>
      </c>
      <c r="M10" s="90" t="str">
        <f>IFERROR(VLOOKUP(Tabela3[[#This Row],[MÊS]]&amp;Tabela3[[#This Row],[ANO]]&amp;Tabela3[[#This Row],[MATRICULA]]&amp;"1"&amp;Tabela3[[#This Row],[SETOR]]&amp;"PADRÃO",BD!B:Z,25,0),"")</f>
        <v/>
      </c>
      <c r="N10" s="90" t="str">
        <f>IFERROR(VLOOKUP(Tabela3[[#This Row],[MÊS]]&amp;Tabela3[[#This Row],[ANO]]&amp;Tabela3[[#This Row],[MATRICULA]]&amp;"2"&amp;Tabela3[[#This Row],[SETOR]]&amp;"PADRÃO",BD!B:Z,25,0),"")</f>
        <v/>
      </c>
      <c r="O10" s="90" t="str">
        <f>IFERROR(VLOOKUP(Tabela3[[#This Row],[MÊS]]&amp;Tabela3[[#This Row],[ANO]]&amp;Tabela3[[#This Row],[MATRICULA]]&amp;"3"&amp;Tabela3[[#This Row],[SETOR]]&amp;"PADRÃO",BD!B:Z,25,0),"")</f>
        <v/>
      </c>
      <c r="P10" s="90" t="str">
        <f>IFERROR(VLOOKUP(Tabela3[[#This Row],[MÊS]]&amp;Tabela3[[#This Row],[ANO]]&amp;Tabela3[[#This Row],[MATRICULA]]&amp;"4"&amp;Tabela3[[#This Row],[SETOR]]&amp;"PADRÃO",BD!B:Z,25,0),"")</f>
        <v/>
      </c>
      <c r="Q10" s="90" t="str">
        <f>IFERROR(VLOOKUP(Tabela3[[#This Row],[MÊS]]&amp;Tabela3[[#This Row],[ANO]]&amp;Tabela3[[#This Row],[MATRICULA]]&amp;"5"&amp;Tabela3[[#This Row],[SETOR]]&amp;"PADRÃO",BD!B:Z,25,0),"")</f>
        <v/>
      </c>
      <c r="R10" s="90" t="str">
        <f>IFERROR(VLOOKUP(Tabela3[[#This Row],[MÊS]]&amp;Tabela3[[#This Row],[ANO]]&amp;Tabela3[[#This Row],[MATRICULA]]&amp;"6"&amp;Tabela3[[#This Row],[SETOR]]&amp;"PADRÃO",BD!B:Z,25,0),"")</f>
        <v/>
      </c>
    </row>
    <row r="11" spans="1:18" x14ac:dyDescent="0.35">
      <c r="A11" t="str">
        <f>Tabela3[[#This Row],[MÊS]]&amp;Tabela3[[#This Row],[MATRICULA]]&amp;Tabela3[[#This Row],[ANO]]</f>
        <v>FEV108242023</v>
      </c>
      <c r="B11">
        <v>2023</v>
      </c>
      <c r="C11" t="s">
        <v>18</v>
      </c>
      <c r="D11">
        <v>10824</v>
      </c>
      <c r="E11" t="str">
        <f>IFERROR(VLOOKUP(Tabela3[[#This Row],[MATRICULA]],'BD Campos'!A:B,2,0),"")</f>
        <v>ANA LUIZA MAFRA</v>
      </c>
      <c r="F11" s="6" t="str">
        <f>IFERROR(AVERAGE(Tabela3[[#This Row],[A1]:[A4]]),"")</f>
        <v/>
      </c>
      <c r="G11" s="6" t="str">
        <f>IFERROR(IF(Tabela3[[#This Row],[SETOR]]="RECEPTIVO","",AVERAGE(Tabela3[[#This Row],[A5]:[A6]])),"")</f>
        <v/>
      </c>
      <c r="H11" t="str">
        <f>IFERROR(IF(Tabela3[[#This Row],[STATUS]]="INATIVO","INATIVO",IF(Tabela3[[#This Row],[STATUS]]="QRT","INATIVO",IF(Tabela3[[#This Row],[OPERACIONAL]]&gt;7.99999,"BOM","RUIM"))),"")</f>
        <v>BOM</v>
      </c>
      <c r="I11" t="s">
        <v>19</v>
      </c>
      <c r="J11" t="s">
        <v>30</v>
      </c>
      <c r="K11" t="s">
        <v>31</v>
      </c>
      <c r="L11" t="s">
        <v>22</v>
      </c>
      <c r="M11" s="90" t="str">
        <f>IFERROR(VLOOKUP(Tabela3[[#This Row],[MÊS]]&amp;Tabela3[[#This Row],[ANO]]&amp;Tabela3[[#This Row],[MATRICULA]]&amp;"1"&amp;Tabela3[[#This Row],[SETOR]]&amp;"PADRÃO",BD!B:Z,25,0),"")</f>
        <v/>
      </c>
      <c r="N11" s="90" t="str">
        <f>IFERROR(VLOOKUP(Tabela3[[#This Row],[MÊS]]&amp;Tabela3[[#This Row],[ANO]]&amp;Tabela3[[#This Row],[MATRICULA]]&amp;"2"&amp;Tabela3[[#This Row],[SETOR]]&amp;"PADRÃO",BD!B:Z,25,0),"")</f>
        <v/>
      </c>
      <c r="O11" s="90" t="str">
        <f>IFERROR(VLOOKUP(Tabela3[[#This Row],[MÊS]]&amp;Tabela3[[#This Row],[ANO]]&amp;Tabela3[[#This Row],[MATRICULA]]&amp;"3"&amp;Tabela3[[#This Row],[SETOR]]&amp;"PADRÃO",BD!B:Z,25,0),"")</f>
        <v/>
      </c>
      <c r="P11" s="90" t="str">
        <f>IFERROR(VLOOKUP(Tabela3[[#This Row],[MÊS]]&amp;Tabela3[[#This Row],[ANO]]&amp;Tabela3[[#This Row],[MATRICULA]]&amp;"4"&amp;Tabela3[[#This Row],[SETOR]]&amp;"PADRÃO",BD!B:Z,25,0),"")</f>
        <v/>
      </c>
      <c r="Q11" s="90" t="str">
        <f>IFERROR(VLOOKUP(Tabela3[[#This Row],[MÊS]]&amp;Tabela3[[#This Row],[ANO]]&amp;Tabela3[[#This Row],[MATRICULA]]&amp;"5"&amp;Tabela3[[#This Row],[SETOR]]&amp;"PADRÃO",BD!B:Z,25,0),"")</f>
        <v/>
      </c>
      <c r="R11" s="90" t="str">
        <f>IFERROR(VLOOKUP(Tabela3[[#This Row],[MÊS]]&amp;Tabela3[[#This Row],[ANO]]&amp;Tabela3[[#This Row],[MATRICULA]]&amp;"6"&amp;Tabela3[[#This Row],[SETOR]]&amp;"PADRÃO",BD!B:Z,25,0),"")</f>
        <v/>
      </c>
    </row>
    <row r="12" spans="1:18" x14ac:dyDescent="0.35">
      <c r="A12" t="str">
        <f>Tabela3[[#This Row],[MÊS]]&amp;Tabela3[[#This Row],[MATRICULA]]&amp;Tabela3[[#This Row],[ANO]]</f>
        <v>FEV108272023</v>
      </c>
      <c r="B12">
        <v>2023</v>
      </c>
      <c r="C12" t="s">
        <v>18</v>
      </c>
      <c r="D12">
        <v>10827</v>
      </c>
      <c r="E12" t="str">
        <f>IFERROR(VLOOKUP(Tabela3[[#This Row],[MATRICULA]],'BD Campos'!A:B,2,0),"")</f>
        <v xml:space="preserve">ALBERTO MACIEL DE ARAUJO FILHO </v>
      </c>
      <c r="F12" s="6" t="str">
        <f>IFERROR(AVERAGE(Tabela3[[#This Row],[A1]:[A4]]),"")</f>
        <v/>
      </c>
      <c r="G12" s="6" t="str">
        <f>IFERROR(IF(Tabela3[[#This Row],[SETOR]]="RECEPTIVO","",AVERAGE(Tabela3[[#This Row],[A5]:[A6]])),"")</f>
        <v/>
      </c>
      <c r="H12" t="str">
        <f>IFERROR(IF(Tabela3[[#This Row],[STATUS]]="INATIVO","INATIVO",IF(Tabela3[[#This Row],[STATUS]]="QRT","INATIVO",IF(Tabela3[[#This Row],[OPERACIONAL]]&gt;7.99999,"BOM","RUIM"))),"")</f>
        <v>BOM</v>
      </c>
      <c r="I12" t="s">
        <v>19</v>
      </c>
      <c r="J12" t="s">
        <v>30</v>
      </c>
      <c r="K12" t="s">
        <v>31</v>
      </c>
      <c r="L12" t="s">
        <v>22</v>
      </c>
      <c r="M12" s="90" t="str">
        <f>IFERROR(VLOOKUP(Tabela3[[#This Row],[MÊS]]&amp;Tabela3[[#This Row],[ANO]]&amp;Tabela3[[#This Row],[MATRICULA]]&amp;"1"&amp;Tabela3[[#This Row],[SETOR]]&amp;"PADRÃO",BD!B:Z,25,0),"")</f>
        <v/>
      </c>
      <c r="N12" s="90" t="str">
        <f>IFERROR(VLOOKUP(Tabela3[[#This Row],[MÊS]]&amp;Tabela3[[#This Row],[ANO]]&amp;Tabela3[[#This Row],[MATRICULA]]&amp;"2"&amp;Tabela3[[#This Row],[SETOR]]&amp;"PADRÃO",BD!B:Z,25,0),"")</f>
        <v/>
      </c>
      <c r="O12" s="90" t="str">
        <f>IFERROR(VLOOKUP(Tabela3[[#This Row],[MÊS]]&amp;Tabela3[[#This Row],[ANO]]&amp;Tabela3[[#This Row],[MATRICULA]]&amp;"3"&amp;Tabela3[[#This Row],[SETOR]]&amp;"PADRÃO",BD!B:Z,25,0),"")</f>
        <v/>
      </c>
      <c r="P12" s="90" t="str">
        <f>IFERROR(VLOOKUP(Tabela3[[#This Row],[MÊS]]&amp;Tabela3[[#This Row],[ANO]]&amp;Tabela3[[#This Row],[MATRICULA]]&amp;"4"&amp;Tabela3[[#This Row],[SETOR]]&amp;"PADRÃO",BD!B:Z,25,0),"")</f>
        <v/>
      </c>
      <c r="Q12" s="90" t="str">
        <f>IFERROR(VLOOKUP(Tabela3[[#This Row],[MÊS]]&amp;Tabela3[[#This Row],[ANO]]&amp;Tabela3[[#This Row],[MATRICULA]]&amp;"5"&amp;Tabela3[[#This Row],[SETOR]]&amp;"PADRÃO",BD!B:Z,25,0),"")</f>
        <v/>
      </c>
      <c r="R12" s="90" t="str">
        <f>IFERROR(VLOOKUP(Tabela3[[#This Row],[MÊS]]&amp;Tabela3[[#This Row],[ANO]]&amp;Tabela3[[#This Row],[MATRICULA]]&amp;"6"&amp;Tabela3[[#This Row],[SETOR]]&amp;"PADRÃO",BD!B:Z,25,0),"")</f>
        <v/>
      </c>
    </row>
    <row r="13" spans="1:18" x14ac:dyDescent="0.35">
      <c r="A13" t="str">
        <f>Tabela3[[#This Row],[MÊS]]&amp;Tabela3[[#This Row],[MATRICULA]]&amp;Tabela3[[#This Row],[ANO]]</f>
        <v>FEV108282023</v>
      </c>
      <c r="B13">
        <v>2023</v>
      </c>
      <c r="C13" t="s">
        <v>18</v>
      </c>
      <c r="D13">
        <v>10828</v>
      </c>
      <c r="E13" t="str">
        <f>IFERROR(VLOOKUP(Tabela3[[#This Row],[MATRICULA]],'BD Campos'!A:B,2,0),"")</f>
        <v>RENATA SILVA DE SANTANA COSTA</v>
      </c>
      <c r="F13" s="6" t="str">
        <f>IFERROR(AVERAGE(Tabela3[[#This Row],[A1]:[A4]]),"")</f>
        <v/>
      </c>
      <c r="G13" s="6" t="str">
        <f>IFERROR(IF(Tabela3[[#This Row],[SETOR]]="RECEPTIVO","",AVERAGE(Tabela3[[#This Row],[A5]:[A6]])),"")</f>
        <v/>
      </c>
      <c r="H13" t="str">
        <f>IFERROR(IF(Tabela3[[#This Row],[STATUS]]="INATIVO","INATIVO",IF(Tabela3[[#This Row],[STATUS]]="QRT","INATIVO",IF(Tabela3[[#This Row],[OPERACIONAL]]&gt;7.99999,"BOM","RUIM"))),"")</f>
        <v>BOM</v>
      </c>
      <c r="I13" t="s">
        <v>19</v>
      </c>
      <c r="J13" t="s">
        <v>30</v>
      </c>
      <c r="K13" t="s">
        <v>31</v>
      </c>
      <c r="L13" t="s">
        <v>22</v>
      </c>
      <c r="M13" s="90" t="str">
        <f>IFERROR(VLOOKUP(Tabela3[[#This Row],[MÊS]]&amp;Tabela3[[#This Row],[ANO]]&amp;Tabela3[[#This Row],[MATRICULA]]&amp;"1"&amp;Tabela3[[#This Row],[SETOR]]&amp;"PADRÃO",BD!B:Z,25,0),"")</f>
        <v/>
      </c>
      <c r="N13" s="90" t="str">
        <f>IFERROR(VLOOKUP(Tabela3[[#This Row],[MÊS]]&amp;Tabela3[[#This Row],[ANO]]&amp;Tabela3[[#This Row],[MATRICULA]]&amp;"2"&amp;Tabela3[[#This Row],[SETOR]]&amp;"PADRÃO",BD!B:Z,25,0),"")</f>
        <v/>
      </c>
      <c r="O13" s="90" t="str">
        <f>IFERROR(VLOOKUP(Tabela3[[#This Row],[MÊS]]&amp;Tabela3[[#This Row],[ANO]]&amp;Tabela3[[#This Row],[MATRICULA]]&amp;"3"&amp;Tabela3[[#This Row],[SETOR]]&amp;"PADRÃO",BD!B:Z,25,0),"")</f>
        <v/>
      </c>
      <c r="P13" s="90" t="str">
        <f>IFERROR(VLOOKUP(Tabela3[[#This Row],[MÊS]]&amp;Tabela3[[#This Row],[ANO]]&amp;Tabela3[[#This Row],[MATRICULA]]&amp;"4"&amp;Tabela3[[#This Row],[SETOR]]&amp;"PADRÃO",BD!B:Z,25,0),"")</f>
        <v/>
      </c>
      <c r="Q13" s="90" t="str">
        <f>IFERROR(VLOOKUP(Tabela3[[#This Row],[MÊS]]&amp;Tabela3[[#This Row],[ANO]]&amp;Tabela3[[#This Row],[MATRICULA]]&amp;"5"&amp;Tabela3[[#This Row],[SETOR]]&amp;"PADRÃO",BD!B:Z,25,0),"")</f>
        <v/>
      </c>
      <c r="R13" s="90" t="str">
        <f>IFERROR(VLOOKUP(Tabela3[[#This Row],[MÊS]]&amp;Tabela3[[#This Row],[ANO]]&amp;Tabela3[[#This Row],[MATRICULA]]&amp;"6"&amp;Tabela3[[#This Row],[SETOR]]&amp;"PADRÃO",BD!B:Z,25,0),"")</f>
        <v/>
      </c>
    </row>
  </sheetData>
  <conditionalFormatting sqref="M1:O1 Q1">
    <cfRule type="cellIs" dxfId="43" priority="34" operator="between">
      <formula>8</formula>
      <formula>11</formula>
    </cfRule>
  </conditionalFormatting>
  <conditionalFormatting sqref="M1:O1 Q1">
    <cfRule type="cellIs" dxfId="42" priority="32" operator="between">
      <formula>1</formula>
      <formula>7.99</formula>
    </cfRule>
  </conditionalFormatting>
  <conditionalFormatting sqref="N1:R1">
    <cfRule type="cellIs" dxfId="41" priority="31" operator="between">
      <formula>8</formula>
      <formula>11</formula>
    </cfRule>
  </conditionalFormatting>
  <pageMargins left="0.511811024" right="0.511811024" top="0.78740157499999996" bottom="0.78740157499999996" header="0.31496062000000002" footer="0.31496062000000002"/>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beginsWith" priority="33" operator="beginsWith" id="{8F13B22F-7F50-4182-80E8-17CB4404F8E0}">
            <xm:f>LEFT(M1,LEN("0"))="0"</xm:f>
            <xm:f>"0"</xm:f>
            <x14:dxf>
              <font>
                <b/>
                <i val="0"/>
                <color rgb="FFFF0000"/>
              </font>
              <fill>
                <patternFill>
                  <bgColor theme="1"/>
                </patternFill>
              </fill>
            </x14:dxf>
          </x14:cfRule>
          <xm:sqref>M1:O1 Q1</xm:sqref>
        </x14:conditionalFormatting>
        <x14:conditionalFormatting xmlns:xm="http://schemas.microsoft.com/office/excel/2006/main">
          <x14:cfRule type="beginsWith" priority="30" operator="beginsWith" id="{F8C811CF-256B-4CEA-8CE7-EF47F94A26D8}">
            <xm:f>LEFT(N1,LEN("0"))="0"</xm:f>
            <xm:f>"0"</xm:f>
            <x14:dxf>
              <font>
                <b/>
                <i val="0"/>
                <color rgb="FFFF0000"/>
              </font>
              <fill>
                <patternFill>
                  <bgColor theme="1"/>
                </patternFill>
              </fill>
            </x14:dxf>
          </x14:cfRule>
          <xm:sqref>N1:R1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9">
    <tabColor theme="5"/>
  </sheetPr>
  <dimension ref="A1:L23"/>
  <sheetViews>
    <sheetView showGridLines="0" showZeros="0" zoomScale="95" zoomScaleNormal="95" workbookViewId="0">
      <selection activeCell="D6" sqref="D6"/>
    </sheetView>
  </sheetViews>
  <sheetFormatPr defaultColWidth="9.1796875" defaultRowHeight="14.5" x14ac:dyDescent="0.35"/>
  <cols>
    <col min="1" max="1" width="1.81640625" style="2" customWidth="1"/>
    <col min="2" max="2" width="2.81640625" style="2" bestFit="1" customWidth="1"/>
    <col min="3" max="3" width="20.81640625" style="2" customWidth="1"/>
    <col min="4" max="4" width="27.54296875" style="2" customWidth="1"/>
    <col min="5" max="5" width="108" style="2" bestFit="1" customWidth="1"/>
    <col min="6" max="6" width="9.36328125" style="2" customWidth="1"/>
    <col min="7" max="7" width="1.453125" style="2" customWidth="1"/>
    <col min="8" max="8" width="2.1796875" style="2" customWidth="1"/>
    <col min="9" max="10" width="9.1796875" style="2" customWidth="1"/>
    <col min="11" max="16384" width="9.1796875" style="2"/>
  </cols>
  <sheetData>
    <row r="1" spans="1:10" ht="6.75" customHeight="1" x14ac:dyDescent="0.35">
      <c r="H1" s="50" t="s">
        <v>32</v>
      </c>
      <c r="I1" s="50"/>
      <c r="J1" s="50"/>
    </row>
    <row r="2" spans="1:10" ht="20.25" customHeight="1" x14ac:dyDescent="0.35">
      <c r="A2" s="202"/>
      <c r="B2" s="51"/>
      <c r="C2" s="201" t="s">
        <v>33</v>
      </c>
      <c r="D2" s="201"/>
      <c r="E2" s="201" t="s">
        <v>34</v>
      </c>
      <c r="F2" s="201"/>
      <c r="G2" s="50"/>
      <c r="H2" s="50"/>
      <c r="I2" s="50"/>
      <c r="J2" s="50"/>
    </row>
    <row r="3" spans="1:10" x14ac:dyDescent="0.35">
      <c r="A3" s="202"/>
      <c r="B3" s="51">
        <v>1</v>
      </c>
      <c r="C3" s="91" t="s">
        <v>35</v>
      </c>
      <c r="D3" s="92">
        <v>1</v>
      </c>
      <c r="E3" s="93" t="str">
        <f>IFERROR(VLOOKUP($D$9&amp;$D$10&amp;B3,Pesos!A:G,5,FALSE),"")</f>
        <v/>
      </c>
      <c r="F3" s="94"/>
      <c r="G3" s="50"/>
      <c r="H3" s="52"/>
      <c r="I3" s="50"/>
      <c r="J3" s="50"/>
    </row>
    <row r="4" spans="1:10" x14ac:dyDescent="0.35">
      <c r="A4" s="202"/>
      <c r="B4" s="51">
        <v>2</v>
      </c>
      <c r="C4" s="91" t="s">
        <v>36</v>
      </c>
      <c r="D4" s="95">
        <f ca="1">NOW()</f>
        <v>46136.443686342594</v>
      </c>
      <c r="E4" s="93" t="str">
        <f>IFERROR(VLOOKUP($D$9&amp;$D$10&amp;B4,Pesos!A:G,5,FALSE),"")</f>
        <v/>
      </c>
      <c r="F4" s="94"/>
      <c r="G4" s="50"/>
      <c r="H4" s="50"/>
      <c r="I4" s="50"/>
      <c r="J4" s="50"/>
    </row>
    <row r="5" spans="1:10" x14ac:dyDescent="0.35">
      <c r="A5" s="202"/>
      <c r="B5" s="51">
        <v>3</v>
      </c>
      <c r="C5" s="91" t="s">
        <v>2</v>
      </c>
      <c r="D5" s="96" t="s">
        <v>338</v>
      </c>
      <c r="E5" s="93" t="str">
        <f>IFERROR(VLOOKUP($D$9&amp;$D$10&amp;B5,Pesos!A:G,5,FALSE),"")</f>
        <v/>
      </c>
      <c r="F5" s="94"/>
      <c r="G5" s="50"/>
      <c r="H5" s="50"/>
      <c r="I5" s="50"/>
      <c r="J5" s="50"/>
    </row>
    <row r="6" spans="1:10" x14ac:dyDescent="0.35">
      <c r="A6" s="202"/>
      <c r="B6" s="51">
        <v>4</v>
      </c>
      <c r="C6" s="91" t="s">
        <v>38</v>
      </c>
      <c r="D6" s="108"/>
      <c r="E6" s="93" t="str">
        <f>IFERROR(VLOOKUP($D$9&amp;$D$10&amp;B6,Pesos!A:G,5,FALSE),"")</f>
        <v/>
      </c>
      <c r="F6" s="94"/>
      <c r="G6" s="50"/>
      <c r="H6" s="50"/>
      <c r="I6" s="50"/>
      <c r="J6" s="50"/>
    </row>
    <row r="7" spans="1:10" x14ac:dyDescent="0.35">
      <c r="A7" s="202"/>
      <c r="B7" s="51">
        <v>5</v>
      </c>
      <c r="C7" s="91" t="s">
        <v>39</v>
      </c>
      <c r="D7" s="101" t="str">
        <f>IFERROR(VLOOKUP(D6,'BD Campos'!A:B,2,FALSE),"DADOS DO OPERADOR PENDENTE")</f>
        <v>DADOS DO OPERADOR PENDENTE</v>
      </c>
      <c r="E7" s="93" t="str">
        <f>IFERROR(VLOOKUP($D$9&amp;$D$10&amp;B7,Pesos!A:G,5,FALSE),"")</f>
        <v/>
      </c>
      <c r="F7" s="94"/>
      <c r="G7" s="50"/>
      <c r="H7" s="50"/>
      <c r="I7" s="50"/>
      <c r="J7" s="50"/>
    </row>
    <row r="8" spans="1:10" x14ac:dyDescent="0.35">
      <c r="A8" s="202"/>
      <c r="B8" s="51">
        <v>6</v>
      </c>
      <c r="C8" s="91" t="s">
        <v>40</v>
      </c>
      <c r="D8" s="97"/>
      <c r="E8" s="93" t="str">
        <f>IFERROR(VLOOKUP($D$9&amp;$D$10&amp;B8,Pesos!A:G,5,FALSE),"")</f>
        <v/>
      </c>
      <c r="F8" s="94"/>
      <c r="G8" s="50"/>
      <c r="H8" s="50"/>
      <c r="I8" s="50"/>
      <c r="J8" s="105" t="s">
        <v>41</v>
      </c>
    </row>
    <row r="9" spans="1:10" x14ac:dyDescent="0.35">
      <c r="A9" s="202"/>
      <c r="B9" s="51">
        <v>7</v>
      </c>
      <c r="C9" s="91" t="s">
        <v>42</v>
      </c>
      <c r="D9" s="98"/>
      <c r="E9" s="93" t="str">
        <f>IFERROR(VLOOKUP($D$9&amp;$D$10&amp;B9,Pesos!A:G,5,FALSE),"")</f>
        <v/>
      </c>
      <c r="F9" s="94"/>
      <c r="G9" s="50"/>
      <c r="H9" s="50"/>
      <c r="I9" s="50"/>
      <c r="J9" s="50"/>
    </row>
    <row r="10" spans="1:10" x14ac:dyDescent="0.35">
      <c r="A10" s="202"/>
      <c r="B10" s="51">
        <v>8</v>
      </c>
      <c r="C10" s="91" t="s">
        <v>43</v>
      </c>
      <c r="D10" s="98"/>
      <c r="E10" s="93" t="str">
        <f>IFERROR(VLOOKUP($D$9&amp;$D$10&amp;B10,Pesos!A:G,5,FALSE),"")</f>
        <v/>
      </c>
      <c r="F10" s="94"/>
      <c r="G10" s="50"/>
      <c r="H10" s="50"/>
      <c r="I10" s="50"/>
      <c r="J10" s="50"/>
    </row>
    <row r="11" spans="1:10" x14ac:dyDescent="0.35">
      <c r="A11" s="202"/>
      <c r="B11" s="51">
        <v>9</v>
      </c>
      <c r="C11" s="106" t="s">
        <v>44</v>
      </c>
      <c r="D11" s="98"/>
      <c r="E11" s="107" t="str">
        <f>IFERROR(VLOOKUP($D$9&amp;$D$10&amp;B11,Pesos!A:G,5,FALSE),"")</f>
        <v/>
      </c>
      <c r="F11" s="94"/>
      <c r="G11" s="50"/>
      <c r="H11" s="50"/>
      <c r="I11" s="50"/>
      <c r="J11" s="50"/>
    </row>
    <row r="12" spans="1:10" x14ac:dyDescent="0.35">
      <c r="A12" s="202"/>
      <c r="B12" s="51">
        <v>10</v>
      </c>
      <c r="C12" s="106" t="str">
        <f>IF(D11="RECEPTIVO","PROTOCOLO","DADOS DA VIAGEM (AE)")</f>
        <v>DADOS DA VIAGEM (AE)</v>
      </c>
      <c r="D12" s="111"/>
      <c r="E12" s="107" t="str">
        <f>IFERROR(VLOOKUP($D$9&amp;$D$10&amp;B12,Pesos!A:G,5,FALSE),"")</f>
        <v/>
      </c>
      <c r="F12" s="94"/>
      <c r="G12" s="50"/>
      <c r="H12" s="50"/>
      <c r="I12" s="50"/>
      <c r="J12" s="50"/>
    </row>
    <row r="13" spans="1:10" x14ac:dyDescent="0.35">
      <c r="A13" s="202"/>
      <c r="B13" s="51">
        <v>11</v>
      </c>
      <c r="C13" s="106" t="s">
        <v>45</v>
      </c>
      <c r="D13" s="109"/>
      <c r="E13" s="107" t="str">
        <f>IFERROR(VLOOKUP($D$9&amp;$D$10&amp;B13,Pesos!A:G,5,FALSE),"")</f>
        <v/>
      </c>
      <c r="F13" s="94"/>
      <c r="G13" s="50"/>
      <c r="H13" s="50"/>
      <c r="I13" s="50"/>
      <c r="J13" s="50"/>
    </row>
    <row r="14" spans="1:10" x14ac:dyDescent="0.35">
      <c r="A14" s="202"/>
      <c r="B14" s="51">
        <v>12</v>
      </c>
      <c r="C14" s="106" t="str">
        <f>IF(D15="MONITORIA","PONTOS POSITIVOS",IF(D15="COLABORATIVA","PONTOS POSITIVOS","RELATO DA LIGAÇÃO (SGR)"))</f>
        <v>RELATO DA LIGAÇÃO (SGR)</v>
      </c>
      <c r="D14" s="98"/>
      <c r="E14" s="107" t="str">
        <f>IFERROR(VLOOKUP($D$9&amp;$D$10&amp;B14,Pesos!A:G,5,FALSE),"")</f>
        <v/>
      </c>
      <c r="F14" s="94"/>
      <c r="G14" s="50"/>
      <c r="H14" s="50"/>
      <c r="I14" s="50"/>
      <c r="J14" s="50"/>
    </row>
    <row r="15" spans="1:10" ht="20.25" customHeight="1" x14ac:dyDescent="0.35">
      <c r="A15" s="202"/>
      <c r="B15" s="51"/>
      <c r="C15" s="91" t="s">
        <v>46</v>
      </c>
      <c r="D15" s="98" t="s">
        <v>47</v>
      </c>
      <c r="E15" s="99"/>
      <c r="F15" s="100"/>
      <c r="G15" s="50"/>
      <c r="H15" s="50"/>
      <c r="I15" s="50"/>
      <c r="J15" s="50"/>
    </row>
    <row r="16" spans="1:10" ht="36.75" customHeight="1" x14ac:dyDescent="0.35">
      <c r="A16" s="202"/>
      <c r="B16" s="51"/>
      <c r="C16" s="203" t="s">
        <v>48</v>
      </c>
      <c r="D16" s="203"/>
      <c r="E16" s="102">
        <v>0</v>
      </c>
      <c r="F16" s="100"/>
      <c r="G16" s="55"/>
      <c r="H16" s="50"/>
      <c r="I16" s="50"/>
      <c r="J16" s="53"/>
    </row>
    <row r="17" spans="1:12" ht="20.25" customHeight="1" x14ac:dyDescent="0.35">
      <c r="A17" s="202"/>
      <c r="B17" s="51"/>
      <c r="C17" s="91" t="s">
        <v>1462</v>
      </c>
      <c r="D17" s="199"/>
      <c r="E17" s="200"/>
      <c r="F17" s="200"/>
      <c r="G17" s="56"/>
      <c r="H17" s="50"/>
      <c r="I17" s="50"/>
      <c r="J17" s="54"/>
    </row>
    <row r="18" spans="1:12" x14ac:dyDescent="0.35">
      <c r="A18" s="50"/>
      <c r="B18" s="50"/>
      <c r="C18" s="50"/>
      <c r="D18" s="50" t="s">
        <v>49</v>
      </c>
      <c r="E18" s="54"/>
      <c r="F18" s="50"/>
      <c r="G18" s="50"/>
      <c r="H18" s="50"/>
      <c r="I18" s="50"/>
      <c r="J18" s="50"/>
    </row>
    <row r="19" spans="1:12" customFormat="1" x14ac:dyDescent="0.35">
      <c r="A19" s="2"/>
      <c r="B19" s="2"/>
      <c r="C19" s="49"/>
      <c r="D19" s="49"/>
      <c r="E19" s="200"/>
      <c r="F19" s="200"/>
      <c r="G19" s="200"/>
      <c r="H19" s="2"/>
      <c r="I19" s="2"/>
      <c r="J19" s="2"/>
      <c r="K19" s="2"/>
      <c r="L19" s="2"/>
    </row>
    <row r="23" spans="1:12" x14ac:dyDescent="0.35">
      <c r="G23" s="57"/>
    </row>
  </sheetData>
  <sheetProtection selectLockedCells="1" selectUnlockedCells="1"/>
  <mergeCells count="6">
    <mergeCell ref="D17:F17"/>
    <mergeCell ref="E2:F2"/>
    <mergeCell ref="C2:D2"/>
    <mergeCell ref="A2:A17"/>
    <mergeCell ref="E19:G19"/>
    <mergeCell ref="C16:D16"/>
  </mergeCells>
  <conditionalFormatting sqref="F3:F14">
    <cfRule type="expression" dxfId="25" priority="29906">
      <formula>$D$6=""</formula>
    </cfRule>
  </conditionalFormatting>
  <conditionalFormatting sqref="E3:E15">
    <cfRule type="expression" dxfId="24" priority="29908">
      <formula>$D$6=""</formula>
    </cfRule>
  </conditionalFormatting>
  <conditionalFormatting sqref="G3:G15">
    <cfRule type="expression" dxfId="23" priority="29876">
      <formula>$D$6=""</formula>
    </cfRule>
  </conditionalFormatting>
  <conditionalFormatting sqref="E15:F15 C2:F2">
    <cfRule type="expression" dxfId="22" priority="29875">
      <formula>$D$15="PADRÃO"</formula>
    </cfRule>
  </conditionalFormatting>
  <conditionalFormatting sqref="C2:F2 E15:F15">
    <cfRule type="expression" dxfId="21" priority="29872">
      <formula>$D$15="COLABORATIVA"</formula>
    </cfRule>
    <cfRule type="expression" dxfId="20" priority="29873">
      <formula>$D$15="CALIBRAGEM"</formula>
    </cfRule>
    <cfRule type="expression" dxfId="19" priority="29874">
      <formula>$D$15="MONITORIA"</formula>
    </cfRule>
  </conditionalFormatting>
  <dataValidations count="2">
    <dataValidation type="list" allowBlank="1" showInputMessage="1" showErrorMessage="1" sqref="G23" xr:uid="{00000000-0002-0000-0000-000000000000}">
      <formula1>$S$3:$S$4</formula1>
    </dataValidation>
    <dataValidation type="list" allowBlank="1" showInputMessage="1" showErrorMessage="1" sqref="D8" xr:uid="{00000000-0002-0000-0000-000001000000}">
      <formula1>$B$3:$B$9</formula1>
    </dataValidation>
  </dataValidation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teste">
                <anchor moveWithCells="1" sizeWithCells="1">
                  <from>
                    <xdr:col>7</xdr:col>
                    <xdr:colOff>0</xdr:colOff>
                    <xdr:row>15</xdr:row>
                    <xdr:rowOff>50800</xdr:rowOff>
                  </from>
                  <to>
                    <xdr:col>8</xdr:col>
                    <xdr:colOff>571500</xdr:colOff>
                    <xdr:row>15</xdr:row>
                    <xdr:rowOff>431800</xdr:rowOff>
                  </to>
                </anchor>
              </controlPr>
            </control>
          </mc:Choice>
        </mc:AlternateContent>
        <mc:AlternateContent xmlns:mc="http://schemas.openxmlformats.org/markup-compatibility/2006">
          <mc:Choice Requires="x14">
            <control shapeId="5124" r:id="rId5" name="Button 4">
              <controlPr defaultSize="0" print="0" autoFill="0" autoPict="0" macro="[0]!limpar2">
                <anchor moveWithCells="1" sizeWithCells="1">
                  <from>
                    <xdr:col>7</xdr:col>
                    <xdr:colOff>0</xdr:colOff>
                    <xdr:row>16</xdr:row>
                    <xdr:rowOff>127000</xdr:rowOff>
                  </from>
                  <to>
                    <xdr:col>9</xdr:col>
                    <xdr:colOff>342900</xdr:colOff>
                    <xdr:row>18</xdr:row>
                    <xdr:rowOff>50800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3000000}">
          <x14:formula1>
            <xm:f>'BD Campos'!$M$2:$M$13</xm:f>
          </x14:formula1>
          <xm:sqref>D5</xm:sqref>
        </x14:dataValidation>
        <x14:dataValidation type="list" allowBlank="1" showInputMessage="1" showErrorMessage="1" xr:uid="{6F18DC9B-AD7F-43F9-A91A-23C08F989AE7}">
          <x14:formula1>
            <xm:f>'BD Campos'!$R$3:$R$4</xm:f>
          </x14:formula1>
          <xm:sqref>F3:F14</xm:sqref>
        </x14:dataValidation>
        <x14:dataValidation type="list" allowBlank="1" showInputMessage="1" showErrorMessage="1" xr:uid="{00000000-0002-0000-0000-000006000000}">
          <x14:formula1>
            <xm:f>'BD Campos'!$AH$2:$AH$5</xm:f>
          </x14:formula1>
          <xm:sqref>D15</xm:sqref>
        </x14:dataValidation>
        <x14:dataValidation type="list" allowBlank="1" showInputMessage="1" showErrorMessage="1" xr:uid="{00000000-0002-0000-0000-000007000000}">
          <x14:formula1>
            <xm:f>'BD Campos'!$H$2:$H$37</xm:f>
          </x14:formula1>
          <xm:sqref>D9</xm:sqref>
        </x14:dataValidation>
        <x14:dataValidation type="list" allowBlank="1" showInputMessage="1" showErrorMessage="1" xr:uid="{00000000-0002-0000-0000-000004000000}">
          <x14:formula1>
            <xm:f>'BD Campos'!$AG$2:$AG$10</xm:f>
          </x14:formula1>
          <xm:sqref>D11</xm:sqref>
        </x14:dataValidation>
        <x14:dataValidation type="list" allowBlank="1" showInputMessage="1" showErrorMessage="1" xr:uid="{62685674-EB1A-465B-960D-A9B6BD89B799}">
          <x14:formula1>
            <xm:f>'BD Campos'!$AB$2:$AB$23</xm:f>
          </x14:formula1>
          <xm:sqref>D17:F17</xm:sqref>
        </x14:dataValidation>
        <x14:dataValidation type="list" allowBlank="1" showInputMessage="1" showErrorMessage="1" xr:uid="{00000000-0002-0000-0000-000002000000}">
          <x14:formula1>
            <xm:f>'BD Campos'!$K$2:$K$13</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4">
    <tabColor theme="1"/>
  </sheetPr>
  <dimension ref="A1:AT1010346"/>
  <sheetViews>
    <sheetView showGridLines="0" showZeros="0" zoomScale="70" zoomScaleNormal="70" workbookViewId="0">
      <pane ySplit="1" topLeftCell="A759" activePane="bottomLeft" state="frozen"/>
      <selection activeCell="E14" sqref="E14"/>
      <selection pane="bottomLeft" activeCell="E769" sqref="E769"/>
    </sheetView>
  </sheetViews>
  <sheetFormatPr defaultRowHeight="18.5" x14ac:dyDescent="0.35"/>
  <cols>
    <col min="1" max="1" width="2.81640625" style="24" customWidth="1"/>
    <col min="2" max="2" width="4.54296875" style="4" customWidth="1"/>
    <col min="3" max="3" width="3.81640625" style="29" customWidth="1"/>
    <col min="4" max="4" width="17.81640625" style="7" bestFit="1" customWidth="1"/>
    <col min="5" max="5" width="9.54296875" style="8" bestFit="1" customWidth="1"/>
    <col min="6" max="6" width="22.54296875" style="3" bestFit="1" customWidth="1"/>
    <col min="7" max="7" width="33.453125" style="4" customWidth="1"/>
    <col min="8" max="8" width="12" style="30" bestFit="1" customWidth="1"/>
    <col min="9" max="9" width="22.1796875" style="4" customWidth="1"/>
    <col min="10" max="10" width="21.1796875" style="4" customWidth="1"/>
    <col min="11" max="11" width="18.1796875" style="4" customWidth="1"/>
    <col min="12" max="12" width="25.81640625" style="48" bestFit="1" customWidth="1"/>
    <col min="13" max="13" width="14.1796875" style="25" customWidth="1"/>
    <col min="14" max="14" width="5.81640625" bestFit="1" customWidth="1"/>
    <col min="15" max="15" width="6" customWidth="1"/>
    <col min="16" max="16" width="5.81640625" bestFit="1" customWidth="1"/>
    <col min="17" max="17" width="5.453125" customWidth="1"/>
    <col min="18" max="18" width="4.81640625" customWidth="1"/>
    <col min="19" max="19" width="5.54296875" customWidth="1"/>
    <col min="20" max="20" width="5.1796875" customWidth="1"/>
    <col min="21" max="21" width="5.81640625" customWidth="1"/>
    <col min="22" max="22" width="5.54296875" customWidth="1"/>
    <col min="23" max="23" width="5.81640625" customWidth="1"/>
    <col min="24" max="25" width="4.81640625" customWidth="1"/>
    <col min="26" max="26" width="6.453125" style="65" customWidth="1"/>
    <col min="27" max="27" width="15.81640625" style="1" customWidth="1"/>
    <col min="28" max="28" width="21" style="1" customWidth="1"/>
    <col min="29" max="29" width="17.1796875" style="3" customWidth="1"/>
    <col min="30" max="30" width="6.81640625" bestFit="1" customWidth="1"/>
    <col min="31" max="31" width="6.1796875" style="64" bestFit="1" customWidth="1"/>
    <col min="32" max="37" width="2.81640625" style="67" customWidth="1"/>
    <col min="38" max="38" width="9" style="67" customWidth="1"/>
    <col min="39" max="44" width="2.81640625" style="67" customWidth="1"/>
    <col min="45" max="45" width="8.81640625" style="66" customWidth="1"/>
    <col min="46" max="46" width="15.81640625" bestFit="1" customWidth="1"/>
  </cols>
  <sheetData>
    <row r="1" spans="1:46" s="88" customFormat="1" ht="29.25" customHeight="1" x14ac:dyDescent="0.35">
      <c r="A1" s="82" t="e">
        <f>E1&amp;YEAR(D1)&amp;F1&amp;J1&amp;K1&amp;""</f>
        <v>#VALUE!</v>
      </c>
      <c r="B1" s="82" t="e">
        <f t="shared" ref="B1:B22" si="0">E1&amp;YEAR(D1)&amp;F1&amp;H1&amp;K1&amp;AC1</f>
        <v>#VALUE!</v>
      </c>
      <c r="C1" s="83">
        <v>0</v>
      </c>
      <c r="D1" s="84" t="s">
        <v>50</v>
      </c>
      <c r="E1" s="85" t="s">
        <v>51</v>
      </c>
      <c r="F1" s="85" t="s">
        <v>52</v>
      </c>
      <c r="G1" s="82" t="s">
        <v>53</v>
      </c>
      <c r="H1" s="85" t="s">
        <v>54</v>
      </c>
      <c r="I1" s="82" t="s">
        <v>55</v>
      </c>
      <c r="J1" s="82" t="s">
        <v>56</v>
      </c>
      <c r="K1" s="82" t="s">
        <v>57</v>
      </c>
      <c r="L1" s="83" t="s">
        <v>58</v>
      </c>
      <c r="M1" s="86" t="s">
        <v>59</v>
      </c>
      <c r="N1" s="85">
        <v>1</v>
      </c>
      <c r="O1" s="85">
        <v>2</v>
      </c>
      <c r="P1" s="85">
        <v>3</v>
      </c>
      <c r="Q1" s="85">
        <v>4</v>
      </c>
      <c r="R1" s="85">
        <v>5</v>
      </c>
      <c r="S1" s="85">
        <v>6</v>
      </c>
      <c r="T1" s="85">
        <v>7</v>
      </c>
      <c r="U1" s="85">
        <v>8</v>
      </c>
      <c r="V1" s="85">
        <v>9</v>
      </c>
      <c r="W1" s="85">
        <v>10</v>
      </c>
      <c r="X1" s="85">
        <v>11</v>
      </c>
      <c r="Y1" s="85">
        <v>12</v>
      </c>
      <c r="Z1" s="85"/>
      <c r="AA1" s="82" t="s">
        <v>60</v>
      </c>
      <c r="AB1" s="82" t="s">
        <v>61</v>
      </c>
      <c r="AC1" s="85" t="s">
        <v>62</v>
      </c>
      <c r="AD1" s="85" t="s">
        <v>63</v>
      </c>
      <c r="AE1" s="85" t="s">
        <v>64</v>
      </c>
      <c r="AF1" s="85" t="s">
        <v>65</v>
      </c>
      <c r="AG1" s="85" t="s">
        <v>66</v>
      </c>
      <c r="AH1" s="85" t="s">
        <v>67</v>
      </c>
      <c r="AI1" s="85" t="s">
        <v>68</v>
      </c>
      <c r="AJ1" s="85" t="s">
        <v>69</v>
      </c>
      <c r="AK1" s="85" t="s">
        <v>70</v>
      </c>
      <c r="AL1" s="85" t="s">
        <v>71</v>
      </c>
      <c r="AM1" s="85">
        <v>1</v>
      </c>
      <c r="AN1" s="85">
        <v>2</v>
      </c>
      <c r="AO1" s="85">
        <v>3</v>
      </c>
      <c r="AP1" s="85">
        <v>4</v>
      </c>
      <c r="AQ1" s="85">
        <v>5</v>
      </c>
      <c r="AR1" s="85">
        <v>6</v>
      </c>
      <c r="AS1" s="85" t="s">
        <v>72</v>
      </c>
      <c r="AT1" s="87" t="s">
        <v>73</v>
      </c>
    </row>
    <row r="2" spans="1:46" x14ac:dyDescent="0.35">
      <c r="A2" s="68" t="str">
        <f t="shared" ref="A2:A64" si="1">E2&amp;YEAR(D2)&amp;F2&amp;J2&amp;K2&amp;""</f>
        <v>Jan202510845ReceptivaRECEPTIVO</v>
      </c>
      <c r="B2" s="69" t="str">
        <f t="shared" si="0"/>
        <v>Jan2025108451RECEPTIVOPADRÃO</v>
      </c>
      <c r="C2" s="70">
        <v>1</v>
      </c>
      <c r="D2" s="71">
        <v>45666.613155555555</v>
      </c>
      <c r="E2" s="110" t="s">
        <v>74</v>
      </c>
      <c r="F2" s="72">
        <v>10845</v>
      </c>
      <c r="G2" s="69" t="s">
        <v>96</v>
      </c>
      <c r="H2" s="73">
        <v>1</v>
      </c>
      <c r="I2" s="69" t="s">
        <v>97</v>
      </c>
      <c r="J2" s="69" t="s">
        <v>98</v>
      </c>
      <c r="K2" s="69" t="s">
        <v>99</v>
      </c>
      <c r="L2" s="74">
        <v>1736332771617340</v>
      </c>
      <c r="M2" s="75"/>
      <c r="N2" s="76" t="s">
        <v>83</v>
      </c>
      <c r="O2" s="76" t="s">
        <v>79</v>
      </c>
      <c r="P2" s="76" t="s">
        <v>79</v>
      </c>
      <c r="Q2" s="76" t="s">
        <v>79</v>
      </c>
      <c r="R2" s="76" t="s">
        <v>79</v>
      </c>
      <c r="S2" s="76" t="s">
        <v>79</v>
      </c>
      <c r="T2" s="76" t="s">
        <v>79</v>
      </c>
      <c r="U2" s="76" t="s">
        <v>79</v>
      </c>
      <c r="V2" s="76" t="s">
        <v>79</v>
      </c>
      <c r="W2" s="76" t="s">
        <v>83</v>
      </c>
      <c r="X2" s="76"/>
      <c r="Y2" s="76"/>
      <c r="Z2" s="77">
        <f t="shared" ref="Z2:Z254" si="2">SUM(AL2:AR2)</f>
        <v>7.9</v>
      </c>
      <c r="AA2" s="78"/>
      <c r="AB2" s="78"/>
      <c r="AC2" s="72" t="s">
        <v>47</v>
      </c>
      <c r="AD2" s="76"/>
      <c r="AE2" s="79" t="str">
        <f t="shared" ref="AE2:AE22" si="3">E2&amp;F2</f>
        <v>Jan10845</v>
      </c>
      <c r="AF2" s="80">
        <f>IF(N2="","",IF(N2="SIM",VLOOKUP($I2&amp;$J2&amp;N$1,Pesos!$A:$I,7,FALSE),VLOOKUP($I2&amp;$J2&amp;N$1,Pesos!$A:$I,9,FALSE)))</f>
        <v>-0.05</v>
      </c>
      <c r="AG2" s="80">
        <f>IF(O2="","",IF(O2="SIM",VLOOKUP($I2&amp;$J2&amp;O$1,Pesos!$A:$I,7,FALSE),VLOOKUP($I2&amp;$J2&amp;O$1,Pesos!$A:$I,9,FALSE)))</f>
        <v>1</v>
      </c>
      <c r="AH2" s="80">
        <f>IF(P2="","",IF(P2="SIM",VLOOKUP($I2&amp;$J2&amp;P$1,Pesos!$A:$I,7,FALSE),VLOOKUP($I2&amp;$J2&amp;P$1,Pesos!$A:$I,9,FALSE)))</f>
        <v>1</v>
      </c>
      <c r="AI2" s="80">
        <f>IF(Q2="","",IF(Q2="SIM",VLOOKUP($I2&amp;$J2&amp;Q$1,Pesos!$A:$I,7,FALSE),VLOOKUP($I2&amp;$J2&amp;Q$1,Pesos!$A:$I,9,FALSE)))</f>
        <v>1</v>
      </c>
      <c r="AJ2" s="80">
        <f>IF(R2="","",IF(R2="SIM",VLOOKUP($I2&amp;$J2&amp;R$1,Pesos!$A:$I,7,FALSE),VLOOKUP($I2&amp;$J2&amp;R$1,Pesos!$A:$I,9,FALSE)))</f>
        <v>1</v>
      </c>
      <c r="AK2" s="80">
        <f>IF(S2="","",IF(S2="SIM",VLOOKUP($I2&amp;$J2&amp;S$1,Pesos!$A:$I,7,FALSE),VLOOKUP($I2&amp;$J2&amp;S$1,Pesos!$A:$I,9,FALSE)))</f>
        <v>1</v>
      </c>
      <c r="AL2" s="80">
        <f t="shared" ref="AL2:AL22" si="4">SUM(AF2:AK2)</f>
        <v>4.95</v>
      </c>
      <c r="AM2" s="80">
        <f>IF(T2="","",IF(T2="SIM",VLOOKUP($I2&amp;$J2&amp;T$1,Pesos!$A:$I,7,FALSE),VLOOKUP($I2&amp;$J2&amp;T$1,Pesos!$A:$I,9,FALSE)))</f>
        <v>1</v>
      </c>
      <c r="AN2" s="80">
        <f>IF(U2="","",IF(U2="SIM",VLOOKUP($I2&amp;$J2&amp;U$1,Pesos!$A:$I,7,FALSE),VLOOKUP($I2&amp;$J2&amp;U$1,Pesos!$A:$I,9,FALSE)))</f>
        <v>1</v>
      </c>
      <c r="AO2" s="80">
        <f>IF(V2="","",IF(V2="SIM",VLOOKUP($I2&amp;$J2&amp;V$1,Pesos!$A:$I,7,FALSE),VLOOKUP($I2&amp;$J2&amp;V$1,Pesos!$A:$I,9,FALSE)))</f>
        <v>1</v>
      </c>
      <c r="AP2" s="80">
        <f>IF(W2="","",IF(W2="SIM",VLOOKUP($I2&amp;$J2&amp;W$1,Pesos!$A:$I,7,FALSE),VLOOKUP($I2&amp;$J2&amp;W$1,Pesos!$A:$I,9,FALSE)))</f>
        <v>-0.05</v>
      </c>
      <c r="AQ2" s="80" t="str">
        <f>IF(X2="","",IF(X2="SIM",VLOOKUP($I2&amp;$J2&amp;X$1,Pesos!$A:$I,7,FALSE),VLOOKUP($I2&amp;$J2&amp;X$1,Pesos!$A:$I,9,FALSE)))</f>
        <v/>
      </c>
      <c r="AR2" s="80" t="str">
        <f>IF(Y2="","",IF(Y2="SIM",VLOOKUP($I2&amp;$J2&amp;Y$1,Pesos!$A:$I,7,FALSE),VLOOKUP($I2&amp;$J2&amp;Y$1,Pesos!$A:$I,9,FALSE)))</f>
        <v/>
      </c>
      <c r="AS2" s="81">
        <f>IFERROR(Z2*VLOOKUP(J2,'BD Campos'!$Y$1:$Z$12,2,FALSE),"0")</f>
        <v>7.9</v>
      </c>
      <c r="AT2" s="76"/>
    </row>
    <row r="3" spans="1:46" x14ac:dyDescent="0.35">
      <c r="A3" s="68" t="str">
        <f t="shared" si="1"/>
        <v>Jan202510845Receptiva 2RECEPTIVO</v>
      </c>
      <c r="B3" s="69" t="str">
        <f t="shared" si="0"/>
        <v>Jan2025108452RECEPTIVOPADRÃO</v>
      </c>
      <c r="C3" s="70">
        <v>1</v>
      </c>
      <c r="D3" s="71">
        <v>45666.616387499998</v>
      </c>
      <c r="E3" s="110" t="s">
        <v>74</v>
      </c>
      <c r="F3" s="72">
        <v>10845</v>
      </c>
      <c r="G3" s="69" t="s">
        <v>96</v>
      </c>
      <c r="H3" s="73">
        <v>2</v>
      </c>
      <c r="I3" s="69" t="s">
        <v>97</v>
      </c>
      <c r="J3" s="69" t="s">
        <v>100</v>
      </c>
      <c r="K3" s="69" t="s">
        <v>99</v>
      </c>
      <c r="L3" s="74" t="s">
        <v>1402</v>
      </c>
      <c r="M3" s="75"/>
      <c r="N3" s="76" t="s">
        <v>83</v>
      </c>
      <c r="O3" s="76" t="s">
        <v>79</v>
      </c>
      <c r="P3" s="76" t="s">
        <v>79</v>
      </c>
      <c r="Q3" s="76" t="s">
        <v>79</v>
      </c>
      <c r="R3" s="76" t="s">
        <v>79</v>
      </c>
      <c r="S3" s="76" t="s">
        <v>79</v>
      </c>
      <c r="T3" s="76" t="s">
        <v>79</v>
      </c>
      <c r="U3" s="76" t="s">
        <v>79</v>
      </c>
      <c r="V3" s="76" t="s">
        <v>79</v>
      </c>
      <c r="W3" s="76" t="s">
        <v>83</v>
      </c>
      <c r="X3" s="76"/>
      <c r="Y3" s="76"/>
      <c r="Z3" s="77">
        <f t="shared" si="2"/>
        <v>7.9</v>
      </c>
      <c r="AA3" s="78"/>
      <c r="AB3" s="78"/>
      <c r="AC3" s="72" t="s">
        <v>47</v>
      </c>
      <c r="AD3" s="76"/>
      <c r="AE3" s="79" t="str">
        <f t="shared" si="3"/>
        <v>Jan10845</v>
      </c>
      <c r="AF3" s="80">
        <f>IF(N3="","",IF(N3="SIM",VLOOKUP($I3&amp;$J3&amp;N$1,Pesos!$A:$I,7,FALSE),VLOOKUP($I3&amp;$J3&amp;N$1,Pesos!$A:$I,9,FALSE)))</f>
        <v>-0.05</v>
      </c>
      <c r="AG3" s="80">
        <f>IF(O3="","",IF(O3="SIM",VLOOKUP($I3&amp;$J3&amp;O$1,Pesos!$A:$I,7,FALSE),VLOOKUP($I3&amp;$J3&amp;O$1,Pesos!$A:$I,9,FALSE)))</f>
        <v>1</v>
      </c>
      <c r="AH3" s="80">
        <f>IF(P3="","",IF(P3="SIM",VLOOKUP($I3&amp;$J3&amp;P$1,Pesos!$A:$I,7,FALSE),VLOOKUP($I3&amp;$J3&amp;P$1,Pesos!$A:$I,9,FALSE)))</f>
        <v>1</v>
      </c>
      <c r="AI3" s="80">
        <f>IF(Q3="","",IF(Q3="SIM",VLOOKUP($I3&amp;$J3&amp;Q$1,Pesos!$A:$I,7,FALSE),VLOOKUP($I3&amp;$J3&amp;Q$1,Pesos!$A:$I,9,FALSE)))</f>
        <v>1</v>
      </c>
      <c r="AJ3" s="80">
        <f>IF(R3="","",IF(R3="SIM",VLOOKUP($I3&amp;$J3&amp;R$1,Pesos!$A:$I,7,FALSE),VLOOKUP($I3&amp;$J3&amp;R$1,Pesos!$A:$I,9,FALSE)))</f>
        <v>1</v>
      </c>
      <c r="AK3" s="80">
        <f>IF(S3="","",IF(S3="SIM",VLOOKUP($I3&amp;$J3&amp;S$1,Pesos!$A:$I,7,FALSE),VLOOKUP($I3&amp;$J3&amp;S$1,Pesos!$A:$I,9,FALSE)))</f>
        <v>1</v>
      </c>
      <c r="AL3" s="80">
        <f t="shared" si="4"/>
        <v>4.95</v>
      </c>
      <c r="AM3" s="80">
        <f>IF(T3="","",IF(T3="SIM",VLOOKUP($I3&amp;$J3&amp;T$1,Pesos!$A:$I,7,FALSE),VLOOKUP($I3&amp;$J3&amp;T$1,Pesos!$A:$I,9,FALSE)))</f>
        <v>1</v>
      </c>
      <c r="AN3" s="80">
        <f>IF(U3="","",IF(U3="SIM",VLOOKUP($I3&amp;$J3&amp;U$1,Pesos!$A:$I,7,FALSE),VLOOKUP($I3&amp;$J3&amp;U$1,Pesos!$A:$I,9,FALSE)))</f>
        <v>1</v>
      </c>
      <c r="AO3" s="80">
        <f>IF(V3="","",IF(V3="SIM",VLOOKUP($I3&amp;$J3&amp;V$1,Pesos!$A:$I,7,FALSE),VLOOKUP($I3&amp;$J3&amp;V$1,Pesos!$A:$I,9,FALSE)))</f>
        <v>1</v>
      </c>
      <c r="AP3" s="80">
        <f>IF(W3="","",IF(W3="SIM",VLOOKUP($I3&amp;$J3&amp;W$1,Pesos!$A:$I,7,FALSE),VLOOKUP($I3&amp;$J3&amp;W$1,Pesos!$A:$I,9,FALSE)))</f>
        <v>-0.05</v>
      </c>
      <c r="AQ3" s="80" t="str">
        <f>IF(X3="","",IF(X3="SIM",VLOOKUP($I3&amp;$J3&amp;X$1,Pesos!$A:$I,7,FALSE),VLOOKUP($I3&amp;$J3&amp;X$1,Pesos!$A:$I,9,FALSE)))</f>
        <v/>
      </c>
      <c r="AR3" s="80" t="str">
        <f>IF(Y3="","",IF(Y3="SIM",VLOOKUP($I3&amp;$J3&amp;Y$1,Pesos!$A:$I,7,FALSE),VLOOKUP($I3&amp;$J3&amp;Y$1,Pesos!$A:$I,9,FALSE)))</f>
        <v/>
      </c>
      <c r="AS3" s="81">
        <f>IFERROR(Z3*VLOOKUP(J3,'BD Campos'!$Y$1:$Z$12,2,FALSE),"0")</f>
        <v>7.9</v>
      </c>
      <c r="AT3" s="76"/>
    </row>
    <row r="4" spans="1:46" x14ac:dyDescent="0.35">
      <c r="A4" s="68" t="str">
        <f t="shared" si="1"/>
        <v>Jan202511070ReceptivaRECEPTIVO</v>
      </c>
      <c r="B4" s="69" t="str">
        <f t="shared" si="0"/>
        <v>Jan2025110701RECEPTIVOPADRÃO</v>
      </c>
      <c r="C4" s="70">
        <v>1</v>
      </c>
      <c r="D4" s="71">
        <v>45666.619628009263</v>
      </c>
      <c r="E4" s="110" t="s">
        <v>74</v>
      </c>
      <c r="F4" s="72">
        <v>11070</v>
      </c>
      <c r="G4" s="69" t="s">
        <v>393</v>
      </c>
      <c r="H4" s="73">
        <v>1</v>
      </c>
      <c r="I4" s="69" t="s">
        <v>97</v>
      </c>
      <c r="J4" s="69" t="s">
        <v>98</v>
      </c>
      <c r="K4" s="69" t="s">
        <v>99</v>
      </c>
      <c r="L4" s="74" t="s">
        <v>1403</v>
      </c>
      <c r="M4" s="75"/>
      <c r="N4" s="76" t="s">
        <v>79</v>
      </c>
      <c r="O4" s="76" t="s">
        <v>79</v>
      </c>
      <c r="P4" s="76" t="s">
        <v>79</v>
      </c>
      <c r="Q4" s="76" t="s">
        <v>79</v>
      </c>
      <c r="R4" s="76" t="s">
        <v>79</v>
      </c>
      <c r="S4" s="76" t="s">
        <v>79</v>
      </c>
      <c r="T4" s="76" t="s">
        <v>79</v>
      </c>
      <c r="U4" s="76" t="s">
        <v>79</v>
      </c>
      <c r="V4" s="76" t="s">
        <v>79</v>
      </c>
      <c r="W4" s="76" t="s">
        <v>79</v>
      </c>
      <c r="X4" s="76"/>
      <c r="Y4" s="76"/>
      <c r="Z4" s="77">
        <f t="shared" si="2"/>
        <v>10</v>
      </c>
      <c r="AA4" s="78"/>
      <c r="AB4" s="78"/>
      <c r="AC4" s="72" t="s">
        <v>47</v>
      </c>
      <c r="AD4" s="76"/>
      <c r="AE4" s="79" t="str">
        <f t="shared" si="3"/>
        <v>Jan11070</v>
      </c>
      <c r="AF4" s="80">
        <f>IF(N4="","",IF(N4="SIM",VLOOKUP($I4&amp;$J4&amp;N$1,Pesos!$A:$I,7,FALSE),VLOOKUP($I4&amp;$J4&amp;N$1,Pesos!$A:$I,9,FALSE)))</f>
        <v>1</v>
      </c>
      <c r="AG4" s="80">
        <f>IF(O4="","",IF(O4="SIM",VLOOKUP($I4&amp;$J4&amp;O$1,Pesos!$A:$I,7,FALSE),VLOOKUP($I4&amp;$J4&amp;O$1,Pesos!$A:$I,9,FALSE)))</f>
        <v>1</v>
      </c>
      <c r="AH4" s="80">
        <f>IF(P4="","",IF(P4="SIM",VLOOKUP($I4&amp;$J4&amp;P$1,Pesos!$A:$I,7,FALSE),VLOOKUP($I4&amp;$J4&amp;P$1,Pesos!$A:$I,9,FALSE)))</f>
        <v>1</v>
      </c>
      <c r="AI4" s="80">
        <f>IF(Q4="","",IF(Q4="SIM",VLOOKUP($I4&amp;$J4&amp;Q$1,Pesos!$A:$I,7,FALSE),VLOOKUP($I4&amp;$J4&amp;Q$1,Pesos!$A:$I,9,FALSE)))</f>
        <v>1</v>
      </c>
      <c r="AJ4" s="80">
        <f>IF(R4="","",IF(R4="SIM",VLOOKUP($I4&amp;$J4&amp;R$1,Pesos!$A:$I,7,FALSE),VLOOKUP($I4&amp;$J4&amp;R$1,Pesos!$A:$I,9,FALSE)))</f>
        <v>1</v>
      </c>
      <c r="AK4" s="80">
        <f>IF(S4="","",IF(S4="SIM",VLOOKUP($I4&amp;$J4&amp;S$1,Pesos!$A:$I,7,FALSE),VLOOKUP($I4&amp;$J4&amp;S$1,Pesos!$A:$I,9,FALSE)))</f>
        <v>1</v>
      </c>
      <c r="AL4" s="80">
        <f t="shared" si="4"/>
        <v>6</v>
      </c>
      <c r="AM4" s="80">
        <f>IF(T4="","",IF(T4="SIM",VLOOKUP($I4&amp;$J4&amp;T$1,Pesos!$A:$I,7,FALSE),VLOOKUP($I4&amp;$J4&amp;T$1,Pesos!$A:$I,9,FALSE)))</f>
        <v>1</v>
      </c>
      <c r="AN4" s="80">
        <f>IF(U4="","",IF(U4="SIM",VLOOKUP($I4&amp;$J4&amp;U$1,Pesos!$A:$I,7,FALSE),VLOOKUP($I4&amp;$J4&amp;U$1,Pesos!$A:$I,9,FALSE)))</f>
        <v>1</v>
      </c>
      <c r="AO4" s="80">
        <f>IF(V4="","",IF(V4="SIM",VLOOKUP($I4&amp;$J4&amp;V$1,Pesos!$A:$I,7,FALSE),VLOOKUP($I4&amp;$J4&amp;V$1,Pesos!$A:$I,9,FALSE)))</f>
        <v>1</v>
      </c>
      <c r="AP4" s="80">
        <f>IF(W4="","",IF(W4="SIM",VLOOKUP($I4&amp;$J4&amp;W$1,Pesos!$A:$I,7,FALSE),VLOOKUP($I4&amp;$J4&amp;W$1,Pesos!$A:$I,9,FALSE)))</f>
        <v>1</v>
      </c>
      <c r="AQ4" s="80" t="str">
        <f>IF(X4="","",IF(X4="SIM",VLOOKUP($I4&amp;$J4&amp;X$1,Pesos!$A:$I,7,FALSE),VLOOKUP($I4&amp;$J4&amp;X$1,Pesos!$A:$I,9,FALSE)))</f>
        <v/>
      </c>
      <c r="AR4" s="80" t="str">
        <f>IF(Y4="","",IF(Y4="SIM",VLOOKUP($I4&amp;$J4&amp;Y$1,Pesos!$A:$I,7,FALSE),VLOOKUP($I4&amp;$J4&amp;Y$1,Pesos!$A:$I,9,FALSE)))</f>
        <v/>
      </c>
      <c r="AS4" s="81">
        <f>IFERROR(Z4*VLOOKUP(J4,'BD Campos'!$Y$1:$Z$12,2,FALSE),"0")</f>
        <v>10</v>
      </c>
      <c r="AT4" s="76"/>
    </row>
    <row r="5" spans="1:46" x14ac:dyDescent="0.35">
      <c r="A5" s="68" t="str">
        <f t="shared" si="1"/>
        <v>Jan202511070Receptiva 2RECEPTIVO</v>
      </c>
      <c r="B5" s="69" t="str">
        <f t="shared" si="0"/>
        <v>Jan2025110702RECEPTIVOPADRÃO</v>
      </c>
      <c r="C5" s="70">
        <v>1</v>
      </c>
      <c r="D5" s="71">
        <v>45666.621704861114</v>
      </c>
      <c r="E5" s="110" t="s">
        <v>74</v>
      </c>
      <c r="F5" s="72">
        <v>11070</v>
      </c>
      <c r="G5" s="69" t="s">
        <v>393</v>
      </c>
      <c r="H5" s="73">
        <v>2</v>
      </c>
      <c r="I5" s="69" t="s">
        <v>97</v>
      </c>
      <c r="J5" s="69" t="s">
        <v>100</v>
      </c>
      <c r="K5" s="69" t="s">
        <v>99</v>
      </c>
      <c r="L5" s="74" t="s">
        <v>1404</v>
      </c>
      <c r="M5" s="75"/>
      <c r="N5" s="76" t="s">
        <v>79</v>
      </c>
      <c r="O5" s="76" t="s">
        <v>79</v>
      </c>
      <c r="P5" s="76" t="s">
        <v>79</v>
      </c>
      <c r="Q5" s="76" t="s">
        <v>79</v>
      </c>
      <c r="R5" s="76" t="s">
        <v>79</v>
      </c>
      <c r="S5" s="76" t="s">
        <v>79</v>
      </c>
      <c r="T5" s="76" t="s">
        <v>79</v>
      </c>
      <c r="U5" s="76" t="s">
        <v>79</v>
      </c>
      <c r="V5" s="76" t="s">
        <v>79</v>
      </c>
      <c r="W5" s="76" t="s">
        <v>79</v>
      </c>
      <c r="X5" s="76"/>
      <c r="Y5" s="76"/>
      <c r="Z5" s="77">
        <f t="shared" si="2"/>
        <v>10</v>
      </c>
      <c r="AA5" s="78"/>
      <c r="AB5" s="78"/>
      <c r="AC5" s="72" t="s">
        <v>47</v>
      </c>
      <c r="AD5" s="76"/>
      <c r="AE5" s="79" t="str">
        <f t="shared" si="3"/>
        <v>Jan11070</v>
      </c>
      <c r="AF5" s="80">
        <f>IF(N5="","",IF(N5="SIM",VLOOKUP($I5&amp;$J5&amp;N$1,Pesos!$A:$I,7,FALSE),VLOOKUP($I5&amp;$J5&amp;N$1,Pesos!$A:$I,9,FALSE)))</f>
        <v>1</v>
      </c>
      <c r="AG5" s="80">
        <f>IF(O5="","",IF(O5="SIM",VLOOKUP($I5&amp;$J5&amp;O$1,Pesos!$A:$I,7,FALSE),VLOOKUP($I5&amp;$J5&amp;O$1,Pesos!$A:$I,9,FALSE)))</f>
        <v>1</v>
      </c>
      <c r="AH5" s="80">
        <f>IF(P5="","",IF(P5="SIM",VLOOKUP($I5&amp;$J5&amp;P$1,Pesos!$A:$I,7,FALSE),VLOOKUP($I5&amp;$J5&amp;P$1,Pesos!$A:$I,9,FALSE)))</f>
        <v>1</v>
      </c>
      <c r="AI5" s="80">
        <f>IF(Q5="","",IF(Q5="SIM",VLOOKUP($I5&amp;$J5&amp;Q$1,Pesos!$A:$I,7,FALSE),VLOOKUP($I5&amp;$J5&amp;Q$1,Pesos!$A:$I,9,FALSE)))</f>
        <v>1</v>
      </c>
      <c r="AJ5" s="80">
        <f>IF(R5="","",IF(R5="SIM",VLOOKUP($I5&amp;$J5&amp;R$1,Pesos!$A:$I,7,FALSE),VLOOKUP($I5&amp;$J5&amp;R$1,Pesos!$A:$I,9,FALSE)))</f>
        <v>1</v>
      </c>
      <c r="AK5" s="80">
        <f>IF(S5="","",IF(S5="SIM",VLOOKUP($I5&amp;$J5&amp;S$1,Pesos!$A:$I,7,FALSE),VLOOKUP($I5&amp;$J5&amp;S$1,Pesos!$A:$I,9,FALSE)))</f>
        <v>1</v>
      </c>
      <c r="AL5" s="80">
        <f t="shared" si="4"/>
        <v>6</v>
      </c>
      <c r="AM5" s="80">
        <f>IF(T5="","",IF(T5="SIM",VLOOKUP($I5&amp;$J5&amp;T$1,Pesos!$A:$I,7,FALSE),VLOOKUP($I5&amp;$J5&amp;T$1,Pesos!$A:$I,9,FALSE)))</f>
        <v>1</v>
      </c>
      <c r="AN5" s="80">
        <f>IF(U5="","",IF(U5="SIM",VLOOKUP($I5&amp;$J5&amp;U$1,Pesos!$A:$I,7,FALSE),VLOOKUP($I5&amp;$J5&amp;U$1,Pesos!$A:$I,9,FALSE)))</f>
        <v>1</v>
      </c>
      <c r="AO5" s="80">
        <f>IF(V5="","",IF(V5="SIM",VLOOKUP($I5&amp;$J5&amp;V$1,Pesos!$A:$I,7,FALSE),VLOOKUP($I5&amp;$J5&amp;V$1,Pesos!$A:$I,9,FALSE)))</f>
        <v>1</v>
      </c>
      <c r="AP5" s="80">
        <f>IF(W5="","",IF(W5="SIM",VLOOKUP($I5&amp;$J5&amp;W$1,Pesos!$A:$I,7,FALSE),VLOOKUP($I5&amp;$J5&amp;W$1,Pesos!$A:$I,9,FALSE)))</f>
        <v>1</v>
      </c>
      <c r="AQ5" s="80" t="str">
        <f>IF(X5="","",IF(X5="SIM",VLOOKUP($I5&amp;$J5&amp;X$1,Pesos!$A:$I,7,FALSE),VLOOKUP($I5&amp;$J5&amp;X$1,Pesos!$A:$I,9,FALSE)))</f>
        <v/>
      </c>
      <c r="AR5" s="80" t="str">
        <f>IF(Y5="","",IF(Y5="SIM",VLOOKUP($I5&amp;$J5&amp;Y$1,Pesos!$A:$I,7,FALSE),VLOOKUP($I5&amp;$J5&amp;Y$1,Pesos!$A:$I,9,FALSE)))</f>
        <v/>
      </c>
      <c r="AS5" s="81">
        <f>IFERROR(Z5*VLOOKUP(J5,'BD Campos'!$Y$1:$Z$12,2,FALSE),"0")</f>
        <v>10</v>
      </c>
      <c r="AT5" s="76"/>
    </row>
    <row r="6" spans="1:46" x14ac:dyDescent="0.35">
      <c r="A6" s="68" t="str">
        <f t="shared" si="1"/>
        <v>Jan202511042ReceptivaRECEPTIVO</v>
      </c>
      <c r="B6" s="69" t="str">
        <f t="shared" si="0"/>
        <v>Jan2025110421RECEPTIVOPADRÃO</v>
      </c>
      <c r="C6" s="70">
        <v>1</v>
      </c>
      <c r="D6" s="71">
        <v>45666.625552083337</v>
      </c>
      <c r="E6" s="110" t="s">
        <v>74</v>
      </c>
      <c r="F6" s="72">
        <v>11042</v>
      </c>
      <c r="G6" s="69" t="s">
        <v>375</v>
      </c>
      <c r="H6" s="73">
        <v>1</v>
      </c>
      <c r="I6" s="69" t="s">
        <v>97</v>
      </c>
      <c r="J6" s="69" t="s">
        <v>98</v>
      </c>
      <c r="K6" s="69" t="s">
        <v>99</v>
      </c>
      <c r="L6" s="74" t="s">
        <v>1405</v>
      </c>
      <c r="M6" s="75"/>
      <c r="N6" s="76" t="s">
        <v>79</v>
      </c>
      <c r="O6" s="76" t="s">
        <v>79</v>
      </c>
      <c r="P6" s="76" t="s">
        <v>79</v>
      </c>
      <c r="Q6" s="76" t="s">
        <v>79</v>
      </c>
      <c r="R6" s="76" t="s">
        <v>79</v>
      </c>
      <c r="S6" s="76" t="s">
        <v>79</v>
      </c>
      <c r="T6" s="76" t="s">
        <v>79</v>
      </c>
      <c r="U6" s="76" t="s">
        <v>79</v>
      </c>
      <c r="V6" s="76" t="s">
        <v>79</v>
      </c>
      <c r="W6" s="76" t="s">
        <v>83</v>
      </c>
      <c r="X6" s="76"/>
      <c r="Y6" s="76"/>
      <c r="Z6" s="77">
        <f t="shared" si="2"/>
        <v>8.9499999999999993</v>
      </c>
      <c r="AA6" s="78"/>
      <c r="AB6" s="78"/>
      <c r="AC6" s="72" t="s">
        <v>47</v>
      </c>
      <c r="AD6" s="76"/>
      <c r="AE6" s="79" t="str">
        <f t="shared" si="3"/>
        <v>Jan11042</v>
      </c>
      <c r="AF6" s="80">
        <f>IF(N6="","",IF(N6="SIM",VLOOKUP($I6&amp;$J6&amp;N$1,Pesos!$A:$I,7,FALSE),VLOOKUP($I6&amp;$J6&amp;N$1,Pesos!$A:$I,9,FALSE)))</f>
        <v>1</v>
      </c>
      <c r="AG6" s="80">
        <f>IF(O6="","",IF(O6="SIM",VLOOKUP($I6&amp;$J6&amp;O$1,Pesos!$A:$I,7,FALSE),VLOOKUP($I6&amp;$J6&amp;O$1,Pesos!$A:$I,9,FALSE)))</f>
        <v>1</v>
      </c>
      <c r="AH6" s="80">
        <f>IF(P6="","",IF(P6="SIM",VLOOKUP($I6&amp;$J6&amp;P$1,Pesos!$A:$I,7,FALSE),VLOOKUP($I6&amp;$J6&amp;P$1,Pesos!$A:$I,9,FALSE)))</f>
        <v>1</v>
      </c>
      <c r="AI6" s="80">
        <f>IF(Q6="","",IF(Q6="SIM",VLOOKUP($I6&amp;$J6&amp;Q$1,Pesos!$A:$I,7,FALSE),VLOOKUP($I6&amp;$J6&amp;Q$1,Pesos!$A:$I,9,FALSE)))</f>
        <v>1</v>
      </c>
      <c r="AJ6" s="80">
        <f>IF(R6="","",IF(R6="SIM",VLOOKUP($I6&amp;$J6&amp;R$1,Pesos!$A:$I,7,FALSE),VLOOKUP($I6&amp;$J6&amp;R$1,Pesos!$A:$I,9,FALSE)))</f>
        <v>1</v>
      </c>
      <c r="AK6" s="80">
        <f>IF(S6="","",IF(S6="SIM",VLOOKUP($I6&amp;$J6&amp;S$1,Pesos!$A:$I,7,FALSE),VLOOKUP($I6&amp;$J6&amp;S$1,Pesos!$A:$I,9,FALSE)))</f>
        <v>1</v>
      </c>
      <c r="AL6" s="80">
        <f t="shared" si="4"/>
        <v>6</v>
      </c>
      <c r="AM6" s="80">
        <f>IF(T6="","",IF(T6="SIM",VLOOKUP($I6&amp;$J6&amp;T$1,Pesos!$A:$I,7,FALSE),VLOOKUP($I6&amp;$J6&amp;T$1,Pesos!$A:$I,9,FALSE)))</f>
        <v>1</v>
      </c>
      <c r="AN6" s="80">
        <f>IF(U6="","",IF(U6="SIM",VLOOKUP($I6&amp;$J6&amp;U$1,Pesos!$A:$I,7,FALSE),VLOOKUP($I6&amp;$J6&amp;U$1,Pesos!$A:$I,9,FALSE)))</f>
        <v>1</v>
      </c>
      <c r="AO6" s="80">
        <f>IF(V6="","",IF(V6="SIM",VLOOKUP($I6&amp;$J6&amp;V$1,Pesos!$A:$I,7,FALSE),VLOOKUP($I6&amp;$J6&amp;V$1,Pesos!$A:$I,9,FALSE)))</f>
        <v>1</v>
      </c>
      <c r="AP6" s="80">
        <f>IF(W6="","",IF(W6="SIM",VLOOKUP($I6&amp;$J6&amp;W$1,Pesos!$A:$I,7,FALSE),VLOOKUP($I6&amp;$J6&amp;W$1,Pesos!$A:$I,9,FALSE)))</f>
        <v>-0.05</v>
      </c>
      <c r="AQ6" s="80" t="str">
        <f>IF(X6="","",IF(X6="SIM",VLOOKUP($I6&amp;$J6&amp;X$1,Pesos!$A:$I,7,FALSE),VLOOKUP($I6&amp;$J6&amp;X$1,Pesos!$A:$I,9,FALSE)))</f>
        <v/>
      </c>
      <c r="AR6" s="80" t="str">
        <f>IF(Y6="","",IF(Y6="SIM",VLOOKUP($I6&amp;$J6&amp;Y$1,Pesos!$A:$I,7,FALSE),VLOOKUP($I6&amp;$J6&amp;Y$1,Pesos!$A:$I,9,FALSE)))</f>
        <v/>
      </c>
      <c r="AS6" s="81">
        <f>IFERROR(Z6*VLOOKUP(J6,'BD Campos'!$Y$1:$Z$12,2,FALSE),"0")</f>
        <v>8.9499999999999993</v>
      </c>
      <c r="AT6" s="76"/>
    </row>
    <row r="7" spans="1:46" x14ac:dyDescent="0.35">
      <c r="A7" s="68" t="str">
        <f t="shared" si="1"/>
        <v>Jan202511042Receptiva 2RECEPTIVO</v>
      </c>
      <c r="B7" s="69" t="str">
        <f t="shared" si="0"/>
        <v>Jan2025110422RECEPTIVOPADRÃO</v>
      </c>
      <c r="C7" s="70">
        <v>1</v>
      </c>
      <c r="D7" s="71">
        <v>45666.628107638891</v>
      </c>
      <c r="E7" s="110" t="s">
        <v>74</v>
      </c>
      <c r="F7" s="72">
        <v>11042</v>
      </c>
      <c r="G7" s="69" t="s">
        <v>375</v>
      </c>
      <c r="H7" s="73">
        <v>2</v>
      </c>
      <c r="I7" s="69" t="s">
        <v>97</v>
      </c>
      <c r="J7" s="69" t="s">
        <v>100</v>
      </c>
      <c r="K7" s="69" t="s">
        <v>99</v>
      </c>
      <c r="L7" s="74" t="s">
        <v>1406</v>
      </c>
      <c r="M7" s="75"/>
      <c r="N7" s="76" t="s">
        <v>79</v>
      </c>
      <c r="O7" s="76" t="s">
        <v>79</v>
      </c>
      <c r="P7" s="76" t="s">
        <v>79</v>
      </c>
      <c r="Q7" s="76" t="s">
        <v>79</v>
      </c>
      <c r="R7" s="76" t="s">
        <v>83</v>
      </c>
      <c r="S7" s="76" t="s">
        <v>79</v>
      </c>
      <c r="T7" s="76" t="s">
        <v>79</v>
      </c>
      <c r="U7" s="76" t="s">
        <v>79</v>
      </c>
      <c r="V7" s="76" t="s">
        <v>79</v>
      </c>
      <c r="W7" s="76" t="s">
        <v>79</v>
      </c>
      <c r="X7" s="76"/>
      <c r="Y7" s="76"/>
      <c r="Z7" s="77">
        <f t="shared" si="2"/>
        <v>8.9499999999999993</v>
      </c>
      <c r="AA7" s="78"/>
      <c r="AB7" s="78"/>
      <c r="AC7" s="72" t="s">
        <v>47</v>
      </c>
      <c r="AD7" s="76"/>
      <c r="AE7" s="79" t="str">
        <f t="shared" si="3"/>
        <v>Jan11042</v>
      </c>
      <c r="AF7" s="80">
        <f>IF(N7="","",IF(N7="SIM",VLOOKUP($I7&amp;$J7&amp;N$1,Pesos!$A:$I,7,FALSE),VLOOKUP($I7&amp;$J7&amp;N$1,Pesos!$A:$I,9,FALSE)))</f>
        <v>1</v>
      </c>
      <c r="AG7" s="80">
        <f>IF(O7="","",IF(O7="SIM",VLOOKUP($I7&amp;$J7&amp;O$1,Pesos!$A:$I,7,FALSE),VLOOKUP($I7&amp;$J7&amp;O$1,Pesos!$A:$I,9,FALSE)))</f>
        <v>1</v>
      </c>
      <c r="AH7" s="80">
        <f>IF(P7="","",IF(P7="SIM",VLOOKUP($I7&amp;$J7&amp;P$1,Pesos!$A:$I,7,FALSE),VLOOKUP($I7&amp;$J7&amp;P$1,Pesos!$A:$I,9,FALSE)))</f>
        <v>1</v>
      </c>
      <c r="AI7" s="80">
        <f>IF(Q7="","",IF(Q7="SIM",VLOOKUP($I7&amp;$J7&amp;Q$1,Pesos!$A:$I,7,FALSE),VLOOKUP($I7&amp;$J7&amp;Q$1,Pesos!$A:$I,9,FALSE)))</f>
        <v>1</v>
      </c>
      <c r="AJ7" s="80">
        <f>IF(R7="","",IF(R7="SIM",VLOOKUP($I7&amp;$J7&amp;R$1,Pesos!$A:$I,7,FALSE),VLOOKUP($I7&amp;$J7&amp;R$1,Pesos!$A:$I,9,FALSE)))</f>
        <v>-0.05</v>
      </c>
      <c r="AK7" s="80">
        <f>IF(S7="","",IF(S7="SIM",VLOOKUP($I7&amp;$J7&amp;S$1,Pesos!$A:$I,7,FALSE),VLOOKUP($I7&amp;$J7&amp;S$1,Pesos!$A:$I,9,FALSE)))</f>
        <v>1</v>
      </c>
      <c r="AL7" s="80">
        <f t="shared" si="4"/>
        <v>4.95</v>
      </c>
      <c r="AM7" s="80">
        <f>IF(T7="","",IF(T7="SIM",VLOOKUP($I7&amp;$J7&amp;T$1,Pesos!$A:$I,7,FALSE),VLOOKUP($I7&amp;$J7&amp;T$1,Pesos!$A:$I,9,FALSE)))</f>
        <v>1</v>
      </c>
      <c r="AN7" s="80">
        <f>IF(U7="","",IF(U7="SIM",VLOOKUP($I7&amp;$J7&amp;U$1,Pesos!$A:$I,7,FALSE),VLOOKUP($I7&amp;$J7&amp;U$1,Pesos!$A:$I,9,FALSE)))</f>
        <v>1</v>
      </c>
      <c r="AO7" s="80">
        <f>IF(V7="","",IF(V7="SIM",VLOOKUP($I7&amp;$J7&amp;V$1,Pesos!$A:$I,7,FALSE),VLOOKUP($I7&amp;$J7&amp;V$1,Pesos!$A:$I,9,FALSE)))</f>
        <v>1</v>
      </c>
      <c r="AP7" s="80">
        <f>IF(W7="","",IF(W7="SIM",VLOOKUP($I7&amp;$J7&amp;W$1,Pesos!$A:$I,7,FALSE),VLOOKUP($I7&amp;$J7&amp;W$1,Pesos!$A:$I,9,FALSE)))</f>
        <v>1</v>
      </c>
      <c r="AQ7" s="80" t="str">
        <f>IF(X7="","",IF(X7="SIM",VLOOKUP($I7&amp;$J7&amp;X$1,Pesos!$A:$I,7,FALSE),VLOOKUP($I7&amp;$J7&amp;X$1,Pesos!$A:$I,9,FALSE)))</f>
        <v/>
      </c>
      <c r="AR7" s="80" t="str">
        <f>IF(Y7="","",IF(Y7="SIM",VLOOKUP($I7&amp;$J7&amp;Y$1,Pesos!$A:$I,7,FALSE),VLOOKUP($I7&amp;$J7&amp;Y$1,Pesos!$A:$I,9,FALSE)))</f>
        <v/>
      </c>
      <c r="AS7" s="81">
        <f>IFERROR(Z7*VLOOKUP(J7,'BD Campos'!$Y$1:$Z$12,2,FALSE),"0")</f>
        <v>8.9499999999999993</v>
      </c>
      <c r="AT7" s="76"/>
    </row>
    <row r="8" spans="1:46" x14ac:dyDescent="0.35">
      <c r="A8" s="68" t="str">
        <f t="shared" si="1"/>
        <v>Jan202511077ReceptivaRECEPTIVO</v>
      </c>
      <c r="B8" s="69" t="str">
        <f t="shared" si="0"/>
        <v>Jan2025110771RECEPTIVOPADRÃO</v>
      </c>
      <c r="C8" s="70">
        <v>1</v>
      </c>
      <c r="D8" s="71">
        <v>45666.633639120373</v>
      </c>
      <c r="E8" s="110" t="s">
        <v>74</v>
      </c>
      <c r="F8" s="72">
        <v>11077</v>
      </c>
      <c r="G8" s="69" t="s">
        <v>404</v>
      </c>
      <c r="H8" s="73">
        <v>1</v>
      </c>
      <c r="I8" s="69" t="s">
        <v>97</v>
      </c>
      <c r="J8" s="69" t="s">
        <v>98</v>
      </c>
      <c r="K8" s="69" t="s">
        <v>99</v>
      </c>
      <c r="L8" s="74" t="s">
        <v>1407</v>
      </c>
      <c r="M8" s="75"/>
      <c r="N8" s="76" t="s">
        <v>83</v>
      </c>
      <c r="O8" s="76" t="s">
        <v>79</v>
      </c>
      <c r="P8" s="76" t="s">
        <v>79</v>
      </c>
      <c r="Q8" s="76" t="s">
        <v>79</v>
      </c>
      <c r="R8" s="76" t="s">
        <v>79</v>
      </c>
      <c r="S8" s="76" t="s">
        <v>79</v>
      </c>
      <c r="T8" s="76" t="s">
        <v>79</v>
      </c>
      <c r="U8" s="76" t="s">
        <v>79</v>
      </c>
      <c r="V8" s="76" t="s">
        <v>79</v>
      </c>
      <c r="W8" s="76" t="s">
        <v>79</v>
      </c>
      <c r="X8" s="76"/>
      <c r="Y8" s="76"/>
      <c r="Z8" s="77">
        <f t="shared" si="2"/>
        <v>8.9499999999999993</v>
      </c>
      <c r="AA8" s="78"/>
      <c r="AB8" s="78"/>
      <c r="AC8" s="72" t="s">
        <v>47</v>
      </c>
      <c r="AD8" s="76"/>
      <c r="AE8" s="79" t="str">
        <f t="shared" si="3"/>
        <v>Jan11077</v>
      </c>
      <c r="AF8" s="80">
        <f>IF(N8="","",IF(N8="SIM",VLOOKUP($I8&amp;$J8&amp;N$1,Pesos!$A:$I,7,FALSE),VLOOKUP($I8&amp;$J8&amp;N$1,Pesos!$A:$I,9,FALSE)))</f>
        <v>-0.05</v>
      </c>
      <c r="AG8" s="80">
        <f>IF(O8="","",IF(O8="SIM",VLOOKUP($I8&amp;$J8&amp;O$1,Pesos!$A:$I,7,FALSE),VLOOKUP($I8&amp;$J8&amp;O$1,Pesos!$A:$I,9,FALSE)))</f>
        <v>1</v>
      </c>
      <c r="AH8" s="80">
        <f>IF(P8="","",IF(P8="SIM",VLOOKUP($I8&amp;$J8&amp;P$1,Pesos!$A:$I,7,FALSE),VLOOKUP($I8&amp;$J8&amp;P$1,Pesos!$A:$I,9,FALSE)))</f>
        <v>1</v>
      </c>
      <c r="AI8" s="80">
        <f>IF(Q8="","",IF(Q8="SIM",VLOOKUP($I8&amp;$J8&amp;Q$1,Pesos!$A:$I,7,FALSE),VLOOKUP($I8&amp;$J8&amp;Q$1,Pesos!$A:$I,9,FALSE)))</f>
        <v>1</v>
      </c>
      <c r="AJ8" s="80">
        <f>IF(R8="","",IF(R8="SIM",VLOOKUP($I8&amp;$J8&amp;R$1,Pesos!$A:$I,7,FALSE),VLOOKUP($I8&amp;$J8&amp;R$1,Pesos!$A:$I,9,FALSE)))</f>
        <v>1</v>
      </c>
      <c r="AK8" s="80">
        <f>IF(S8="","",IF(S8="SIM",VLOOKUP($I8&amp;$J8&amp;S$1,Pesos!$A:$I,7,FALSE),VLOOKUP($I8&amp;$J8&amp;S$1,Pesos!$A:$I,9,FALSE)))</f>
        <v>1</v>
      </c>
      <c r="AL8" s="80">
        <f t="shared" si="4"/>
        <v>4.95</v>
      </c>
      <c r="AM8" s="80">
        <f>IF(T8="","",IF(T8="SIM",VLOOKUP($I8&amp;$J8&amp;T$1,Pesos!$A:$I,7,FALSE),VLOOKUP($I8&amp;$J8&amp;T$1,Pesos!$A:$I,9,FALSE)))</f>
        <v>1</v>
      </c>
      <c r="AN8" s="80">
        <f>IF(U8="","",IF(U8="SIM",VLOOKUP($I8&amp;$J8&amp;U$1,Pesos!$A:$I,7,FALSE),VLOOKUP($I8&amp;$J8&amp;U$1,Pesos!$A:$I,9,FALSE)))</f>
        <v>1</v>
      </c>
      <c r="AO8" s="80">
        <f>IF(V8="","",IF(V8="SIM",VLOOKUP($I8&amp;$J8&amp;V$1,Pesos!$A:$I,7,FALSE),VLOOKUP($I8&amp;$J8&amp;V$1,Pesos!$A:$I,9,FALSE)))</f>
        <v>1</v>
      </c>
      <c r="AP8" s="80">
        <f>IF(W8="","",IF(W8="SIM",VLOOKUP($I8&amp;$J8&amp;W$1,Pesos!$A:$I,7,FALSE),VLOOKUP($I8&amp;$J8&amp;W$1,Pesos!$A:$I,9,FALSE)))</f>
        <v>1</v>
      </c>
      <c r="AQ8" s="80" t="str">
        <f>IF(X8="","",IF(X8="SIM",VLOOKUP($I8&amp;$J8&amp;X$1,Pesos!$A:$I,7,FALSE),VLOOKUP($I8&amp;$J8&amp;X$1,Pesos!$A:$I,9,FALSE)))</f>
        <v/>
      </c>
      <c r="AR8" s="80" t="str">
        <f>IF(Y8="","",IF(Y8="SIM",VLOOKUP($I8&amp;$J8&amp;Y$1,Pesos!$A:$I,7,FALSE),VLOOKUP($I8&amp;$J8&amp;Y$1,Pesos!$A:$I,9,FALSE)))</f>
        <v/>
      </c>
      <c r="AS8" s="81">
        <f>IFERROR(Z8*VLOOKUP(J8,'BD Campos'!$Y$1:$Z$12,2,FALSE),"0")</f>
        <v>8.9499999999999993</v>
      </c>
      <c r="AT8" s="76"/>
    </row>
    <row r="9" spans="1:46" x14ac:dyDescent="0.35">
      <c r="A9" s="68" t="str">
        <f t="shared" si="1"/>
        <v>Jan202511077Receptiva 2RECEPTIVO</v>
      </c>
      <c r="B9" s="69" t="str">
        <f t="shared" si="0"/>
        <v>Jan2025110772RECEPTIVOPADRÃO</v>
      </c>
      <c r="C9" s="70">
        <v>1</v>
      </c>
      <c r="D9" s="71">
        <v>45666.635433564814</v>
      </c>
      <c r="E9" s="110" t="s">
        <v>74</v>
      </c>
      <c r="F9" s="72">
        <v>11077</v>
      </c>
      <c r="G9" s="69" t="s">
        <v>404</v>
      </c>
      <c r="H9" s="73">
        <v>2</v>
      </c>
      <c r="I9" s="69" t="s">
        <v>97</v>
      </c>
      <c r="J9" s="69" t="s">
        <v>100</v>
      </c>
      <c r="K9" s="69" t="s">
        <v>99</v>
      </c>
      <c r="L9" s="74" t="s">
        <v>1408</v>
      </c>
      <c r="M9" s="75"/>
      <c r="N9" s="76" t="s">
        <v>83</v>
      </c>
      <c r="O9" s="76" t="s">
        <v>79</v>
      </c>
      <c r="P9" s="76" t="s">
        <v>79</v>
      </c>
      <c r="Q9" s="76" t="s">
        <v>79</v>
      </c>
      <c r="R9" s="76" t="s">
        <v>79</v>
      </c>
      <c r="S9" s="76" t="s">
        <v>79</v>
      </c>
      <c r="T9" s="76" t="s">
        <v>79</v>
      </c>
      <c r="U9" s="76" t="s">
        <v>79</v>
      </c>
      <c r="V9" s="76" t="s">
        <v>79</v>
      </c>
      <c r="W9" s="76" t="s">
        <v>79</v>
      </c>
      <c r="X9" s="76"/>
      <c r="Y9" s="76"/>
      <c r="Z9" s="77">
        <f t="shared" si="2"/>
        <v>8.9499999999999993</v>
      </c>
      <c r="AA9" s="78"/>
      <c r="AB9" s="78"/>
      <c r="AC9" s="72" t="s">
        <v>47</v>
      </c>
      <c r="AD9" s="76"/>
      <c r="AE9" s="79" t="str">
        <f t="shared" si="3"/>
        <v>Jan11077</v>
      </c>
      <c r="AF9" s="80">
        <f>IF(N9="","",IF(N9="SIM",VLOOKUP($I9&amp;$J9&amp;N$1,Pesos!$A:$I,7,FALSE),VLOOKUP($I9&amp;$J9&amp;N$1,Pesos!$A:$I,9,FALSE)))</f>
        <v>-0.05</v>
      </c>
      <c r="AG9" s="80">
        <f>IF(O9="","",IF(O9="SIM",VLOOKUP($I9&amp;$J9&amp;O$1,Pesos!$A:$I,7,FALSE),VLOOKUP($I9&amp;$J9&amp;O$1,Pesos!$A:$I,9,FALSE)))</f>
        <v>1</v>
      </c>
      <c r="AH9" s="80">
        <f>IF(P9="","",IF(P9="SIM",VLOOKUP($I9&amp;$J9&amp;P$1,Pesos!$A:$I,7,FALSE),VLOOKUP($I9&amp;$J9&amp;P$1,Pesos!$A:$I,9,FALSE)))</f>
        <v>1</v>
      </c>
      <c r="AI9" s="80">
        <f>IF(Q9="","",IF(Q9="SIM",VLOOKUP($I9&amp;$J9&amp;Q$1,Pesos!$A:$I,7,FALSE),VLOOKUP($I9&amp;$J9&amp;Q$1,Pesos!$A:$I,9,FALSE)))</f>
        <v>1</v>
      </c>
      <c r="AJ9" s="80">
        <f>IF(R9="","",IF(R9="SIM",VLOOKUP($I9&amp;$J9&amp;R$1,Pesos!$A:$I,7,FALSE),VLOOKUP($I9&amp;$J9&amp;R$1,Pesos!$A:$I,9,FALSE)))</f>
        <v>1</v>
      </c>
      <c r="AK9" s="80">
        <f>IF(S9="","",IF(S9="SIM",VLOOKUP($I9&amp;$J9&amp;S$1,Pesos!$A:$I,7,FALSE),VLOOKUP($I9&amp;$J9&amp;S$1,Pesos!$A:$I,9,FALSE)))</f>
        <v>1</v>
      </c>
      <c r="AL9" s="80">
        <f t="shared" si="4"/>
        <v>4.95</v>
      </c>
      <c r="AM9" s="80">
        <f>IF(T9="","",IF(T9="SIM",VLOOKUP($I9&amp;$J9&amp;T$1,Pesos!$A:$I,7,FALSE),VLOOKUP($I9&amp;$J9&amp;T$1,Pesos!$A:$I,9,FALSE)))</f>
        <v>1</v>
      </c>
      <c r="AN9" s="80">
        <f>IF(U9="","",IF(U9="SIM",VLOOKUP($I9&amp;$J9&amp;U$1,Pesos!$A:$I,7,FALSE),VLOOKUP($I9&amp;$J9&amp;U$1,Pesos!$A:$I,9,FALSE)))</f>
        <v>1</v>
      </c>
      <c r="AO9" s="80">
        <f>IF(V9="","",IF(V9="SIM",VLOOKUP($I9&amp;$J9&amp;V$1,Pesos!$A:$I,7,FALSE),VLOOKUP($I9&amp;$J9&amp;V$1,Pesos!$A:$I,9,FALSE)))</f>
        <v>1</v>
      </c>
      <c r="AP9" s="80">
        <f>IF(W9="","",IF(W9="SIM",VLOOKUP($I9&amp;$J9&amp;W$1,Pesos!$A:$I,7,FALSE),VLOOKUP($I9&amp;$J9&amp;W$1,Pesos!$A:$I,9,FALSE)))</f>
        <v>1</v>
      </c>
      <c r="AQ9" s="80" t="str">
        <f>IF(X9="","",IF(X9="SIM",VLOOKUP($I9&amp;$J9&amp;X$1,Pesos!$A:$I,7,FALSE),VLOOKUP($I9&amp;$J9&amp;X$1,Pesos!$A:$I,9,FALSE)))</f>
        <v/>
      </c>
      <c r="AR9" s="80" t="str">
        <f>IF(Y9="","",IF(Y9="SIM",VLOOKUP($I9&amp;$J9&amp;Y$1,Pesos!$A:$I,7,FALSE),VLOOKUP($I9&amp;$J9&amp;Y$1,Pesos!$A:$I,9,FALSE)))</f>
        <v/>
      </c>
      <c r="AS9" s="81">
        <f>IFERROR(Z9*VLOOKUP(J9,'BD Campos'!$Y$1:$Z$12,2,FALSE),"0")</f>
        <v>8.9499999999999993</v>
      </c>
      <c r="AT9" s="76"/>
    </row>
    <row r="10" spans="1:46" x14ac:dyDescent="0.35">
      <c r="A10" s="68" t="str">
        <f t="shared" si="1"/>
        <v>Jan202511170ReceptivaRECEPTIVO</v>
      </c>
      <c r="B10" s="69" t="str">
        <f t="shared" si="0"/>
        <v>Jan2025111701RECEPTIVOPADRÃO</v>
      </c>
      <c r="C10" s="70">
        <v>1</v>
      </c>
      <c r="D10" s="71">
        <v>45666.639684953705</v>
      </c>
      <c r="E10" s="110" t="s">
        <v>74</v>
      </c>
      <c r="F10" s="72">
        <v>11170</v>
      </c>
      <c r="G10" s="69" t="s">
        <v>457</v>
      </c>
      <c r="H10" s="73">
        <v>1</v>
      </c>
      <c r="I10" s="69" t="s">
        <v>97</v>
      </c>
      <c r="J10" s="69" t="s">
        <v>98</v>
      </c>
      <c r="K10" s="69" t="s">
        <v>99</v>
      </c>
      <c r="L10" s="74">
        <v>173644257548218</v>
      </c>
      <c r="M10" s="75"/>
      <c r="N10" s="76" t="s">
        <v>83</v>
      </c>
      <c r="O10" s="76" t="s">
        <v>79</v>
      </c>
      <c r="P10" s="76" t="s">
        <v>79</v>
      </c>
      <c r="Q10" s="76" t="s">
        <v>79</v>
      </c>
      <c r="R10" s="76" t="s">
        <v>79</v>
      </c>
      <c r="S10" s="76" t="s">
        <v>79</v>
      </c>
      <c r="T10" s="76" t="s">
        <v>79</v>
      </c>
      <c r="U10" s="76" t="s">
        <v>79</v>
      </c>
      <c r="V10" s="76" t="s">
        <v>79</v>
      </c>
      <c r="W10" s="76" t="s">
        <v>79</v>
      </c>
      <c r="X10" s="76"/>
      <c r="Y10" s="76"/>
      <c r="Z10" s="77">
        <f t="shared" si="2"/>
        <v>8.9499999999999993</v>
      </c>
      <c r="AA10" s="78"/>
      <c r="AB10" s="78"/>
      <c r="AC10" s="72" t="s">
        <v>47</v>
      </c>
      <c r="AD10" s="76"/>
      <c r="AE10" s="79" t="str">
        <f t="shared" si="3"/>
        <v>Jan11170</v>
      </c>
      <c r="AF10" s="80">
        <f>IF(N10="","",IF(N10="SIM",VLOOKUP($I10&amp;$J10&amp;N$1,Pesos!$A:$I,7,FALSE),VLOOKUP($I10&amp;$J10&amp;N$1,Pesos!$A:$I,9,FALSE)))</f>
        <v>-0.05</v>
      </c>
      <c r="AG10" s="80">
        <f>IF(O10="","",IF(O10="SIM",VLOOKUP($I10&amp;$J10&amp;O$1,Pesos!$A:$I,7,FALSE),VLOOKUP($I10&amp;$J10&amp;O$1,Pesos!$A:$I,9,FALSE)))</f>
        <v>1</v>
      </c>
      <c r="AH10" s="80">
        <f>IF(P10="","",IF(P10="SIM",VLOOKUP($I10&amp;$J10&amp;P$1,Pesos!$A:$I,7,FALSE),VLOOKUP($I10&amp;$J10&amp;P$1,Pesos!$A:$I,9,FALSE)))</f>
        <v>1</v>
      </c>
      <c r="AI10" s="80">
        <f>IF(Q10="","",IF(Q10="SIM",VLOOKUP($I10&amp;$J10&amp;Q$1,Pesos!$A:$I,7,FALSE),VLOOKUP($I10&amp;$J10&amp;Q$1,Pesos!$A:$I,9,FALSE)))</f>
        <v>1</v>
      </c>
      <c r="AJ10" s="80">
        <f>IF(R10="","",IF(R10="SIM",VLOOKUP($I10&amp;$J10&amp;R$1,Pesos!$A:$I,7,FALSE),VLOOKUP($I10&amp;$J10&amp;R$1,Pesos!$A:$I,9,FALSE)))</f>
        <v>1</v>
      </c>
      <c r="AK10" s="80">
        <f>IF(S10="","",IF(S10="SIM",VLOOKUP($I10&amp;$J10&amp;S$1,Pesos!$A:$I,7,FALSE),VLOOKUP($I10&amp;$J10&amp;S$1,Pesos!$A:$I,9,FALSE)))</f>
        <v>1</v>
      </c>
      <c r="AL10" s="80">
        <f t="shared" si="4"/>
        <v>4.95</v>
      </c>
      <c r="AM10" s="80">
        <f>IF(T10="","",IF(T10="SIM",VLOOKUP($I10&amp;$J10&amp;T$1,Pesos!$A:$I,7,FALSE),VLOOKUP($I10&amp;$J10&amp;T$1,Pesos!$A:$I,9,FALSE)))</f>
        <v>1</v>
      </c>
      <c r="AN10" s="80">
        <f>IF(U10="","",IF(U10="SIM",VLOOKUP($I10&amp;$J10&amp;U$1,Pesos!$A:$I,7,FALSE),VLOOKUP($I10&amp;$J10&amp;U$1,Pesos!$A:$I,9,FALSE)))</f>
        <v>1</v>
      </c>
      <c r="AO10" s="80">
        <f>IF(V10="","",IF(V10="SIM",VLOOKUP($I10&amp;$J10&amp;V$1,Pesos!$A:$I,7,FALSE),VLOOKUP($I10&amp;$J10&amp;V$1,Pesos!$A:$I,9,FALSE)))</f>
        <v>1</v>
      </c>
      <c r="AP10" s="80">
        <f>IF(W10="","",IF(W10="SIM",VLOOKUP($I10&amp;$J10&amp;W$1,Pesos!$A:$I,7,FALSE),VLOOKUP($I10&amp;$J10&amp;W$1,Pesos!$A:$I,9,FALSE)))</f>
        <v>1</v>
      </c>
      <c r="AQ10" s="80" t="str">
        <f>IF(X10="","",IF(X10="SIM",VLOOKUP($I10&amp;$J10&amp;X$1,Pesos!$A:$I,7,FALSE),VLOOKUP($I10&amp;$J10&amp;X$1,Pesos!$A:$I,9,FALSE)))</f>
        <v/>
      </c>
      <c r="AR10" s="80" t="str">
        <f>IF(Y10="","",IF(Y10="SIM",VLOOKUP($I10&amp;$J10&amp;Y$1,Pesos!$A:$I,7,FALSE),VLOOKUP($I10&amp;$J10&amp;Y$1,Pesos!$A:$I,9,FALSE)))</f>
        <v/>
      </c>
      <c r="AS10" s="81">
        <f>IFERROR(Z10*VLOOKUP(J10,'BD Campos'!$Y$1:$Z$12,2,FALSE),"0")</f>
        <v>8.9499999999999993</v>
      </c>
      <c r="AT10" s="76"/>
    </row>
    <row r="11" spans="1:46" x14ac:dyDescent="0.35">
      <c r="A11" s="68" t="str">
        <f t="shared" si="1"/>
        <v>Jan202511170Receptiva 2RECEPTIVO</v>
      </c>
      <c r="B11" s="69" t="str">
        <f t="shared" si="0"/>
        <v>Jan2025111702RECEPTIVOPADRÃO</v>
      </c>
      <c r="C11" s="70">
        <v>1</v>
      </c>
      <c r="D11" s="71">
        <v>45666.641543981481</v>
      </c>
      <c r="E11" s="110" t="s">
        <v>74</v>
      </c>
      <c r="F11" s="72">
        <v>11170</v>
      </c>
      <c r="G11" s="69" t="s">
        <v>457</v>
      </c>
      <c r="H11" s="73">
        <v>2</v>
      </c>
      <c r="I11" s="69" t="s">
        <v>97</v>
      </c>
      <c r="J11" s="69" t="s">
        <v>100</v>
      </c>
      <c r="K11" s="69" t="s">
        <v>99</v>
      </c>
      <c r="L11" s="74" t="s">
        <v>1409</v>
      </c>
      <c r="M11" s="75"/>
      <c r="N11" s="76" t="s">
        <v>83</v>
      </c>
      <c r="O11" s="76" t="s">
        <v>79</v>
      </c>
      <c r="P11" s="76" t="s">
        <v>79</v>
      </c>
      <c r="Q11" s="76" t="s">
        <v>79</v>
      </c>
      <c r="R11" s="76" t="s">
        <v>79</v>
      </c>
      <c r="S11" s="76" t="s">
        <v>79</v>
      </c>
      <c r="T11" s="76" t="s">
        <v>83</v>
      </c>
      <c r="U11" s="76" t="s">
        <v>83</v>
      </c>
      <c r="V11" s="76" t="s">
        <v>79</v>
      </c>
      <c r="W11" s="76" t="s">
        <v>79</v>
      </c>
      <c r="X11" s="76"/>
      <c r="Y11" s="76"/>
      <c r="Z11" s="77">
        <f t="shared" si="2"/>
        <v>6.8500000000000005</v>
      </c>
      <c r="AA11" s="78"/>
      <c r="AB11" s="78"/>
      <c r="AC11" s="72" t="s">
        <v>47</v>
      </c>
      <c r="AD11" s="76"/>
      <c r="AE11" s="79" t="str">
        <f t="shared" si="3"/>
        <v>Jan11170</v>
      </c>
      <c r="AF11" s="80">
        <f>IF(N11="","",IF(N11="SIM",VLOOKUP($I11&amp;$J11&amp;N$1,Pesos!$A:$I,7,FALSE),VLOOKUP($I11&amp;$J11&amp;N$1,Pesos!$A:$I,9,FALSE)))</f>
        <v>-0.05</v>
      </c>
      <c r="AG11" s="80">
        <f>IF(O11="","",IF(O11="SIM",VLOOKUP($I11&amp;$J11&amp;O$1,Pesos!$A:$I,7,FALSE),VLOOKUP($I11&amp;$J11&amp;O$1,Pesos!$A:$I,9,FALSE)))</f>
        <v>1</v>
      </c>
      <c r="AH11" s="80">
        <f>IF(P11="","",IF(P11="SIM",VLOOKUP($I11&amp;$J11&amp;P$1,Pesos!$A:$I,7,FALSE),VLOOKUP($I11&amp;$J11&amp;P$1,Pesos!$A:$I,9,FALSE)))</f>
        <v>1</v>
      </c>
      <c r="AI11" s="80">
        <f>IF(Q11="","",IF(Q11="SIM",VLOOKUP($I11&amp;$J11&amp;Q$1,Pesos!$A:$I,7,FALSE),VLOOKUP($I11&amp;$J11&amp;Q$1,Pesos!$A:$I,9,FALSE)))</f>
        <v>1</v>
      </c>
      <c r="AJ11" s="80">
        <f>IF(R11="","",IF(R11="SIM",VLOOKUP($I11&amp;$J11&amp;R$1,Pesos!$A:$I,7,FALSE),VLOOKUP($I11&amp;$J11&amp;R$1,Pesos!$A:$I,9,FALSE)))</f>
        <v>1</v>
      </c>
      <c r="AK11" s="80">
        <f>IF(S11="","",IF(S11="SIM",VLOOKUP($I11&amp;$J11&amp;S$1,Pesos!$A:$I,7,FALSE),VLOOKUP($I11&amp;$J11&amp;S$1,Pesos!$A:$I,9,FALSE)))</f>
        <v>1</v>
      </c>
      <c r="AL11" s="80">
        <f t="shared" si="4"/>
        <v>4.95</v>
      </c>
      <c r="AM11" s="80">
        <f>IF(T11="","",IF(T11="SIM",VLOOKUP($I11&amp;$J11&amp;T$1,Pesos!$A:$I,7,FALSE),VLOOKUP($I11&amp;$J11&amp;T$1,Pesos!$A:$I,9,FALSE)))</f>
        <v>-0.05</v>
      </c>
      <c r="AN11" s="80">
        <f>IF(U11="","",IF(U11="SIM",VLOOKUP($I11&amp;$J11&amp;U$1,Pesos!$A:$I,7,FALSE),VLOOKUP($I11&amp;$J11&amp;U$1,Pesos!$A:$I,9,FALSE)))</f>
        <v>-0.05</v>
      </c>
      <c r="AO11" s="80">
        <f>IF(V11="","",IF(V11="SIM",VLOOKUP($I11&amp;$J11&amp;V$1,Pesos!$A:$I,7,FALSE),VLOOKUP($I11&amp;$J11&amp;V$1,Pesos!$A:$I,9,FALSE)))</f>
        <v>1</v>
      </c>
      <c r="AP11" s="80">
        <f>IF(W11="","",IF(W11="SIM",VLOOKUP($I11&amp;$J11&amp;W$1,Pesos!$A:$I,7,FALSE),VLOOKUP($I11&amp;$J11&amp;W$1,Pesos!$A:$I,9,FALSE)))</f>
        <v>1</v>
      </c>
      <c r="AQ11" s="80" t="str">
        <f>IF(X11="","",IF(X11="SIM",VLOOKUP($I11&amp;$J11&amp;X$1,Pesos!$A:$I,7,FALSE),VLOOKUP($I11&amp;$J11&amp;X$1,Pesos!$A:$I,9,FALSE)))</f>
        <v/>
      </c>
      <c r="AR11" s="80" t="str">
        <f>IF(Y11="","",IF(Y11="SIM",VLOOKUP($I11&amp;$J11&amp;Y$1,Pesos!$A:$I,7,FALSE),VLOOKUP($I11&amp;$J11&amp;Y$1,Pesos!$A:$I,9,FALSE)))</f>
        <v/>
      </c>
      <c r="AS11" s="81">
        <f>IFERROR(Z11*VLOOKUP(J11,'BD Campos'!$Y$1:$Z$12,2,FALSE),"0")</f>
        <v>6.8500000000000005</v>
      </c>
      <c r="AT11" s="76"/>
    </row>
    <row r="12" spans="1:46" x14ac:dyDescent="0.35">
      <c r="A12" s="68" t="str">
        <f t="shared" si="1"/>
        <v>Jan20251308ReceptivaRECEPTIVO</v>
      </c>
      <c r="B12" s="69" t="str">
        <f t="shared" si="0"/>
        <v>Jan202513081RECEPTIVOPADRÃO</v>
      </c>
      <c r="C12" s="70">
        <v>1</v>
      </c>
      <c r="D12" s="71">
        <v>45666.651250462965</v>
      </c>
      <c r="E12" s="110" t="s">
        <v>74</v>
      </c>
      <c r="F12" s="72">
        <v>1308</v>
      </c>
      <c r="G12" s="69" t="s">
        <v>262</v>
      </c>
      <c r="H12" s="73">
        <v>1</v>
      </c>
      <c r="I12" s="69" t="s">
        <v>97</v>
      </c>
      <c r="J12" s="69" t="s">
        <v>98</v>
      </c>
      <c r="K12" s="69" t="s">
        <v>99</v>
      </c>
      <c r="L12" s="74" t="s">
        <v>1410</v>
      </c>
      <c r="M12" s="75"/>
      <c r="N12" s="76" t="s">
        <v>79</v>
      </c>
      <c r="O12" s="76" t="s">
        <v>79</v>
      </c>
      <c r="P12" s="76" t="s">
        <v>79</v>
      </c>
      <c r="Q12" s="76" t="s">
        <v>79</v>
      </c>
      <c r="R12" s="76" t="s">
        <v>79</v>
      </c>
      <c r="S12" s="76" t="s">
        <v>79</v>
      </c>
      <c r="T12" s="76" t="s">
        <v>79</v>
      </c>
      <c r="U12" s="76" t="s">
        <v>79</v>
      </c>
      <c r="V12" s="76" t="s">
        <v>79</v>
      </c>
      <c r="W12" s="76" t="s">
        <v>79</v>
      </c>
      <c r="X12" s="76"/>
      <c r="Y12" s="76"/>
      <c r="Z12" s="77">
        <f t="shared" si="2"/>
        <v>10</v>
      </c>
      <c r="AA12" s="78"/>
      <c r="AB12" s="78"/>
      <c r="AC12" s="72" t="s">
        <v>47</v>
      </c>
      <c r="AD12" s="76"/>
      <c r="AE12" s="79" t="str">
        <f t="shared" si="3"/>
        <v>Jan1308</v>
      </c>
      <c r="AF12" s="80">
        <f>IF(N12="","",IF(N12="SIM",VLOOKUP($I12&amp;$J12&amp;N$1,Pesos!$A:$I,7,FALSE),VLOOKUP($I12&amp;$J12&amp;N$1,Pesos!$A:$I,9,FALSE)))</f>
        <v>1</v>
      </c>
      <c r="AG12" s="80">
        <f>IF(O12="","",IF(O12="SIM",VLOOKUP($I12&amp;$J12&amp;O$1,Pesos!$A:$I,7,FALSE),VLOOKUP($I12&amp;$J12&amp;O$1,Pesos!$A:$I,9,FALSE)))</f>
        <v>1</v>
      </c>
      <c r="AH12" s="80">
        <f>IF(P12="","",IF(P12="SIM",VLOOKUP($I12&amp;$J12&amp;P$1,Pesos!$A:$I,7,FALSE),VLOOKUP($I12&amp;$J12&amp;P$1,Pesos!$A:$I,9,FALSE)))</f>
        <v>1</v>
      </c>
      <c r="AI12" s="80">
        <f>IF(Q12="","",IF(Q12="SIM",VLOOKUP($I12&amp;$J12&amp;Q$1,Pesos!$A:$I,7,FALSE),VLOOKUP($I12&amp;$J12&amp;Q$1,Pesos!$A:$I,9,FALSE)))</f>
        <v>1</v>
      </c>
      <c r="AJ12" s="80">
        <f>IF(R12="","",IF(R12="SIM",VLOOKUP($I12&amp;$J12&amp;R$1,Pesos!$A:$I,7,FALSE),VLOOKUP($I12&amp;$J12&amp;R$1,Pesos!$A:$I,9,FALSE)))</f>
        <v>1</v>
      </c>
      <c r="AK12" s="80">
        <f>IF(S12="","",IF(S12="SIM",VLOOKUP($I12&amp;$J12&amp;S$1,Pesos!$A:$I,7,FALSE),VLOOKUP($I12&amp;$J12&amp;S$1,Pesos!$A:$I,9,FALSE)))</f>
        <v>1</v>
      </c>
      <c r="AL12" s="80">
        <f t="shared" si="4"/>
        <v>6</v>
      </c>
      <c r="AM12" s="80">
        <f>IF(T12="","",IF(T12="SIM",VLOOKUP($I12&amp;$J12&amp;T$1,Pesos!$A:$I,7,FALSE),VLOOKUP($I12&amp;$J12&amp;T$1,Pesos!$A:$I,9,FALSE)))</f>
        <v>1</v>
      </c>
      <c r="AN12" s="80">
        <f>IF(U12="","",IF(U12="SIM",VLOOKUP($I12&amp;$J12&amp;U$1,Pesos!$A:$I,7,FALSE),VLOOKUP($I12&amp;$J12&amp;U$1,Pesos!$A:$I,9,FALSE)))</f>
        <v>1</v>
      </c>
      <c r="AO12" s="80">
        <f>IF(V12="","",IF(V12="SIM",VLOOKUP($I12&amp;$J12&amp;V$1,Pesos!$A:$I,7,FALSE),VLOOKUP($I12&amp;$J12&amp;V$1,Pesos!$A:$I,9,FALSE)))</f>
        <v>1</v>
      </c>
      <c r="AP12" s="80">
        <f>IF(W12="","",IF(W12="SIM",VLOOKUP($I12&amp;$J12&amp;W$1,Pesos!$A:$I,7,FALSE),VLOOKUP($I12&amp;$J12&amp;W$1,Pesos!$A:$I,9,FALSE)))</f>
        <v>1</v>
      </c>
      <c r="AQ12" s="80" t="str">
        <f>IF(X12="","",IF(X12="SIM",VLOOKUP($I12&amp;$J12&amp;X$1,Pesos!$A:$I,7,FALSE),VLOOKUP($I12&amp;$J12&amp;X$1,Pesos!$A:$I,9,FALSE)))</f>
        <v/>
      </c>
      <c r="AR12" s="80" t="str">
        <f>IF(Y12="","",IF(Y12="SIM",VLOOKUP($I12&amp;$J12&amp;Y$1,Pesos!$A:$I,7,FALSE),VLOOKUP($I12&amp;$J12&amp;Y$1,Pesos!$A:$I,9,FALSE)))</f>
        <v/>
      </c>
      <c r="AS12" s="81">
        <f>IFERROR(Z12*VLOOKUP(J12,'BD Campos'!$Y$1:$Z$12,2,FALSE),"0")</f>
        <v>10</v>
      </c>
      <c r="AT12" s="76"/>
    </row>
    <row r="13" spans="1:46" x14ac:dyDescent="0.35">
      <c r="A13" s="68" t="str">
        <f t="shared" si="1"/>
        <v>Jan20251308Receptiva 2RECEPTIVO</v>
      </c>
      <c r="B13" s="69" t="str">
        <f t="shared" si="0"/>
        <v>Jan202513082RECEPTIVOPADRÃO</v>
      </c>
      <c r="C13" s="70">
        <v>1</v>
      </c>
      <c r="D13" s="71">
        <v>45666.656744560183</v>
      </c>
      <c r="E13" s="110" t="s">
        <v>74</v>
      </c>
      <c r="F13" s="72">
        <v>1308</v>
      </c>
      <c r="G13" s="69" t="s">
        <v>262</v>
      </c>
      <c r="H13" s="73">
        <v>2</v>
      </c>
      <c r="I13" s="69" t="s">
        <v>97</v>
      </c>
      <c r="J13" s="69" t="s">
        <v>100</v>
      </c>
      <c r="K13" s="69" t="s">
        <v>99</v>
      </c>
      <c r="L13" s="74">
        <v>173641104127711</v>
      </c>
      <c r="M13" s="75"/>
      <c r="N13" s="76" t="s">
        <v>79</v>
      </c>
      <c r="O13" s="76" t="s">
        <v>79</v>
      </c>
      <c r="P13" s="76" t="s">
        <v>79</v>
      </c>
      <c r="Q13" s="76" t="s">
        <v>79</v>
      </c>
      <c r="R13" s="76" t="s">
        <v>79</v>
      </c>
      <c r="S13" s="76" t="s">
        <v>79</v>
      </c>
      <c r="T13" s="76" t="s">
        <v>79</v>
      </c>
      <c r="U13" s="76" t="s">
        <v>79</v>
      </c>
      <c r="V13" s="76" t="s">
        <v>79</v>
      </c>
      <c r="W13" s="76" t="s">
        <v>79</v>
      </c>
      <c r="X13" s="76"/>
      <c r="Y13" s="76"/>
      <c r="Z13" s="77">
        <f t="shared" si="2"/>
        <v>10</v>
      </c>
      <c r="AA13" s="78"/>
      <c r="AB13" s="78"/>
      <c r="AC13" s="72" t="s">
        <v>47</v>
      </c>
      <c r="AD13" s="76"/>
      <c r="AE13" s="79" t="str">
        <f t="shared" si="3"/>
        <v>Jan1308</v>
      </c>
      <c r="AF13" s="80">
        <f>IF(N13="","",IF(N13="SIM",VLOOKUP($I13&amp;$J13&amp;N$1,Pesos!$A:$I,7,FALSE),VLOOKUP($I13&amp;$J13&amp;N$1,Pesos!$A:$I,9,FALSE)))</f>
        <v>1</v>
      </c>
      <c r="AG13" s="80">
        <f>IF(O13="","",IF(O13="SIM",VLOOKUP($I13&amp;$J13&amp;O$1,Pesos!$A:$I,7,FALSE),VLOOKUP($I13&amp;$J13&amp;O$1,Pesos!$A:$I,9,FALSE)))</f>
        <v>1</v>
      </c>
      <c r="AH13" s="80">
        <f>IF(P13="","",IF(P13="SIM",VLOOKUP($I13&amp;$J13&amp;P$1,Pesos!$A:$I,7,FALSE),VLOOKUP($I13&amp;$J13&amp;P$1,Pesos!$A:$I,9,FALSE)))</f>
        <v>1</v>
      </c>
      <c r="AI13" s="80">
        <f>IF(Q13="","",IF(Q13="SIM",VLOOKUP($I13&amp;$J13&amp;Q$1,Pesos!$A:$I,7,FALSE),VLOOKUP($I13&amp;$J13&amp;Q$1,Pesos!$A:$I,9,FALSE)))</f>
        <v>1</v>
      </c>
      <c r="AJ13" s="80">
        <f>IF(R13="","",IF(R13="SIM",VLOOKUP($I13&amp;$J13&amp;R$1,Pesos!$A:$I,7,FALSE),VLOOKUP($I13&amp;$J13&amp;R$1,Pesos!$A:$I,9,FALSE)))</f>
        <v>1</v>
      </c>
      <c r="AK13" s="80">
        <f>IF(S13="","",IF(S13="SIM",VLOOKUP($I13&amp;$J13&amp;S$1,Pesos!$A:$I,7,FALSE),VLOOKUP($I13&amp;$J13&amp;S$1,Pesos!$A:$I,9,FALSE)))</f>
        <v>1</v>
      </c>
      <c r="AL13" s="80">
        <f t="shared" si="4"/>
        <v>6</v>
      </c>
      <c r="AM13" s="80">
        <f>IF(T13="","",IF(T13="SIM",VLOOKUP($I13&amp;$J13&amp;T$1,Pesos!$A:$I,7,FALSE),VLOOKUP($I13&amp;$J13&amp;T$1,Pesos!$A:$I,9,FALSE)))</f>
        <v>1</v>
      </c>
      <c r="AN13" s="80">
        <f>IF(U13="","",IF(U13="SIM",VLOOKUP($I13&amp;$J13&amp;U$1,Pesos!$A:$I,7,FALSE),VLOOKUP($I13&amp;$J13&amp;U$1,Pesos!$A:$I,9,FALSE)))</f>
        <v>1</v>
      </c>
      <c r="AO13" s="80">
        <f>IF(V13="","",IF(V13="SIM",VLOOKUP($I13&amp;$J13&amp;V$1,Pesos!$A:$I,7,FALSE),VLOOKUP($I13&amp;$J13&amp;V$1,Pesos!$A:$I,9,FALSE)))</f>
        <v>1</v>
      </c>
      <c r="AP13" s="80">
        <f>IF(W13="","",IF(W13="SIM",VLOOKUP($I13&amp;$J13&amp;W$1,Pesos!$A:$I,7,FALSE),VLOOKUP($I13&amp;$J13&amp;W$1,Pesos!$A:$I,9,FALSE)))</f>
        <v>1</v>
      </c>
      <c r="AQ13" s="80" t="str">
        <f>IF(X13="","",IF(X13="SIM",VLOOKUP($I13&amp;$J13&amp;X$1,Pesos!$A:$I,7,FALSE),VLOOKUP($I13&amp;$J13&amp;X$1,Pesos!$A:$I,9,FALSE)))</f>
        <v/>
      </c>
      <c r="AR13" s="80" t="str">
        <f>IF(Y13="","",IF(Y13="SIM",VLOOKUP($I13&amp;$J13&amp;Y$1,Pesos!$A:$I,7,FALSE),VLOOKUP($I13&amp;$J13&amp;Y$1,Pesos!$A:$I,9,FALSE)))</f>
        <v/>
      </c>
      <c r="AS13" s="81">
        <f>IFERROR(Z13*VLOOKUP(J13,'BD Campos'!$Y$1:$Z$12,2,FALSE),"0")</f>
        <v>10</v>
      </c>
      <c r="AT13" s="76"/>
    </row>
    <row r="14" spans="1:46" x14ac:dyDescent="0.35">
      <c r="A14" s="68" t="str">
        <f t="shared" si="1"/>
        <v>Jan202510961ReceptivaRECEPTIVO</v>
      </c>
      <c r="B14" s="69" t="str">
        <f t="shared" si="0"/>
        <v>Jan2025109611RECEPTIVOPADRÃO</v>
      </c>
      <c r="C14" s="70">
        <v>1</v>
      </c>
      <c r="D14" s="71">
        <v>45666.659889351853</v>
      </c>
      <c r="E14" s="110" t="s">
        <v>74</v>
      </c>
      <c r="F14" s="72">
        <v>10961</v>
      </c>
      <c r="G14" s="69" t="s">
        <v>104</v>
      </c>
      <c r="H14" s="73">
        <v>1</v>
      </c>
      <c r="I14" s="69" t="s">
        <v>97</v>
      </c>
      <c r="J14" s="69" t="s">
        <v>98</v>
      </c>
      <c r="K14" s="69" t="s">
        <v>99</v>
      </c>
      <c r="L14" s="74" t="s">
        <v>1411</v>
      </c>
      <c r="M14" s="75"/>
      <c r="N14" s="76" t="s">
        <v>83</v>
      </c>
      <c r="O14" s="76" t="s">
        <v>79</v>
      </c>
      <c r="P14" s="76" t="s">
        <v>79</v>
      </c>
      <c r="Q14" s="76" t="s">
        <v>79</v>
      </c>
      <c r="R14" s="76" t="s">
        <v>79</v>
      </c>
      <c r="S14" s="76" t="s">
        <v>79</v>
      </c>
      <c r="T14" s="76" t="s">
        <v>79</v>
      </c>
      <c r="U14" s="76" t="s">
        <v>83</v>
      </c>
      <c r="V14" s="76" t="s">
        <v>79</v>
      </c>
      <c r="W14" s="76" t="s">
        <v>79</v>
      </c>
      <c r="X14" s="76"/>
      <c r="Y14" s="76"/>
      <c r="Z14" s="77">
        <f t="shared" si="2"/>
        <v>7.9</v>
      </c>
      <c r="AA14" s="78"/>
      <c r="AB14" s="78"/>
      <c r="AC14" s="72" t="s">
        <v>47</v>
      </c>
      <c r="AD14" s="76"/>
      <c r="AE14" s="79" t="str">
        <f t="shared" si="3"/>
        <v>Jan10961</v>
      </c>
      <c r="AF14" s="80">
        <f>IF(N14="","",IF(N14="SIM",VLOOKUP($I14&amp;$J14&amp;N$1,Pesos!$A:$I,7,FALSE),VLOOKUP($I14&amp;$J14&amp;N$1,Pesos!$A:$I,9,FALSE)))</f>
        <v>-0.05</v>
      </c>
      <c r="AG14" s="80">
        <f>IF(O14="","",IF(O14="SIM",VLOOKUP($I14&amp;$J14&amp;O$1,Pesos!$A:$I,7,FALSE),VLOOKUP($I14&amp;$J14&amp;O$1,Pesos!$A:$I,9,FALSE)))</f>
        <v>1</v>
      </c>
      <c r="AH14" s="80">
        <f>IF(P14="","",IF(P14="SIM",VLOOKUP($I14&amp;$J14&amp;P$1,Pesos!$A:$I,7,FALSE),VLOOKUP($I14&amp;$J14&amp;P$1,Pesos!$A:$I,9,FALSE)))</f>
        <v>1</v>
      </c>
      <c r="AI14" s="80">
        <f>IF(Q14="","",IF(Q14="SIM",VLOOKUP($I14&amp;$J14&amp;Q$1,Pesos!$A:$I,7,FALSE),VLOOKUP($I14&amp;$J14&amp;Q$1,Pesos!$A:$I,9,FALSE)))</f>
        <v>1</v>
      </c>
      <c r="AJ14" s="80">
        <f>IF(R14="","",IF(R14="SIM",VLOOKUP($I14&amp;$J14&amp;R$1,Pesos!$A:$I,7,FALSE),VLOOKUP($I14&amp;$J14&amp;R$1,Pesos!$A:$I,9,FALSE)))</f>
        <v>1</v>
      </c>
      <c r="AK14" s="80">
        <f>IF(S14="","",IF(S14="SIM",VLOOKUP($I14&amp;$J14&amp;S$1,Pesos!$A:$I,7,FALSE),VLOOKUP($I14&amp;$J14&amp;S$1,Pesos!$A:$I,9,FALSE)))</f>
        <v>1</v>
      </c>
      <c r="AL14" s="80">
        <f t="shared" si="4"/>
        <v>4.95</v>
      </c>
      <c r="AM14" s="80">
        <f>IF(T14="","",IF(T14="SIM",VLOOKUP($I14&amp;$J14&amp;T$1,Pesos!$A:$I,7,FALSE),VLOOKUP($I14&amp;$J14&amp;T$1,Pesos!$A:$I,9,FALSE)))</f>
        <v>1</v>
      </c>
      <c r="AN14" s="80">
        <f>IF(U14="","",IF(U14="SIM",VLOOKUP($I14&amp;$J14&amp;U$1,Pesos!$A:$I,7,FALSE),VLOOKUP($I14&amp;$J14&amp;U$1,Pesos!$A:$I,9,FALSE)))</f>
        <v>-0.05</v>
      </c>
      <c r="AO14" s="80">
        <f>IF(V14="","",IF(V14="SIM",VLOOKUP($I14&amp;$J14&amp;V$1,Pesos!$A:$I,7,FALSE),VLOOKUP($I14&amp;$J14&amp;V$1,Pesos!$A:$I,9,FALSE)))</f>
        <v>1</v>
      </c>
      <c r="AP14" s="80">
        <f>IF(W14="","",IF(W14="SIM",VLOOKUP($I14&amp;$J14&amp;W$1,Pesos!$A:$I,7,FALSE),VLOOKUP($I14&amp;$J14&amp;W$1,Pesos!$A:$I,9,FALSE)))</f>
        <v>1</v>
      </c>
      <c r="AQ14" s="80" t="str">
        <f>IF(X14="","",IF(X14="SIM",VLOOKUP($I14&amp;$J14&amp;X$1,Pesos!$A:$I,7,FALSE),VLOOKUP($I14&amp;$J14&amp;X$1,Pesos!$A:$I,9,FALSE)))</f>
        <v/>
      </c>
      <c r="AR14" s="80" t="str">
        <f>IF(Y14="","",IF(Y14="SIM",VLOOKUP($I14&amp;$J14&amp;Y$1,Pesos!$A:$I,7,FALSE),VLOOKUP($I14&amp;$J14&amp;Y$1,Pesos!$A:$I,9,FALSE)))</f>
        <v/>
      </c>
      <c r="AS14" s="81">
        <f>IFERROR(Z14*VLOOKUP(J14,'BD Campos'!$Y$1:$Z$12,2,FALSE),"0")</f>
        <v>7.9</v>
      </c>
      <c r="AT14" s="76"/>
    </row>
    <row r="15" spans="1:46" x14ac:dyDescent="0.35">
      <c r="A15" s="68" t="str">
        <f t="shared" si="1"/>
        <v>Jan202510961Receptiva 2RECEPTIVO</v>
      </c>
      <c r="B15" s="69" t="str">
        <f t="shared" si="0"/>
        <v>Jan2025109612RECEPTIVOPADRÃO</v>
      </c>
      <c r="C15" s="70">
        <v>1</v>
      </c>
      <c r="D15" s="71">
        <v>45666.662649305559</v>
      </c>
      <c r="E15" s="110" t="s">
        <v>74</v>
      </c>
      <c r="F15" s="72">
        <v>10961</v>
      </c>
      <c r="G15" s="69" t="s">
        <v>104</v>
      </c>
      <c r="H15" s="73">
        <v>2</v>
      </c>
      <c r="I15" s="69" t="s">
        <v>97</v>
      </c>
      <c r="J15" s="69" t="s">
        <v>100</v>
      </c>
      <c r="K15" s="69" t="s">
        <v>99</v>
      </c>
      <c r="L15" s="74" t="s">
        <v>1412</v>
      </c>
      <c r="M15" s="75"/>
      <c r="N15" s="76" t="s">
        <v>79</v>
      </c>
      <c r="O15" s="76" t="s">
        <v>79</v>
      </c>
      <c r="P15" s="76" t="s">
        <v>79</v>
      </c>
      <c r="Q15" s="76" t="s">
        <v>83</v>
      </c>
      <c r="R15" s="76" t="s">
        <v>79</v>
      </c>
      <c r="S15" s="76" t="s">
        <v>79</v>
      </c>
      <c r="T15" s="76" t="s">
        <v>79</v>
      </c>
      <c r="U15" s="76" t="s">
        <v>83</v>
      </c>
      <c r="V15" s="76" t="s">
        <v>79</v>
      </c>
      <c r="W15" s="76" t="s">
        <v>83</v>
      </c>
      <c r="X15" s="76"/>
      <c r="Y15" s="76"/>
      <c r="Z15" s="77">
        <f t="shared" si="2"/>
        <v>6.8500000000000005</v>
      </c>
      <c r="AA15" s="78" t="s">
        <v>1413</v>
      </c>
      <c r="AB15" s="78"/>
      <c r="AC15" s="72" t="s">
        <v>47</v>
      </c>
      <c r="AD15" s="76"/>
      <c r="AE15" s="79" t="str">
        <f t="shared" si="3"/>
        <v>Jan10961</v>
      </c>
      <c r="AF15" s="80">
        <f>IF(N15="","",IF(N15="SIM",VLOOKUP($I15&amp;$J15&amp;N$1,Pesos!$A:$I,7,FALSE),VLOOKUP($I15&amp;$J15&amp;N$1,Pesos!$A:$I,9,FALSE)))</f>
        <v>1</v>
      </c>
      <c r="AG15" s="80">
        <f>IF(O15="","",IF(O15="SIM",VLOOKUP($I15&amp;$J15&amp;O$1,Pesos!$A:$I,7,FALSE),VLOOKUP($I15&amp;$J15&amp;O$1,Pesos!$A:$I,9,FALSE)))</f>
        <v>1</v>
      </c>
      <c r="AH15" s="80">
        <f>IF(P15="","",IF(P15="SIM",VLOOKUP($I15&amp;$J15&amp;P$1,Pesos!$A:$I,7,FALSE),VLOOKUP($I15&amp;$J15&amp;P$1,Pesos!$A:$I,9,FALSE)))</f>
        <v>1</v>
      </c>
      <c r="AI15" s="80">
        <f>IF(Q15="","",IF(Q15="SIM",VLOOKUP($I15&amp;$J15&amp;Q$1,Pesos!$A:$I,7,FALSE),VLOOKUP($I15&amp;$J15&amp;Q$1,Pesos!$A:$I,9,FALSE)))</f>
        <v>-0.05</v>
      </c>
      <c r="AJ15" s="80">
        <f>IF(R15="","",IF(R15="SIM",VLOOKUP($I15&amp;$J15&amp;R$1,Pesos!$A:$I,7,FALSE),VLOOKUP($I15&amp;$J15&amp;R$1,Pesos!$A:$I,9,FALSE)))</f>
        <v>1</v>
      </c>
      <c r="AK15" s="80">
        <f>IF(S15="","",IF(S15="SIM",VLOOKUP($I15&amp;$J15&amp;S$1,Pesos!$A:$I,7,FALSE),VLOOKUP($I15&amp;$J15&amp;S$1,Pesos!$A:$I,9,FALSE)))</f>
        <v>1</v>
      </c>
      <c r="AL15" s="80">
        <f t="shared" si="4"/>
        <v>4.95</v>
      </c>
      <c r="AM15" s="80">
        <f>IF(T15="","",IF(T15="SIM",VLOOKUP($I15&amp;$J15&amp;T$1,Pesos!$A:$I,7,FALSE),VLOOKUP($I15&amp;$J15&amp;T$1,Pesos!$A:$I,9,FALSE)))</f>
        <v>1</v>
      </c>
      <c r="AN15" s="80">
        <f>IF(U15="","",IF(U15="SIM",VLOOKUP($I15&amp;$J15&amp;U$1,Pesos!$A:$I,7,FALSE),VLOOKUP($I15&amp;$J15&amp;U$1,Pesos!$A:$I,9,FALSE)))</f>
        <v>-0.05</v>
      </c>
      <c r="AO15" s="80">
        <f>IF(V15="","",IF(V15="SIM",VLOOKUP($I15&amp;$J15&amp;V$1,Pesos!$A:$I,7,FALSE),VLOOKUP($I15&amp;$J15&amp;V$1,Pesos!$A:$I,9,FALSE)))</f>
        <v>1</v>
      </c>
      <c r="AP15" s="80">
        <f>IF(W15="","",IF(W15="SIM",VLOOKUP($I15&amp;$J15&amp;W$1,Pesos!$A:$I,7,FALSE),VLOOKUP($I15&amp;$J15&amp;W$1,Pesos!$A:$I,9,FALSE)))</f>
        <v>-0.05</v>
      </c>
      <c r="AQ15" s="80" t="str">
        <f>IF(X15="","",IF(X15="SIM",VLOOKUP($I15&amp;$J15&amp;X$1,Pesos!$A:$I,7,FALSE),VLOOKUP($I15&amp;$J15&amp;X$1,Pesos!$A:$I,9,FALSE)))</f>
        <v/>
      </c>
      <c r="AR15" s="80" t="str">
        <f>IF(Y15="","",IF(Y15="SIM",VLOOKUP($I15&amp;$J15&amp;Y$1,Pesos!$A:$I,7,FALSE),VLOOKUP($I15&amp;$J15&amp;Y$1,Pesos!$A:$I,9,FALSE)))</f>
        <v/>
      </c>
      <c r="AS15" s="81">
        <f>IFERROR(Z15*VLOOKUP(J15,'BD Campos'!$Y$1:$Z$12,2,FALSE),"0")</f>
        <v>6.8500000000000005</v>
      </c>
      <c r="AT15" s="76"/>
    </row>
    <row r="16" spans="1:46" x14ac:dyDescent="0.35">
      <c r="A16" s="68" t="str">
        <f t="shared" si="1"/>
        <v>Jan202510898ReceptivaTRANSFERÊNCIA</v>
      </c>
      <c r="B16" s="69" t="str">
        <f t="shared" si="0"/>
        <v>Jan2025108985TRANSFERÊNCIAPADRÃO</v>
      </c>
      <c r="C16" s="70">
        <v>1</v>
      </c>
      <c r="D16" s="71">
        <v>45667.427179050923</v>
      </c>
      <c r="E16" s="110" t="s">
        <v>74</v>
      </c>
      <c r="F16" s="72">
        <v>10898</v>
      </c>
      <c r="G16" s="69" t="s">
        <v>172</v>
      </c>
      <c r="H16" s="73">
        <v>5</v>
      </c>
      <c r="I16" s="69" t="s">
        <v>6</v>
      </c>
      <c r="J16" s="69" t="s">
        <v>98</v>
      </c>
      <c r="K16" s="69" t="s">
        <v>106</v>
      </c>
      <c r="L16" s="74"/>
      <c r="M16" s="75">
        <v>2.5347222222222221E-3</v>
      </c>
      <c r="N16" s="76"/>
      <c r="O16" s="76"/>
      <c r="P16" s="76"/>
      <c r="Q16" s="76"/>
      <c r="R16" s="76"/>
      <c r="S16" s="76"/>
      <c r="T16" s="76"/>
      <c r="U16" s="76"/>
      <c r="V16" s="76"/>
      <c r="W16" s="76"/>
      <c r="X16" s="76"/>
      <c r="Y16" s="76"/>
      <c r="Z16" s="77">
        <f t="shared" si="2"/>
        <v>0</v>
      </c>
      <c r="AA16" s="78" t="s">
        <v>1414</v>
      </c>
      <c r="AB16" s="78"/>
      <c r="AC16" s="72" t="s">
        <v>47</v>
      </c>
      <c r="AD16" s="76"/>
      <c r="AE16" s="79" t="str">
        <f t="shared" si="3"/>
        <v>Jan10898</v>
      </c>
      <c r="AF16" s="80" t="str">
        <f>IF(N16="","",IF(N16="SIM",VLOOKUP($I16&amp;$J16&amp;N$1,Pesos!$A:$I,7,FALSE),VLOOKUP($I16&amp;$J16&amp;N$1,Pesos!$A:$I,9,FALSE)))</f>
        <v/>
      </c>
      <c r="AG16" s="80" t="str">
        <f>IF(O16="","",IF(O16="SIM",VLOOKUP($I16&amp;$J16&amp;O$1,Pesos!$A:$I,7,FALSE),VLOOKUP($I16&amp;$J16&amp;O$1,Pesos!$A:$I,9,FALSE)))</f>
        <v/>
      </c>
      <c r="AH16" s="80" t="str">
        <f>IF(P16="","",IF(P16="SIM",VLOOKUP($I16&amp;$J16&amp;P$1,Pesos!$A:$I,7,FALSE),VLOOKUP($I16&amp;$J16&amp;P$1,Pesos!$A:$I,9,FALSE)))</f>
        <v/>
      </c>
      <c r="AI16" s="80" t="str">
        <f>IF(Q16="","",IF(Q16="SIM",VLOOKUP($I16&amp;$J16&amp;Q$1,Pesos!$A:$I,7,FALSE),VLOOKUP($I16&amp;$J16&amp;Q$1,Pesos!$A:$I,9,FALSE)))</f>
        <v/>
      </c>
      <c r="AJ16" s="80" t="str">
        <f>IF(R16="","",IF(R16="SIM",VLOOKUP($I16&amp;$J16&amp;R$1,Pesos!$A:$I,7,FALSE),VLOOKUP($I16&amp;$J16&amp;R$1,Pesos!$A:$I,9,FALSE)))</f>
        <v/>
      </c>
      <c r="AK16" s="80" t="str">
        <f>IF(S16="","",IF(S16="SIM",VLOOKUP($I16&amp;$J16&amp;S$1,Pesos!$A:$I,7,FALSE),VLOOKUP($I16&amp;$J16&amp;S$1,Pesos!$A:$I,9,FALSE)))</f>
        <v/>
      </c>
      <c r="AL16" s="80">
        <f t="shared" si="4"/>
        <v>0</v>
      </c>
      <c r="AM16" s="80" t="str">
        <f>IF(T16="","",IF(T16="SIM",VLOOKUP($I16&amp;$J16&amp;T$1,Pesos!$A:$I,7,FALSE),VLOOKUP($I16&amp;$J16&amp;T$1,Pesos!$A:$I,9,FALSE)))</f>
        <v/>
      </c>
      <c r="AN16" s="80" t="str">
        <f>IF(U16="","",IF(U16="SIM",VLOOKUP($I16&amp;$J16&amp;U$1,Pesos!$A:$I,7,FALSE),VLOOKUP($I16&amp;$J16&amp;U$1,Pesos!$A:$I,9,FALSE)))</f>
        <v/>
      </c>
      <c r="AO16" s="80" t="str">
        <f>IF(V16="","",IF(V16="SIM",VLOOKUP($I16&amp;$J16&amp;V$1,Pesos!$A:$I,7,FALSE),VLOOKUP($I16&amp;$J16&amp;V$1,Pesos!$A:$I,9,FALSE)))</f>
        <v/>
      </c>
      <c r="AP16" s="80" t="str">
        <f>IF(W16="","",IF(W16="SIM",VLOOKUP($I16&amp;$J16&amp;W$1,Pesos!$A:$I,7,FALSE),VLOOKUP($I16&amp;$J16&amp;W$1,Pesos!$A:$I,9,FALSE)))</f>
        <v/>
      </c>
      <c r="AQ16" s="80" t="str">
        <f>IF(X16="","",IF(X16="SIM",VLOOKUP($I16&amp;$J16&amp;X$1,Pesos!$A:$I,7,FALSE),VLOOKUP($I16&amp;$J16&amp;X$1,Pesos!$A:$I,9,FALSE)))</f>
        <v/>
      </c>
      <c r="AR16" s="80" t="str">
        <f>IF(Y16="","",IF(Y16="SIM",VLOOKUP($I16&amp;$J16&amp;Y$1,Pesos!$A:$I,7,FALSE),VLOOKUP($I16&amp;$J16&amp;Y$1,Pesos!$A:$I,9,FALSE)))</f>
        <v/>
      </c>
      <c r="AS16" s="81">
        <f>IFERROR(Z16*VLOOKUP(J16,'BD Campos'!$Y$1:$Z$12,2,FALSE),"0")</f>
        <v>0</v>
      </c>
      <c r="AT16" s="76"/>
    </row>
    <row r="17" spans="1:46" x14ac:dyDescent="0.35">
      <c r="A17" s="68" t="str">
        <f t="shared" si="1"/>
        <v>Jan202510901ReceptivaTRANSFERÊNCIA</v>
      </c>
      <c r="B17" s="69" t="str">
        <f t="shared" si="0"/>
        <v>Jan2025109015TRANSFERÊNCIAPADRÃO</v>
      </c>
      <c r="C17" s="70">
        <v>1</v>
      </c>
      <c r="D17" s="71">
        <v>45667.430524884257</v>
      </c>
      <c r="E17" s="110" t="s">
        <v>74</v>
      </c>
      <c r="F17" s="72">
        <v>10901</v>
      </c>
      <c r="G17" s="69" t="s">
        <v>173</v>
      </c>
      <c r="H17" s="73">
        <v>5</v>
      </c>
      <c r="I17" s="69" t="s">
        <v>6</v>
      </c>
      <c r="J17" s="69" t="s">
        <v>98</v>
      </c>
      <c r="K17" s="69" t="s">
        <v>106</v>
      </c>
      <c r="L17" s="74"/>
      <c r="M17" s="75">
        <v>1.25E-3</v>
      </c>
      <c r="N17" s="76" t="s">
        <v>79</v>
      </c>
      <c r="O17" s="76" t="s">
        <v>79</v>
      </c>
      <c r="P17" s="76" t="s">
        <v>79</v>
      </c>
      <c r="Q17" s="76" t="s">
        <v>83</v>
      </c>
      <c r="R17" s="76" t="s">
        <v>79</v>
      </c>
      <c r="S17" s="76" t="s">
        <v>79</v>
      </c>
      <c r="T17" s="76" t="s">
        <v>79</v>
      </c>
      <c r="U17" s="76" t="s">
        <v>79</v>
      </c>
      <c r="V17" s="76" t="s">
        <v>79</v>
      </c>
      <c r="W17" s="76" t="s">
        <v>79</v>
      </c>
      <c r="X17" s="76" t="s">
        <v>79</v>
      </c>
      <c r="Y17" s="76" t="s">
        <v>79</v>
      </c>
      <c r="Z17" s="77">
        <f t="shared" si="2"/>
        <v>9.16</v>
      </c>
      <c r="AA17" s="78"/>
      <c r="AB17" s="78"/>
      <c r="AC17" s="72" t="s">
        <v>47</v>
      </c>
      <c r="AD17" s="76"/>
      <c r="AE17" s="79" t="str">
        <f t="shared" si="3"/>
        <v>Jan10901</v>
      </c>
      <c r="AF17" s="80">
        <f>IF(N17="","",IF(N17="SIM",VLOOKUP($I17&amp;$J17&amp;N$1,Pesos!$A:$I,7,FALSE),VLOOKUP($I17&amp;$J17&amp;N$1,Pesos!$A:$I,9,FALSE)))</f>
        <v>0.8</v>
      </c>
      <c r="AG17" s="80">
        <f>IF(O17="","",IF(O17="SIM",VLOOKUP($I17&amp;$J17&amp;O$1,Pesos!$A:$I,7,FALSE),VLOOKUP($I17&amp;$J17&amp;O$1,Pesos!$A:$I,9,FALSE)))</f>
        <v>0.8</v>
      </c>
      <c r="AH17" s="80">
        <f>IF(P17="","",IF(P17="SIM",VLOOKUP($I17&amp;$J17&amp;P$1,Pesos!$A:$I,7,FALSE),VLOOKUP($I17&amp;$J17&amp;P$1,Pesos!$A:$I,9,FALSE)))</f>
        <v>1.2</v>
      </c>
      <c r="AI17" s="80">
        <f>IF(Q17="","",IF(Q17="SIM",VLOOKUP($I17&amp;$J17&amp;Q$1,Pesos!$A:$I,7,FALSE),VLOOKUP($I17&amp;$J17&amp;Q$1,Pesos!$A:$I,9,FALSE)))</f>
        <v>-4.0000000000000008E-2</v>
      </c>
      <c r="AJ17" s="80">
        <f>IF(R17="","",IF(R17="SIM",VLOOKUP($I17&amp;$J17&amp;R$1,Pesos!$A:$I,7,FALSE),VLOOKUP($I17&amp;$J17&amp;R$1,Pesos!$A:$I,9,FALSE)))</f>
        <v>0.8</v>
      </c>
      <c r="AK17" s="80">
        <f>IF(S17="","",IF(S17="SIM",VLOOKUP($I17&amp;$J17&amp;S$1,Pesos!$A:$I,7,FALSE),VLOOKUP($I17&amp;$J17&amp;S$1,Pesos!$A:$I,9,FALSE)))</f>
        <v>0.8</v>
      </c>
      <c r="AL17" s="80">
        <f t="shared" si="4"/>
        <v>4.3599999999999994</v>
      </c>
      <c r="AM17" s="80">
        <f>IF(T17="","",IF(T17="SIM",VLOOKUP($I17&amp;$J17&amp;T$1,Pesos!$A:$I,7,FALSE),VLOOKUP($I17&amp;$J17&amp;T$1,Pesos!$A:$I,9,FALSE)))</f>
        <v>0.8</v>
      </c>
      <c r="AN17" s="80">
        <f>IF(U17="","",IF(U17="SIM",VLOOKUP($I17&amp;$J17&amp;U$1,Pesos!$A:$I,7,FALSE),VLOOKUP($I17&amp;$J17&amp;U$1,Pesos!$A:$I,9,FALSE)))</f>
        <v>0.8</v>
      </c>
      <c r="AO17" s="80">
        <f>IF(V17="","",IF(V17="SIM",VLOOKUP($I17&amp;$J17&amp;V$1,Pesos!$A:$I,7,FALSE),VLOOKUP($I17&amp;$J17&amp;V$1,Pesos!$A:$I,9,FALSE)))</f>
        <v>0.8</v>
      </c>
      <c r="AP17" s="80">
        <f>IF(W17="","",IF(W17="SIM",VLOOKUP($I17&amp;$J17&amp;W$1,Pesos!$A:$I,7,FALSE),VLOOKUP($I17&amp;$J17&amp;W$1,Pesos!$A:$I,9,FALSE)))</f>
        <v>0.8</v>
      </c>
      <c r="AQ17" s="80">
        <f>IF(X17="","",IF(X17="SIM",VLOOKUP($I17&amp;$J17&amp;X$1,Pesos!$A:$I,7,FALSE),VLOOKUP($I17&amp;$J17&amp;X$1,Pesos!$A:$I,9,FALSE)))</f>
        <v>0.8</v>
      </c>
      <c r="AR17" s="80">
        <f>IF(Y17="","",IF(Y17="SIM",VLOOKUP($I17&amp;$J17&amp;Y$1,Pesos!$A:$I,7,FALSE),VLOOKUP($I17&amp;$J17&amp;Y$1,Pesos!$A:$I,9,FALSE)))</f>
        <v>0.8</v>
      </c>
      <c r="AS17" s="81">
        <f>IFERROR(Z17*VLOOKUP(J17,'BD Campos'!$Y$1:$Z$12,2,FALSE),"0")</f>
        <v>9.16</v>
      </c>
      <c r="AT17" s="76"/>
    </row>
    <row r="18" spans="1:46" x14ac:dyDescent="0.35">
      <c r="A18" s="68" t="str">
        <f t="shared" si="1"/>
        <v>Jan202510915ReceptivaTRANSFERÊNCIA</v>
      </c>
      <c r="B18" s="69" t="str">
        <f t="shared" si="0"/>
        <v>Jan2025109155TRANSFERÊNCIAPADRÃO</v>
      </c>
      <c r="C18" s="70">
        <v>1</v>
      </c>
      <c r="D18" s="71">
        <v>45667.431849537039</v>
      </c>
      <c r="E18" s="110" t="s">
        <v>74</v>
      </c>
      <c r="F18" s="72">
        <v>10915</v>
      </c>
      <c r="G18" s="69" t="s">
        <v>174</v>
      </c>
      <c r="H18" s="73">
        <v>5</v>
      </c>
      <c r="I18" s="69" t="s">
        <v>6</v>
      </c>
      <c r="J18" s="69" t="s">
        <v>98</v>
      </c>
      <c r="K18" s="69" t="s">
        <v>106</v>
      </c>
      <c r="L18" s="74"/>
      <c r="M18" s="75">
        <v>1.1111111111111111E-3</v>
      </c>
      <c r="N18" s="76" t="s">
        <v>79</v>
      </c>
      <c r="O18" s="76" t="s">
        <v>79</v>
      </c>
      <c r="P18" s="76" t="s">
        <v>79</v>
      </c>
      <c r="Q18" s="76" t="s">
        <v>79</v>
      </c>
      <c r="R18" s="76" t="s">
        <v>79</v>
      </c>
      <c r="S18" s="76" t="s">
        <v>79</v>
      </c>
      <c r="T18" s="76" t="s">
        <v>79</v>
      </c>
      <c r="U18" s="76" t="s">
        <v>79</v>
      </c>
      <c r="V18" s="76" t="s">
        <v>79</v>
      </c>
      <c r="W18" s="76" t="s">
        <v>79</v>
      </c>
      <c r="X18" s="76" t="s">
        <v>79</v>
      </c>
      <c r="Y18" s="76" t="s">
        <v>79</v>
      </c>
      <c r="Z18" s="77">
        <f t="shared" si="2"/>
        <v>10</v>
      </c>
      <c r="AA18" s="78"/>
      <c r="AB18" s="78"/>
      <c r="AC18" s="72" t="s">
        <v>47</v>
      </c>
      <c r="AD18" s="76"/>
      <c r="AE18" s="79" t="str">
        <f t="shared" si="3"/>
        <v>Jan10915</v>
      </c>
      <c r="AF18" s="80">
        <f>IF(N18="","",IF(N18="SIM",VLOOKUP($I18&amp;$J18&amp;N$1,Pesos!$A:$I,7,FALSE),VLOOKUP($I18&amp;$J18&amp;N$1,Pesos!$A:$I,9,FALSE)))</f>
        <v>0.8</v>
      </c>
      <c r="AG18" s="80">
        <f>IF(O18="","",IF(O18="SIM",VLOOKUP($I18&amp;$J18&amp;O$1,Pesos!$A:$I,7,FALSE),VLOOKUP($I18&amp;$J18&amp;O$1,Pesos!$A:$I,9,FALSE)))</f>
        <v>0.8</v>
      </c>
      <c r="AH18" s="80">
        <f>IF(P18="","",IF(P18="SIM",VLOOKUP($I18&amp;$J18&amp;P$1,Pesos!$A:$I,7,FALSE),VLOOKUP($I18&amp;$J18&amp;P$1,Pesos!$A:$I,9,FALSE)))</f>
        <v>1.2</v>
      </c>
      <c r="AI18" s="80">
        <f>IF(Q18="","",IF(Q18="SIM",VLOOKUP($I18&amp;$J18&amp;Q$1,Pesos!$A:$I,7,FALSE),VLOOKUP($I18&amp;$J18&amp;Q$1,Pesos!$A:$I,9,FALSE)))</f>
        <v>0.8</v>
      </c>
      <c r="AJ18" s="80">
        <f>IF(R18="","",IF(R18="SIM",VLOOKUP($I18&amp;$J18&amp;R$1,Pesos!$A:$I,7,FALSE),VLOOKUP($I18&amp;$J18&amp;R$1,Pesos!$A:$I,9,FALSE)))</f>
        <v>0.8</v>
      </c>
      <c r="AK18" s="80">
        <f>IF(S18="","",IF(S18="SIM",VLOOKUP($I18&amp;$J18&amp;S$1,Pesos!$A:$I,7,FALSE),VLOOKUP($I18&amp;$J18&amp;S$1,Pesos!$A:$I,9,FALSE)))</f>
        <v>0.8</v>
      </c>
      <c r="AL18" s="80">
        <f t="shared" si="4"/>
        <v>5.1999999999999993</v>
      </c>
      <c r="AM18" s="80">
        <f>IF(T18="","",IF(T18="SIM",VLOOKUP($I18&amp;$J18&amp;T$1,Pesos!$A:$I,7,FALSE),VLOOKUP($I18&amp;$J18&amp;T$1,Pesos!$A:$I,9,FALSE)))</f>
        <v>0.8</v>
      </c>
      <c r="AN18" s="80">
        <f>IF(U18="","",IF(U18="SIM",VLOOKUP($I18&amp;$J18&amp;U$1,Pesos!$A:$I,7,FALSE),VLOOKUP($I18&amp;$J18&amp;U$1,Pesos!$A:$I,9,FALSE)))</f>
        <v>0.8</v>
      </c>
      <c r="AO18" s="80">
        <f>IF(V18="","",IF(V18="SIM",VLOOKUP($I18&amp;$J18&amp;V$1,Pesos!$A:$I,7,FALSE),VLOOKUP($I18&amp;$J18&amp;V$1,Pesos!$A:$I,9,FALSE)))</f>
        <v>0.8</v>
      </c>
      <c r="AP18" s="80">
        <f>IF(W18="","",IF(W18="SIM",VLOOKUP($I18&amp;$J18&amp;W$1,Pesos!$A:$I,7,FALSE),VLOOKUP($I18&amp;$J18&amp;W$1,Pesos!$A:$I,9,FALSE)))</f>
        <v>0.8</v>
      </c>
      <c r="AQ18" s="80">
        <f>IF(X18="","",IF(X18="SIM",VLOOKUP($I18&amp;$J18&amp;X$1,Pesos!$A:$I,7,FALSE),VLOOKUP($I18&amp;$J18&amp;X$1,Pesos!$A:$I,9,FALSE)))</f>
        <v>0.8</v>
      </c>
      <c r="AR18" s="80">
        <f>IF(Y18="","",IF(Y18="SIM",VLOOKUP($I18&amp;$J18&amp;Y$1,Pesos!$A:$I,7,FALSE),VLOOKUP($I18&amp;$J18&amp;Y$1,Pesos!$A:$I,9,FALSE)))</f>
        <v>0.8</v>
      </c>
      <c r="AS18" s="81">
        <f>IFERROR(Z18*VLOOKUP(J18,'BD Campos'!$Y$1:$Z$12,2,FALSE),"0")</f>
        <v>10</v>
      </c>
      <c r="AT18" s="76"/>
    </row>
    <row r="19" spans="1:46" x14ac:dyDescent="0.35">
      <c r="A19" s="68" t="str">
        <f t="shared" si="1"/>
        <v>Jan202510947ReceptivaTRANSFERÊNCIA</v>
      </c>
      <c r="B19" s="69" t="str">
        <f t="shared" si="0"/>
        <v>Jan2025109475TRANSFERÊNCIAPADRÃO</v>
      </c>
      <c r="C19" s="70">
        <v>1</v>
      </c>
      <c r="D19" s="71">
        <v>45667.433202314816</v>
      </c>
      <c r="E19" s="110" t="s">
        <v>74</v>
      </c>
      <c r="F19" s="72">
        <v>10947</v>
      </c>
      <c r="G19" s="69" t="s">
        <v>177</v>
      </c>
      <c r="H19" s="73">
        <v>5</v>
      </c>
      <c r="I19" s="69" t="s">
        <v>6</v>
      </c>
      <c r="J19" s="69" t="s">
        <v>98</v>
      </c>
      <c r="K19" s="69" t="s">
        <v>106</v>
      </c>
      <c r="L19" s="74"/>
      <c r="M19" s="75">
        <v>8.9120370370370362E-4</v>
      </c>
      <c r="N19" s="76" t="s">
        <v>79</v>
      </c>
      <c r="O19" s="76" t="s">
        <v>79</v>
      </c>
      <c r="P19" s="76" t="s">
        <v>79</v>
      </c>
      <c r="Q19" s="76" t="s">
        <v>79</v>
      </c>
      <c r="R19" s="76" t="s">
        <v>79</v>
      </c>
      <c r="S19" s="76" t="s">
        <v>79</v>
      </c>
      <c r="T19" s="76" t="s">
        <v>79</v>
      </c>
      <c r="U19" s="76" t="s">
        <v>79</v>
      </c>
      <c r="V19" s="76" t="s">
        <v>79</v>
      </c>
      <c r="W19" s="76" t="s">
        <v>79</v>
      </c>
      <c r="X19" s="76" t="s">
        <v>79</v>
      </c>
      <c r="Y19" s="76" t="s">
        <v>79</v>
      </c>
      <c r="Z19" s="77">
        <f t="shared" si="2"/>
        <v>10</v>
      </c>
      <c r="AA19" s="78"/>
      <c r="AB19" s="78"/>
      <c r="AC19" s="72" t="s">
        <v>47</v>
      </c>
      <c r="AD19" s="76"/>
      <c r="AE19" s="79" t="str">
        <f t="shared" si="3"/>
        <v>Jan10947</v>
      </c>
      <c r="AF19" s="80">
        <f>IF(N19="","",IF(N19="SIM",VLOOKUP($I19&amp;$J19&amp;N$1,Pesos!$A:$I,7,FALSE),VLOOKUP($I19&amp;$J19&amp;N$1,Pesos!$A:$I,9,FALSE)))</f>
        <v>0.8</v>
      </c>
      <c r="AG19" s="80">
        <f>IF(O19="","",IF(O19="SIM",VLOOKUP($I19&amp;$J19&amp;O$1,Pesos!$A:$I,7,FALSE),VLOOKUP($I19&amp;$J19&amp;O$1,Pesos!$A:$I,9,FALSE)))</f>
        <v>0.8</v>
      </c>
      <c r="AH19" s="80">
        <f>IF(P19="","",IF(P19="SIM",VLOOKUP($I19&amp;$J19&amp;P$1,Pesos!$A:$I,7,FALSE),VLOOKUP($I19&amp;$J19&amp;P$1,Pesos!$A:$I,9,FALSE)))</f>
        <v>1.2</v>
      </c>
      <c r="AI19" s="80">
        <f>IF(Q19="","",IF(Q19="SIM",VLOOKUP($I19&amp;$J19&amp;Q$1,Pesos!$A:$I,7,FALSE),VLOOKUP($I19&amp;$J19&amp;Q$1,Pesos!$A:$I,9,FALSE)))</f>
        <v>0.8</v>
      </c>
      <c r="AJ19" s="80">
        <f>IF(R19="","",IF(R19="SIM",VLOOKUP($I19&amp;$J19&amp;R$1,Pesos!$A:$I,7,FALSE),VLOOKUP($I19&amp;$J19&amp;R$1,Pesos!$A:$I,9,FALSE)))</f>
        <v>0.8</v>
      </c>
      <c r="AK19" s="80">
        <f>IF(S19="","",IF(S19="SIM",VLOOKUP($I19&amp;$J19&amp;S$1,Pesos!$A:$I,7,FALSE),VLOOKUP($I19&amp;$J19&amp;S$1,Pesos!$A:$I,9,FALSE)))</f>
        <v>0.8</v>
      </c>
      <c r="AL19" s="80">
        <f t="shared" si="4"/>
        <v>5.1999999999999993</v>
      </c>
      <c r="AM19" s="80">
        <f>IF(T19="","",IF(T19="SIM",VLOOKUP($I19&amp;$J19&amp;T$1,Pesos!$A:$I,7,FALSE),VLOOKUP($I19&amp;$J19&amp;T$1,Pesos!$A:$I,9,FALSE)))</f>
        <v>0.8</v>
      </c>
      <c r="AN19" s="80">
        <f>IF(U19="","",IF(U19="SIM",VLOOKUP($I19&amp;$J19&amp;U$1,Pesos!$A:$I,7,FALSE),VLOOKUP($I19&amp;$J19&amp;U$1,Pesos!$A:$I,9,FALSE)))</f>
        <v>0.8</v>
      </c>
      <c r="AO19" s="80">
        <f>IF(V19="","",IF(V19="SIM",VLOOKUP($I19&amp;$J19&amp;V$1,Pesos!$A:$I,7,FALSE),VLOOKUP($I19&amp;$J19&amp;V$1,Pesos!$A:$I,9,FALSE)))</f>
        <v>0.8</v>
      </c>
      <c r="AP19" s="80">
        <f>IF(W19="","",IF(W19="SIM",VLOOKUP($I19&amp;$J19&amp;W$1,Pesos!$A:$I,7,FALSE),VLOOKUP($I19&amp;$J19&amp;W$1,Pesos!$A:$I,9,FALSE)))</f>
        <v>0.8</v>
      </c>
      <c r="AQ19" s="80">
        <f>IF(X19="","",IF(X19="SIM",VLOOKUP($I19&amp;$J19&amp;X$1,Pesos!$A:$I,7,FALSE),VLOOKUP($I19&amp;$J19&amp;X$1,Pesos!$A:$I,9,FALSE)))</f>
        <v>0.8</v>
      </c>
      <c r="AR19" s="80">
        <f>IF(Y19="","",IF(Y19="SIM",VLOOKUP($I19&amp;$J19&amp;Y$1,Pesos!$A:$I,7,FALSE),VLOOKUP($I19&amp;$J19&amp;Y$1,Pesos!$A:$I,9,FALSE)))</f>
        <v>0.8</v>
      </c>
      <c r="AS19" s="81">
        <f>IFERROR(Z19*VLOOKUP(J19,'BD Campos'!$Y$1:$Z$12,2,FALSE),"0")</f>
        <v>10</v>
      </c>
      <c r="AT19" s="76"/>
    </row>
    <row r="20" spans="1:46" x14ac:dyDescent="0.35">
      <c r="A20" s="68" t="str">
        <f t="shared" si="1"/>
        <v>Jan202510962ReceptivaTRANSFERÊNCIA</v>
      </c>
      <c r="B20" s="69" t="str">
        <f t="shared" si="0"/>
        <v>Jan2025109625TRANSFERÊNCIAPADRÃO</v>
      </c>
      <c r="C20" s="70">
        <v>1</v>
      </c>
      <c r="D20" s="71">
        <v>45667.449756249996</v>
      </c>
      <c r="E20" s="110" t="s">
        <v>74</v>
      </c>
      <c r="F20" s="72">
        <v>10962</v>
      </c>
      <c r="G20" s="69" t="s">
        <v>178</v>
      </c>
      <c r="H20" s="73">
        <v>5</v>
      </c>
      <c r="I20" s="69" t="s">
        <v>6</v>
      </c>
      <c r="J20" s="69" t="s">
        <v>98</v>
      </c>
      <c r="K20" s="69" t="s">
        <v>106</v>
      </c>
      <c r="L20" s="74"/>
      <c r="M20" s="75">
        <v>9.0277777777777784E-4</v>
      </c>
      <c r="N20" s="76" t="s">
        <v>79</v>
      </c>
      <c r="O20" s="76" t="s">
        <v>79</v>
      </c>
      <c r="P20" s="76" t="s">
        <v>79</v>
      </c>
      <c r="Q20" s="76" t="s">
        <v>79</v>
      </c>
      <c r="R20" s="76" t="s">
        <v>79</v>
      </c>
      <c r="S20" s="76" t="s">
        <v>79</v>
      </c>
      <c r="T20" s="76" t="s">
        <v>79</v>
      </c>
      <c r="U20" s="76" t="s">
        <v>79</v>
      </c>
      <c r="V20" s="76" t="s">
        <v>79</v>
      </c>
      <c r="W20" s="76" t="s">
        <v>79</v>
      </c>
      <c r="X20" s="76" t="s">
        <v>79</v>
      </c>
      <c r="Y20" s="76" t="s">
        <v>79</v>
      </c>
      <c r="Z20" s="77">
        <f t="shared" si="2"/>
        <v>10</v>
      </c>
      <c r="AA20" s="78"/>
      <c r="AB20" s="78"/>
      <c r="AC20" s="72" t="s">
        <v>47</v>
      </c>
      <c r="AD20" s="76"/>
      <c r="AE20" s="79" t="str">
        <f t="shared" si="3"/>
        <v>Jan10962</v>
      </c>
      <c r="AF20" s="80">
        <f>IF(N20="","",IF(N20="SIM",VLOOKUP($I20&amp;$J20&amp;N$1,Pesos!$A:$I,7,FALSE),VLOOKUP($I20&amp;$J20&amp;N$1,Pesos!$A:$I,9,FALSE)))</f>
        <v>0.8</v>
      </c>
      <c r="AG20" s="80">
        <f>IF(O20="","",IF(O20="SIM",VLOOKUP($I20&amp;$J20&amp;O$1,Pesos!$A:$I,7,FALSE),VLOOKUP($I20&amp;$J20&amp;O$1,Pesos!$A:$I,9,FALSE)))</f>
        <v>0.8</v>
      </c>
      <c r="AH20" s="80">
        <f>IF(P20="","",IF(P20="SIM",VLOOKUP($I20&amp;$J20&amp;P$1,Pesos!$A:$I,7,FALSE),VLOOKUP($I20&amp;$J20&amp;P$1,Pesos!$A:$I,9,FALSE)))</f>
        <v>1.2</v>
      </c>
      <c r="AI20" s="80">
        <f>IF(Q20="","",IF(Q20="SIM",VLOOKUP($I20&amp;$J20&amp;Q$1,Pesos!$A:$I,7,FALSE),VLOOKUP($I20&amp;$J20&amp;Q$1,Pesos!$A:$I,9,FALSE)))</f>
        <v>0.8</v>
      </c>
      <c r="AJ20" s="80">
        <f>IF(R20="","",IF(R20="SIM",VLOOKUP($I20&amp;$J20&amp;R$1,Pesos!$A:$I,7,FALSE),VLOOKUP($I20&amp;$J20&amp;R$1,Pesos!$A:$I,9,FALSE)))</f>
        <v>0.8</v>
      </c>
      <c r="AK20" s="80">
        <f>IF(S20="","",IF(S20="SIM",VLOOKUP($I20&amp;$J20&amp;S$1,Pesos!$A:$I,7,FALSE),VLOOKUP($I20&amp;$J20&amp;S$1,Pesos!$A:$I,9,FALSE)))</f>
        <v>0.8</v>
      </c>
      <c r="AL20" s="80">
        <f t="shared" si="4"/>
        <v>5.1999999999999993</v>
      </c>
      <c r="AM20" s="80">
        <f>IF(T20="","",IF(T20="SIM",VLOOKUP($I20&amp;$J20&amp;T$1,Pesos!$A:$I,7,FALSE),VLOOKUP($I20&amp;$J20&amp;T$1,Pesos!$A:$I,9,FALSE)))</f>
        <v>0.8</v>
      </c>
      <c r="AN20" s="80">
        <f>IF(U20="","",IF(U20="SIM",VLOOKUP($I20&amp;$J20&amp;U$1,Pesos!$A:$I,7,FALSE),VLOOKUP($I20&amp;$J20&amp;U$1,Pesos!$A:$I,9,FALSE)))</f>
        <v>0.8</v>
      </c>
      <c r="AO20" s="80">
        <f>IF(V20="","",IF(V20="SIM",VLOOKUP($I20&amp;$J20&amp;V$1,Pesos!$A:$I,7,FALSE),VLOOKUP($I20&amp;$J20&amp;V$1,Pesos!$A:$I,9,FALSE)))</f>
        <v>0.8</v>
      </c>
      <c r="AP20" s="80">
        <f>IF(W20="","",IF(W20="SIM",VLOOKUP($I20&amp;$J20&amp;W$1,Pesos!$A:$I,7,FALSE),VLOOKUP($I20&amp;$J20&amp;W$1,Pesos!$A:$I,9,FALSE)))</f>
        <v>0.8</v>
      </c>
      <c r="AQ20" s="80">
        <f>IF(X20="","",IF(X20="SIM",VLOOKUP($I20&amp;$J20&amp;X$1,Pesos!$A:$I,7,FALSE),VLOOKUP($I20&amp;$J20&amp;X$1,Pesos!$A:$I,9,FALSE)))</f>
        <v>0.8</v>
      </c>
      <c r="AR20" s="80">
        <f>IF(Y20="","",IF(Y20="SIM",VLOOKUP($I20&amp;$J20&amp;Y$1,Pesos!$A:$I,7,FALSE),VLOOKUP($I20&amp;$J20&amp;Y$1,Pesos!$A:$I,9,FALSE)))</f>
        <v>0.8</v>
      </c>
      <c r="AS20" s="81">
        <f>IFERROR(Z20*VLOOKUP(J20,'BD Campos'!$Y$1:$Z$12,2,FALSE),"0")</f>
        <v>10</v>
      </c>
      <c r="AT20" s="76"/>
    </row>
    <row r="21" spans="1:46" x14ac:dyDescent="0.35">
      <c r="A21" s="68" t="str">
        <f t="shared" si="1"/>
        <v>Jan202511109ReceptivaTRANSFERÊNCIA</v>
      </c>
      <c r="B21" s="69" t="str">
        <f t="shared" si="0"/>
        <v>Jan2025111095TRANSFERÊNCIAPADRÃO</v>
      </c>
      <c r="C21" s="70">
        <v>1</v>
      </c>
      <c r="D21" s="71">
        <v>45667.451361921296</v>
      </c>
      <c r="E21" s="110" t="s">
        <v>74</v>
      </c>
      <c r="F21" s="72">
        <v>11109</v>
      </c>
      <c r="G21" s="69" t="s">
        <v>436</v>
      </c>
      <c r="H21" s="73">
        <v>5</v>
      </c>
      <c r="I21" s="69" t="s">
        <v>6</v>
      </c>
      <c r="J21" s="69" t="s">
        <v>98</v>
      </c>
      <c r="K21" s="69" t="s">
        <v>106</v>
      </c>
      <c r="L21" s="74"/>
      <c r="M21" s="75">
        <v>7.7546296296296304E-4</v>
      </c>
      <c r="N21" s="76" t="s">
        <v>79</v>
      </c>
      <c r="O21" s="76" t="s">
        <v>79</v>
      </c>
      <c r="P21" s="76" t="s">
        <v>79</v>
      </c>
      <c r="Q21" s="76" t="s">
        <v>79</v>
      </c>
      <c r="R21" s="76" t="s">
        <v>79</v>
      </c>
      <c r="S21" s="76" t="s">
        <v>79</v>
      </c>
      <c r="T21" s="76" t="s">
        <v>79</v>
      </c>
      <c r="U21" s="76" t="s">
        <v>79</v>
      </c>
      <c r="V21" s="76" t="s">
        <v>79</v>
      </c>
      <c r="W21" s="76" t="s">
        <v>79</v>
      </c>
      <c r="X21" s="76" t="s">
        <v>79</v>
      </c>
      <c r="Y21" s="76" t="s">
        <v>79</v>
      </c>
      <c r="Z21" s="77">
        <f t="shared" si="2"/>
        <v>10</v>
      </c>
      <c r="AA21" s="78"/>
      <c r="AB21" s="78"/>
      <c r="AC21" s="72" t="s">
        <v>47</v>
      </c>
      <c r="AD21" s="76"/>
      <c r="AE21" s="79" t="str">
        <f t="shared" si="3"/>
        <v>Jan11109</v>
      </c>
      <c r="AF21" s="80">
        <f>IF(N21="","",IF(N21="SIM",VLOOKUP($I21&amp;$J21&amp;N$1,Pesos!$A:$I,7,FALSE),VLOOKUP($I21&amp;$J21&amp;N$1,Pesos!$A:$I,9,FALSE)))</f>
        <v>0.8</v>
      </c>
      <c r="AG21" s="80">
        <f>IF(O21="","",IF(O21="SIM",VLOOKUP($I21&amp;$J21&amp;O$1,Pesos!$A:$I,7,FALSE),VLOOKUP($I21&amp;$J21&amp;O$1,Pesos!$A:$I,9,FALSE)))</f>
        <v>0.8</v>
      </c>
      <c r="AH21" s="80">
        <f>IF(P21="","",IF(P21="SIM",VLOOKUP($I21&amp;$J21&amp;P$1,Pesos!$A:$I,7,FALSE),VLOOKUP($I21&amp;$J21&amp;P$1,Pesos!$A:$I,9,FALSE)))</f>
        <v>1.2</v>
      </c>
      <c r="AI21" s="80">
        <f>IF(Q21="","",IF(Q21="SIM",VLOOKUP($I21&amp;$J21&amp;Q$1,Pesos!$A:$I,7,FALSE),VLOOKUP($I21&amp;$J21&amp;Q$1,Pesos!$A:$I,9,FALSE)))</f>
        <v>0.8</v>
      </c>
      <c r="AJ21" s="80">
        <f>IF(R21="","",IF(R21="SIM",VLOOKUP($I21&amp;$J21&amp;R$1,Pesos!$A:$I,7,FALSE),VLOOKUP($I21&amp;$J21&amp;R$1,Pesos!$A:$I,9,FALSE)))</f>
        <v>0.8</v>
      </c>
      <c r="AK21" s="80">
        <f>IF(S21="","",IF(S21="SIM",VLOOKUP($I21&amp;$J21&amp;S$1,Pesos!$A:$I,7,FALSE),VLOOKUP($I21&amp;$J21&amp;S$1,Pesos!$A:$I,9,FALSE)))</f>
        <v>0.8</v>
      </c>
      <c r="AL21" s="80">
        <f t="shared" si="4"/>
        <v>5.1999999999999993</v>
      </c>
      <c r="AM21" s="80">
        <f>IF(T21="","",IF(T21="SIM",VLOOKUP($I21&amp;$J21&amp;T$1,Pesos!$A:$I,7,FALSE),VLOOKUP($I21&amp;$J21&amp;T$1,Pesos!$A:$I,9,FALSE)))</f>
        <v>0.8</v>
      </c>
      <c r="AN21" s="80">
        <f>IF(U21="","",IF(U21="SIM",VLOOKUP($I21&amp;$J21&amp;U$1,Pesos!$A:$I,7,FALSE),VLOOKUP($I21&amp;$J21&amp;U$1,Pesos!$A:$I,9,FALSE)))</f>
        <v>0.8</v>
      </c>
      <c r="AO21" s="80">
        <f>IF(V21="","",IF(V21="SIM",VLOOKUP($I21&amp;$J21&amp;V$1,Pesos!$A:$I,7,FALSE),VLOOKUP($I21&amp;$J21&amp;V$1,Pesos!$A:$I,9,FALSE)))</f>
        <v>0.8</v>
      </c>
      <c r="AP21" s="80">
        <f>IF(W21="","",IF(W21="SIM",VLOOKUP($I21&amp;$J21&amp;W$1,Pesos!$A:$I,7,FALSE),VLOOKUP($I21&amp;$J21&amp;W$1,Pesos!$A:$I,9,FALSE)))</f>
        <v>0.8</v>
      </c>
      <c r="AQ21" s="80">
        <f>IF(X21="","",IF(X21="SIM",VLOOKUP($I21&amp;$J21&amp;X$1,Pesos!$A:$I,7,FALSE),VLOOKUP($I21&amp;$J21&amp;X$1,Pesos!$A:$I,9,FALSE)))</f>
        <v>0.8</v>
      </c>
      <c r="AR21" s="80">
        <f>IF(Y21="","",IF(Y21="SIM",VLOOKUP($I21&amp;$J21&amp;Y$1,Pesos!$A:$I,7,FALSE),VLOOKUP($I21&amp;$J21&amp;Y$1,Pesos!$A:$I,9,FALSE)))</f>
        <v>0.8</v>
      </c>
      <c r="AS21" s="81">
        <f>IFERROR(Z21*VLOOKUP(J21,'BD Campos'!$Y$1:$Z$12,2,FALSE),"0")</f>
        <v>10</v>
      </c>
      <c r="AT21" s="76"/>
    </row>
    <row r="22" spans="1:46" x14ac:dyDescent="0.35">
      <c r="A22" s="68" t="str">
        <f t="shared" si="1"/>
        <v>Jan202511139ReceptivaTRANSFERÊNCIA</v>
      </c>
      <c r="B22" s="69" t="str">
        <f t="shared" si="0"/>
        <v>Jan2025111395TRANSFERÊNCIAPADRÃO</v>
      </c>
      <c r="C22" s="70">
        <v>1</v>
      </c>
      <c r="D22" s="71">
        <v>45667.4529744213</v>
      </c>
      <c r="E22" s="110" t="s">
        <v>74</v>
      </c>
      <c r="F22" s="72">
        <v>11139</v>
      </c>
      <c r="G22" s="69" t="s">
        <v>437</v>
      </c>
      <c r="H22" s="73">
        <v>5</v>
      </c>
      <c r="I22" s="69" t="s">
        <v>6</v>
      </c>
      <c r="J22" s="69" t="s">
        <v>98</v>
      </c>
      <c r="K22" s="69" t="s">
        <v>106</v>
      </c>
      <c r="L22" s="74"/>
      <c r="M22" s="75">
        <v>1.1574074074074073E-3</v>
      </c>
      <c r="N22" s="76" t="s">
        <v>79</v>
      </c>
      <c r="O22" s="76" t="s">
        <v>79</v>
      </c>
      <c r="P22" s="76" t="s">
        <v>79</v>
      </c>
      <c r="Q22" s="76" t="s">
        <v>79</v>
      </c>
      <c r="R22" s="76" t="s">
        <v>79</v>
      </c>
      <c r="S22" s="76" t="s">
        <v>79</v>
      </c>
      <c r="T22" s="76" t="s">
        <v>79</v>
      </c>
      <c r="U22" s="76" t="s">
        <v>79</v>
      </c>
      <c r="V22" s="76" t="s">
        <v>79</v>
      </c>
      <c r="W22" s="76" t="s">
        <v>79</v>
      </c>
      <c r="X22" s="76" t="s">
        <v>79</v>
      </c>
      <c r="Y22" s="76" t="s">
        <v>79</v>
      </c>
      <c r="Z22" s="77">
        <f t="shared" si="2"/>
        <v>10</v>
      </c>
      <c r="AA22" s="78"/>
      <c r="AB22" s="78"/>
      <c r="AC22" s="72" t="s">
        <v>47</v>
      </c>
      <c r="AD22" s="76"/>
      <c r="AE22" s="79" t="str">
        <f t="shared" si="3"/>
        <v>Jan11139</v>
      </c>
      <c r="AF22" s="80">
        <f>IF(N22="","",IF(N22="SIM",VLOOKUP($I22&amp;$J22&amp;N$1,Pesos!$A:$I,7,FALSE),VLOOKUP($I22&amp;$J22&amp;N$1,Pesos!$A:$I,9,FALSE)))</f>
        <v>0.8</v>
      </c>
      <c r="AG22" s="80">
        <f>IF(O22="","",IF(O22="SIM",VLOOKUP($I22&amp;$J22&amp;O$1,Pesos!$A:$I,7,FALSE),VLOOKUP($I22&amp;$J22&amp;O$1,Pesos!$A:$I,9,FALSE)))</f>
        <v>0.8</v>
      </c>
      <c r="AH22" s="80">
        <f>IF(P22="","",IF(P22="SIM",VLOOKUP($I22&amp;$J22&amp;P$1,Pesos!$A:$I,7,FALSE),VLOOKUP($I22&amp;$J22&amp;P$1,Pesos!$A:$I,9,FALSE)))</f>
        <v>1.2</v>
      </c>
      <c r="AI22" s="80">
        <f>IF(Q22="","",IF(Q22="SIM",VLOOKUP($I22&amp;$J22&amp;Q$1,Pesos!$A:$I,7,FALSE),VLOOKUP($I22&amp;$J22&amp;Q$1,Pesos!$A:$I,9,FALSE)))</f>
        <v>0.8</v>
      </c>
      <c r="AJ22" s="80">
        <f>IF(R22="","",IF(R22="SIM",VLOOKUP($I22&amp;$J22&amp;R$1,Pesos!$A:$I,7,FALSE),VLOOKUP($I22&amp;$J22&amp;R$1,Pesos!$A:$I,9,FALSE)))</f>
        <v>0.8</v>
      </c>
      <c r="AK22" s="80">
        <f>IF(S22="","",IF(S22="SIM",VLOOKUP($I22&amp;$J22&amp;S$1,Pesos!$A:$I,7,FALSE),VLOOKUP($I22&amp;$J22&amp;S$1,Pesos!$A:$I,9,FALSE)))</f>
        <v>0.8</v>
      </c>
      <c r="AL22" s="80">
        <f t="shared" si="4"/>
        <v>5.1999999999999993</v>
      </c>
      <c r="AM22" s="80">
        <f>IF(T22="","",IF(T22="SIM",VLOOKUP($I22&amp;$J22&amp;T$1,Pesos!$A:$I,7,FALSE),VLOOKUP($I22&amp;$J22&amp;T$1,Pesos!$A:$I,9,FALSE)))</f>
        <v>0.8</v>
      </c>
      <c r="AN22" s="80">
        <f>IF(U22="","",IF(U22="SIM",VLOOKUP($I22&amp;$J22&amp;U$1,Pesos!$A:$I,7,FALSE),VLOOKUP($I22&amp;$J22&amp;U$1,Pesos!$A:$I,9,FALSE)))</f>
        <v>0.8</v>
      </c>
      <c r="AO22" s="80">
        <f>IF(V22="","",IF(V22="SIM",VLOOKUP($I22&amp;$J22&amp;V$1,Pesos!$A:$I,7,FALSE),VLOOKUP($I22&amp;$J22&amp;V$1,Pesos!$A:$I,9,FALSE)))</f>
        <v>0.8</v>
      </c>
      <c r="AP22" s="80">
        <f>IF(W22="","",IF(W22="SIM",VLOOKUP($I22&amp;$J22&amp;W$1,Pesos!$A:$I,7,FALSE),VLOOKUP($I22&amp;$J22&amp;W$1,Pesos!$A:$I,9,FALSE)))</f>
        <v>0.8</v>
      </c>
      <c r="AQ22" s="80">
        <f>IF(X22="","",IF(X22="SIM",VLOOKUP($I22&amp;$J22&amp;X$1,Pesos!$A:$I,7,FALSE),VLOOKUP($I22&amp;$J22&amp;X$1,Pesos!$A:$I,9,FALSE)))</f>
        <v>0.8</v>
      </c>
      <c r="AR22" s="80">
        <f>IF(Y22="","",IF(Y22="SIM",VLOOKUP($I22&amp;$J22&amp;Y$1,Pesos!$A:$I,7,FALSE),VLOOKUP($I22&amp;$J22&amp;Y$1,Pesos!$A:$I,9,FALSE)))</f>
        <v>0.8</v>
      </c>
      <c r="AS22" s="81">
        <f>IFERROR(Z22*VLOOKUP(J22,'BD Campos'!$Y$1:$Z$12,2,FALSE),"0")</f>
        <v>10</v>
      </c>
      <c r="AT22" s="76"/>
    </row>
    <row r="23" spans="1:46" x14ac:dyDescent="0.35">
      <c r="A23" s="68" t="str">
        <f t="shared" si="1"/>
        <v>Jan202511155ReceptivaTRANSFERÊNCIA</v>
      </c>
      <c r="B23" s="69" t="str">
        <f t="shared" ref="B23:B28" si="5">E23&amp;YEAR(D23)&amp;F23&amp;H23&amp;K23&amp;AC23</f>
        <v>Jan2025111555TRANSFERÊNCIAPADRÃO</v>
      </c>
      <c r="C23" s="70">
        <v>1</v>
      </c>
      <c r="D23" s="71">
        <v>45667.455626388888</v>
      </c>
      <c r="E23" s="110" t="s">
        <v>74</v>
      </c>
      <c r="F23" s="72">
        <v>11155</v>
      </c>
      <c r="G23" s="69" t="s">
        <v>449</v>
      </c>
      <c r="H23" s="73">
        <v>5</v>
      </c>
      <c r="I23" s="69" t="s">
        <v>6</v>
      </c>
      <c r="J23" s="69" t="s">
        <v>98</v>
      </c>
      <c r="K23" s="69" t="s">
        <v>106</v>
      </c>
      <c r="L23" s="74"/>
      <c r="M23" s="75">
        <v>1.5624999999999999E-3</v>
      </c>
      <c r="N23" s="76" t="s">
        <v>79</v>
      </c>
      <c r="O23" s="76" t="s">
        <v>79</v>
      </c>
      <c r="P23" s="76" t="s">
        <v>79</v>
      </c>
      <c r="Q23" s="76" t="s">
        <v>79</v>
      </c>
      <c r="R23" s="76" t="s">
        <v>79</v>
      </c>
      <c r="S23" s="76" t="s">
        <v>79</v>
      </c>
      <c r="T23" s="76" t="s">
        <v>79</v>
      </c>
      <c r="U23" s="76" t="s">
        <v>79</v>
      </c>
      <c r="V23" s="76" t="s">
        <v>79</v>
      </c>
      <c r="W23" s="76" t="s">
        <v>79</v>
      </c>
      <c r="X23" s="76" t="s">
        <v>79</v>
      </c>
      <c r="Y23" s="76" t="s">
        <v>79</v>
      </c>
      <c r="Z23" s="77">
        <f t="shared" si="2"/>
        <v>10</v>
      </c>
      <c r="AA23" s="78"/>
      <c r="AB23" s="78"/>
      <c r="AC23" s="72" t="s">
        <v>47</v>
      </c>
      <c r="AD23" s="76"/>
      <c r="AE23" s="79" t="str">
        <f t="shared" ref="AE23:AE28" si="6">E23&amp;F23</f>
        <v>Jan11155</v>
      </c>
      <c r="AF23" s="80">
        <f>IF(N23="","",IF(N23="SIM",VLOOKUP($I23&amp;$J23&amp;N$1,Pesos!$A:$I,7,FALSE),VLOOKUP($I23&amp;$J23&amp;N$1,Pesos!$A:$I,9,FALSE)))</f>
        <v>0.8</v>
      </c>
      <c r="AG23" s="80">
        <f>IF(O23="","",IF(O23="SIM",VLOOKUP($I23&amp;$J23&amp;O$1,Pesos!$A:$I,7,FALSE),VLOOKUP($I23&amp;$J23&amp;O$1,Pesos!$A:$I,9,FALSE)))</f>
        <v>0.8</v>
      </c>
      <c r="AH23" s="80">
        <f>IF(P23="","",IF(P23="SIM",VLOOKUP($I23&amp;$J23&amp;P$1,Pesos!$A:$I,7,FALSE),VLOOKUP($I23&amp;$J23&amp;P$1,Pesos!$A:$I,9,FALSE)))</f>
        <v>1.2</v>
      </c>
      <c r="AI23" s="80">
        <f>IF(Q23="","",IF(Q23="SIM",VLOOKUP($I23&amp;$J23&amp;Q$1,Pesos!$A:$I,7,FALSE),VLOOKUP($I23&amp;$J23&amp;Q$1,Pesos!$A:$I,9,FALSE)))</f>
        <v>0.8</v>
      </c>
      <c r="AJ23" s="80">
        <f>IF(R23="","",IF(R23="SIM",VLOOKUP($I23&amp;$J23&amp;R$1,Pesos!$A:$I,7,FALSE),VLOOKUP($I23&amp;$J23&amp;R$1,Pesos!$A:$I,9,FALSE)))</f>
        <v>0.8</v>
      </c>
      <c r="AK23" s="80">
        <f>IF(S23="","",IF(S23="SIM",VLOOKUP($I23&amp;$J23&amp;S$1,Pesos!$A:$I,7,FALSE),VLOOKUP($I23&amp;$J23&amp;S$1,Pesos!$A:$I,9,FALSE)))</f>
        <v>0.8</v>
      </c>
      <c r="AL23" s="80">
        <f t="shared" ref="AL23:AL28" si="7">SUM(AF23:AK23)</f>
        <v>5.1999999999999993</v>
      </c>
      <c r="AM23" s="80">
        <f>IF(T23="","",IF(T23="SIM",VLOOKUP($I23&amp;$J23&amp;T$1,Pesos!$A:$I,7,FALSE),VLOOKUP($I23&amp;$J23&amp;T$1,Pesos!$A:$I,9,FALSE)))</f>
        <v>0.8</v>
      </c>
      <c r="AN23" s="80">
        <f>IF(U23="","",IF(U23="SIM",VLOOKUP($I23&amp;$J23&amp;U$1,Pesos!$A:$I,7,FALSE),VLOOKUP($I23&amp;$J23&amp;U$1,Pesos!$A:$I,9,FALSE)))</f>
        <v>0.8</v>
      </c>
      <c r="AO23" s="80">
        <f>IF(V23="","",IF(V23="SIM",VLOOKUP($I23&amp;$J23&amp;V$1,Pesos!$A:$I,7,FALSE),VLOOKUP($I23&amp;$J23&amp;V$1,Pesos!$A:$I,9,FALSE)))</f>
        <v>0.8</v>
      </c>
      <c r="AP23" s="80">
        <f>IF(W23="","",IF(W23="SIM",VLOOKUP($I23&amp;$J23&amp;W$1,Pesos!$A:$I,7,FALSE),VLOOKUP($I23&amp;$J23&amp;W$1,Pesos!$A:$I,9,FALSE)))</f>
        <v>0.8</v>
      </c>
      <c r="AQ23" s="80">
        <f>IF(X23="","",IF(X23="SIM",VLOOKUP($I23&amp;$J23&amp;X$1,Pesos!$A:$I,7,FALSE),VLOOKUP($I23&amp;$J23&amp;X$1,Pesos!$A:$I,9,FALSE)))</f>
        <v>0.8</v>
      </c>
      <c r="AR23" s="80">
        <f>IF(Y23="","",IF(Y23="SIM",VLOOKUP($I23&amp;$J23&amp;Y$1,Pesos!$A:$I,7,FALSE),VLOOKUP($I23&amp;$J23&amp;Y$1,Pesos!$A:$I,9,FALSE)))</f>
        <v>0.8</v>
      </c>
      <c r="AS23" s="81">
        <f>IFERROR(Z23*VLOOKUP(J23,'BD Campos'!$Y$1:$Z$12,2,FALSE),"0")</f>
        <v>10</v>
      </c>
      <c r="AT23" s="76"/>
    </row>
    <row r="24" spans="1:46" x14ac:dyDescent="0.35">
      <c r="A24" s="68" t="str">
        <f t="shared" si="1"/>
        <v>Jan202511166ReceptivaTRANSFERÊNCIA</v>
      </c>
      <c r="B24" s="69" t="str">
        <f t="shared" si="5"/>
        <v>Jan2025111665TRANSFERÊNCIAPADRÃO</v>
      </c>
      <c r="C24" s="70">
        <v>1</v>
      </c>
      <c r="D24" s="71">
        <v>45667.457145717592</v>
      </c>
      <c r="E24" s="110" t="s">
        <v>74</v>
      </c>
      <c r="F24" s="72">
        <v>11166</v>
      </c>
      <c r="G24" s="69" t="s">
        <v>450</v>
      </c>
      <c r="H24" s="73">
        <v>5</v>
      </c>
      <c r="I24" s="69" t="s">
        <v>6</v>
      </c>
      <c r="J24" s="69" t="s">
        <v>98</v>
      </c>
      <c r="K24" s="69" t="s">
        <v>106</v>
      </c>
      <c r="L24" s="74"/>
      <c r="M24" s="75">
        <v>9.6064814814814808E-4</v>
      </c>
      <c r="N24" s="76" t="s">
        <v>79</v>
      </c>
      <c r="O24" s="76" t="s">
        <v>79</v>
      </c>
      <c r="P24" s="76" t="s">
        <v>79</v>
      </c>
      <c r="Q24" s="76" t="s">
        <v>79</v>
      </c>
      <c r="R24" s="76" t="s">
        <v>79</v>
      </c>
      <c r="S24" s="76" t="s">
        <v>79</v>
      </c>
      <c r="T24" s="76" t="s">
        <v>79</v>
      </c>
      <c r="U24" s="76" t="s">
        <v>79</v>
      </c>
      <c r="V24" s="76" t="s">
        <v>79</v>
      </c>
      <c r="W24" s="76" t="s">
        <v>79</v>
      </c>
      <c r="X24" s="76" t="s">
        <v>79</v>
      </c>
      <c r="Y24" s="76" t="s">
        <v>79</v>
      </c>
      <c r="Z24" s="77">
        <f t="shared" si="2"/>
        <v>10</v>
      </c>
      <c r="AA24" s="78"/>
      <c r="AB24" s="78"/>
      <c r="AC24" s="72" t="s">
        <v>47</v>
      </c>
      <c r="AD24" s="76"/>
      <c r="AE24" s="79" t="str">
        <f t="shared" si="6"/>
        <v>Jan11166</v>
      </c>
      <c r="AF24" s="80">
        <f>IF(N24="","",IF(N24="SIM",VLOOKUP($I24&amp;$J24&amp;N$1,Pesos!$A:$I,7,FALSE),VLOOKUP($I24&amp;$J24&amp;N$1,Pesos!$A:$I,9,FALSE)))</f>
        <v>0.8</v>
      </c>
      <c r="AG24" s="80">
        <f>IF(O24="","",IF(O24="SIM",VLOOKUP($I24&amp;$J24&amp;O$1,Pesos!$A:$I,7,FALSE),VLOOKUP($I24&amp;$J24&amp;O$1,Pesos!$A:$I,9,FALSE)))</f>
        <v>0.8</v>
      </c>
      <c r="AH24" s="80">
        <f>IF(P24="","",IF(P24="SIM",VLOOKUP($I24&amp;$J24&amp;P$1,Pesos!$A:$I,7,FALSE),VLOOKUP($I24&amp;$J24&amp;P$1,Pesos!$A:$I,9,FALSE)))</f>
        <v>1.2</v>
      </c>
      <c r="AI24" s="80">
        <f>IF(Q24="","",IF(Q24="SIM",VLOOKUP($I24&amp;$J24&amp;Q$1,Pesos!$A:$I,7,FALSE),VLOOKUP($I24&amp;$J24&amp;Q$1,Pesos!$A:$I,9,FALSE)))</f>
        <v>0.8</v>
      </c>
      <c r="AJ24" s="80">
        <f>IF(R24="","",IF(R24="SIM",VLOOKUP($I24&amp;$J24&amp;R$1,Pesos!$A:$I,7,FALSE),VLOOKUP($I24&amp;$J24&amp;R$1,Pesos!$A:$I,9,FALSE)))</f>
        <v>0.8</v>
      </c>
      <c r="AK24" s="80">
        <f>IF(S24="","",IF(S24="SIM",VLOOKUP($I24&amp;$J24&amp;S$1,Pesos!$A:$I,7,FALSE),VLOOKUP($I24&amp;$J24&amp;S$1,Pesos!$A:$I,9,FALSE)))</f>
        <v>0.8</v>
      </c>
      <c r="AL24" s="80">
        <f t="shared" si="7"/>
        <v>5.1999999999999993</v>
      </c>
      <c r="AM24" s="80">
        <f>IF(T24="","",IF(T24="SIM",VLOOKUP($I24&amp;$J24&amp;T$1,Pesos!$A:$I,7,FALSE),VLOOKUP($I24&amp;$J24&amp;T$1,Pesos!$A:$I,9,FALSE)))</f>
        <v>0.8</v>
      </c>
      <c r="AN24" s="80">
        <f>IF(U24="","",IF(U24="SIM",VLOOKUP($I24&amp;$J24&amp;U$1,Pesos!$A:$I,7,FALSE),VLOOKUP($I24&amp;$J24&amp;U$1,Pesos!$A:$I,9,FALSE)))</f>
        <v>0.8</v>
      </c>
      <c r="AO24" s="80">
        <f>IF(V24="","",IF(V24="SIM",VLOOKUP($I24&amp;$J24&amp;V$1,Pesos!$A:$I,7,FALSE),VLOOKUP($I24&amp;$J24&amp;V$1,Pesos!$A:$I,9,FALSE)))</f>
        <v>0.8</v>
      </c>
      <c r="AP24" s="80">
        <f>IF(W24="","",IF(W24="SIM",VLOOKUP($I24&amp;$J24&amp;W$1,Pesos!$A:$I,7,FALSE),VLOOKUP($I24&amp;$J24&amp;W$1,Pesos!$A:$I,9,FALSE)))</f>
        <v>0.8</v>
      </c>
      <c r="AQ24" s="80">
        <f>IF(X24="","",IF(X24="SIM",VLOOKUP($I24&amp;$J24&amp;X$1,Pesos!$A:$I,7,FALSE),VLOOKUP($I24&amp;$J24&amp;X$1,Pesos!$A:$I,9,FALSE)))</f>
        <v>0.8</v>
      </c>
      <c r="AR24" s="80">
        <f>IF(Y24="","",IF(Y24="SIM",VLOOKUP($I24&amp;$J24&amp;Y$1,Pesos!$A:$I,7,FALSE),VLOOKUP($I24&amp;$J24&amp;Y$1,Pesos!$A:$I,9,FALSE)))</f>
        <v>0.8</v>
      </c>
      <c r="AS24" s="81">
        <f>IFERROR(Z24*VLOOKUP(J24,'BD Campos'!$Y$1:$Z$12,2,FALSE),"0")</f>
        <v>10</v>
      </c>
      <c r="AT24" s="76"/>
    </row>
    <row r="25" spans="1:46" x14ac:dyDescent="0.35">
      <c r="A25" s="68" t="str">
        <f t="shared" si="1"/>
        <v>Jan202511240ReceptivaTRANSFERÊNCIA</v>
      </c>
      <c r="B25" s="69" t="str">
        <f t="shared" si="5"/>
        <v>Jan2025112405TRANSFERÊNCIAPADRÃO</v>
      </c>
      <c r="C25" s="70">
        <v>1</v>
      </c>
      <c r="D25" s="71">
        <v>45667.459570486113</v>
      </c>
      <c r="E25" s="110" t="s">
        <v>74</v>
      </c>
      <c r="F25" s="72">
        <v>11240</v>
      </c>
      <c r="G25" s="69" t="s">
        <v>1415</v>
      </c>
      <c r="H25" s="73">
        <v>5</v>
      </c>
      <c r="I25" s="69" t="s">
        <v>6</v>
      </c>
      <c r="J25" s="69" t="s">
        <v>98</v>
      </c>
      <c r="K25" s="69" t="s">
        <v>106</v>
      </c>
      <c r="L25" s="74"/>
      <c r="M25" s="75">
        <v>8.7962962962962962E-4</v>
      </c>
      <c r="N25" s="76" t="s">
        <v>79</v>
      </c>
      <c r="O25" s="76" t="s">
        <v>83</v>
      </c>
      <c r="P25" s="76" t="s">
        <v>79</v>
      </c>
      <c r="Q25" s="76" t="s">
        <v>79</v>
      </c>
      <c r="R25" s="76" t="s">
        <v>79</v>
      </c>
      <c r="S25" s="76" t="s">
        <v>79</v>
      </c>
      <c r="T25" s="76" t="s">
        <v>79</v>
      </c>
      <c r="U25" s="76" t="s">
        <v>79</v>
      </c>
      <c r="V25" s="76" t="s">
        <v>79</v>
      </c>
      <c r="W25" s="76" t="s">
        <v>79</v>
      </c>
      <c r="X25" s="76" t="s">
        <v>79</v>
      </c>
      <c r="Y25" s="76" t="s">
        <v>79</v>
      </c>
      <c r="Z25" s="77">
        <f t="shared" si="2"/>
        <v>9.16</v>
      </c>
      <c r="AA25" s="78"/>
      <c r="AB25" s="78"/>
      <c r="AC25" s="72" t="s">
        <v>47</v>
      </c>
      <c r="AD25" s="76"/>
      <c r="AE25" s="79" t="str">
        <f t="shared" si="6"/>
        <v>Jan11240</v>
      </c>
      <c r="AF25" s="80">
        <f>IF(N25="","",IF(N25="SIM",VLOOKUP($I25&amp;$J25&amp;N$1,Pesos!$A:$I,7,FALSE),VLOOKUP($I25&amp;$J25&amp;N$1,Pesos!$A:$I,9,FALSE)))</f>
        <v>0.8</v>
      </c>
      <c r="AG25" s="80">
        <f>IF(O25="","",IF(O25="SIM",VLOOKUP($I25&amp;$J25&amp;O$1,Pesos!$A:$I,7,FALSE),VLOOKUP($I25&amp;$J25&amp;O$1,Pesos!$A:$I,9,FALSE)))</f>
        <v>-4.0000000000000008E-2</v>
      </c>
      <c r="AH25" s="80">
        <f>IF(P25="","",IF(P25="SIM",VLOOKUP($I25&amp;$J25&amp;P$1,Pesos!$A:$I,7,FALSE),VLOOKUP($I25&amp;$J25&amp;P$1,Pesos!$A:$I,9,FALSE)))</f>
        <v>1.2</v>
      </c>
      <c r="AI25" s="80">
        <f>IF(Q25="","",IF(Q25="SIM",VLOOKUP($I25&amp;$J25&amp;Q$1,Pesos!$A:$I,7,FALSE),VLOOKUP($I25&amp;$J25&amp;Q$1,Pesos!$A:$I,9,FALSE)))</f>
        <v>0.8</v>
      </c>
      <c r="AJ25" s="80">
        <f>IF(R25="","",IF(R25="SIM",VLOOKUP($I25&amp;$J25&amp;R$1,Pesos!$A:$I,7,FALSE),VLOOKUP($I25&amp;$J25&amp;R$1,Pesos!$A:$I,9,FALSE)))</f>
        <v>0.8</v>
      </c>
      <c r="AK25" s="80">
        <f>IF(S25="","",IF(S25="SIM",VLOOKUP($I25&amp;$J25&amp;S$1,Pesos!$A:$I,7,FALSE),VLOOKUP($I25&amp;$J25&amp;S$1,Pesos!$A:$I,9,FALSE)))</f>
        <v>0.8</v>
      </c>
      <c r="AL25" s="80">
        <f t="shared" si="7"/>
        <v>4.3599999999999994</v>
      </c>
      <c r="AM25" s="80">
        <f>IF(T25="","",IF(T25="SIM",VLOOKUP($I25&amp;$J25&amp;T$1,Pesos!$A:$I,7,FALSE),VLOOKUP($I25&amp;$J25&amp;T$1,Pesos!$A:$I,9,FALSE)))</f>
        <v>0.8</v>
      </c>
      <c r="AN25" s="80">
        <f>IF(U25="","",IF(U25="SIM",VLOOKUP($I25&amp;$J25&amp;U$1,Pesos!$A:$I,7,FALSE),VLOOKUP($I25&amp;$J25&amp;U$1,Pesos!$A:$I,9,FALSE)))</f>
        <v>0.8</v>
      </c>
      <c r="AO25" s="80">
        <f>IF(V25="","",IF(V25="SIM",VLOOKUP($I25&amp;$J25&amp;V$1,Pesos!$A:$I,7,FALSE),VLOOKUP($I25&amp;$J25&amp;V$1,Pesos!$A:$I,9,FALSE)))</f>
        <v>0.8</v>
      </c>
      <c r="AP25" s="80">
        <f>IF(W25="","",IF(W25="SIM",VLOOKUP($I25&amp;$J25&amp;W$1,Pesos!$A:$I,7,FALSE),VLOOKUP($I25&amp;$J25&amp;W$1,Pesos!$A:$I,9,FALSE)))</f>
        <v>0.8</v>
      </c>
      <c r="AQ25" s="80">
        <f>IF(X25="","",IF(X25="SIM",VLOOKUP($I25&amp;$J25&amp;X$1,Pesos!$A:$I,7,FALSE),VLOOKUP($I25&amp;$J25&amp;X$1,Pesos!$A:$I,9,FALSE)))</f>
        <v>0.8</v>
      </c>
      <c r="AR25" s="80">
        <f>IF(Y25="","",IF(Y25="SIM",VLOOKUP($I25&amp;$J25&amp;Y$1,Pesos!$A:$I,7,FALSE),VLOOKUP($I25&amp;$J25&amp;Y$1,Pesos!$A:$I,9,FALSE)))</f>
        <v>0.8</v>
      </c>
      <c r="AS25" s="81">
        <f>IFERROR(Z25*VLOOKUP(J25,'BD Campos'!$Y$1:$Z$12,2,FALSE),"0")</f>
        <v>9.16</v>
      </c>
      <c r="AT25" s="76"/>
    </row>
    <row r="26" spans="1:46" x14ac:dyDescent="0.35">
      <c r="A26" s="68" t="str">
        <f t="shared" si="1"/>
        <v>Jan202511241ReceptivaTRANSFERÊNCIA</v>
      </c>
      <c r="B26" s="69" t="str">
        <f t="shared" si="5"/>
        <v>Jan2025112415TRANSFERÊNCIAPADRÃO</v>
      </c>
      <c r="C26" s="70">
        <v>1</v>
      </c>
      <c r="D26" s="71">
        <v>45667.460628819441</v>
      </c>
      <c r="E26" s="110" t="s">
        <v>74</v>
      </c>
      <c r="F26" s="72">
        <v>11241</v>
      </c>
      <c r="G26" s="69" t="s">
        <v>1416</v>
      </c>
      <c r="H26" s="73">
        <v>5</v>
      </c>
      <c r="I26" s="69" t="s">
        <v>6</v>
      </c>
      <c r="J26" s="69" t="s">
        <v>98</v>
      </c>
      <c r="K26" s="69" t="s">
        <v>106</v>
      </c>
      <c r="L26" s="74"/>
      <c r="M26" s="75">
        <v>1.0879629629629629E-3</v>
      </c>
      <c r="N26" s="76" t="s">
        <v>79</v>
      </c>
      <c r="O26" s="76" t="s">
        <v>79</v>
      </c>
      <c r="P26" s="76" t="s">
        <v>79</v>
      </c>
      <c r="Q26" s="76" t="s">
        <v>79</v>
      </c>
      <c r="R26" s="76" t="s">
        <v>79</v>
      </c>
      <c r="S26" s="76" t="s">
        <v>79</v>
      </c>
      <c r="T26" s="76" t="s">
        <v>79</v>
      </c>
      <c r="U26" s="76" t="s">
        <v>79</v>
      </c>
      <c r="V26" s="76" t="s">
        <v>79</v>
      </c>
      <c r="W26" s="76" t="s">
        <v>79</v>
      </c>
      <c r="X26" s="76" t="s">
        <v>79</v>
      </c>
      <c r="Y26" s="76" t="s">
        <v>79</v>
      </c>
      <c r="Z26" s="77">
        <f t="shared" si="2"/>
        <v>10</v>
      </c>
      <c r="AA26" s="78"/>
      <c r="AB26" s="78"/>
      <c r="AC26" s="72" t="s">
        <v>47</v>
      </c>
      <c r="AD26" s="76"/>
      <c r="AE26" s="79" t="str">
        <f t="shared" si="6"/>
        <v>Jan11241</v>
      </c>
      <c r="AF26" s="80">
        <f>IF(N26="","",IF(N26="SIM",VLOOKUP($I26&amp;$J26&amp;N$1,Pesos!$A:$I,7,FALSE),VLOOKUP($I26&amp;$J26&amp;N$1,Pesos!$A:$I,9,FALSE)))</f>
        <v>0.8</v>
      </c>
      <c r="AG26" s="80">
        <f>IF(O26="","",IF(O26="SIM",VLOOKUP($I26&amp;$J26&amp;O$1,Pesos!$A:$I,7,FALSE),VLOOKUP($I26&amp;$J26&amp;O$1,Pesos!$A:$I,9,FALSE)))</f>
        <v>0.8</v>
      </c>
      <c r="AH26" s="80">
        <f>IF(P26="","",IF(P26="SIM",VLOOKUP($I26&amp;$J26&amp;P$1,Pesos!$A:$I,7,FALSE),VLOOKUP($I26&amp;$J26&amp;P$1,Pesos!$A:$I,9,FALSE)))</f>
        <v>1.2</v>
      </c>
      <c r="AI26" s="80">
        <f>IF(Q26="","",IF(Q26="SIM",VLOOKUP($I26&amp;$J26&amp;Q$1,Pesos!$A:$I,7,FALSE),VLOOKUP($I26&amp;$J26&amp;Q$1,Pesos!$A:$I,9,FALSE)))</f>
        <v>0.8</v>
      </c>
      <c r="AJ26" s="80">
        <f>IF(R26="","",IF(R26="SIM",VLOOKUP($I26&amp;$J26&amp;R$1,Pesos!$A:$I,7,FALSE),VLOOKUP($I26&amp;$J26&amp;R$1,Pesos!$A:$I,9,FALSE)))</f>
        <v>0.8</v>
      </c>
      <c r="AK26" s="80">
        <f>IF(S26="","",IF(S26="SIM",VLOOKUP($I26&amp;$J26&amp;S$1,Pesos!$A:$I,7,FALSE),VLOOKUP($I26&amp;$J26&amp;S$1,Pesos!$A:$I,9,FALSE)))</f>
        <v>0.8</v>
      </c>
      <c r="AL26" s="80">
        <f t="shared" si="7"/>
        <v>5.1999999999999993</v>
      </c>
      <c r="AM26" s="80">
        <f>IF(T26="","",IF(T26="SIM",VLOOKUP($I26&amp;$J26&amp;T$1,Pesos!$A:$I,7,FALSE),VLOOKUP($I26&amp;$J26&amp;T$1,Pesos!$A:$I,9,FALSE)))</f>
        <v>0.8</v>
      </c>
      <c r="AN26" s="80">
        <f>IF(U26="","",IF(U26="SIM",VLOOKUP($I26&amp;$J26&amp;U$1,Pesos!$A:$I,7,FALSE),VLOOKUP($I26&amp;$J26&amp;U$1,Pesos!$A:$I,9,FALSE)))</f>
        <v>0.8</v>
      </c>
      <c r="AO26" s="80">
        <f>IF(V26="","",IF(V26="SIM",VLOOKUP($I26&amp;$J26&amp;V$1,Pesos!$A:$I,7,FALSE),VLOOKUP($I26&amp;$J26&amp;V$1,Pesos!$A:$I,9,FALSE)))</f>
        <v>0.8</v>
      </c>
      <c r="AP26" s="80">
        <f>IF(W26="","",IF(W26="SIM",VLOOKUP($I26&amp;$J26&amp;W$1,Pesos!$A:$I,7,FALSE),VLOOKUP($I26&amp;$J26&amp;W$1,Pesos!$A:$I,9,FALSE)))</f>
        <v>0.8</v>
      </c>
      <c r="AQ26" s="80">
        <f>IF(X26="","",IF(X26="SIM",VLOOKUP($I26&amp;$J26&amp;X$1,Pesos!$A:$I,7,FALSE),VLOOKUP($I26&amp;$J26&amp;X$1,Pesos!$A:$I,9,FALSE)))</f>
        <v>0.8</v>
      </c>
      <c r="AR26" s="80">
        <f>IF(Y26="","",IF(Y26="SIM",VLOOKUP($I26&amp;$J26&amp;Y$1,Pesos!$A:$I,7,FALSE),VLOOKUP($I26&amp;$J26&amp;Y$1,Pesos!$A:$I,9,FALSE)))</f>
        <v>0.8</v>
      </c>
      <c r="AS26" s="81">
        <f>IFERROR(Z26*VLOOKUP(J26,'BD Campos'!$Y$1:$Z$12,2,FALSE),"0")</f>
        <v>10</v>
      </c>
      <c r="AT26" s="76"/>
    </row>
    <row r="27" spans="1:46" x14ac:dyDescent="0.35">
      <c r="A27" s="68" t="str">
        <f t="shared" si="1"/>
        <v>Jan202510863ReceptivaTRANSFERÊNCIA</v>
      </c>
      <c r="B27" s="69" t="str">
        <f t="shared" si="5"/>
        <v>Jan2025108635TRANSFERÊNCIAPADRÃO</v>
      </c>
      <c r="C27" s="70">
        <v>1</v>
      </c>
      <c r="D27" s="71">
        <v>45667.462018287035</v>
      </c>
      <c r="E27" s="110" t="s">
        <v>74</v>
      </c>
      <c r="F27" s="72">
        <v>10863</v>
      </c>
      <c r="G27" s="69" t="s">
        <v>171</v>
      </c>
      <c r="H27" s="73">
        <v>5</v>
      </c>
      <c r="I27" s="69" t="s">
        <v>6</v>
      </c>
      <c r="J27" s="69" t="s">
        <v>98</v>
      </c>
      <c r="K27" s="69" t="s">
        <v>106</v>
      </c>
      <c r="L27" s="74"/>
      <c r="M27" s="75">
        <v>7.407407407407407E-4</v>
      </c>
      <c r="N27" s="76" t="s">
        <v>79</v>
      </c>
      <c r="O27" s="76" t="s">
        <v>79</v>
      </c>
      <c r="P27" s="76" t="s">
        <v>79</v>
      </c>
      <c r="Q27" s="76" t="s">
        <v>79</v>
      </c>
      <c r="R27" s="76" t="s">
        <v>79</v>
      </c>
      <c r="S27" s="76" t="s">
        <v>79</v>
      </c>
      <c r="T27" s="76" t="s">
        <v>79</v>
      </c>
      <c r="U27" s="76" t="s">
        <v>79</v>
      </c>
      <c r="V27" s="76" t="s">
        <v>79</v>
      </c>
      <c r="W27" s="76" t="s">
        <v>79</v>
      </c>
      <c r="X27" s="76" t="s">
        <v>79</v>
      </c>
      <c r="Y27" s="76" t="s">
        <v>79</v>
      </c>
      <c r="Z27" s="77">
        <f t="shared" si="2"/>
        <v>10</v>
      </c>
      <c r="AA27" s="78"/>
      <c r="AB27" s="78"/>
      <c r="AC27" s="72" t="s">
        <v>47</v>
      </c>
      <c r="AD27" s="76"/>
      <c r="AE27" s="79" t="str">
        <f t="shared" si="6"/>
        <v>Jan10863</v>
      </c>
      <c r="AF27" s="80">
        <f>IF(N27="","",IF(N27="SIM",VLOOKUP($I27&amp;$J27&amp;N$1,Pesos!$A:$I,7,FALSE),VLOOKUP($I27&amp;$J27&amp;N$1,Pesos!$A:$I,9,FALSE)))</f>
        <v>0.8</v>
      </c>
      <c r="AG27" s="80">
        <f>IF(O27="","",IF(O27="SIM",VLOOKUP($I27&amp;$J27&amp;O$1,Pesos!$A:$I,7,FALSE),VLOOKUP($I27&amp;$J27&amp;O$1,Pesos!$A:$I,9,FALSE)))</f>
        <v>0.8</v>
      </c>
      <c r="AH27" s="80">
        <f>IF(P27="","",IF(P27="SIM",VLOOKUP($I27&amp;$J27&amp;P$1,Pesos!$A:$I,7,FALSE),VLOOKUP($I27&amp;$J27&amp;P$1,Pesos!$A:$I,9,FALSE)))</f>
        <v>1.2</v>
      </c>
      <c r="AI27" s="80">
        <f>IF(Q27="","",IF(Q27="SIM",VLOOKUP($I27&amp;$J27&amp;Q$1,Pesos!$A:$I,7,FALSE),VLOOKUP($I27&amp;$J27&amp;Q$1,Pesos!$A:$I,9,FALSE)))</f>
        <v>0.8</v>
      </c>
      <c r="AJ27" s="80">
        <f>IF(R27="","",IF(R27="SIM",VLOOKUP($I27&amp;$J27&amp;R$1,Pesos!$A:$I,7,FALSE),VLOOKUP($I27&amp;$J27&amp;R$1,Pesos!$A:$I,9,FALSE)))</f>
        <v>0.8</v>
      </c>
      <c r="AK27" s="80">
        <f>IF(S27="","",IF(S27="SIM",VLOOKUP($I27&amp;$J27&amp;S$1,Pesos!$A:$I,7,FALSE),VLOOKUP($I27&amp;$J27&amp;S$1,Pesos!$A:$I,9,FALSE)))</f>
        <v>0.8</v>
      </c>
      <c r="AL27" s="80">
        <f t="shared" si="7"/>
        <v>5.1999999999999993</v>
      </c>
      <c r="AM27" s="80">
        <f>IF(T27="","",IF(T27="SIM",VLOOKUP($I27&amp;$J27&amp;T$1,Pesos!$A:$I,7,FALSE),VLOOKUP($I27&amp;$J27&amp;T$1,Pesos!$A:$I,9,FALSE)))</f>
        <v>0.8</v>
      </c>
      <c r="AN27" s="80">
        <f>IF(U27="","",IF(U27="SIM",VLOOKUP($I27&amp;$J27&amp;U$1,Pesos!$A:$I,7,FALSE),VLOOKUP($I27&amp;$J27&amp;U$1,Pesos!$A:$I,9,FALSE)))</f>
        <v>0.8</v>
      </c>
      <c r="AO27" s="80">
        <f>IF(V27="","",IF(V27="SIM",VLOOKUP($I27&amp;$J27&amp;V$1,Pesos!$A:$I,7,FALSE),VLOOKUP($I27&amp;$J27&amp;V$1,Pesos!$A:$I,9,FALSE)))</f>
        <v>0.8</v>
      </c>
      <c r="AP27" s="80">
        <f>IF(W27="","",IF(W27="SIM",VLOOKUP($I27&amp;$J27&amp;W$1,Pesos!$A:$I,7,FALSE),VLOOKUP($I27&amp;$J27&amp;W$1,Pesos!$A:$I,9,FALSE)))</f>
        <v>0.8</v>
      </c>
      <c r="AQ27" s="80">
        <f>IF(X27="","",IF(X27="SIM",VLOOKUP($I27&amp;$J27&amp;X$1,Pesos!$A:$I,7,FALSE),VLOOKUP($I27&amp;$J27&amp;X$1,Pesos!$A:$I,9,FALSE)))</f>
        <v>0.8</v>
      </c>
      <c r="AR27" s="80">
        <f>IF(Y27="","",IF(Y27="SIM",VLOOKUP($I27&amp;$J27&amp;Y$1,Pesos!$A:$I,7,FALSE),VLOOKUP($I27&amp;$J27&amp;Y$1,Pesos!$A:$I,9,FALSE)))</f>
        <v>0.8</v>
      </c>
      <c r="AS27" s="81">
        <f>IFERROR(Z27*VLOOKUP(J27,'BD Campos'!$Y$1:$Z$12,2,FALSE),"0")</f>
        <v>10</v>
      </c>
      <c r="AT27" s="76"/>
    </row>
    <row r="28" spans="1:46" x14ac:dyDescent="0.35">
      <c r="A28" s="68" t="str">
        <f t="shared" si="1"/>
        <v>Jan202511167ReceptivaTRANSFERÊNCIA</v>
      </c>
      <c r="B28" s="69" t="str">
        <f t="shared" si="5"/>
        <v>Jan2025111675TRANSFERÊNCIAPADRÃO</v>
      </c>
      <c r="C28" s="70">
        <v>1</v>
      </c>
      <c r="D28" s="71">
        <v>45667.463591435182</v>
      </c>
      <c r="E28" s="110" t="s">
        <v>74</v>
      </c>
      <c r="F28" s="72">
        <v>11167</v>
      </c>
      <c r="G28" s="69" t="s">
        <v>1360</v>
      </c>
      <c r="H28" s="73">
        <v>5</v>
      </c>
      <c r="I28" s="69" t="s">
        <v>6</v>
      </c>
      <c r="J28" s="69" t="s">
        <v>98</v>
      </c>
      <c r="K28" s="69" t="s">
        <v>106</v>
      </c>
      <c r="L28" s="74"/>
      <c r="M28" s="75">
        <v>1.5624999999999999E-3</v>
      </c>
      <c r="N28" s="76" t="s">
        <v>79</v>
      </c>
      <c r="O28" s="76" t="s">
        <v>79</v>
      </c>
      <c r="P28" s="76" t="s">
        <v>79</v>
      </c>
      <c r="Q28" s="76" t="s">
        <v>79</v>
      </c>
      <c r="R28" s="76" t="s">
        <v>79</v>
      </c>
      <c r="S28" s="76" t="s">
        <v>79</v>
      </c>
      <c r="T28" s="76" t="s">
        <v>79</v>
      </c>
      <c r="U28" s="76" t="s">
        <v>79</v>
      </c>
      <c r="V28" s="76" t="s">
        <v>79</v>
      </c>
      <c r="W28" s="76" t="s">
        <v>79</v>
      </c>
      <c r="X28" s="76" t="s">
        <v>79</v>
      </c>
      <c r="Y28" s="76" t="s">
        <v>79</v>
      </c>
      <c r="Z28" s="77">
        <f t="shared" si="2"/>
        <v>10</v>
      </c>
      <c r="AA28" s="78"/>
      <c r="AB28" s="78"/>
      <c r="AC28" s="72" t="s">
        <v>47</v>
      </c>
      <c r="AD28" s="76"/>
      <c r="AE28" s="79" t="str">
        <f t="shared" si="6"/>
        <v>Jan11167</v>
      </c>
      <c r="AF28" s="80">
        <f>IF(N28="","",IF(N28="SIM",VLOOKUP($I28&amp;$J28&amp;N$1,Pesos!$A:$I,7,FALSE),VLOOKUP($I28&amp;$J28&amp;N$1,Pesos!$A:$I,9,FALSE)))</f>
        <v>0.8</v>
      </c>
      <c r="AG28" s="80">
        <f>IF(O28="","",IF(O28="SIM",VLOOKUP($I28&amp;$J28&amp;O$1,Pesos!$A:$I,7,FALSE),VLOOKUP($I28&amp;$J28&amp;O$1,Pesos!$A:$I,9,FALSE)))</f>
        <v>0.8</v>
      </c>
      <c r="AH28" s="80">
        <f>IF(P28="","",IF(P28="SIM",VLOOKUP($I28&amp;$J28&amp;P$1,Pesos!$A:$I,7,FALSE),VLOOKUP($I28&amp;$J28&amp;P$1,Pesos!$A:$I,9,FALSE)))</f>
        <v>1.2</v>
      </c>
      <c r="AI28" s="80">
        <f>IF(Q28="","",IF(Q28="SIM",VLOOKUP($I28&amp;$J28&amp;Q$1,Pesos!$A:$I,7,FALSE),VLOOKUP($I28&amp;$J28&amp;Q$1,Pesos!$A:$I,9,FALSE)))</f>
        <v>0.8</v>
      </c>
      <c r="AJ28" s="80">
        <f>IF(R28="","",IF(R28="SIM",VLOOKUP($I28&amp;$J28&amp;R$1,Pesos!$A:$I,7,FALSE),VLOOKUP($I28&amp;$J28&amp;R$1,Pesos!$A:$I,9,FALSE)))</f>
        <v>0.8</v>
      </c>
      <c r="AK28" s="80">
        <f>IF(S28="","",IF(S28="SIM",VLOOKUP($I28&amp;$J28&amp;S$1,Pesos!$A:$I,7,FALSE),VLOOKUP($I28&amp;$J28&amp;S$1,Pesos!$A:$I,9,FALSE)))</f>
        <v>0.8</v>
      </c>
      <c r="AL28" s="80">
        <f t="shared" si="7"/>
        <v>5.1999999999999993</v>
      </c>
      <c r="AM28" s="80">
        <f>IF(T28="","",IF(T28="SIM",VLOOKUP($I28&amp;$J28&amp;T$1,Pesos!$A:$I,7,FALSE),VLOOKUP($I28&amp;$J28&amp;T$1,Pesos!$A:$I,9,FALSE)))</f>
        <v>0.8</v>
      </c>
      <c r="AN28" s="80">
        <f>IF(U28="","",IF(U28="SIM",VLOOKUP($I28&amp;$J28&amp;U$1,Pesos!$A:$I,7,FALSE),VLOOKUP($I28&amp;$J28&amp;U$1,Pesos!$A:$I,9,FALSE)))</f>
        <v>0.8</v>
      </c>
      <c r="AO28" s="80">
        <f>IF(V28="","",IF(V28="SIM",VLOOKUP($I28&amp;$J28&amp;V$1,Pesos!$A:$I,7,FALSE),VLOOKUP($I28&amp;$J28&amp;V$1,Pesos!$A:$I,9,FALSE)))</f>
        <v>0.8</v>
      </c>
      <c r="AP28" s="80">
        <f>IF(W28="","",IF(W28="SIM",VLOOKUP($I28&amp;$J28&amp;W$1,Pesos!$A:$I,7,FALSE),VLOOKUP($I28&amp;$J28&amp;W$1,Pesos!$A:$I,9,FALSE)))</f>
        <v>0.8</v>
      </c>
      <c r="AQ28" s="80">
        <f>IF(X28="","",IF(X28="SIM",VLOOKUP($I28&amp;$J28&amp;X$1,Pesos!$A:$I,7,FALSE),VLOOKUP($I28&amp;$J28&amp;X$1,Pesos!$A:$I,9,FALSE)))</f>
        <v>0.8</v>
      </c>
      <c r="AR28" s="80">
        <f>IF(Y28="","",IF(Y28="SIM",VLOOKUP($I28&amp;$J28&amp;Y$1,Pesos!$A:$I,7,FALSE),VLOOKUP($I28&amp;$J28&amp;Y$1,Pesos!$A:$I,9,FALSE)))</f>
        <v>0.8</v>
      </c>
      <c r="AS28" s="81">
        <f>IFERROR(Z28*VLOOKUP(J28,'BD Campos'!$Y$1:$Z$12,2,FALSE),"0")</f>
        <v>10</v>
      </c>
      <c r="AT28" s="76"/>
    </row>
    <row r="29" spans="1:46" x14ac:dyDescent="0.35">
      <c r="A29" s="68" t="str">
        <f t="shared" si="1"/>
        <v>Jan202510901MotoristaTRANSFERÊNCIA</v>
      </c>
      <c r="B29" s="69" t="str">
        <f t="shared" ref="B29:B43" si="8">E29&amp;YEAR(D29)&amp;F29&amp;H29&amp;K29&amp;AC29</f>
        <v>Jan2025109011TRANSFERÊNCIAPADRÃO</v>
      </c>
      <c r="C29" s="70">
        <v>1</v>
      </c>
      <c r="D29" s="71">
        <v>45667.574416203701</v>
      </c>
      <c r="E29" s="110" t="s">
        <v>74</v>
      </c>
      <c r="F29" s="72">
        <v>10901</v>
      </c>
      <c r="G29" s="69" t="s">
        <v>173</v>
      </c>
      <c r="H29" s="73">
        <v>1</v>
      </c>
      <c r="I29" s="69" t="s">
        <v>123</v>
      </c>
      <c r="J29" s="69" t="s">
        <v>122</v>
      </c>
      <c r="K29" s="69" t="s">
        <v>106</v>
      </c>
      <c r="L29" s="74">
        <v>30811973</v>
      </c>
      <c r="M29" s="75">
        <v>2.2106481481481478E-3</v>
      </c>
      <c r="N29" s="76" t="s">
        <v>79</v>
      </c>
      <c r="O29" s="76" t="s">
        <v>79</v>
      </c>
      <c r="P29" s="76" t="s">
        <v>79</v>
      </c>
      <c r="Q29" s="76" t="s">
        <v>79</v>
      </c>
      <c r="R29" s="76" t="s">
        <v>79</v>
      </c>
      <c r="S29" s="76" t="s">
        <v>79</v>
      </c>
      <c r="T29" s="76" t="s">
        <v>79</v>
      </c>
      <c r="U29" s="76" t="s">
        <v>83</v>
      </c>
      <c r="V29" s="76" t="s">
        <v>79</v>
      </c>
      <c r="W29" s="76" t="s">
        <v>79</v>
      </c>
      <c r="X29" s="76"/>
      <c r="Y29" s="76"/>
      <c r="Z29" s="77">
        <f t="shared" si="2"/>
        <v>8.9499999999999993</v>
      </c>
      <c r="AA29" s="78"/>
      <c r="AB29" s="78" t="s">
        <v>1417</v>
      </c>
      <c r="AC29" s="72" t="s">
        <v>47</v>
      </c>
      <c r="AD29" s="76"/>
      <c r="AE29" s="79" t="str">
        <f t="shared" ref="AE29:AE43" si="9">E29&amp;F29</f>
        <v>Jan10901</v>
      </c>
      <c r="AF29" s="80">
        <f>IF(N29="","",IF(N29="SIM",VLOOKUP($I29&amp;$J29&amp;N$1,Pesos!$A:$I,7,FALSE),VLOOKUP($I29&amp;$J29&amp;N$1,Pesos!$A:$I,9,FALSE)))</f>
        <v>1</v>
      </c>
      <c r="AG29" s="80">
        <f>IF(O29="","",IF(O29="SIM",VLOOKUP($I29&amp;$J29&amp;O$1,Pesos!$A:$I,7,FALSE),VLOOKUP($I29&amp;$J29&amp;O$1,Pesos!$A:$I,9,FALSE)))</f>
        <v>1</v>
      </c>
      <c r="AH29" s="80">
        <f>IF(P29="","",IF(P29="SIM",VLOOKUP($I29&amp;$J29&amp;P$1,Pesos!$A:$I,7,FALSE),VLOOKUP($I29&amp;$J29&amp;P$1,Pesos!$A:$I,9,FALSE)))</f>
        <v>1</v>
      </c>
      <c r="AI29" s="80">
        <f>IF(Q29="","",IF(Q29="SIM",VLOOKUP($I29&amp;$J29&amp;Q$1,Pesos!$A:$I,7,FALSE),VLOOKUP($I29&amp;$J29&amp;Q$1,Pesos!$A:$I,9,FALSE)))</f>
        <v>1</v>
      </c>
      <c r="AJ29" s="80">
        <f>IF(R29="","",IF(R29="SIM",VLOOKUP($I29&amp;$J29&amp;R$1,Pesos!$A:$I,7,FALSE),VLOOKUP($I29&amp;$J29&amp;R$1,Pesos!$A:$I,9,FALSE)))</f>
        <v>1</v>
      </c>
      <c r="AK29" s="80">
        <f>IF(S29="","",IF(S29="SIM",VLOOKUP($I29&amp;$J29&amp;S$1,Pesos!$A:$I,7,FALSE),VLOOKUP($I29&amp;$J29&amp;S$1,Pesos!$A:$I,9,FALSE)))</f>
        <v>1</v>
      </c>
      <c r="AL29" s="80">
        <f t="shared" ref="AL29:AL43" si="10">SUM(AF29:AK29)</f>
        <v>6</v>
      </c>
      <c r="AM29" s="80">
        <f>IF(T29="","",IF(T29="SIM",VLOOKUP($I29&amp;$J29&amp;T$1,Pesos!$A:$I,7,FALSE),VLOOKUP($I29&amp;$J29&amp;T$1,Pesos!$A:$I,9,FALSE)))</f>
        <v>1</v>
      </c>
      <c r="AN29" s="80">
        <f>IF(U29="","",IF(U29="SIM",VLOOKUP($I29&amp;$J29&amp;U$1,Pesos!$A:$I,7,FALSE),VLOOKUP($I29&amp;$J29&amp;U$1,Pesos!$A:$I,9,FALSE)))</f>
        <v>-0.05</v>
      </c>
      <c r="AO29" s="80">
        <f>IF(V29="","",IF(V29="SIM",VLOOKUP($I29&amp;$J29&amp;V$1,Pesos!$A:$I,7,FALSE),VLOOKUP($I29&amp;$J29&amp;V$1,Pesos!$A:$I,9,FALSE)))</f>
        <v>1</v>
      </c>
      <c r="AP29" s="80">
        <f>IF(W29="","",IF(W29="SIM",VLOOKUP($I29&amp;$J29&amp;W$1,Pesos!$A:$I,7,FALSE),VLOOKUP($I29&amp;$J29&amp;W$1,Pesos!$A:$I,9,FALSE)))</f>
        <v>1</v>
      </c>
      <c r="AQ29" s="80" t="str">
        <f>IF(X29="","",IF(X29="SIM",VLOOKUP($I29&amp;$J29&amp;X$1,Pesos!$A:$I,7,FALSE),VLOOKUP($I29&amp;$J29&amp;X$1,Pesos!$A:$I,9,FALSE)))</f>
        <v/>
      </c>
      <c r="AR29" s="80" t="str">
        <f>IF(Y29="","",IF(Y29="SIM",VLOOKUP($I29&amp;$J29&amp;Y$1,Pesos!$A:$I,7,FALSE),VLOOKUP($I29&amp;$J29&amp;Y$1,Pesos!$A:$I,9,FALSE)))</f>
        <v/>
      </c>
      <c r="AS29" s="81">
        <f>IFERROR(Z29*VLOOKUP(J29,'BD Campos'!$Y$1:$Z$12,2,FALSE),"0")</f>
        <v>8.9499999999999993</v>
      </c>
      <c r="AT29" s="76"/>
    </row>
    <row r="30" spans="1:46" x14ac:dyDescent="0.35">
      <c r="A30" s="68" t="str">
        <f t="shared" si="1"/>
        <v>Jan202510915MotoristaTRANSFERÊNCIA</v>
      </c>
      <c r="B30" s="69" t="str">
        <f t="shared" si="8"/>
        <v>Jan2025109151TRANSFERÊNCIAPADRÃO</v>
      </c>
      <c r="C30" s="70">
        <v>1</v>
      </c>
      <c r="D30" s="71">
        <v>45667.580500115742</v>
      </c>
      <c r="E30" s="110" t="s">
        <v>74</v>
      </c>
      <c r="F30" s="72">
        <v>10915</v>
      </c>
      <c r="G30" s="69" t="s">
        <v>174</v>
      </c>
      <c r="H30" s="73">
        <v>1</v>
      </c>
      <c r="I30" s="69" t="s">
        <v>121</v>
      </c>
      <c r="J30" s="69" t="s">
        <v>122</v>
      </c>
      <c r="K30" s="69" t="s">
        <v>106</v>
      </c>
      <c r="L30" s="74">
        <v>30758302</v>
      </c>
      <c r="M30" s="75">
        <v>3.9236111111111112E-3</v>
      </c>
      <c r="N30" s="76" t="s">
        <v>79</v>
      </c>
      <c r="O30" s="76" t="s">
        <v>79</v>
      </c>
      <c r="P30" s="76" t="s">
        <v>79</v>
      </c>
      <c r="Q30" s="76" t="s">
        <v>79</v>
      </c>
      <c r="R30" s="76" t="s">
        <v>79</v>
      </c>
      <c r="S30" s="76" t="s">
        <v>79</v>
      </c>
      <c r="T30" s="76" t="s">
        <v>79</v>
      </c>
      <c r="U30" s="76" t="s">
        <v>79</v>
      </c>
      <c r="V30" s="76" t="s">
        <v>79</v>
      </c>
      <c r="W30" s="76" t="s">
        <v>79</v>
      </c>
      <c r="X30" s="76" t="s">
        <v>79</v>
      </c>
      <c r="Y30" s="76"/>
      <c r="Z30" s="77">
        <f t="shared" si="2"/>
        <v>10</v>
      </c>
      <c r="AA30" s="78"/>
      <c r="AB30" s="78" t="s">
        <v>1418</v>
      </c>
      <c r="AC30" s="72" t="s">
        <v>47</v>
      </c>
      <c r="AD30" s="76"/>
      <c r="AE30" s="79" t="str">
        <f t="shared" si="9"/>
        <v>Jan10915</v>
      </c>
      <c r="AF30" s="80">
        <f>IF(N30="","",IF(N30="SIM",VLOOKUP($I30&amp;$J30&amp;N$1,Pesos!$A:$I,7,FALSE),VLOOKUP($I30&amp;$J30&amp;N$1,Pesos!$A:$I,9,FALSE)))</f>
        <v>0.89999999999999991</v>
      </c>
      <c r="AG30" s="80">
        <f>IF(O30="","",IF(O30="SIM",VLOOKUP($I30&amp;$J30&amp;O$1,Pesos!$A:$I,7,FALSE),VLOOKUP($I30&amp;$J30&amp;O$1,Pesos!$A:$I,9,FALSE)))</f>
        <v>0.89999999999999991</v>
      </c>
      <c r="AH30" s="80">
        <f>IF(P30="","",IF(P30="SIM",VLOOKUP($I30&amp;$J30&amp;P$1,Pesos!$A:$I,7,FALSE),VLOOKUP($I30&amp;$J30&amp;P$1,Pesos!$A:$I,9,FALSE)))</f>
        <v>0.89999999999999991</v>
      </c>
      <c r="AI30" s="80">
        <f>IF(Q30="","",IF(Q30="SIM",VLOOKUP($I30&amp;$J30&amp;Q$1,Pesos!$A:$I,7,FALSE),VLOOKUP($I30&amp;$J30&amp;Q$1,Pesos!$A:$I,9,FALSE)))</f>
        <v>0.89999999999999991</v>
      </c>
      <c r="AJ30" s="80">
        <f>IF(R30="","",IF(R30="SIM",VLOOKUP($I30&amp;$J30&amp;R$1,Pesos!$A:$I,7,FALSE),VLOOKUP($I30&amp;$J30&amp;R$1,Pesos!$A:$I,9,FALSE)))</f>
        <v>0.89999999999999991</v>
      </c>
      <c r="AK30" s="80">
        <f>IF(S30="","",IF(S30="SIM",VLOOKUP($I30&amp;$J30&amp;S$1,Pesos!$A:$I,7,FALSE),VLOOKUP($I30&amp;$J30&amp;S$1,Pesos!$A:$I,9,FALSE)))</f>
        <v>0.89999999999999991</v>
      </c>
      <c r="AL30" s="80">
        <f t="shared" si="10"/>
        <v>5.4</v>
      </c>
      <c r="AM30" s="80">
        <f>IF(T30="","",IF(T30="SIM",VLOOKUP($I30&amp;$J30&amp;T$1,Pesos!$A:$I,7,FALSE),VLOOKUP($I30&amp;$J30&amp;T$1,Pesos!$A:$I,9,FALSE)))</f>
        <v>0.89999999999999991</v>
      </c>
      <c r="AN30" s="80">
        <f>IF(U30="","",IF(U30="SIM",VLOOKUP($I30&amp;$J30&amp;U$1,Pesos!$A:$I,7,FALSE),VLOOKUP($I30&amp;$J30&amp;U$1,Pesos!$A:$I,9,FALSE)))</f>
        <v>0.92500000000000004</v>
      </c>
      <c r="AO30" s="80">
        <f>IF(V30="","",IF(V30="SIM",VLOOKUP($I30&amp;$J30&amp;V$1,Pesos!$A:$I,7,FALSE),VLOOKUP($I30&amp;$J30&amp;V$1,Pesos!$A:$I,9,FALSE)))</f>
        <v>0.92500000000000004</v>
      </c>
      <c r="AP30" s="80">
        <f>IF(W30="","",IF(W30="SIM",VLOOKUP($I30&amp;$J30&amp;W$1,Pesos!$A:$I,7,FALSE),VLOOKUP($I30&amp;$J30&amp;W$1,Pesos!$A:$I,9,FALSE)))</f>
        <v>0.89999999999999991</v>
      </c>
      <c r="AQ30" s="80">
        <f>IF(X30="","",IF(X30="SIM",VLOOKUP($I30&amp;$J30&amp;X$1,Pesos!$A:$I,7,FALSE),VLOOKUP($I30&amp;$J30&amp;X$1,Pesos!$A:$I,9,FALSE)))</f>
        <v>0.95</v>
      </c>
      <c r="AR30" s="80" t="str">
        <f>IF(Y30="","",IF(Y30="SIM",VLOOKUP($I30&amp;$J30&amp;Y$1,Pesos!$A:$I,7,FALSE),VLOOKUP($I30&amp;$J30&amp;Y$1,Pesos!$A:$I,9,FALSE)))</f>
        <v/>
      </c>
      <c r="AS30" s="81">
        <f>IFERROR(Z30*VLOOKUP(J30,'BD Campos'!$Y$1:$Z$12,2,FALSE),"0")</f>
        <v>10</v>
      </c>
      <c r="AT30" s="76"/>
    </row>
    <row r="31" spans="1:46" x14ac:dyDescent="0.35">
      <c r="A31" s="68" t="str">
        <f t="shared" si="1"/>
        <v>Jan202510947MotoristaTRANSFERÊNCIA</v>
      </c>
      <c r="B31" s="69" t="str">
        <f t="shared" si="8"/>
        <v>Jan2025109471TRANSFERÊNCIAPADRÃO</v>
      </c>
      <c r="C31" s="70">
        <v>1</v>
      </c>
      <c r="D31" s="71">
        <v>45667.585210300924</v>
      </c>
      <c r="E31" s="110" t="s">
        <v>74</v>
      </c>
      <c r="F31" s="72">
        <v>10947</v>
      </c>
      <c r="G31" s="69" t="s">
        <v>177</v>
      </c>
      <c r="H31" s="73">
        <v>1</v>
      </c>
      <c r="I31" s="69" t="s">
        <v>121</v>
      </c>
      <c r="J31" s="69" t="s">
        <v>122</v>
      </c>
      <c r="K31" s="69" t="s">
        <v>106</v>
      </c>
      <c r="L31" s="74">
        <v>30775118</v>
      </c>
      <c r="M31" s="75">
        <v>2.5578703703703705E-3</v>
      </c>
      <c r="N31" s="76" t="s">
        <v>79</v>
      </c>
      <c r="O31" s="76" t="s">
        <v>79</v>
      </c>
      <c r="P31" s="76" t="s">
        <v>79</v>
      </c>
      <c r="Q31" s="76" t="s">
        <v>79</v>
      </c>
      <c r="R31" s="76" t="s">
        <v>79</v>
      </c>
      <c r="S31" s="76" t="s">
        <v>79</v>
      </c>
      <c r="T31" s="76" t="s">
        <v>79</v>
      </c>
      <c r="U31" s="76" t="s">
        <v>79</v>
      </c>
      <c r="V31" s="76" t="s">
        <v>79</v>
      </c>
      <c r="W31" s="76" t="s">
        <v>79</v>
      </c>
      <c r="X31" s="76" t="s">
        <v>79</v>
      </c>
      <c r="Y31" s="76"/>
      <c r="Z31" s="77">
        <f t="shared" si="2"/>
        <v>10</v>
      </c>
      <c r="AA31" s="78"/>
      <c r="AB31" s="78" t="s">
        <v>1419</v>
      </c>
      <c r="AC31" s="72" t="s">
        <v>47</v>
      </c>
      <c r="AD31" s="76"/>
      <c r="AE31" s="79" t="str">
        <f t="shared" si="9"/>
        <v>Jan10947</v>
      </c>
      <c r="AF31" s="80">
        <f>IF(N31="","",IF(N31="SIM",VLOOKUP($I31&amp;$J31&amp;N$1,Pesos!$A:$I,7,FALSE),VLOOKUP($I31&amp;$J31&amp;N$1,Pesos!$A:$I,9,FALSE)))</f>
        <v>0.89999999999999991</v>
      </c>
      <c r="AG31" s="80">
        <f>IF(O31="","",IF(O31="SIM",VLOOKUP($I31&amp;$J31&amp;O$1,Pesos!$A:$I,7,FALSE),VLOOKUP($I31&amp;$J31&amp;O$1,Pesos!$A:$I,9,FALSE)))</f>
        <v>0.89999999999999991</v>
      </c>
      <c r="AH31" s="80">
        <f>IF(P31="","",IF(P31="SIM",VLOOKUP($I31&amp;$J31&amp;P$1,Pesos!$A:$I,7,FALSE),VLOOKUP($I31&amp;$J31&amp;P$1,Pesos!$A:$I,9,FALSE)))</f>
        <v>0.89999999999999991</v>
      </c>
      <c r="AI31" s="80">
        <f>IF(Q31="","",IF(Q31="SIM",VLOOKUP($I31&amp;$J31&amp;Q$1,Pesos!$A:$I,7,FALSE),VLOOKUP($I31&amp;$J31&amp;Q$1,Pesos!$A:$I,9,FALSE)))</f>
        <v>0.89999999999999991</v>
      </c>
      <c r="AJ31" s="80">
        <f>IF(R31="","",IF(R31="SIM",VLOOKUP($I31&amp;$J31&amp;R$1,Pesos!$A:$I,7,FALSE),VLOOKUP($I31&amp;$J31&amp;R$1,Pesos!$A:$I,9,FALSE)))</f>
        <v>0.89999999999999991</v>
      </c>
      <c r="AK31" s="80">
        <f>IF(S31="","",IF(S31="SIM",VLOOKUP($I31&amp;$J31&amp;S$1,Pesos!$A:$I,7,FALSE),VLOOKUP($I31&amp;$J31&amp;S$1,Pesos!$A:$I,9,FALSE)))</f>
        <v>0.89999999999999991</v>
      </c>
      <c r="AL31" s="80">
        <f t="shared" si="10"/>
        <v>5.4</v>
      </c>
      <c r="AM31" s="80">
        <f>IF(T31="","",IF(T31="SIM",VLOOKUP($I31&amp;$J31&amp;T$1,Pesos!$A:$I,7,FALSE),VLOOKUP($I31&amp;$J31&amp;T$1,Pesos!$A:$I,9,FALSE)))</f>
        <v>0.89999999999999991</v>
      </c>
      <c r="AN31" s="80">
        <f>IF(U31="","",IF(U31="SIM",VLOOKUP($I31&amp;$J31&amp;U$1,Pesos!$A:$I,7,FALSE),VLOOKUP($I31&amp;$J31&amp;U$1,Pesos!$A:$I,9,FALSE)))</f>
        <v>0.92500000000000004</v>
      </c>
      <c r="AO31" s="80">
        <f>IF(V31="","",IF(V31="SIM",VLOOKUP($I31&amp;$J31&amp;V$1,Pesos!$A:$I,7,FALSE),VLOOKUP($I31&amp;$J31&amp;V$1,Pesos!$A:$I,9,FALSE)))</f>
        <v>0.92500000000000004</v>
      </c>
      <c r="AP31" s="80">
        <f>IF(W31="","",IF(W31="SIM",VLOOKUP($I31&amp;$J31&amp;W$1,Pesos!$A:$I,7,FALSE),VLOOKUP($I31&amp;$J31&amp;W$1,Pesos!$A:$I,9,FALSE)))</f>
        <v>0.89999999999999991</v>
      </c>
      <c r="AQ31" s="80">
        <f>IF(X31="","",IF(X31="SIM",VLOOKUP($I31&amp;$J31&amp;X$1,Pesos!$A:$I,7,FALSE),VLOOKUP($I31&amp;$J31&amp;X$1,Pesos!$A:$I,9,FALSE)))</f>
        <v>0.95</v>
      </c>
      <c r="AR31" s="80" t="str">
        <f>IF(Y31="","",IF(Y31="SIM",VLOOKUP($I31&amp;$J31&amp;Y$1,Pesos!$A:$I,7,FALSE),VLOOKUP($I31&amp;$J31&amp;Y$1,Pesos!$A:$I,9,FALSE)))</f>
        <v/>
      </c>
      <c r="AS31" s="81">
        <f>IFERROR(Z31*VLOOKUP(J31,'BD Campos'!$Y$1:$Z$12,2,FALSE),"0")</f>
        <v>10</v>
      </c>
      <c r="AT31" s="76"/>
    </row>
    <row r="32" spans="1:46" x14ac:dyDescent="0.35">
      <c r="A32" s="68" t="str">
        <f t="shared" si="1"/>
        <v>Jan202510962MotoristaTRANSFERÊNCIA</v>
      </c>
      <c r="B32" s="69" t="str">
        <f t="shared" si="8"/>
        <v>Jan2025109621TRANSFERÊNCIAPADRÃO</v>
      </c>
      <c r="C32" s="70">
        <v>1</v>
      </c>
      <c r="D32" s="71">
        <v>45667.588663888891</v>
      </c>
      <c r="E32" s="110" t="s">
        <v>74</v>
      </c>
      <c r="F32" s="72">
        <v>10962</v>
      </c>
      <c r="G32" s="69" t="s">
        <v>178</v>
      </c>
      <c r="H32" s="73">
        <v>1</v>
      </c>
      <c r="I32" s="69" t="s">
        <v>123</v>
      </c>
      <c r="J32" s="69" t="s">
        <v>122</v>
      </c>
      <c r="K32" s="69" t="s">
        <v>106</v>
      </c>
      <c r="L32" s="74">
        <v>30789791</v>
      </c>
      <c r="M32" s="75">
        <v>1.5509259259259261E-3</v>
      </c>
      <c r="N32" s="76" t="s">
        <v>79</v>
      </c>
      <c r="O32" s="76" t="s">
        <v>79</v>
      </c>
      <c r="P32" s="76" t="s">
        <v>79</v>
      </c>
      <c r="Q32" s="76" t="s">
        <v>79</v>
      </c>
      <c r="R32" s="76" t="s">
        <v>79</v>
      </c>
      <c r="S32" s="76" t="s">
        <v>79</v>
      </c>
      <c r="T32" s="76" t="s">
        <v>79</v>
      </c>
      <c r="U32" s="76" t="s">
        <v>79</v>
      </c>
      <c r="V32" s="76" t="s">
        <v>79</v>
      </c>
      <c r="W32" s="76" t="s">
        <v>83</v>
      </c>
      <c r="X32" s="76"/>
      <c r="Y32" s="76"/>
      <c r="Z32" s="77">
        <f t="shared" si="2"/>
        <v>8.9499999999999993</v>
      </c>
      <c r="AA32" s="78"/>
      <c r="AB32" s="78" t="s">
        <v>1420</v>
      </c>
      <c r="AC32" s="72" t="s">
        <v>47</v>
      </c>
      <c r="AD32" s="76"/>
      <c r="AE32" s="79" t="str">
        <f t="shared" si="9"/>
        <v>Jan10962</v>
      </c>
      <c r="AF32" s="80">
        <f>IF(N32="","",IF(N32="SIM",VLOOKUP($I32&amp;$J32&amp;N$1,Pesos!$A:$I,7,FALSE),VLOOKUP($I32&amp;$J32&amp;N$1,Pesos!$A:$I,9,FALSE)))</f>
        <v>1</v>
      </c>
      <c r="AG32" s="80">
        <f>IF(O32="","",IF(O32="SIM",VLOOKUP($I32&amp;$J32&amp;O$1,Pesos!$A:$I,7,FALSE),VLOOKUP($I32&amp;$J32&amp;O$1,Pesos!$A:$I,9,FALSE)))</f>
        <v>1</v>
      </c>
      <c r="AH32" s="80">
        <f>IF(P32="","",IF(P32="SIM",VLOOKUP($I32&amp;$J32&amp;P$1,Pesos!$A:$I,7,FALSE),VLOOKUP($I32&amp;$J32&amp;P$1,Pesos!$A:$I,9,FALSE)))</f>
        <v>1</v>
      </c>
      <c r="AI32" s="80">
        <f>IF(Q32="","",IF(Q32="SIM",VLOOKUP($I32&amp;$J32&amp;Q$1,Pesos!$A:$I,7,FALSE),VLOOKUP($I32&amp;$J32&amp;Q$1,Pesos!$A:$I,9,FALSE)))</f>
        <v>1</v>
      </c>
      <c r="AJ32" s="80">
        <f>IF(R32="","",IF(R32="SIM",VLOOKUP($I32&amp;$J32&amp;R$1,Pesos!$A:$I,7,FALSE),VLOOKUP($I32&amp;$J32&amp;R$1,Pesos!$A:$I,9,FALSE)))</f>
        <v>1</v>
      </c>
      <c r="AK32" s="80">
        <f>IF(S32="","",IF(S32="SIM",VLOOKUP($I32&amp;$J32&amp;S$1,Pesos!$A:$I,7,FALSE),VLOOKUP($I32&amp;$J32&amp;S$1,Pesos!$A:$I,9,FALSE)))</f>
        <v>1</v>
      </c>
      <c r="AL32" s="80">
        <f t="shared" si="10"/>
        <v>6</v>
      </c>
      <c r="AM32" s="80">
        <f>IF(T32="","",IF(T32="SIM",VLOOKUP($I32&amp;$J32&amp;T$1,Pesos!$A:$I,7,FALSE),VLOOKUP($I32&amp;$J32&amp;T$1,Pesos!$A:$I,9,FALSE)))</f>
        <v>1</v>
      </c>
      <c r="AN32" s="80">
        <f>IF(U32="","",IF(U32="SIM",VLOOKUP($I32&amp;$J32&amp;U$1,Pesos!$A:$I,7,FALSE),VLOOKUP($I32&amp;$J32&amp;U$1,Pesos!$A:$I,9,FALSE)))</f>
        <v>1</v>
      </c>
      <c r="AO32" s="80">
        <f>IF(V32="","",IF(V32="SIM",VLOOKUP($I32&amp;$J32&amp;V$1,Pesos!$A:$I,7,FALSE),VLOOKUP($I32&amp;$J32&amp;V$1,Pesos!$A:$I,9,FALSE)))</f>
        <v>1</v>
      </c>
      <c r="AP32" s="80">
        <f>IF(W32="","",IF(W32="SIM",VLOOKUP($I32&amp;$J32&amp;W$1,Pesos!$A:$I,7,FALSE),VLOOKUP($I32&amp;$J32&amp;W$1,Pesos!$A:$I,9,FALSE)))</f>
        <v>-0.05</v>
      </c>
      <c r="AQ32" s="80" t="str">
        <f>IF(X32="","",IF(X32="SIM",VLOOKUP($I32&amp;$J32&amp;X$1,Pesos!$A:$I,7,FALSE),VLOOKUP($I32&amp;$J32&amp;X$1,Pesos!$A:$I,9,FALSE)))</f>
        <v/>
      </c>
      <c r="AR32" s="80" t="str">
        <f>IF(Y32="","",IF(Y32="SIM",VLOOKUP($I32&amp;$J32&amp;Y$1,Pesos!$A:$I,7,FALSE),VLOOKUP($I32&amp;$J32&amp;Y$1,Pesos!$A:$I,9,FALSE)))</f>
        <v/>
      </c>
      <c r="AS32" s="81">
        <f>IFERROR(Z32*VLOOKUP(J32,'BD Campos'!$Y$1:$Z$12,2,FALSE),"0")</f>
        <v>8.9499999999999993</v>
      </c>
      <c r="AT32" s="76"/>
    </row>
    <row r="33" spans="1:46" x14ac:dyDescent="0.35">
      <c r="A33" s="68" t="str">
        <f t="shared" si="1"/>
        <v>Jan202511109MotoristaTRANSFERÊNCIA</v>
      </c>
      <c r="B33" s="69" t="str">
        <f t="shared" si="8"/>
        <v>Jan2025111091TRANSFERÊNCIAPADRÃO</v>
      </c>
      <c r="C33" s="70">
        <v>1</v>
      </c>
      <c r="D33" s="71">
        <v>45667.593530092592</v>
      </c>
      <c r="E33" s="110" t="s">
        <v>74</v>
      </c>
      <c r="F33" s="72">
        <v>11109</v>
      </c>
      <c r="G33" s="69" t="s">
        <v>436</v>
      </c>
      <c r="H33" s="73">
        <v>1</v>
      </c>
      <c r="I33" s="69" t="s">
        <v>123</v>
      </c>
      <c r="J33" s="69" t="s">
        <v>122</v>
      </c>
      <c r="K33" s="69" t="s">
        <v>106</v>
      </c>
      <c r="L33" s="74">
        <v>30781336</v>
      </c>
      <c r="M33" s="75">
        <v>5.0347222222222225E-3</v>
      </c>
      <c r="N33" s="76" t="s">
        <v>79</v>
      </c>
      <c r="O33" s="76" t="s">
        <v>79</v>
      </c>
      <c r="P33" s="76" t="s">
        <v>79</v>
      </c>
      <c r="Q33" s="76" t="s">
        <v>79</v>
      </c>
      <c r="R33" s="76" t="s">
        <v>79</v>
      </c>
      <c r="S33" s="76" t="s">
        <v>79</v>
      </c>
      <c r="T33" s="76" t="s">
        <v>79</v>
      </c>
      <c r="U33" s="76" t="s">
        <v>83</v>
      </c>
      <c r="V33" s="76" t="s">
        <v>79</v>
      </c>
      <c r="W33" s="76" t="s">
        <v>79</v>
      </c>
      <c r="X33" s="76"/>
      <c r="Y33" s="76"/>
      <c r="Z33" s="77">
        <f t="shared" si="2"/>
        <v>8.9499999999999993</v>
      </c>
      <c r="AA33" s="78"/>
      <c r="AB33" s="78" t="s">
        <v>1421</v>
      </c>
      <c r="AC33" s="72" t="s">
        <v>47</v>
      </c>
      <c r="AD33" s="76"/>
      <c r="AE33" s="79" t="str">
        <f t="shared" si="9"/>
        <v>Jan11109</v>
      </c>
      <c r="AF33" s="80">
        <f>IF(N33="","",IF(N33="SIM",VLOOKUP($I33&amp;$J33&amp;N$1,Pesos!$A:$I,7,FALSE),VLOOKUP($I33&amp;$J33&amp;N$1,Pesos!$A:$I,9,FALSE)))</f>
        <v>1</v>
      </c>
      <c r="AG33" s="80">
        <f>IF(O33="","",IF(O33="SIM",VLOOKUP($I33&amp;$J33&amp;O$1,Pesos!$A:$I,7,FALSE),VLOOKUP($I33&amp;$J33&amp;O$1,Pesos!$A:$I,9,FALSE)))</f>
        <v>1</v>
      </c>
      <c r="AH33" s="80">
        <f>IF(P33="","",IF(P33="SIM",VLOOKUP($I33&amp;$J33&amp;P$1,Pesos!$A:$I,7,FALSE),VLOOKUP($I33&amp;$J33&amp;P$1,Pesos!$A:$I,9,FALSE)))</f>
        <v>1</v>
      </c>
      <c r="AI33" s="80">
        <f>IF(Q33="","",IF(Q33="SIM",VLOOKUP($I33&amp;$J33&amp;Q$1,Pesos!$A:$I,7,FALSE),VLOOKUP($I33&amp;$J33&amp;Q$1,Pesos!$A:$I,9,FALSE)))</f>
        <v>1</v>
      </c>
      <c r="AJ33" s="80">
        <f>IF(R33="","",IF(R33="SIM",VLOOKUP($I33&amp;$J33&amp;R$1,Pesos!$A:$I,7,FALSE),VLOOKUP($I33&amp;$J33&amp;R$1,Pesos!$A:$I,9,FALSE)))</f>
        <v>1</v>
      </c>
      <c r="AK33" s="80">
        <f>IF(S33="","",IF(S33="SIM",VLOOKUP($I33&amp;$J33&amp;S$1,Pesos!$A:$I,7,FALSE),VLOOKUP($I33&amp;$J33&amp;S$1,Pesos!$A:$I,9,FALSE)))</f>
        <v>1</v>
      </c>
      <c r="AL33" s="80">
        <f t="shared" si="10"/>
        <v>6</v>
      </c>
      <c r="AM33" s="80">
        <f>IF(T33="","",IF(T33="SIM",VLOOKUP($I33&amp;$J33&amp;T$1,Pesos!$A:$I,7,FALSE),VLOOKUP($I33&amp;$J33&amp;T$1,Pesos!$A:$I,9,FALSE)))</f>
        <v>1</v>
      </c>
      <c r="AN33" s="80">
        <f>IF(U33="","",IF(U33="SIM",VLOOKUP($I33&amp;$J33&amp;U$1,Pesos!$A:$I,7,FALSE),VLOOKUP($I33&amp;$J33&amp;U$1,Pesos!$A:$I,9,FALSE)))</f>
        <v>-0.05</v>
      </c>
      <c r="AO33" s="80">
        <f>IF(V33="","",IF(V33="SIM",VLOOKUP($I33&amp;$J33&amp;V$1,Pesos!$A:$I,7,FALSE),VLOOKUP($I33&amp;$J33&amp;V$1,Pesos!$A:$I,9,FALSE)))</f>
        <v>1</v>
      </c>
      <c r="AP33" s="80">
        <f>IF(W33="","",IF(W33="SIM",VLOOKUP($I33&amp;$J33&amp;W$1,Pesos!$A:$I,7,FALSE),VLOOKUP($I33&amp;$J33&amp;W$1,Pesos!$A:$I,9,FALSE)))</f>
        <v>1</v>
      </c>
      <c r="AQ33" s="80" t="str">
        <f>IF(X33="","",IF(X33="SIM",VLOOKUP($I33&amp;$J33&amp;X$1,Pesos!$A:$I,7,FALSE),VLOOKUP($I33&amp;$J33&amp;X$1,Pesos!$A:$I,9,FALSE)))</f>
        <v/>
      </c>
      <c r="AR33" s="80" t="str">
        <f>IF(Y33="","",IF(Y33="SIM",VLOOKUP($I33&amp;$J33&amp;Y$1,Pesos!$A:$I,7,FALSE),VLOOKUP($I33&amp;$J33&amp;Y$1,Pesos!$A:$I,9,FALSE)))</f>
        <v/>
      </c>
      <c r="AS33" s="81">
        <f>IFERROR(Z33*VLOOKUP(J33,'BD Campos'!$Y$1:$Z$12,2,FALSE),"0")</f>
        <v>8.9499999999999993</v>
      </c>
      <c r="AT33" s="76"/>
    </row>
    <row r="34" spans="1:46" x14ac:dyDescent="0.35">
      <c r="A34" s="68" t="str">
        <f t="shared" si="1"/>
        <v>Jan202511139MotoristaTRANSFERÊNCIA</v>
      </c>
      <c r="B34" s="69" t="str">
        <f t="shared" si="8"/>
        <v>Jan2025111391TRANSFERÊNCIAPADRÃO</v>
      </c>
      <c r="C34" s="70">
        <v>1</v>
      </c>
      <c r="D34" s="71">
        <v>45667.597040624998</v>
      </c>
      <c r="E34" s="110" t="s">
        <v>74</v>
      </c>
      <c r="F34" s="72">
        <v>11139</v>
      </c>
      <c r="G34" s="69" t="s">
        <v>437</v>
      </c>
      <c r="H34" s="73">
        <v>1</v>
      </c>
      <c r="I34" s="69" t="s">
        <v>121</v>
      </c>
      <c r="J34" s="69" t="s">
        <v>122</v>
      </c>
      <c r="K34" s="69" t="s">
        <v>106</v>
      </c>
      <c r="L34" s="74">
        <v>30779104</v>
      </c>
      <c r="M34" s="75">
        <v>2.0949074074074073E-3</v>
      </c>
      <c r="N34" s="76" t="s">
        <v>79</v>
      </c>
      <c r="O34" s="76" t="s">
        <v>79</v>
      </c>
      <c r="P34" s="76" t="s">
        <v>79</v>
      </c>
      <c r="Q34" s="76" t="s">
        <v>79</v>
      </c>
      <c r="R34" s="76" t="s">
        <v>79</v>
      </c>
      <c r="S34" s="76" t="s">
        <v>79</v>
      </c>
      <c r="T34" s="76" t="s">
        <v>79</v>
      </c>
      <c r="U34" s="76" t="s">
        <v>79</v>
      </c>
      <c r="V34" s="76" t="s">
        <v>79</v>
      </c>
      <c r="W34" s="76" t="s">
        <v>79</v>
      </c>
      <c r="X34" s="76" t="s">
        <v>79</v>
      </c>
      <c r="Y34" s="76"/>
      <c r="Z34" s="77">
        <f t="shared" si="2"/>
        <v>10</v>
      </c>
      <c r="AA34" s="78"/>
      <c r="AB34" s="78" t="s">
        <v>1422</v>
      </c>
      <c r="AC34" s="72" t="s">
        <v>47</v>
      </c>
      <c r="AD34" s="76"/>
      <c r="AE34" s="79" t="str">
        <f t="shared" si="9"/>
        <v>Jan11139</v>
      </c>
      <c r="AF34" s="80">
        <f>IF(N34="","",IF(N34="SIM",VLOOKUP($I34&amp;$J34&amp;N$1,Pesos!$A:$I,7,FALSE),VLOOKUP($I34&amp;$J34&amp;N$1,Pesos!$A:$I,9,FALSE)))</f>
        <v>0.89999999999999991</v>
      </c>
      <c r="AG34" s="80">
        <f>IF(O34="","",IF(O34="SIM",VLOOKUP($I34&amp;$J34&amp;O$1,Pesos!$A:$I,7,FALSE),VLOOKUP($I34&amp;$J34&amp;O$1,Pesos!$A:$I,9,FALSE)))</f>
        <v>0.89999999999999991</v>
      </c>
      <c r="AH34" s="80">
        <f>IF(P34="","",IF(P34="SIM",VLOOKUP($I34&amp;$J34&amp;P$1,Pesos!$A:$I,7,FALSE),VLOOKUP($I34&amp;$J34&amp;P$1,Pesos!$A:$I,9,FALSE)))</f>
        <v>0.89999999999999991</v>
      </c>
      <c r="AI34" s="80">
        <f>IF(Q34="","",IF(Q34="SIM",VLOOKUP($I34&amp;$J34&amp;Q$1,Pesos!$A:$I,7,FALSE),VLOOKUP($I34&amp;$J34&amp;Q$1,Pesos!$A:$I,9,FALSE)))</f>
        <v>0.89999999999999991</v>
      </c>
      <c r="AJ34" s="80">
        <f>IF(R34="","",IF(R34="SIM",VLOOKUP($I34&amp;$J34&amp;R$1,Pesos!$A:$I,7,FALSE),VLOOKUP($I34&amp;$J34&amp;R$1,Pesos!$A:$I,9,FALSE)))</f>
        <v>0.89999999999999991</v>
      </c>
      <c r="AK34" s="80">
        <f>IF(S34="","",IF(S34="SIM",VLOOKUP($I34&amp;$J34&amp;S$1,Pesos!$A:$I,7,FALSE),VLOOKUP($I34&amp;$J34&amp;S$1,Pesos!$A:$I,9,FALSE)))</f>
        <v>0.89999999999999991</v>
      </c>
      <c r="AL34" s="80">
        <f t="shared" si="10"/>
        <v>5.4</v>
      </c>
      <c r="AM34" s="80">
        <f>IF(T34="","",IF(T34="SIM",VLOOKUP($I34&amp;$J34&amp;T$1,Pesos!$A:$I,7,FALSE),VLOOKUP($I34&amp;$J34&amp;T$1,Pesos!$A:$I,9,FALSE)))</f>
        <v>0.89999999999999991</v>
      </c>
      <c r="AN34" s="80">
        <f>IF(U34="","",IF(U34="SIM",VLOOKUP($I34&amp;$J34&amp;U$1,Pesos!$A:$I,7,FALSE),VLOOKUP($I34&amp;$J34&amp;U$1,Pesos!$A:$I,9,FALSE)))</f>
        <v>0.92500000000000004</v>
      </c>
      <c r="AO34" s="80">
        <f>IF(V34="","",IF(V34="SIM",VLOOKUP($I34&amp;$J34&amp;V$1,Pesos!$A:$I,7,FALSE),VLOOKUP($I34&amp;$J34&amp;V$1,Pesos!$A:$I,9,FALSE)))</f>
        <v>0.92500000000000004</v>
      </c>
      <c r="AP34" s="80">
        <f>IF(W34="","",IF(W34="SIM",VLOOKUP($I34&amp;$J34&amp;W$1,Pesos!$A:$I,7,FALSE),VLOOKUP($I34&amp;$J34&amp;W$1,Pesos!$A:$I,9,FALSE)))</f>
        <v>0.89999999999999991</v>
      </c>
      <c r="AQ34" s="80">
        <f>IF(X34="","",IF(X34="SIM",VLOOKUP($I34&amp;$J34&amp;X$1,Pesos!$A:$I,7,FALSE),VLOOKUP($I34&amp;$J34&amp;X$1,Pesos!$A:$I,9,FALSE)))</f>
        <v>0.95</v>
      </c>
      <c r="AR34" s="80" t="str">
        <f>IF(Y34="","",IF(Y34="SIM",VLOOKUP($I34&amp;$J34&amp;Y$1,Pesos!$A:$I,7,FALSE),VLOOKUP($I34&amp;$J34&amp;Y$1,Pesos!$A:$I,9,FALSE)))</f>
        <v/>
      </c>
      <c r="AS34" s="81">
        <f>IFERROR(Z34*VLOOKUP(J34,'BD Campos'!$Y$1:$Z$12,2,FALSE),"0")</f>
        <v>10</v>
      </c>
      <c r="AT34" s="76"/>
    </row>
    <row r="35" spans="1:46" x14ac:dyDescent="0.35">
      <c r="A35" s="68" t="str">
        <f t="shared" si="1"/>
        <v>Jan202510863MotoristaTRANSFERÊNCIA</v>
      </c>
      <c r="B35" s="69" t="str">
        <f t="shared" si="8"/>
        <v>Jan2025108631TRANSFERÊNCIAPADRÃO</v>
      </c>
      <c r="C35" s="70">
        <v>1</v>
      </c>
      <c r="D35" s="71">
        <v>45667.602830787037</v>
      </c>
      <c r="E35" s="110" t="s">
        <v>74</v>
      </c>
      <c r="F35" s="72">
        <v>10863</v>
      </c>
      <c r="G35" s="69" t="s">
        <v>171</v>
      </c>
      <c r="H35" s="73">
        <v>1</v>
      </c>
      <c r="I35" s="69" t="s">
        <v>123</v>
      </c>
      <c r="J35" s="69" t="s">
        <v>122</v>
      </c>
      <c r="K35" s="69" t="s">
        <v>106</v>
      </c>
      <c r="L35" s="74">
        <v>30831863</v>
      </c>
      <c r="M35" s="75">
        <v>2.8472222222222219E-3</v>
      </c>
      <c r="N35" s="76" t="s">
        <v>79</v>
      </c>
      <c r="O35" s="76" t="s">
        <v>79</v>
      </c>
      <c r="P35" s="76" t="s">
        <v>79</v>
      </c>
      <c r="Q35" s="76" t="s">
        <v>79</v>
      </c>
      <c r="R35" s="76" t="s">
        <v>79</v>
      </c>
      <c r="S35" s="76" t="s">
        <v>79</v>
      </c>
      <c r="T35" s="76" t="s">
        <v>79</v>
      </c>
      <c r="U35" s="76" t="s">
        <v>79</v>
      </c>
      <c r="V35" s="76" t="s">
        <v>79</v>
      </c>
      <c r="W35" s="76" t="s">
        <v>79</v>
      </c>
      <c r="X35" s="76"/>
      <c r="Y35" s="76"/>
      <c r="Z35" s="77">
        <f t="shared" si="2"/>
        <v>10</v>
      </c>
      <c r="AA35" s="78"/>
      <c r="AB35" s="78" t="s">
        <v>1423</v>
      </c>
      <c r="AC35" s="72" t="s">
        <v>47</v>
      </c>
      <c r="AD35" s="76"/>
      <c r="AE35" s="79" t="str">
        <f t="shared" si="9"/>
        <v>Jan10863</v>
      </c>
      <c r="AF35" s="80">
        <f>IF(N35="","",IF(N35="SIM",VLOOKUP($I35&amp;$J35&amp;N$1,Pesos!$A:$I,7,FALSE),VLOOKUP($I35&amp;$J35&amp;N$1,Pesos!$A:$I,9,FALSE)))</f>
        <v>1</v>
      </c>
      <c r="AG35" s="80">
        <f>IF(O35="","",IF(O35="SIM",VLOOKUP($I35&amp;$J35&amp;O$1,Pesos!$A:$I,7,FALSE),VLOOKUP($I35&amp;$J35&amp;O$1,Pesos!$A:$I,9,FALSE)))</f>
        <v>1</v>
      </c>
      <c r="AH35" s="80">
        <f>IF(P35="","",IF(P35="SIM",VLOOKUP($I35&amp;$J35&amp;P$1,Pesos!$A:$I,7,FALSE),VLOOKUP($I35&amp;$J35&amp;P$1,Pesos!$A:$I,9,FALSE)))</f>
        <v>1</v>
      </c>
      <c r="AI35" s="80">
        <f>IF(Q35="","",IF(Q35="SIM",VLOOKUP($I35&amp;$J35&amp;Q$1,Pesos!$A:$I,7,FALSE),VLOOKUP($I35&amp;$J35&amp;Q$1,Pesos!$A:$I,9,FALSE)))</f>
        <v>1</v>
      </c>
      <c r="AJ35" s="80">
        <f>IF(R35="","",IF(R35="SIM",VLOOKUP($I35&amp;$J35&amp;R$1,Pesos!$A:$I,7,FALSE),VLOOKUP($I35&amp;$J35&amp;R$1,Pesos!$A:$I,9,FALSE)))</f>
        <v>1</v>
      </c>
      <c r="AK35" s="80">
        <f>IF(S35="","",IF(S35="SIM",VLOOKUP($I35&amp;$J35&amp;S$1,Pesos!$A:$I,7,FALSE),VLOOKUP($I35&amp;$J35&amp;S$1,Pesos!$A:$I,9,FALSE)))</f>
        <v>1</v>
      </c>
      <c r="AL35" s="80">
        <f t="shared" si="10"/>
        <v>6</v>
      </c>
      <c r="AM35" s="80">
        <f>IF(T35="","",IF(T35="SIM",VLOOKUP($I35&amp;$J35&amp;T$1,Pesos!$A:$I,7,FALSE),VLOOKUP($I35&amp;$J35&amp;T$1,Pesos!$A:$I,9,FALSE)))</f>
        <v>1</v>
      </c>
      <c r="AN35" s="80">
        <f>IF(U35="","",IF(U35="SIM",VLOOKUP($I35&amp;$J35&amp;U$1,Pesos!$A:$I,7,FALSE),VLOOKUP($I35&amp;$J35&amp;U$1,Pesos!$A:$I,9,FALSE)))</f>
        <v>1</v>
      </c>
      <c r="AO35" s="80">
        <f>IF(V35="","",IF(V35="SIM",VLOOKUP($I35&amp;$J35&amp;V$1,Pesos!$A:$I,7,FALSE),VLOOKUP($I35&amp;$J35&amp;V$1,Pesos!$A:$I,9,FALSE)))</f>
        <v>1</v>
      </c>
      <c r="AP35" s="80">
        <f>IF(W35="","",IF(W35="SIM",VLOOKUP($I35&amp;$J35&amp;W$1,Pesos!$A:$I,7,FALSE),VLOOKUP($I35&amp;$J35&amp;W$1,Pesos!$A:$I,9,FALSE)))</f>
        <v>1</v>
      </c>
      <c r="AQ35" s="80" t="str">
        <f>IF(X35="","",IF(X35="SIM",VLOOKUP($I35&amp;$J35&amp;X$1,Pesos!$A:$I,7,FALSE),VLOOKUP($I35&amp;$J35&amp;X$1,Pesos!$A:$I,9,FALSE)))</f>
        <v/>
      </c>
      <c r="AR35" s="80" t="str">
        <f>IF(Y35="","",IF(Y35="SIM",VLOOKUP($I35&amp;$J35&amp;Y$1,Pesos!$A:$I,7,FALSE),VLOOKUP($I35&amp;$J35&amp;Y$1,Pesos!$A:$I,9,FALSE)))</f>
        <v/>
      </c>
      <c r="AS35" s="81">
        <f>IFERROR(Z35*VLOOKUP(J35,'BD Campos'!$Y$1:$Z$12,2,FALSE),"0")</f>
        <v>10</v>
      </c>
      <c r="AT35" s="76"/>
    </row>
    <row r="36" spans="1:46" x14ac:dyDescent="0.35">
      <c r="A36" s="68" t="str">
        <f t="shared" si="1"/>
        <v>Jan202511166MotoristaTRANSFERÊNCIA</v>
      </c>
      <c r="B36" s="69" t="str">
        <f t="shared" si="8"/>
        <v>Jan2025111661TRANSFERÊNCIAPADRÃO</v>
      </c>
      <c r="C36" s="70">
        <v>1</v>
      </c>
      <c r="D36" s="71">
        <v>45667.618031712962</v>
      </c>
      <c r="E36" s="110" t="s">
        <v>74</v>
      </c>
      <c r="F36" s="72">
        <v>11166</v>
      </c>
      <c r="G36" s="69" t="s">
        <v>450</v>
      </c>
      <c r="H36" s="73">
        <v>1</v>
      </c>
      <c r="I36" s="69" t="s">
        <v>126</v>
      </c>
      <c r="J36" s="69" t="s">
        <v>122</v>
      </c>
      <c r="K36" s="69" t="s">
        <v>106</v>
      </c>
      <c r="L36" s="74">
        <v>1768820</v>
      </c>
      <c r="M36" s="75">
        <v>3.5069444444444445E-3</v>
      </c>
      <c r="N36" s="76" t="s">
        <v>79</v>
      </c>
      <c r="O36" s="76" t="s">
        <v>79</v>
      </c>
      <c r="P36" s="76" t="s">
        <v>79</v>
      </c>
      <c r="Q36" s="76" t="s">
        <v>79</v>
      </c>
      <c r="R36" s="76" t="s">
        <v>79</v>
      </c>
      <c r="S36" s="76" t="s">
        <v>79</v>
      </c>
      <c r="T36" s="76" t="s">
        <v>79</v>
      </c>
      <c r="U36" s="76" t="s">
        <v>79</v>
      </c>
      <c r="V36" s="76" t="s">
        <v>79</v>
      </c>
      <c r="W36" s="76" t="s">
        <v>79</v>
      </c>
      <c r="X36" s="76" t="s">
        <v>83</v>
      </c>
      <c r="Y36" s="76" t="s">
        <v>79</v>
      </c>
      <c r="Z36" s="77">
        <f t="shared" si="2"/>
        <v>8.9499999999999993</v>
      </c>
      <c r="AA36" s="78"/>
      <c r="AB36" s="78" t="s">
        <v>1424</v>
      </c>
      <c r="AC36" s="72" t="s">
        <v>47</v>
      </c>
      <c r="AD36" s="76"/>
      <c r="AE36" s="79" t="str">
        <f t="shared" si="9"/>
        <v>Jan11166</v>
      </c>
      <c r="AF36" s="80">
        <f>IF(N36="","",IF(N36="SIM",VLOOKUP($I36&amp;$J36&amp;N$1,Pesos!$A:$I,7,FALSE),VLOOKUP($I36&amp;$J36&amp;N$1,Pesos!$A:$I,9,FALSE)))</f>
        <v>0.8</v>
      </c>
      <c r="AG36" s="80">
        <f>IF(O36="","",IF(O36="SIM",VLOOKUP($I36&amp;$J36&amp;O$1,Pesos!$A:$I,7,FALSE),VLOOKUP($I36&amp;$J36&amp;O$1,Pesos!$A:$I,9,FALSE)))</f>
        <v>0.8</v>
      </c>
      <c r="AH36" s="80">
        <f>IF(P36="","",IF(P36="SIM",VLOOKUP($I36&amp;$J36&amp;P$1,Pesos!$A:$I,7,FALSE),VLOOKUP($I36&amp;$J36&amp;P$1,Pesos!$A:$I,9,FALSE)))</f>
        <v>0.8</v>
      </c>
      <c r="AI36" s="80">
        <f>IF(Q36="","",IF(Q36="SIM",VLOOKUP($I36&amp;$J36&amp;Q$1,Pesos!$A:$I,7,FALSE),VLOOKUP($I36&amp;$J36&amp;Q$1,Pesos!$A:$I,9,FALSE)))</f>
        <v>0.8</v>
      </c>
      <c r="AJ36" s="80">
        <f>IF(R36="","",IF(R36="SIM",VLOOKUP($I36&amp;$J36&amp;R$1,Pesos!$A:$I,7,FALSE),VLOOKUP($I36&amp;$J36&amp;R$1,Pesos!$A:$I,9,FALSE)))</f>
        <v>0.8</v>
      </c>
      <c r="AK36" s="80">
        <f>IF(S36="","",IF(S36="SIM",VLOOKUP($I36&amp;$J36&amp;S$1,Pesos!$A:$I,7,FALSE),VLOOKUP($I36&amp;$J36&amp;S$1,Pesos!$A:$I,9,FALSE)))</f>
        <v>0.8</v>
      </c>
      <c r="AL36" s="80">
        <f t="shared" si="10"/>
        <v>4.8</v>
      </c>
      <c r="AM36" s="80">
        <f>IF(T36="","",IF(T36="SIM",VLOOKUP($I36&amp;$J36&amp;T$1,Pesos!$A:$I,7,FALSE),VLOOKUP($I36&amp;$J36&amp;T$1,Pesos!$A:$I,9,FALSE)))</f>
        <v>0.8</v>
      </c>
      <c r="AN36" s="80">
        <f>IF(U36="","",IF(U36="SIM",VLOOKUP($I36&amp;$J36&amp;U$1,Pesos!$A:$I,7,FALSE),VLOOKUP($I36&amp;$J36&amp;U$1,Pesos!$A:$I,9,FALSE)))</f>
        <v>0.8</v>
      </c>
      <c r="AO36" s="80">
        <f>IF(V36="","",IF(V36="SIM",VLOOKUP($I36&amp;$J36&amp;V$1,Pesos!$A:$I,7,FALSE),VLOOKUP($I36&amp;$J36&amp;V$1,Pesos!$A:$I,9,FALSE)))</f>
        <v>0.8</v>
      </c>
      <c r="AP36" s="80">
        <f>IF(W36="","",IF(W36="SIM",VLOOKUP($I36&amp;$J36&amp;W$1,Pesos!$A:$I,7,FALSE),VLOOKUP($I36&amp;$J36&amp;W$1,Pesos!$A:$I,9,FALSE)))</f>
        <v>0.8</v>
      </c>
      <c r="AQ36" s="80">
        <f>IF(X36="","",IF(X36="SIM",VLOOKUP($I36&amp;$J36&amp;X$1,Pesos!$A:$I,7,FALSE),VLOOKUP($I36&amp;$J36&amp;X$1,Pesos!$A:$I,9,FALSE)))</f>
        <v>-0.05</v>
      </c>
      <c r="AR36" s="80">
        <f>IF(Y36="","",IF(Y36="SIM",VLOOKUP($I36&amp;$J36&amp;Y$1,Pesos!$A:$I,7,FALSE),VLOOKUP($I36&amp;$J36&amp;Y$1,Pesos!$A:$I,9,FALSE)))</f>
        <v>1</v>
      </c>
      <c r="AS36" s="81">
        <f>IFERROR(Z36*VLOOKUP(J36,'BD Campos'!$Y$1:$Z$12,2,FALSE),"0")</f>
        <v>8.9499999999999993</v>
      </c>
      <c r="AT36" s="76"/>
    </row>
    <row r="37" spans="1:46" x14ac:dyDescent="0.35">
      <c r="A37" s="68" t="str">
        <f t="shared" si="1"/>
        <v>Jan202511167MotoristaTRANSFERÊNCIA</v>
      </c>
      <c r="B37" s="69" t="str">
        <f t="shared" si="8"/>
        <v>Jan2025111671TRANSFERÊNCIAPADRÃO</v>
      </c>
      <c r="C37" s="70">
        <v>1</v>
      </c>
      <c r="D37" s="71">
        <v>45667.629910416668</v>
      </c>
      <c r="E37" s="110" t="s">
        <v>74</v>
      </c>
      <c r="F37" s="72">
        <v>11167</v>
      </c>
      <c r="G37" s="69" t="s">
        <v>1360</v>
      </c>
      <c r="H37" s="73">
        <v>1</v>
      </c>
      <c r="I37" s="69" t="s">
        <v>123</v>
      </c>
      <c r="J37" s="69" t="s">
        <v>122</v>
      </c>
      <c r="K37" s="69" t="s">
        <v>106</v>
      </c>
      <c r="L37" s="74">
        <v>30810102</v>
      </c>
      <c r="M37" s="75">
        <v>1.0069444444444444E-3</v>
      </c>
      <c r="N37" s="76" t="s">
        <v>79</v>
      </c>
      <c r="O37" s="76" t="s">
        <v>79</v>
      </c>
      <c r="P37" s="76" t="s">
        <v>79</v>
      </c>
      <c r="Q37" s="76" t="s">
        <v>79</v>
      </c>
      <c r="R37" s="76" t="s">
        <v>79</v>
      </c>
      <c r="S37" s="76" t="s">
        <v>79</v>
      </c>
      <c r="T37" s="76" t="s">
        <v>79</v>
      </c>
      <c r="U37" s="76" t="s">
        <v>79</v>
      </c>
      <c r="V37" s="76" t="s">
        <v>79</v>
      </c>
      <c r="W37" s="76" t="s">
        <v>83</v>
      </c>
      <c r="X37" s="76"/>
      <c r="Y37" s="76"/>
      <c r="Z37" s="77">
        <f t="shared" si="2"/>
        <v>8.9499999999999993</v>
      </c>
      <c r="AA37" s="78"/>
      <c r="AB37" s="78" t="s">
        <v>1425</v>
      </c>
      <c r="AC37" s="72" t="s">
        <v>47</v>
      </c>
      <c r="AD37" s="76"/>
      <c r="AE37" s="79" t="str">
        <f t="shared" si="9"/>
        <v>Jan11167</v>
      </c>
      <c r="AF37" s="80">
        <f>IF(N37="","",IF(N37="SIM",VLOOKUP($I37&amp;$J37&amp;N$1,Pesos!$A:$I,7,FALSE),VLOOKUP($I37&amp;$J37&amp;N$1,Pesos!$A:$I,9,FALSE)))</f>
        <v>1</v>
      </c>
      <c r="AG37" s="80">
        <f>IF(O37="","",IF(O37="SIM",VLOOKUP($I37&amp;$J37&amp;O$1,Pesos!$A:$I,7,FALSE),VLOOKUP($I37&amp;$J37&amp;O$1,Pesos!$A:$I,9,FALSE)))</f>
        <v>1</v>
      </c>
      <c r="AH37" s="80">
        <f>IF(P37="","",IF(P37="SIM",VLOOKUP($I37&amp;$J37&amp;P$1,Pesos!$A:$I,7,FALSE),VLOOKUP($I37&amp;$J37&amp;P$1,Pesos!$A:$I,9,FALSE)))</f>
        <v>1</v>
      </c>
      <c r="AI37" s="80">
        <f>IF(Q37="","",IF(Q37="SIM",VLOOKUP($I37&amp;$J37&amp;Q$1,Pesos!$A:$I,7,FALSE),VLOOKUP($I37&amp;$J37&amp;Q$1,Pesos!$A:$I,9,FALSE)))</f>
        <v>1</v>
      </c>
      <c r="AJ37" s="80">
        <f>IF(R37="","",IF(R37="SIM",VLOOKUP($I37&amp;$J37&amp;R$1,Pesos!$A:$I,7,FALSE),VLOOKUP($I37&amp;$J37&amp;R$1,Pesos!$A:$I,9,FALSE)))</f>
        <v>1</v>
      </c>
      <c r="AK37" s="80">
        <f>IF(S37="","",IF(S37="SIM",VLOOKUP($I37&amp;$J37&amp;S$1,Pesos!$A:$I,7,FALSE),VLOOKUP($I37&amp;$J37&amp;S$1,Pesos!$A:$I,9,FALSE)))</f>
        <v>1</v>
      </c>
      <c r="AL37" s="80">
        <f t="shared" si="10"/>
        <v>6</v>
      </c>
      <c r="AM37" s="80">
        <f>IF(T37="","",IF(T37="SIM",VLOOKUP($I37&amp;$J37&amp;T$1,Pesos!$A:$I,7,FALSE),VLOOKUP($I37&amp;$J37&amp;T$1,Pesos!$A:$I,9,FALSE)))</f>
        <v>1</v>
      </c>
      <c r="AN37" s="80">
        <f>IF(U37="","",IF(U37="SIM",VLOOKUP($I37&amp;$J37&amp;U$1,Pesos!$A:$I,7,FALSE),VLOOKUP($I37&amp;$J37&amp;U$1,Pesos!$A:$I,9,FALSE)))</f>
        <v>1</v>
      </c>
      <c r="AO37" s="80">
        <f>IF(V37="","",IF(V37="SIM",VLOOKUP($I37&amp;$J37&amp;V$1,Pesos!$A:$I,7,FALSE),VLOOKUP($I37&amp;$J37&amp;V$1,Pesos!$A:$I,9,FALSE)))</f>
        <v>1</v>
      </c>
      <c r="AP37" s="80">
        <f>IF(W37="","",IF(W37="SIM",VLOOKUP($I37&amp;$J37&amp;W$1,Pesos!$A:$I,7,FALSE),VLOOKUP($I37&amp;$J37&amp;W$1,Pesos!$A:$I,9,FALSE)))</f>
        <v>-0.05</v>
      </c>
      <c r="AQ37" s="80" t="str">
        <f>IF(X37="","",IF(X37="SIM",VLOOKUP($I37&amp;$J37&amp;X$1,Pesos!$A:$I,7,FALSE),VLOOKUP($I37&amp;$J37&amp;X$1,Pesos!$A:$I,9,FALSE)))</f>
        <v/>
      </c>
      <c r="AR37" s="80" t="str">
        <f>IF(Y37="","",IF(Y37="SIM",VLOOKUP($I37&amp;$J37&amp;Y$1,Pesos!$A:$I,7,FALSE),VLOOKUP($I37&amp;$J37&amp;Y$1,Pesos!$A:$I,9,FALSE)))</f>
        <v/>
      </c>
      <c r="AS37" s="81">
        <f>IFERROR(Z37*VLOOKUP(J37,'BD Campos'!$Y$1:$Z$12,2,FALSE),"0")</f>
        <v>8.9499999999999993</v>
      </c>
      <c r="AT37" s="76"/>
    </row>
    <row r="38" spans="1:46" x14ac:dyDescent="0.35">
      <c r="A38" s="68" t="str">
        <f t="shared" si="1"/>
        <v>Jan202511241MotoristaTRANSFERÊNCIA</v>
      </c>
      <c r="B38" s="69" t="str">
        <f t="shared" si="8"/>
        <v>Jan2025112411TRANSFERÊNCIAPADRÃO</v>
      </c>
      <c r="C38" s="70">
        <v>1</v>
      </c>
      <c r="D38" s="71">
        <v>45667.636438078705</v>
      </c>
      <c r="E38" s="110" t="s">
        <v>74</v>
      </c>
      <c r="F38" s="72">
        <v>11241</v>
      </c>
      <c r="G38" s="69" t="s">
        <v>1416</v>
      </c>
      <c r="H38" s="73">
        <v>1</v>
      </c>
      <c r="I38" s="69" t="s">
        <v>121</v>
      </c>
      <c r="J38" s="69" t="s">
        <v>122</v>
      </c>
      <c r="K38" s="69" t="s">
        <v>106</v>
      </c>
      <c r="L38" s="74">
        <v>30796493</v>
      </c>
      <c r="M38" s="75">
        <v>1.3425925925925925E-3</v>
      </c>
      <c r="N38" s="76"/>
      <c r="O38" s="76"/>
      <c r="P38" s="76"/>
      <c r="Q38" s="76"/>
      <c r="R38" s="76"/>
      <c r="S38" s="76"/>
      <c r="T38" s="76"/>
      <c r="U38" s="76"/>
      <c r="V38" s="76"/>
      <c r="W38" s="76"/>
      <c r="X38" s="76"/>
      <c r="Y38" s="76"/>
      <c r="Z38" s="77">
        <f t="shared" si="2"/>
        <v>0</v>
      </c>
      <c r="AA38" s="78" t="s">
        <v>1427</v>
      </c>
      <c r="AB38" s="78" t="s">
        <v>1426</v>
      </c>
      <c r="AC38" s="72" t="s">
        <v>47</v>
      </c>
      <c r="AD38" s="76"/>
      <c r="AE38" s="79" t="str">
        <f t="shared" si="9"/>
        <v>Jan11241</v>
      </c>
      <c r="AF38" s="80" t="str">
        <f>IF(N38="","",IF(N38="SIM",VLOOKUP($I38&amp;$J38&amp;N$1,Pesos!$A:$I,7,FALSE),VLOOKUP($I38&amp;$J38&amp;N$1,Pesos!$A:$I,9,FALSE)))</f>
        <v/>
      </c>
      <c r="AG38" s="80" t="str">
        <f>IF(O38="","",IF(O38="SIM",VLOOKUP($I38&amp;$J38&amp;O$1,Pesos!$A:$I,7,FALSE),VLOOKUP($I38&amp;$J38&amp;O$1,Pesos!$A:$I,9,FALSE)))</f>
        <v/>
      </c>
      <c r="AH38" s="80" t="str">
        <f>IF(P38="","",IF(P38="SIM",VLOOKUP($I38&amp;$J38&amp;P$1,Pesos!$A:$I,7,FALSE),VLOOKUP($I38&amp;$J38&amp;P$1,Pesos!$A:$I,9,FALSE)))</f>
        <v/>
      </c>
      <c r="AI38" s="80" t="str">
        <f>IF(Q38="","",IF(Q38="SIM",VLOOKUP($I38&amp;$J38&amp;Q$1,Pesos!$A:$I,7,FALSE),VLOOKUP($I38&amp;$J38&amp;Q$1,Pesos!$A:$I,9,FALSE)))</f>
        <v/>
      </c>
      <c r="AJ38" s="80" t="str">
        <f>IF(R38="","",IF(R38="SIM",VLOOKUP($I38&amp;$J38&amp;R$1,Pesos!$A:$I,7,FALSE),VLOOKUP($I38&amp;$J38&amp;R$1,Pesos!$A:$I,9,FALSE)))</f>
        <v/>
      </c>
      <c r="AK38" s="80" t="str">
        <f>IF(S38="","",IF(S38="SIM",VLOOKUP($I38&amp;$J38&amp;S$1,Pesos!$A:$I,7,FALSE),VLOOKUP($I38&amp;$J38&amp;S$1,Pesos!$A:$I,9,FALSE)))</f>
        <v/>
      </c>
      <c r="AL38" s="80">
        <f t="shared" si="10"/>
        <v>0</v>
      </c>
      <c r="AM38" s="80" t="str">
        <f>IF(T38="","",IF(T38="SIM",VLOOKUP($I38&amp;$J38&amp;T$1,Pesos!$A:$I,7,FALSE),VLOOKUP($I38&amp;$J38&amp;T$1,Pesos!$A:$I,9,FALSE)))</f>
        <v/>
      </c>
      <c r="AN38" s="80" t="str">
        <f>IF(U38="","",IF(U38="SIM",VLOOKUP($I38&amp;$J38&amp;U$1,Pesos!$A:$I,7,FALSE),VLOOKUP($I38&amp;$J38&amp;U$1,Pesos!$A:$I,9,FALSE)))</f>
        <v/>
      </c>
      <c r="AO38" s="80" t="str">
        <f>IF(V38="","",IF(V38="SIM",VLOOKUP($I38&amp;$J38&amp;V$1,Pesos!$A:$I,7,FALSE),VLOOKUP($I38&amp;$J38&amp;V$1,Pesos!$A:$I,9,FALSE)))</f>
        <v/>
      </c>
      <c r="AP38" s="80" t="str">
        <f>IF(W38="","",IF(W38="SIM",VLOOKUP($I38&amp;$J38&amp;W$1,Pesos!$A:$I,7,FALSE),VLOOKUP($I38&amp;$J38&amp;W$1,Pesos!$A:$I,9,FALSE)))</f>
        <v/>
      </c>
      <c r="AQ38" s="80" t="str">
        <f>IF(X38="","",IF(X38="SIM",VLOOKUP($I38&amp;$J38&amp;X$1,Pesos!$A:$I,7,FALSE),VLOOKUP($I38&amp;$J38&amp;X$1,Pesos!$A:$I,9,FALSE)))</f>
        <v/>
      </c>
      <c r="AR38" s="80" t="str">
        <f>IF(Y38="","",IF(Y38="SIM",VLOOKUP($I38&amp;$J38&amp;Y$1,Pesos!$A:$I,7,FALSE),VLOOKUP($I38&amp;$J38&amp;Y$1,Pesos!$A:$I,9,FALSE)))</f>
        <v/>
      </c>
      <c r="AS38" s="81">
        <f>IFERROR(Z38*VLOOKUP(J38,'BD Campos'!$Y$1:$Z$12,2,FALSE),"0")</f>
        <v>0</v>
      </c>
      <c r="AT38" s="76"/>
    </row>
    <row r="39" spans="1:46" x14ac:dyDescent="0.35">
      <c r="A39" s="68" t="str">
        <f t="shared" si="1"/>
        <v>Jan202511240MotoristaTRANSFERÊNCIA</v>
      </c>
      <c r="B39" s="69" t="str">
        <f t="shared" si="8"/>
        <v>Jan2025112401TRANSFERÊNCIAPADRÃO</v>
      </c>
      <c r="C39" s="70">
        <v>1</v>
      </c>
      <c r="D39" s="71">
        <v>45667.641312615742</v>
      </c>
      <c r="E39" s="110" t="s">
        <v>74</v>
      </c>
      <c r="F39" s="72">
        <v>11240</v>
      </c>
      <c r="G39" s="69" t="s">
        <v>1415</v>
      </c>
      <c r="H39" s="73">
        <v>1</v>
      </c>
      <c r="I39" s="69" t="s">
        <v>126</v>
      </c>
      <c r="J39" s="69" t="s">
        <v>122</v>
      </c>
      <c r="K39" s="69" t="s">
        <v>106</v>
      </c>
      <c r="L39" s="74">
        <v>30810931</v>
      </c>
      <c r="M39" s="75">
        <v>1.1689814814814816E-3</v>
      </c>
      <c r="N39" s="76" t="s">
        <v>79</v>
      </c>
      <c r="O39" s="76" t="s">
        <v>79</v>
      </c>
      <c r="P39" s="76" t="s">
        <v>79</v>
      </c>
      <c r="Q39" s="76" t="s">
        <v>79</v>
      </c>
      <c r="R39" s="76" t="s">
        <v>79</v>
      </c>
      <c r="S39" s="76" t="s">
        <v>83</v>
      </c>
      <c r="T39" s="76" t="s">
        <v>79</v>
      </c>
      <c r="U39" s="76" t="s">
        <v>79</v>
      </c>
      <c r="V39" s="76" t="s">
        <v>83</v>
      </c>
      <c r="W39" s="76" t="s">
        <v>83</v>
      </c>
      <c r="X39" s="76" t="s">
        <v>83</v>
      </c>
      <c r="Y39" s="76" t="s">
        <v>79</v>
      </c>
      <c r="Z39" s="77">
        <f t="shared" si="2"/>
        <v>6.43</v>
      </c>
      <c r="AA39" s="78"/>
      <c r="AB39" s="78" t="s">
        <v>1428</v>
      </c>
      <c r="AC39" s="72" t="s">
        <v>47</v>
      </c>
      <c r="AD39" s="76"/>
      <c r="AE39" s="79" t="str">
        <f t="shared" si="9"/>
        <v>Jan11240</v>
      </c>
      <c r="AF39" s="80">
        <f>IF(N39="","",IF(N39="SIM",VLOOKUP($I39&amp;$J39&amp;N$1,Pesos!$A:$I,7,FALSE),VLOOKUP($I39&amp;$J39&amp;N$1,Pesos!$A:$I,9,FALSE)))</f>
        <v>0.8</v>
      </c>
      <c r="AG39" s="80">
        <f>IF(O39="","",IF(O39="SIM",VLOOKUP($I39&amp;$J39&amp;O$1,Pesos!$A:$I,7,FALSE),VLOOKUP($I39&amp;$J39&amp;O$1,Pesos!$A:$I,9,FALSE)))</f>
        <v>0.8</v>
      </c>
      <c r="AH39" s="80">
        <f>IF(P39="","",IF(P39="SIM",VLOOKUP($I39&amp;$J39&amp;P$1,Pesos!$A:$I,7,FALSE),VLOOKUP($I39&amp;$J39&amp;P$1,Pesos!$A:$I,9,FALSE)))</f>
        <v>0.8</v>
      </c>
      <c r="AI39" s="80">
        <f>IF(Q39="","",IF(Q39="SIM",VLOOKUP($I39&amp;$J39&amp;Q$1,Pesos!$A:$I,7,FALSE),VLOOKUP($I39&amp;$J39&amp;Q$1,Pesos!$A:$I,9,FALSE)))</f>
        <v>0.8</v>
      </c>
      <c r="AJ39" s="80">
        <f>IF(R39="","",IF(R39="SIM",VLOOKUP($I39&amp;$J39&amp;R$1,Pesos!$A:$I,7,FALSE),VLOOKUP($I39&amp;$J39&amp;R$1,Pesos!$A:$I,9,FALSE)))</f>
        <v>0.8</v>
      </c>
      <c r="AK39" s="80">
        <f>IF(S39="","",IF(S39="SIM",VLOOKUP($I39&amp;$J39&amp;S$1,Pesos!$A:$I,7,FALSE),VLOOKUP($I39&amp;$J39&amp;S$1,Pesos!$A:$I,9,FALSE)))</f>
        <v>-4.0000000000000008E-2</v>
      </c>
      <c r="AL39" s="80">
        <f t="shared" si="10"/>
        <v>3.96</v>
      </c>
      <c r="AM39" s="80">
        <f>IF(T39="","",IF(T39="SIM",VLOOKUP($I39&amp;$J39&amp;T$1,Pesos!$A:$I,7,FALSE),VLOOKUP($I39&amp;$J39&amp;T$1,Pesos!$A:$I,9,FALSE)))</f>
        <v>0.8</v>
      </c>
      <c r="AN39" s="80">
        <f>IF(U39="","",IF(U39="SIM",VLOOKUP($I39&amp;$J39&amp;U$1,Pesos!$A:$I,7,FALSE),VLOOKUP($I39&amp;$J39&amp;U$1,Pesos!$A:$I,9,FALSE)))</f>
        <v>0.8</v>
      </c>
      <c r="AO39" s="80">
        <f>IF(V39="","",IF(V39="SIM",VLOOKUP($I39&amp;$J39&amp;V$1,Pesos!$A:$I,7,FALSE),VLOOKUP($I39&amp;$J39&amp;V$1,Pesos!$A:$I,9,FALSE)))</f>
        <v>-4.0000000000000008E-2</v>
      </c>
      <c r="AP39" s="80">
        <f>IF(W39="","",IF(W39="SIM",VLOOKUP($I39&amp;$J39&amp;W$1,Pesos!$A:$I,7,FALSE),VLOOKUP($I39&amp;$J39&amp;W$1,Pesos!$A:$I,9,FALSE)))</f>
        <v>-4.0000000000000008E-2</v>
      </c>
      <c r="AQ39" s="80">
        <f>IF(X39="","",IF(X39="SIM",VLOOKUP($I39&amp;$J39&amp;X$1,Pesos!$A:$I,7,FALSE),VLOOKUP($I39&amp;$J39&amp;X$1,Pesos!$A:$I,9,FALSE)))</f>
        <v>-0.05</v>
      </c>
      <c r="AR39" s="80">
        <f>IF(Y39="","",IF(Y39="SIM",VLOOKUP($I39&amp;$J39&amp;Y$1,Pesos!$A:$I,7,FALSE),VLOOKUP($I39&amp;$J39&amp;Y$1,Pesos!$A:$I,9,FALSE)))</f>
        <v>1</v>
      </c>
      <c r="AS39" s="81">
        <f>IFERROR(Z39*VLOOKUP(J39,'BD Campos'!$Y$1:$Z$12,2,FALSE),"0")</f>
        <v>6.43</v>
      </c>
      <c r="AT39" s="76"/>
    </row>
    <row r="40" spans="1:46" x14ac:dyDescent="0.35">
      <c r="A40" s="68" t="str">
        <f t="shared" si="1"/>
        <v>Jan202510825ReceptivaTRANSFERÊNCIA</v>
      </c>
      <c r="B40" s="69" t="str">
        <f t="shared" si="8"/>
        <v>Jan2025108255TRANSFERÊNCIAPADRÃO</v>
      </c>
      <c r="C40" s="70">
        <v>1</v>
      </c>
      <c r="D40" s="71">
        <v>45670.686407175926</v>
      </c>
      <c r="E40" s="110" t="s">
        <v>74</v>
      </c>
      <c r="F40" s="72">
        <v>10825</v>
      </c>
      <c r="G40" s="69" t="s">
        <v>150</v>
      </c>
      <c r="H40" s="73">
        <v>5</v>
      </c>
      <c r="I40" s="69" t="s">
        <v>6</v>
      </c>
      <c r="J40" s="69" t="s">
        <v>98</v>
      </c>
      <c r="K40" s="69" t="s">
        <v>106</v>
      </c>
      <c r="L40" s="74"/>
      <c r="M40" s="75">
        <v>9.3750000000000007E-4</v>
      </c>
      <c r="N40" s="76" t="s">
        <v>79</v>
      </c>
      <c r="O40" s="76" t="s">
        <v>79</v>
      </c>
      <c r="P40" s="76" t="s">
        <v>79</v>
      </c>
      <c r="Q40" s="76" t="s">
        <v>79</v>
      </c>
      <c r="R40" s="76" t="s">
        <v>79</v>
      </c>
      <c r="S40" s="76" t="s">
        <v>79</v>
      </c>
      <c r="T40" s="76" t="s">
        <v>79</v>
      </c>
      <c r="U40" s="76" t="s">
        <v>79</v>
      </c>
      <c r="V40" s="76" t="s">
        <v>79</v>
      </c>
      <c r="W40" s="76" t="s">
        <v>83</v>
      </c>
      <c r="X40" s="76" t="s">
        <v>79</v>
      </c>
      <c r="Y40" s="76" t="s">
        <v>79</v>
      </c>
      <c r="Z40" s="77">
        <f t="shared" si="2"/>
        <v>9.16</v>
      </c>
      <c r="AA40" s="78"/>
      <c r="AB40" s="78"/>
      <c r="AC40" s="72" t="s">
        <v>47</v>
      </c>
      <c r="AD40" s="76"/>
      <c r="AE40" s="79" t="str">
        <f t="shared" si="9"/>
        <v>Jan10825</v>
      </c>
      <c r="AF40" s="80">
        <f>IF(N40="","",IF(N40="SIM",VLOOKUP($I40&amp;$J40&amp;N$1,Pesos!$A:$I,7,FALSE),VLOOKUP($I40&amp;$J40&amp;N$1,Pesos!$A:$I,9,FALSE)))</f>
        <v>0.8</v>
      </c>
      <c r="AG40" s="80">
        <f>IF(O40="","",IF(O40="SIM",VLOOKUP($I40&amp;$J40&amp;O$1,Pesos!$A:$I,7,FALSE),VLOOKUP($I40&amp;$J40&amp;O$1,Pesos!$A:$I,9,FALSE)))</f>
        <v>0.8</v>
      </c>
      <c r="AH40" s="80">
        <f>IF(P40="","",IF(P40="SIM",VLOOKUP($I40&amp;$J40&amp;P$1,Pesos!$A:$I,7,FALSE),VLOOKUP($I40&amp;$J40&amp;P$1,Pesos!$A:$I,9,FALSE)))</f>
        <v>1.2</v>
      </c>
      <c r="AI40" s="80">
        <f>IF(Q40="","",IF(Q40="SIM",VLOOKUP($I40&amp;$J40&amp;Q$1,Pesos!$A:$I,7,FALSE),VLOOKUP($I40&amp;$J40&amp;Q$1,Pesos!$A:$I,9,FALSE)))</f>
        <v>0.8</v>
      </c>
      <c r="AJ40" s="80">
        <f>IF(R40="","",IF(R40="SIM",VLOOKUP($I40&amp;$J40&amp;R$1,Pesos!$A:$I,7,FALSE),VLOOKUP($I40&amp;$J40&amp;R$1,Pesos!$A:$I,9,FALSE)))</f>
        <v>0.8</v>
      </c>
      <c r="AK40" s="80">
        <f>IF(S40="","",IF(S40="SIM",VLOOKUP($I40&amp;$J40&amp;S$1,Pesos!$A:$I,7,FALSE),VLOOKUP($I40&amp;$J40&amp;S$1,Pesos!$A:$I,9,FALSE)))</f>
        <v>0.8</v>
      </c>
      <c r="AL40" s="80">
        <f t="shared" si="10"/>
        <v>5.1999999999999993</v>
      </c>
      <c r="AM40" s="80">
        <f>IF(T40="","",IF(T40="SIM",VLOOKUP($I40&amp;$J40&amp;T$1,Pesos!$A:$I,7,FALSE),VLOOKUP($I40&amp;$J40&amp;T$1,Pesos!$A:$I,9,FALSE)))</f>
        <v>0.8</v>
      </c>
      <c r="AN40" s="80">
        <f>IF(U40="","",IF(U40="SIM",VLOOKUP($I40&amp;$J40&amp;U$1,Pesos!$A:$I,7,FALSE),VLOOKUP($I40&amp;$J40&amp;U$1,Pesos!$A:$I,9,FALSE)))</f>
        <v>0.8</v>
      </c>
      <c r="AO40" s="80">
        <f>IF(V40="","",IF(V40="SIM",VLOOKUP($I40&amp;$J40&amp;V$1,Pesos!$A:$I,7,FALSE),VLOOKUP($I40&amp;$J40&amp;V$1,Pesos!$A:$I,9,FALSE)))</f>
        <v>0.8</v>
      </c>
      <c r="AP40" s="80">
        <f>IF(W40="","",IF(W40="SIM",VLOOKUP($I40&amp;$J40&amp;W$1,Pesos!$A:$I,7,FALSE),VLOOKUP($I40&amp;$J40&amp;W$1,Pesos!$A:$I,9,FALSE)))</f>
        <v>-4.0000000000000008E-2</v>
      </c>
      <c r="AQ40" s="80">
        <f>IF(X40="","",IF(X40="SIM",VLOOKUP($I40&amp;$J40&amp;X$1,Pesos!$A:$I,7,FALSE),VLOOKUP($I40&amp;$J40&amp;X$1,Pesos!$A:$I,9,FALSE)))</f>
        <v>0.8</v>
      </c>
      <c r="AR40" s="80">
        <f>IF(Y40="","",IF(Y40="SIM",VLOOKUP($I40&amp;$J40&amp;Y$1,Pesos!$A:$I,7,FALSE),VLOOKUP($I40&amp;$J40&amp;Y$1,Pesos!$A:$I,9,FALSE)))</f>
        <v>0.8</v>
      </c>
      <c r="AS40" s="81">
        <f>IFERROR(Z40*VLOOKUP(J40,'BD Campos'!$Y$1:$Z$12,2,FALSE),"0")</f>
        <v>9.16</v>
      </c>
      <c r="AT40" s="76"/>
    </row>
    <row r="41" spans="1:46" x14ac:dyDescent="0.35">
      <c r="A41" s="68" t="str">
        <f t="shared" si="1"/>
        <v>Jan202510826ReceptivaTRANSFERÊNCIA</v>
      </c>
      <c r="B41" s="69" t="str">
        <f t="shared" si="8"/>
        <v>Jan2025108265TRANSFERÊNCIAPADRÃO</v>
      </c>
      <c r="C41" s="70">
        <v>1</v>
      </c>
      <c r="D41" s="71">
        <v>45670.687016203701</v>
      </c>
      <c r="E41" s="110" t="s">
        <v>74</v>
      </c>
      <c r="F41" s="72">
        <v>10826</v>
      </c>
      <c r="G41" s="69" t="s">
        <v>151</v>
      </c>
      <c r="H41" s="73">
        <v>5</v>
      </c>
      <c r="I41" s="69" t="s">
        <v>6</v>
      </c>
      <c r="J41" s="69" t="s">
        <v>98</v>
      </c>
      <c r="K41" s="69" t="s">
        <v>106</v>
      </c>
      <c r="L41" s="74"/>
      <c r="M41" s="75">
        <v>1.6435185185185183E-3</v>
      </c>
      <c r="N41" s="76" t="s">
        <v>79</v>
      </c>
      <c r="O41" s="76" t="s">
        <v>79</v>
      </c>
      <c r="P41" s="76" t="s">
        <v>79</v>
      </c>
      <c r="Q41" s="76" t="s">
        <v>79</v>
      </c>
      <c r="R41" s="76" t="s">
        <v>79</v>
      </c>
      <c r="S41" s="76" t="s">
        <v>79</v>
      </c>
      <c r="T41" s="76" t="s">
        <v>79</v>
      </c>
      <c r="U41" s="76" t="s">
        <v>79</v>
      </c>
      <c r="V41" s="76" t="s">
        <v>79</v>
      </c>
      <c r="W41" s="76" t="s">
        <v>79</v>
      </c>
      <c r="X41" s="76" t="s">
        <v>79</v>
      </c>
      <c r="Y41" s="76" t="s">
        <v>79</v>
      </c>
      <c r="Z41" s="77">
        <f t="shared" si="2"/>
        <v>10</v>
      </c>
      <c r="AA41" s="78"/>
      <c r="AB41" s="78"/>
      <c r="AC41" s="72" t="s">
        <v>47</v>
      </c>
      <c r="AD41" s="76"/>
      <c r="AE41" s="79" t="str">
        <f t="shared" si="9"/>
        <v>Jan10826</v>
      </c>
      <c r="AF41" s="80">
        <f>IF(N41="","",IF(N41="SIM",VLOOKUP($I41&amp;$J41&amp;N$1,Pesos!$A:$I,7,FALSE),VLOOKUP($I41&amp;$J41&amp;N$1,Pesos!$A:$I,9,FALSE)))</f>
        <v>0.8</v>
      </c>
      <c r="AG41" s="80">
        <f>IF(O41="","",IF(O41="SIM",VLOOKUP($I41&amp;$J41&amp;O$1,Pesos!$A:$I,7,FALSE),VLOOKUP($I41&amp;$J41&amp;O$1,Pesos!$A:$I,9,FALSE)))</f>
        <v>0.8</v>
      </c>
      <c r="AH41" s="80">
        <f>IF(P41="","",IF(P41="SIM",VLOOKUP($I41&amp;$J41&amp;P$1,Pesos!$A:$I,7,FALSE),VLOOKUP($I41&amp;$J41&amp;P$1,Pesos!$A:$I,9,FALSE)))</f>
        <v>1.2</v>
      </c>
      <c r="AI41" s="80">
        <f>IF(Q41="","",IF(Q41="SIM",VLOOKUP($I41&amp;$J41&amp;Q$1,Pesos!$A:$I,7,FALSE),VLOOKUP($I41&amp;$J41&amp;Q$1,Pesos!$A:$I,9,FALSE)))</f>
        <v>0.8</v>
      </c>
      <c r="AJ41" s="80">
        <f>IF(R41="","",IF(R41="SIM",VLOOKUP($I41&amp;$J41&amp;R$1,Pesos!$A:$I,7,FALSE),VLOOKUP($I41&amp;$J41&amp;R$1,Pesos!$A:$I,9,FALSE)))</f>
        <v>0.8</v>
      </c>
      <c r="AK41" s="80">
        <f>IF(S41="","",IF(S41="SIM",VLOOKUP($I41&amp;$J41&amp;S$1,Pesos!$A:$I,7,FALSE),VLOOKUP($I41&amp;$J41&amp;S$1,Pesos!$A:$I,9,FALSE)))</f>
        <v>0.8</v>
      </c>
      <c r="AL41" s="80">
        <f t="shared" si="10"/>
        <v>5.1999999999999993</v>
      </c>
      <c r="AM41" s="80">
        <f>IF(T41="","",IF(T41="SIM",VLOOKUP($I41&amp;$J41&amp;T$1,Pesos!$A:$I,7,FALSE),VLOOKUP($I41&amp;$J41&amp;T$1,Pesos!$A:$I,9,FALSE)))</f>
        <v>0.8</v>
      </c>
      <c r="AN41" s="80">
        <f>IF(U41="","",IF(U41="SIM",VLOOKUP($I41&amp;$J41&amp;U$1,Pesos!$A:$I,7,FALSE),VLOOKUP($I41&amp;$J41&amp;U$1,Pesos!$A:$I,9,FALSE)))</f>
        <v>0.8</v>
      </c>
      <c r="AO41" s="80">
        <f>IF(V41="","",IF(V41="SIM",VLOOKUP($I41&amp;$J41&amp;V$1,Pesos!$A:$I,7,FALSE),VLOOKUP($I41&amp;$J41&amp;V$1,Pesos!$A:$I,9,FALSE)))</f>
        <v>0.8</v>
      </c>
      <c r="AP41" s="80">
        <f>IF(W41="","",IF(W41="SIM",VLOOKUP($I41&amp;$J41&amp;W$1,Pesos!$A:$I,7,FALSE),VLOOKUP($I41&amp;$J41&amp;W$1,Pesos!$A:$I,9,FALSE)))</f>
        <v>0.8</v>
      </c>
      <c r="AQ41" s="80">
        <f>IF(X41="","",IF(X41="SIM",VLOOKUP($I41&amp;$J41&amp;X$1,Pesos!$A:$I,7,FALSE),VLOOKUP($I41&amp;$J41&amp;X$1,Pesos!$A:$I,9,FALSE)))</f>
        <v>0.8</v>
      </c>
      <c r="AR41" s="80">
        <f>IF(Y41="","",IF(Y41="SIM",VLOOKUP($I41&amp;$J41&amp;Y$1,Pesos!$A:$I,7,FALSE),VLOOKUP($I41&amp;$J41&amp;Y$1,Pesos!$A:$I,9,FALSE)))</f>
        <v>0.8</v>
      </c>
      <c r="AS41" s="81">
        <f>IFERROR(Z41*VLOOKUP(J41,'BD Campos'!$Y$1:$Z$12,2,FALSE),"0")</f>
        <v>10</v>
      </c>
      <c r="AT41" s="76"/>
    </row>
    <row r="42" spans="1:46" x14ac:dyDescent="0.35">
      <c r="A42" s="68" t="str">
        <f t="shared" si="1"/>
        <v>Jan202510958ReceptivaTRANSFERÊNCIA</v>
      </c>
      <c r="B42" s="69" t="str">
        <f t="shared" si="8"/>
        <v>Jan2025109585TRANSFERÊNCIAPADRÃO</v>
      </c>
      <c r="C42" s="70">
        <v>1</v>
      </c>
      <c r="D42" s="71">
        <v>45670.690198032411</v>
      </c>
      <c r="E42" s="110" t="s">
        <v>74</v>
      </c>
      <c r="F42" s="72">
        <v>10958</v>
      </c>
      <c r="G42" s="69" t="s">
        <v>159</v>
      </c>
      <c r="H42" s="73">
        <v>5</v>
      </c>
      <c r="I42" s="69" t="s">
        <v>6</v>
      </c>
      <c r="J42" s="69" t="s">
        <v>98</v>
      </c>
      <c r="K42" s="69" t="s">
        <v>106</v>
      </c>
      <c r="L42" s="74"/>
      <c r="M42" s="75">
        <v>1.8750000000000001E-3</v>
      </c>
      <c r="N42" s="76" t="s">
        <v>79</v>
      </c>
      <c r="O42" s="76" t="s">
        <v>79</v>
      </c>
      <c r="P42" s="76" t="s">
        <v>79</v>
      </c>
      <c r="Q42" s="76" t="s">
        <v>79</v>
      </c>
      <c r="R42" s="76" t="s">
        <v>79</v>
      </c>
      <c r="S42" s="76" t="s">
        <v>79</v>
      </c>
      <c r="T42" s="76" t="s">
        <v>79</v>
      </c>
      <c r="U42" s="76" t="s">
        <v>79</v>
      </c>
      <c r="V42" s="76" t="s">
        <v>79</v>
      </c>
      <c r="W42" s="76" t="s">
        <v>79</v>
      </c>
      <c r="X42" s="76" t="s">
        <v>79</v>
      </c>
      <c r="Y42" s="76" t="s">
        <v>79</v>
      </c>
      <c r="Z42" s="77">
        <f t="shared" si="2"/>
        <v>10</v>
      </c>
      <c r="AA42" s="78"/>
      <c r="AB42" s="78"/>
      <c r="AC42" s="72" t="s">
        <v>47</v>
      </c>
      <c r="AD42" s="76"/>
      <c r="AE42" s="79" t="str">
        <f t="shared" si="9"/>
        <v>Jan10958</v>
      </c>
      <c r="AF42" s="80">
        <f>IF(N42="","",IF(N42="SIM",VLOOKUP($I42&amp;$J42&amp;N$1,Pesos!$A:$I,7,FALSE),VLOOKUP($I42&amp;$J42&amp;N$1,Pesos!$A:$I,9,FALSE)))</f>
        <v>0.8</v>
      </c>
      <c r="AG42" s="80">
        <f>IF(O42="","",IF(O42="SIM",VLOOKUP($I42&amp;$J42&amp;O$1,Pesos!$A:$I,7,FALSE),VLOOKUP($I42&amp;$J42&amp;O$1,Pesos!$A:$I,9,FALSE)))</f>
        <v>0.8</v>
      </c>
      <c r="AH42" s="80">
        <f>IF(P42="","",IF(P42="SIM",VLOOKUP($I42&amp;$J42&amp;P$1,Pesos!$A:$I,7,FALSE),VLOOKUP($I42&amp;$J42&amp;P$1,Pesos!$A:$I,9,FALSE)))</f>
        <v>1.2</v>
      </c>
      <c r="AI42" s="80">
        <f>IF(Q42="","",IF(Q42="SIM",VLOOKUP($I42&amp;$J42&amp;Q$1,Pesos!$A:$I,7,FALSE),VLOOKUP($I42&amp;$J42&amp;Q$1,Pesos!$A:$I,9,FALSE)))</f>
        <v>0.8</v>
      </c>
      <c r="AJ42" s="80">
        <f>IF(R42="","",IF(R42="SIM",VLOOKUP($I42&amp;$J42&amp;R$1,Pesos!$A:$I,7,FALSE),VLOOKUP($I42&amp;$J42&amp;R$1,Pesos!$A:$I,9,FALSE)))</f>
        <v>0.8</v>
      </c>
      <c r="AK42" s="80">
        <f>IF(S42="","",IF(S42="SIM",VLOOKUP($I42&amp;$J42&amp;S$1,Pesos!$A:$I,7,FALSE),VLOOKUP($I42&amp;$J42&amp;S$1,Pesos!$A:$I,9,FALSE)))</f>
        <v>0.8</v>
      </c>
      <c r="AL42" s="80">
        <f t="shared" si="10"/>
        <v>5.1999999999999993</v>
      </c>
      <c r="AM42" s="80">
        <f>IF(T42="","",IF(T42="SIM",VLOOKUP($I42&amp;$J42&amp;T$1,Pesos!$A:$I,7,FALSE),VLOOKUP($I42&amp;$J42&amp;T$1,Pesos!$A:$I,9,FALSE)))</f>
        <v>0.8</v>
      </c>
      <c r="AN42" s="80">
        <f>IF(U42="","",IF(U42="SIM",VLOOKUP($I42&amp;$J42&amp;U$1,Pesos!$A:$I,7,FALSE),VLOOKUP($I42&amp;$J42&amp;U$1,Pesos!$A:$I,9,FALSE)))</f>
        <v>0.8</v>
      </c>
      <c r="AO42" s="80">
        <f>IF(V42="","",IF(V42="SIM",VLOOKUP($I42&amp;$J42&amp;V$1,Pesos!$A:$I,7,FALSE),VLOOKUP($I42&amp;$J42&amp;V$1,Pesos!$A:$I,9,FALSE)))</f>
        <v>0.8</v>
      </c>
      <c r="AP42" s="80">
        <f>IF(W42="","",IF(W42="SIM",VLOOKUP($I42&amp;$J42&amp;W$1,Pesos!$A:$I,7,FALSE),VLOOKUP($I42&amp;$J42&amp;W$1,Pesos!$A:$I,9,FALSE)))</f>
        <v>0.8</v>
      </c>
      <c r="AQ42" s="80">
        <f>IF(X42="","",IF(X42="SIM",VLOOKUP($I42&amp;$J42&amp;X$1,Pesos!$A:$I,7,FALSE),VLOOKUP($I42&amp;$J42&amp;X$1,Pesos!$A:$I,9,FALSE)))</f>
        <v>0.8</v>
      </c>
      <c r="AR42" s="80">
        <f>IF(Y42="","",IF(Y42="SIM",VLOOKUP($I42&amp;$J42&amp;Y$1,Pesos!$A:$I,7,FALSE),VLOOKUP($I42&amp;$J42&amp;Y$1,Pesos!$A:$I,9,FALSE)))</f>
        <v>0.8</v>
      </c>
      <c r="AS42" s="81">
        <f>IFERROR(Z42*VLOOKUP(J42,'BD Campos'!$Y$1:$Z$12,2,FALSE),"0")</f>
        <v>10</v>
      </c>
      <c r="AT42" s="76"/>
    </row>
    <row r="43" spans="1:46" x14ac:dyDescent="0.35">
      <c r="A43" s="68" t="str">
        <f t="shared" si="1"/>
        <v>Jan202511030ReceptivaTRANSFERÊNCIA</v>
      </c>
      <c r="B43" s="69" t="str">
        <f t="shared" si="8"/>
        <v>Jan2025110305TRANSFERÊNCIAPADRÃO</v>
      </c>
      <c r="C43" s="70">
        <v>1</v>
      </c>
      <c r="D43" s="71">
        <v>45670.692361111112</v>
      </c>
      <c r="E43" s="110" t="s">
        <v>74</v>
      </c>
      <c r="F43" s="72">
        <v>11030</v>
      </c>
      <c r="G43" s="69" t="s">
        <v>343</v>
      </c>
      <c r="H43" s="73">
        <v>5</v>
      </c>
      <c r="I43" s="69" t="s">
        <v>6</v>
      </c>
      <c r="J43" s="69" t="s">
        <v>98</v>
      </c>
      <c r="K43" s="69" t="s">
        <v>106</v>
      </c>
      <c r="L43" s="74"/>
      <c r="M43" s="75">
        <v>6.9444444444444447E-4</v>
      </c>
      <c r="N43" s="76" t="s">
        <v>79</v>
      </c>
      <c r="O43" s="76" t="s">
        <v>83</v>
      </c>
      <c r="P43" s="76" t="s">
        <v>79</v>
      </c>
      <c r="Q43" s="76" t="s">
        <v>79</v>
      </c>
      <c r="R43" s="76" t="s">
        <v>79</v>
      </c>
      <c r="S43" s="76" t="s">
        <v>79</v>
      </c>
      <c r="T43" s="76" t="s">
        <v>83</v>
      </c>
      <c r="U43" s="76" t="s">
        <v>79</v>
      </c>
      <c r="V43" s="76" t="s">
        <v>79</v>
      </c>
      <c r="W43" s="76" t="s">
        <v>79</v>
      </c>
      <c r="X43" s="76" t="s">
        <v>79</v>
      </c>
      <c r="Y43" s="76" t="s">
        <v>79</v>
      </c>
      <c r="Z43" s="77">
        <f t="shared" si="2"/>
        <v>8.3199999999999985</v>
      </c>
      <c r="AA43" s="78"/>
      <c r="AB43" s="78"/>
      <c r="AC43" s="72" t="s">
        <v>47</v>
      </c>
      <c r="AD43" s="76"/>
      <c r="AE43" s="79" t="str">
        <f t="shared" si="9"/>
        <v>Jan11030</v>
      </c>
      <c r="AF43" s="80">
        <f>IF(N43="","",IF(N43="SIM",VLOOKUP($I43&amp;$J43&amp;N$1,Pesos!$A:$I,7,FALSE),VLOOKUP($I43&amp;$J43&amp;N$1,Pesos!$A:$I,9,FALSE)))</f>
        <v>0.8</v>
      </c>
      <c r="AG43" s="80">
        <f>IF(O43="","",IF(O43="SIM",VLOOKUP($I43&amp;$J43&amp;O$1,Pesos!$A:$I,7,FALSE),VLOOKUP($I43&amp;$J43&amp;O$1,Pesos!$A:$I,9,FALSE)))</f>
        <v>-4.0000000000000008E-2</v>
      </c>
      <c r="AH43" s="80">
        <f>IF(P43="","",IF(P43="SIM",VLOOKUP($I43&amp;$J43&amp;P$1,Pesos!$A:$I,7,FALSE),VLOOKUP($I43&amp;$J43&amp;P$1,Pesos!$A:$I,9,FALSE)))</f>
        <v>1.2</v>
      </c>
      <c r="AI43" s="80">
        <f>IF(Q43="","",IF(Q43="SIM",VLOOKUP($I43&amp;$J43&amp;Q$1,Pesos!$A:$I,7,FALSE),VLOOKUP($I43&amp;$J43&amp;Q$1,Pesos!$A:$I,9,FALSE)))</f>
        <v>0.8</v>
      </c>
      <c r="AJ43" s="80">
        <f>IF(R43="","",IF(R43="SIM",VLOOKUP($I43&amp;$J43&amp;R$1,Pesos!$A:$I,7,FALSE),VLOOKUP($I43&amp;$J43&amp;R$1,Pesos!$A:$I,9,FALSE)))</f>
        <v>0.8</v>
      </c>
      <c r="AK43" s="80">
        <f>IF(S43="","",IF(S43="SIM",VLOOKUP($I43&amp;$J43&amp;S$1,Pesos!$A:$I,7,FALSE),VLOOKUP($I43&amp;$J43&amp;S$1,Pesos!$A:$I,9,FALSE)))</f>
        <v>0.8</v>
      </c>
      <c r="AL43" s="80">
        <f t="shared" si="10"/>
        <v>4.3599999999999994</v>
      </c>
      <c r="AM43" s="80">
        <f>IF(T43="","",IF(T43="SIM",VLOOKUP($I43&amp;$J43&amp;T$1,Pesos!$A:$I,7,FALSE),VLOOKUP($I43&amp;$J43&amp;T$1,Pesos!$A:$I,9,FALSE)))</f>
        <v>-4.0000000000000008E-2</v>
      </c>
      <c r="AN43" s="80">
        <f>IF(U43="","",IF(U43="SIM",VLOOKUP($I43&amp;$J43&amp;U$1,Pesos!$A:$I,7,FALSE),VLOOKUP($I43&amp;$J43&amp;U$1,Pesos!$A:$I,9,FALSE)))</f>
        <v>0.8</v>
      </c>
      <c r="AO43" s="80">
        <f>IF(V43="","",IF(V43="SIM",VLOOKUP($I43&amp;$J43&amp;V$1,Pesos!$A:$I,7,FALSE),VLOOKUP($I43&amp;$J43&amp;V$1,Pesos!$A:$I,9,FALSE)))</f>
        <v>0.8</v>
      </c>
      <c r="AP43" s="80">
        <f>IF(W43="","",IF(W43="SIM",VLOOKUP($I43&amp;$J43&amp;W$1,Pesos!$A:$I,7,FALSE),VLOOKUP($I43&amp;$J43&amp;W$1,Pesos!$A:$I,9,FALSE)))</f>
        <v>0.8</v>
      </c>
      <c r="AQ43" s="80">
        <f>IF(X43="","",IF(X43="SIM",VLOOKUP($I43&amp;$J43&amp;X$1,Pesos!$A:$I,7,FALSE),VLOOKUP($I43&amp;$J43&amp;X$1,Pesos!$A:$I,9,FALSE)))</f>
        <v>0.8</v>
      </c>
      <c r="AR43" s="80">
        <f>IF(Y43="","",IF(Y43="SIM",VLOOKUP($I43&amp;$J43&amp;Y$1,Pesos!$A:$I,7,FALSE),VLOOKUP($I43&amp;$J43&amp;Y$1,Pesos!$A:$I,9,FALSE)))</f>
        <v>0.8</v>
      </c>
      <c r="AS43" s="81">
        <f>IFERROR(Z43*VLOOKUP(J43,'BD Campos'!$Y$1:$Z$12,2,FALSE),"0")</f>
        <v>8.3199999999999985</v>
      </c>
      <c r="AT43" s="76"/>
    </row>
    <row r="44" spans="1:46" x14ac:dyDescent="0.35">
      <c r="A44" s="68" t="str">
        <f t="shared" si="1"/>
        <v>Jan202511067ReceptivaTRANSFERÊNCIA</v>
      </c>
      <c r="B44" s="69" t="str">
        <f t="shared" ref="B44:B49" si="11">E44&amp;YEAR(D44)&amp;F44&amp;H44&amp;K44&amp;AC44</f>
        <v>Jan2025110675TRANSFERÊNCIAPADRÃO</v>
      </c>
      <c r="C44" s="70">
        <v>1</v>
      </c>
      <c r="D44" s="71">
        <v>45670.720587384261</v>
      </c>
      <c r="E44" s="110" t="s">
        <v>74</v>
      </c>
      <c r="F44" s="72">
        <v>11067</v>
      </c>
      <c r="G44" s="69" t="s">
        <v>392</v>
      </c>
      <c r="H44" s="73">
        <v>5</v>
      </c>
      <c r="I44" s="69" t="s">
        <v>6</v>
      </c>
      <c r="J44" s="69" t="s">
        <v>98</v>
      </c>
      <c r="K44" s="69" t="s">
        <v>106</v>
      </c>
      <c r="L44" s="74"/>
      <c r="M44" s="75">
        <v>1.6435185185185183E-3</v>
      </c>
      <c r="N44" s="76" t="s">
        <v>79</v>
      </c>
      <c r="O44" s="76" t="s">
        <v>79</v>
      </c>
      <c r="P44" s="76" t="s">
        <v>79</v>
      </c>
      <c r="Q44" s="76" t="s">
        <v>79</v>
      </c>
      <c r="R44" s="76" t="s">
        <v>79</v>
      </c>
      <c r="S44" s="76" t="s">
        <v>79</v>
      </c>
      <c r="T44" s="76" t="s">
        <v>79</v>
      </c>
      <c r="U44" s="76" t="s">
        <v>79</v>
      </c>
      <c r="V44" s="76" t="s">
        <v>79</v>
      </c>
      <c r="W44" s="76" t="s">
        <v>79</v>
      </c>
      <c r="X44" s="76" t="s">
        <v>79</v>
      </c>
      <c r="Y44" s="76" t="s">
        <v>79</v>
      </c>
      <c r="Z44" s="77">
        <f t="shared" si="2"/>
        <v>10</v>
      </c>
      <c r="AA44" s="78"/>
      <c r="AB44" s="78"/>
      <c r="AC44" s="72" t="s">
        <v>47</v>
      </c>
      <c r="AD44" s="76"/>
      <c r="AE44" s="79" t="str">
        <f t="shared" ref="AE44:AE49" si="12">E44&amp;F44</f>
        <v>Jan11067</v>
      </c>
      <c r="AF44" s="80">
        <f>IF(N44="","",IF(N44="SIM",VLOOKUP($I44&amp;$J44&amp;N$1,Pesos!$A:$I,7,FALSE),VLOOKUP($I44&amp;$J44&amp;N$1,Pesos!$A:$I,9,FALSE)))</f>
        <v>0.8</v>
      </c>
      <c r="AG44" s="80">
        <f>IF(O44="","",IF(O44="SIM",VLOOKUP($I44&amp;$J44&amp;O$1,Pesos!$A:$I,7,FALSE),VLOOKUP($I44&amp;$J44&amp;O$1,Pesos!$A:$I,9,FALSE)))</f>
        <v>0.8</v>
      </c>
      <c r="AH44" s="80">
        <f>IF(P44="","",IF(P44="SIM",VLOOKUP($I44&amp;$J44&amp;P$1,Pesos!$A:$I,7,FALSE),VLOOKUP($I44&amp;$J44&amp;P$1,Pesos!$A:$I,9,FALSE)))</f>
        <v>1.2</v>
      </c>
      <c r="AI44" s="80">
        <f>IF(Q44="","",IF(Q44="SIM",VLOOKUP($I44&amp;$J44&amp;Q$1,Pesos!$A:$I,7,FALSE),VLOOKUP($I44&amp;$J44&amp;Q$1,Pesos!$A:$I,9,FALSE)))</f>
        <v>0.8</v>
      </c>
      <c r="AJ44" s="80">
        <f>IF(R44="","",IF(R44="SIM",VLOOKUP($I44&amp;$J44&amp;R$1,Pesos!$A:$I,7,FALSE),VLOOKUP($I44&amp;$J44&amp;R$1,Pesos!$A:$I,9,FALSE)))</f>
        <v>0.8</v>
      </c>
      <c r="AK44" s="80">
        <f>IF(S44="","",IF(S44="SIM",VLOOKUP($I44&amp;$J44&amp;S$1,Pesos!$A:$I,7,FALSE),VLOOKUP($I44&amp;$J44&amp;S$1,Pesos!$A:$I,9,FALSE)))</f>
        <v>0.8</v>
      </c>
      <c r="AL44" s="80">
        <f t="shared" ref="AL44:AL49" si="13">SUM(AF44:AK44)</f>
        <v>5.1999999999999993</v>
      </c>
      <c r="AM44" s="80">
        <f>IF(T44="","",IF(T44="SIM",VLOOKUP($I44&amp;$J44&amp;T$1,Pesos!$A:$I,7,FALSE),VLOOKUP($I44&amp;$J44&amp;T$1,Pesos!$A:$I,9,FALSE)))</f>
        <v>0.8</v>
      </c>
      <c r="AN44" s="80">
        <f>IF(U44="","",IF(U44="SIM",VLOOKUP($I44&amp;$J44&amp;U$1,Pesos!$A:$I,7,FALSE),VLOOKUP($I44&amp;$J44&amp;U$1,Pesos!$A:$I,9,FALSE)))</f>
        <v>0.8</v>
      </c>
      <c r="AO44" s="80">
        <f>IF(V44="","",IF(V44="SIM",VLOOKUP($I44&amp;$J44&amp;V$1,Pesos!$A:$I,7,FALSE),VLOOKUP($I44&amp;$J44&amp;V$1,Pesos!$A:$I,9,FALSE)))</f>
        <v>0.8</v>
      </c>
      <c r="AP44" s="80">
        <f>IF(W44="","",IF(W44="SIM",VLOOKUP($I44&amp;$J44&amp;W$1,Pesos!$A:$I,7,FALSE),VLOOKUP($I44&amp;$J44&amp;W$1,Pesos!$A:$I,9,FALSE)))</f>
        <v>0.8</v>
      </c>
      <c r="AQ44" s="80">
        <f>IF(X44="","",IF(X44="SIM",VLOOKUP($I44&amp;$J44&amp;X$1,Pesos!$A:$I,7,FALSE),VLOOKUP($I44&amp;$J44&amp;X$1,Pesos!$A:$I,9,FALSE)))</f>
        <v>0.8</v>
      </c>
      <c r="AR44" s="80">
        <f>IF(Y44="","",IF(Y44="SIM",VLOOKUP($I44&amp;$J44&amp;Y$1,Pesos!$A:$I,7,FALSE),VLOOKUP($I44&amp;$J44&amp;Y$1,Pesos!$A:$I,9,FALSE)))</f>
        <v>0.8</v>
      </c>
      <c r="AS44" s="81">
        <f>IFERROR(Z44*VLOOKUP(J44,'BD Campos'!$Y$1:$Z$12,2,FALSE),"0")</f>
        <v>10</v>
      </c>
      <c r="AT44" s="76"/>
    </row>
    <row r="45" spans="1:46" x14ac:dyDescent="0.35">
      <c r="A45" s="68" t="str">
        <f t="shared" si="1"/>
        <v>Jan202511104ReceptivaTRANSFERÊNCIA</v>
      </c>
      <c r="B45" s="69" t="str">
        <f t="shared" si="11"/>
        <v>Jan2025111045TRANSFERÊNCIAPADRÃO</v>
      </c>
      <c r="C45" s="70">
        <v>1</v>
      </c>
      <c r="D45" s="71">
        <v>45670.722562499999</v>
      </c>
      <c r="E45" s="110" t="s">
        <v>74</v>
      </c>
      <c r="F45" s="72">
        <v>11104</v>
      </c>
      <c r="G45" s="69" t="s">
        <v>415</v>
      </c>
      <c r="H45" s="73">
        <v>5</v>
      </c>
      <c r="I45" s="69" t="s">
        <v>6</v>
      </c>
      <c r="J45" s="69" t="s">
        <v>98</v>
      </c>
      <c r="K45" s="69" t="s">
        <v>106</v>
      </c>
      <c r="L45" s="74"/>
      <c r="M45" s="75">
        <v>1.5624999999999999E-3</v>
      </c>
      <c r="N45" s="76" t="s">
        <v>79</v>
      </c>
      <c r="O45" s="76" t="s">
        <v>79</v>
      </c>
      <c r="P45" s="76" t="s">
        <v>79</v>
      </c>
      <c r="Q45" s="76" t="s">
        <v>79</v>
      </c>
      <c r="R45" s="76" t="s">
        <v>79</v>
      </c>
      <c r="S45" s="76" t="s">
        <v>79</v>
      </c>
      <c r="T45" s="76" t="s">
        <v>79</v>
      </c>
      <c r="U45" s="76" t="s">
        <v>79</v>
      </c>
      <c r="V45" s="76" t="s">
        <v>79</v>
      </c>
      <c r="W45" s="76" t="s">
        <v>79</v>
      </c>
      <c r="X45" s="76" t="s">
        <v>79</v>
      </c>
      <c r="Y45" s="76" t="s">
        <v>79</v>
      </c>
      <c r="Z45" s="77">
        <f t="shared" si="2"/>
        <v>10</v>
      </c>
      <c r="AA45" s="78"/>
      <c r="AB45" s="78"/>
      <c r="AC45" s="72" t="s">
        <v>47</v>
      </c>
      <c r="AD45" s="76"/>
      <c r="AE45" s="79" t="str">
        <f t="shared" si="12"/>
        <v>Jan11104</v>
      </c>
      <c r="AF45" s="80">
        <f>IF(N45="","",IF(N45="SIM",VLOOKUP($I45&amp;$J45&amp;N$1,Pesos!$A:$I,7,FALSE),VLOOKUP($I45&amp;$J45&amp;N$1,Pesos!$A:$I,9,FALSE)))</f>
        <v>0.8</v>
      </c>
      <c r="AG45" s="80">
        <f>IF(O45="","",IF(O45="SIM",VLOOKUP($I45&amp;$J45&amp;O$1,Pesos!$A:$I,7,FALSE),VLOOKUP($I45&amp;$J45&amp;O$1,Pesos!$A:$I,9,FALSE)))</f>
        <v>0.8</v>
      </c>
      <c r="AH45" s="80">
        <f>IF(P45="","",IF(P45="SIM",VLOOKUP($I45&amp;$J45&amp;P$1,Pesos!$A:$I,7,FALSE),VLOOKUP($I45&amp;$J45&amp;P$1,Pesos!$A:$I,9,FALSE)))</f>
        <v>1.2</v>
      </c>
      <c r="AI45" s="80">
        <f>IF(Q45="","",IF(Q45="SIM",VLOOKUP($I45&amp;$J45&amp;Q$1,Pesos!$A:$I,7,FALSE),VLOOKUP($I45&amp;$J45&amp;Q$1,Pesos!$A:$I,9,FALSE)))</f>
        <v>0.8</v>
      </c>
      <c r="AJ45" s="80">
        <f>IF(R45="","",IF(R45="SIM",VLOOKUP($I45&amp;$J45&amp;R$1,Pesos!$A:$I,7,FALSE),VLOOKUP($I45&amp;$J45&amp;R$1,Pesos!$A:$I,9,FALSE)))</f>
        <v>0.8</v>
      </c>
      <c r="AK45" s="80">
        <f>IF(S45="","",IF(S45="SIM",VLOOKUP($I45&amp;$J45&amp;S$1,Pesos!$A:$I,7,FALSE),VLOOKUP($I45&amp;$J45&amp;S$1,Pesos!$A:$I,9,FALSE)))</f>
        <v>0.8</v>
      </c>
      <c r="AL45" s="80">
        <f t="shared" si="13"/>
        <v>5.1999999999999993</v>
      </c>
      <c r="AM45" s="80">
        <f>IF(T45="","",IF(T45="SIM",VLOOKUP($I45&amp;$J45&amp;T$1,Pesos!$A:$I,7,FALSE),VLOOKUP($I45&amp;$J45&amp;T$1,Pesos!$A:$I,9,FALSE)))</f>
        <v>0.8</v>
      </c>
      <c r="AN45" s="80">
        <f>IF(U45="","",IF(U45="SIM",VLOOKUP($I45&amp;$J45&amp;U$1,Pesos!$A:$I,7,FALSE),VLOOKUP($I45&amp;$J45&amp;U$1,Pesos!$A:$I,9,FALSE)))</f>
        <v>0.8</v>
      </c>
      <c r="AO45" s="80">
        <f>IF(V45="","",IF(V45="SIM",VLOOKUP($I45&amp;$J45&amp;V$1,Pesos!$A:$I,7,FALSE),VLOOKUP($I45&amp;$J45&amp;V$1,Pesos!$A:$I,9,FALSE)))</f>
        <v>0.8</v>
      </c>
      <c r="AP45" s="80">
        <f>IF(W45="","",IF(W45="SIM",VLOOKUP($I45&amp;$J45&amp;W$1,Pesos!$A:$I,7,FALSE),VLOOKUP($I45&amp;$J45&amp;W$1,Pesos!$A:$I,9,FALSE)))</f>
        <v>0.8</v>
      </c>
      <c r="AQ45" s="80">
        <f>IF(X45="","",IF(X45="SIM",VLOOKUP($I45&amp;$J45&amp;X$1,Pesos!$A:$I,7,FALSE),VLOOKUP($I45&amp;$J45&amp;X$1,Pesos!$A:$I,9,FALSE)))</f>
        <v>0.8</v>
      </c>
      <c r="AR45" s="80">
        <f>IF(Y45="","",IF(Y45="SIM",VLOOKUP($I45&amp;$J45&amp;Y$1,Pesos!$A:$I,7,FALSE),VLOOKUP($I45&amp;$J45&amp;Y$1,Pesos!$A:$I,9,FALSE)))</f>
        <v>0.8</v>
      </c>
      <c r="AS45" s="81">
        <f>IFERROR(Z45*VLOOKUP(J45,'BD Campos'!$Y$1:$Z$12,2,FALSE),"0")</f>
        <v>10</v>
      </c>
      <c r="AT45" s="76"/>
    </row>
    <row r="46" spans="1:46" x14ac:dyDescent="0.35">
      <c r="A46" s="68" t="str">
        <f t="shared" si="1"/>
        <v>Jan202511149ReceptivaTRANSFERÊNCIA</v>
      </c>
      <c r="B46" s="69" t="str">
        <f t="shared" si="11"/>
        <v>Jan2025111495TRANSFERÊNCIAPADRÃO</v>
      </c>
      <c r="C46" s="70">
        <v>1</v>
      </c>
      <c r="D46" s="71">
        <v>45670.724132754629</v>
      </c>
      <c r="E46" s="110" t="s">
        <v>74</v>
      </c>
      <c r="F46" s="72">
        <v>11149</v>
      </c>
      <c r="G46" s="69" t="s">
        <v>440</v>
      </c>
      <c r="H46" s="73">
        <v>5</v>
      </c>
      <c r="I46" s="69" t="s">
        <v>6</v>
      </c>
      <c r="J46" s="69" t="s">
        <v>98</v>
      </c>
      <c r="K46" s="69" t="s">
        <v>106</v>
      </c>
      <c r="L46" s="74"/>
      <c r="M46" s="75">
        <v>1.1805555555555556E-3</v>
      </c>
      <c r="N46" s="76" t="s">
        <v>79</v>
      </c>
      <c r="O46" s="76" t="s">
        <v>79</v>
      </c>
      <c r="P46" s="76" t="s">
        <v>79</v>
      </c>
      <c r="Q46" s="76" t="s">
        <v>79</v>
      </c>
      <c r="R46" s="76" t="s">
        <v>79</v>
      </c>
      <c r="S46" s="76" t="s">
        <v>79</v>
      </c>
      <c r="T46" s="76" t="s">
        <v>79</v>
      </c>
      <c r="U46" s="76" t="s">
        <v>79</v>
      </c>
      <c r="V46" s="76" t="s">
        <v>79</v>
      </c>
      <c r="W46" s="76" t="s">
        <v>79</v>
      </c>
      <c r="X46" s="76" t="s">
        <v>79</v>
      </c>
      <c r="Y46" s="76" t="s">
        <v>79</v>
      </c>
      <c r="Z46" s="77">
        <f t="shared" si="2"/>
        <v>10</v>
      </c>
      <c r="AA46" s="78"/>
      <c r="AB46" s="78"/>
      <c r="AC46" s="72" t="s">
        <v>47</v>
      </c>
      <c r="AD46" s="76"/>
      <c r="AE46" s="79" t="str">
        <f t="shared" si="12"/>
        <v>Jan11149</v>
      </c>
      <c r="AF46" s="80">
        <f>IF(N46="","",IF(N46="SIM",VLOOKUP($I46&amp;$J46&amp;N$1,Pesos!$A:$I,7,FALSE),VLOOKUP($I46&amp;$J46&amp;N$1,Pesos!$A:$I,9,FALSE)))</f>
        <v>0.8</v>
      </c>
      <c r="AG46" s="80">
        <f>IF(O46="","",IF(O46="SIM",VLOOKUP($I46&amp;$J46&amp;O$1,Pesos!$A:$I,7,FALSE),VLOOKUP($I46&amp;$J46&amp;O$1,Pesos!$A:$I,9,FALSE)))</f>
        <v>0.8</v>
      </c>
      <c r="AH46" s="80">
        <f>IF(P46="","",IF(P46="SIM",VLOOKUP($I46&amp;$J46&amp;P$1,Pesos!$A:$I,7,FALSE),VLOOKUP($I46&amp;$J46&amp;P$1,Pesos!$A:$I,9,FALSE)))</f>
        <v>1.2</v>
      </c>
      <c r="AI46" s="80">
        <f>IF(Q46="","",IF(Q46="SIM",VLOOKUP($I46&amp;$J46&amp;Q$1,Pesos!$A:$I,7,FALSE),VLOOKUP($I46&amp;$J46&amp;Q$1,Pesos!$A:$I,9,FALSE)))</f>
        <v>0.8</v>
      </c>
      <c r="AJ46" s="80">
        <f>IF(R46="","",IF(R46="SIM",VLOOKUP($I46&amp;$J46&amp;R$1,Pesos!$A:$I,7,FALSE),VLOOKUP($I46&amp;$J46&amp;R$1,Pesos!$A:$I,9,FALSE)))</f>
        <v>0.8</v>
      </c>
      <c r="AK46" s="80">
        <f>IF(S46="","",IF(S46="SIM",VLOOKUP($I46&amp;$J46&amp;S$1,Pesos!$A:$I,7,FALSE),VLOOKUP($I46&amp;$J46&amp;S$1,Pesos!$A:$I,9,FALSE)))</f>
        <v>0.8</v>
      </c>
      <c r="AL46" s="80">
        <f t="shared" si="13"/>
        <v>5.1999999999999993</v>
      </c>
      <c r="AM46" s="80">
        <f>IF(T46="","",IF(T46="SIM",VLOOKUP($I46&amp;$J46&amp;T$1,Pesos!$A:$I,7,FALSE),VLOOKUP($I46&amp;$J46&amp;T$1,Pesos!$A:$I,9,FALSE)))</f>
        <v>0.8</v>
      </c>
      <c r="AN46" s="80">
        <f>IF(U46="","",IF(U46="SIM",VLOOKUP($I46&amp;$J46&amp;U$1,Pesos!$A:$I,7,FALSE),VLOOKUP($I46&amp;$J46&amp;U$1,Pesos!$A:$I,9,FALSE)))</f>
        <v>0.8</v>
      </c>
      <c r="AO46" s="80">
        <f>IF(V46="","",IF(V46="SIM",VLOOKUP($I46&amp;$J46&amp;V$1,Pesos!$A:$I,7,FALSE),VLOOKUP($I46&amp;$J46&amp;V$1,Pesos!$A:$I,9,FALSE)))</f>
        <v>0.8</v>
      </c>
      <c r="AP46" s="80">
        <f>IF(W46="","",IF(W46="SIM",VLOOKUP($I46&amp;$J46&amp;W$1,Pesos!$A:$I,7,FALSE),VLOOKUP($I46&amp;$J46&amp;W$1,Pesos!$A:$I,9,FALSE)))</f>
        <v>0.8</v>
      </c>
      <c r="AQ46" s="80">
        <f>IF(X46="","",IF(X46="SIM",VLOOKUP($I46&amp;$J46&amp;X$1,Pesos!$A:$I,7,FALSE),VLOOKUP($I46&amp;$J46&amp;X$1,Pesos!$A:$I,9,FALSE)))</f>
        <v>0.8</v>
      </c>
      <c r="AR46" s="80">
        <f>IF(Y46="","",IF(Y46="SIM",VLOOKUP($I46&amp;$J46&amp;Y$1,Pesos!$A:$I,7,FALSE),VLOOKUP($I46&amp;$J46&amp;Y$1,Pesos!$A:$I,9,FALSE)))</f>
        <v>0.8</v>
      </c>
      <c r="AS46" s="81">
        <f>IFERROR(Z46*VLOOKUP(J46,'BD Campos'!$Y$1:$Z$12,2,FALSE),"0")</f>
        <v>10</v>
      </c>
      <c r="AT46" s="76"/>
    </row>
    <row r="47" spans="1:46" x14ac:dyDescent="0.35">
      <c r="A47" s="68" t="str">
        <f t="shared" si="1"/>
        <v>Jan202511154ReceptivaTRANSFERÊNCIA</v>
      </c>
      <c r="B47" s="69" t="str">
        <f t="shared" si="11"/>
        <v>Jan2025111545TRANSFERÊNCIAPADRÃO</v>
      </c>
      <c r="C47" s="70">
        <v>1</v>
      </c>
      <c r="D47" s="71">
        <v>45670.728703587964</v>
      </c>
      <c r="E47" s="110" t="s">
        <v>74</v>
      </c>
      <c r="F47" s="72">
        <v>11154</v>
      </c>
      <c r="G47" s="69" t="s">
        <v>451</v>
      </c>
      <c r="H47" s="73">
        <v>5</v>
      </c>
      <c r="I47" s="69" t="s">
        <v>6</v>
      </c>
      <c r="J47" s="69" t="s">
        <v>98</v>
      </c>
      <c r="K47" s="69" t="s">
        <v>106</v>
      </c>
      <c r="L47" s="74"/>
      <c r="M47" s="75">
        <v>1.5277777777777779E-3</v>
      </c>
      <c r="N47" s="76" t="s">
        <v>79</v>
      </c>
      <c r="O47" s="76" t="s">
        <v>83</v>
      </c>
      <c r="P47" s="76" t="s">
        <v>79</v>
      </c>
      <c r="Q47" s="76" t="s">
        <v>79</v>
      </c>
      <c r="R47" s="76" t="s">
        <v>79</v>
      </c>
      <c r="S47" s="76" t="s">
        <v>79</v>
      </c>
      <c r="T47" s="76" t="s">
        <v>79</v>
      </c>
      <c r="U47" s="76" t="s">
        <v>79</v>
      </c>
      <c r="V47" s="76" t="s">
        <v>79</v>
      </c>
      <c r="W47" s="76" t="s">
        <v>79</v>
      </c>
      <c r="X47" s="76" t="s">
        <v>79</v>
      </c>
      <c r="Y47" s="76" t="s">
        <v>79</v>
      </c>
      <c r="Z47" s="77">
        <f t="shared" si="2"/>
        <v>9.16</v>
      </c>
      <c r="AA47" s="78"/>
      <c r="AB47" s="78"/>
      <c r="AC47" s="72" t="s">
        <v>47</v>
      </c>
      <c r="AD47" s="76"/>
      <c r="AE47" s="79" t="str">
        <f t="shared" si="12"/>
        <v>Jan11154</v>
      </c>
      <c r="AF47" s="80">
        <f>IF(N47="","",IF(N47="SIM",VLOOKUP($I47&amp;$J47&amp;N$1,Pesos!$A:$I,7,FALSE),VLOOKUP($I47&amp;$J47&amp;N$1,Pesos!$A:$I,9,FALSE)))</f>
        <v>0.8</v>
      </c>
      <c r="AG47" s="80">
        <f>IF(O47="","",IF(O47="SIM",VLOOKUP($I47&amp;$J47&amp;O$1,Pesos!$A:$I,7,FALSE),VLOOKUP($I47&amp;$J47&amp;O$1,Pesos!$A:$I,9,FALSE)))</f>
        <v>-4.0000000000000008E-2</v>
      </c>
      <c r="AH47" s="80">
        <f>IF(P47="","",IF(P47="SIM",VLOOKUP($I47&amp;$J47&amp;P$1,Pesos!$A:$I,7,FALSE),VLOOKUP($I47&amp;$J47&amp;P$1,Pesos!$A:$I,9,FALSE)))</f>
        <v>1.2</v>
      </c>
      <c r="AI47" s="80">
        <f>IF(Q47="","",IF(Q47="SIM",VLOOKUP($I47&amp;$J47&amp;Q$1,Pesos!$A:$I,7,FALSE),VLOOKUP($I47&amp;$J47&amp;Q$1,Pesos!$A:$I,9,FALSE)))</f>
        <v>0.8</v>
      </c>
      <c r="AJ47" s="80">
        <f>IF(R47="","",IF(R47="SIM",VLOOKUP($I47&amp;$J47&amp;R$1,Pesos!$A:$I,7,FALSE),VLOOKUP($I47&amp;$J47&amp;R$1,Pesos!$A:$I,9,FALSE)))</f>
        <v>0.8</v>
      </c>
      <c r="AK47" s="80">
        <f>IF(S47="","",IF(S47="SIM",VLOOKUP($I47&amp;$J47&amp;S$1,Pesos!$A:$I,7,FALSE),VLOOKUP($I47&amp;$J47&amp;S$1,Pesos!$A:$I,9,FALSE)))</f>
        <v>0.8</v>
      </c>
      <c r="AL47" s="80">
        <f t="shared" si="13"/>
        <v>4.3599999999999994</v>
      </c>
      <c r="AM47" s="80">
        <f>IF(T47="","",IF(T47="SIM",VLOOKUP($I47&amp;$J47&amp;T$1,Pesos!$A:$I,7,FALSE),VLOOKUP($I47&amp;$J47&amp;T$1,Pesos!$A:$I,9,FALSE)))</f>
        <v>0.8</v>
      </c>
      <c r="AN47" s="80">
        <f>IF(U47="","",IF(U47="SIM",VLOOKUP($I47&amp;$J47&amp;U$1,Pesos!$A:$I,7,FALSE),VLOOKUP($I47&amp;$J47&amp;U$1,Pesos!$A:$I,9,FALSE)))</f>
        <v>0.8</v>
      </c>
      <c r="AO47" s="80">
        <f>IF(V47="","",IF(V47="SIM",VLOOKUP($I47&amp;$J47&amp;V$1,Pesos!$A:$I,7,FALSE),VLOOKUP($I47&amp;$J47&amp;V$1,Pesos!$A:$I,9,FALSE)))</f>
        <v>0.8</v>
      </c>
      <c r="AP47" s="80">
        <f>IF(W47="","",IF(W47="SIM",VLOOKUP($I47&amp;$J47&amp;W$1,Pesos!$A:$I,7,FALSE),VLOOKUP($I47&amp;$J47&amp;W$1,Pesos!$A:$I,9,FALSE)))</f>
        <v>0.8</v>
      </c>
      <c r="AQ47" s="80">
        <f>IF(X47="","",IF(X47="SIM",VLOOKUP($I47&amp;$J47&amp;X$1,Pesos!$A:$I,7,FALSE),VLOOKUP($I47&amp;$J47&amp;X$1,Pesos!$A:$I,9,FALSE)))</f>
        <v>0.8</v>
      </c>
      <c r="AR47" s="80">
        <f>IF(Y47="","",IF(Y47="SIM",VLOOKUP($I47&amp;$J47&amp;Y$1,Pesos!$A:$I,7,FALSE),VLOOKUP($I47&amp;$J47&amp;Y$1,Pesos!$A:$I,9,FALSE)))</f>
        <v>0.8</v>
      </c>
      <c r="AS47" s="81">
        <f>IFERROR(Z47*VLOOKUP(J47,'BD Campos'!$Y$1:$Z$12,2,FALSE),"0")</f>
        <v>9.16</v>
      </c>
      <c r="AT47" s="76"/>
    </row>
    <row r="48" spans="1:46" x14ac:dyDescent="0.35">
      <c r="A48" s="68" t="str">
        <f t="shared" si="1"/>
        <v>Jan202511171ReceptivaTRANSFERÊNCIA</v>
      </c>
      <c r="B48" s="69" t="str">
        <f t="shared" si="11"/>
        <v>Jan2025111715TRANSFERÊNCIAPADRÃO</v>
      </c>
      <c r="C48" s="70">
        <v>1</v>
      </c>
      <c r="D48" s="71">
        <v>45670.729273032404</v>
      </c>
      <c r="E48" s="110" t="s">
        <v>74</v>
      </c>
      <c r="F48" s="72">
        <v>11171</v>
      </c>
      <c r="G48" s="69" t="s">
        <v>1358</v>
      </c>
      <c r="H48" s="73">
        <v>5</v>
      </c>
      <c r="I48" s="69" t="s">
        <v>6</v>
      </c>
      <c r="J48" s="69" t="s">
        <v>98</v>
      </c>
      <c r="K48" s="69" t="s">
        <v>106</v>
      </c>
      <c r="L48" s="74"/>
      <c r="M48" s="75">
        <v>8.449074074074075E-4</v>
      </c>
      <c r="N48" s="76" t="s">
        <v>79</v>
      </c>
      <c r="O48" s="76" t="s">
        <v>79</v>
      </c>
      <c r="P48" s="76" t="s">
        <v>79</v>
      </c>
      <c r="Q48" s="76" t="s">
        <v>79</v>
      </c>
      <c r="R48" s="76" t="s">
        <v>79</v>
      </c>
      <c r="S48" s="76" t="s">
        <v>79</v>
      </c>
      <c r="T48" s="76" t="s">
        <v>79</v>
      </c>
      <c r="U48" s="76" t="s">
        <v>79</v>
      </c>
      <c r="V48" s="76" t="s">
        <v>79</v>
      </c>
      <c r="W48" s="76" t="s">
        <v>79</v>
      </c>
      <c r="X48" s="76" t="s">
        <v>79</v>
      </c>
      <c r="Y48" s="76" t="s">
        <v>79</v>
      </c>
      <c r="Z48" s="77">
        <f t="shared" si="2"/>
        <v>10</v>
      </c>
      <c r="AA48" s="78"/>
      <c r="AB48" s="78"/>
      <c r="AC48" s="72" t="s">
        <v>47</v>
      </c>
      <c r="AD48" s="76"/>
      <c r="AE48" s="79" t="str">
        <f t="shared" si="12"/>
        <v>Jan11171</v>
      </c>
      <c r="AF48" s="80">
        <f>IF(N48="","",IF(N48="SIM",VLOOKUP($I48&amp;$J48&amp;N$1,Pesos!$A:$I,7,FALSE),VLOOKUP($I48&amp;$J48&amp;N$1,Pesos!$A:$I,9,FALSE)))</f>
        <v>0.8</v>
      </c>
      <c r="AG48" s="80">
        <f>IF(O48="","",IF(O48="SIM",VLOOKUP($I48&amp;$J48&amp;O$1,Pesos!$A:$I,7,FALSE),VLOOKUP($I48&amp;$J48&amp;O$1,Pesos!$A:$I,9,FALSE)))</f>
        <v>0.8</v>
      </c>
      <c r="AH48" s="80">
        <f>IF(P48="","",IF(P48="SIM",VLOOKUP($I48&amp;$J48&amp;P$1,Pesos!$A:$I,7,FALSE),VLOOKUP($I48&amp;$J48&amp;P$1,Pesos!$A:$I,9,FALSE)))</f>
        <v>1.2</v>
      </c>
      <c r="AI48" s="80">
        <f>IF(Q48="","",IF(Q48="SIM",VLOOKUP($I48&amp;$J48&amp;Q$1,Pesos!$A:$I,7,FALSE),VLOOKUP($I48&amp;$J48&amp;Q$1,Pesos!$A:$I,9,FALSE)))</f>
        <v>0.8</v>
      </c>
      <c r="AJ48" s="80">
        <f>IF(R48="","",IF(R48="SIM",VLOOKUP($I48&amp;$J48&amp;R$1,Pesos!$A:$I,7,FALSE),VLOOKUP($I48&amp;$J48&amp;R$1,Pesos!$A:$I,9,FALSE)))</f>
        <v>0.8</v>
      </c>
      <c r="AK48" s="80">
        <f>IF(S48="","",IF(S48="SIM",VLOOKUP($I48&amp;$J48&amp;S$1,Pesos!$A:$I,7,FALSE),VLOOKUP($I48&amp;$J48&amp;S$1,Pesos!$A:$I,9,FALSE)))</f>
        <v>0.8</v>
      </c>
      <c r="AL48" s="80">
        <f t="shared" si="13"/>
        <v>5.1999999999999993</v>
      </c>
      <c r="AM48" s="80">
        <f>IF(T48="","",IF(T48="SIM",VLOOKUP($I48&amp;$J48&amp;T$1,Pesos!$A:$I,7,FALSE),VLOOKUP($I48&amp;$J48&amp;T$1,Pesos!$A:$I,9,FALSE)))</f>
        <v>0.8</v>
      </c>
      <c r="AN48" s="80">
        <f>IF(U48="","",IF(U48="SIM",VLOOKUP($I48&amp;$J48&amp;U$1,Pesos!$A:$I,7,FALSE),VLOOKUP($I48&amp;$J48&amp;U$1,Pesos!$A:$I,9,FALSE)))</f>
        <v>0.8</v>
      </c>
      <c r="AO48" s="80">
        <f>IF(V48="","",IF(V48="SIM",VLOOKUP($I48&amp;$J48&amp;V$1,Pesos!$A:$I,7,FALSE),VLOOKUP($I48&amp;$J48&amp;V$1,Pesos!$A:$I,9,FALSE)))</f>
        <v>0.8</v>
      </c>
      <c r="AP48" s="80">
        <f>IF(W48="","",IF(W48="SIM",VLOOKUP($I48&amp;$J48&amp;W$1,Pesos!$A:$I,7,FALSE),VLOOKUP($I48&amp;$J48&amp;W$1,Pesos!$A:$I,9,FALSE)))</f>
        <v>0.8</v>
      </c>
      <c r="AQ48" s="80">
        <f>IF(X48="","",IF(X48="SIM",VLOOKUP($I48&amp;$J48&amp;X$1,Pesos!$A:$I,7,FALSE),VLOOKUP($I48&amp;$J48&amp;X$1,Pesos!$A:$I,9,FALSE)))</f>
        <v>0.8</v>
      </c>
      <c r="AR48" s="80">
        <f>IF(Y48="","",IF(Y48="SIM",VLOOKUP($I48&amp;$J48&amp;Y$1,Pesos!$A:$I,7,FALSE),VLOOKUP($I48&amp;$J48&amp;Y$1,Pesos!$A:$I,9,FALSE)))</f>
        <v>0.8</v>
      </c>
      <c r="AS48" s="81">
        <f>IFERROR(Z48*VLOOKUP(J48,'BD Campos'!$Y$1:$Z$12,2,FALSE),"0")</f>
        <v>10</v>
      </c>
      <c r="AT48" s="76"/>
    </row>
    <row r="49" spans="1:46" x14ac:dyDescent="0.35">
      <c r="A49" s="68" t="str">
        <f t="shared" si="1"/>
        <v>Jan202511183ReceptivaTRANSFERÊNCIA</v>
      </c>
      <c r="B49" s="69" t="str">
        <f t="shared" si="11"/>
        <v>Jan2025111835TRANSFERÊNCIAPADRÃO</v>
      </c>
      <c r="C49" s="70">
        <v>1</v>
      </c>
      <c r="D49" s="71">
        <v>45670.730036111112</v>
      </c>
      <c r="E49" s="110" t="s">
        <v>74</v>
      </c>
      <c r="F49" s="72">
        <v>11183</v>
      </c>
      <c r="G49" s="69" t="s">
        <v>1359</v>
      </c>
      <c r="H49" s="73">
        <v>5</v>
      </c>
      <c r="I49" s="69" t="s">
        <v>6</v>
      </c>
      <c r="J49" s="69" t="s">
        <v>98</v>
      </c>
      <c r="K49" s="69" t="s">
        <v>106</v>
      </c>
      <c r="L49" s="74"/>
      <c r="M49" s="75">
        <v>1.0648148148148147E-3</v>
      </c>
      <c r="N49" s="76" t="s">
        <v>79</v>
      </c>
      <c r="O49" s="76" t="s">
        <v>79</v>
      </c>
      <c r="P49" s="76" t="s">
        <v>79</v>
      </c>
      <c r="Q49" s="76" t="s">
        <v>79</v>
      </c>
      <c r="R49" s="76" t="s">
        <v>79</v>
      </c>
      <c r="S49" s="76" t="s">
        <v>79</v>
      </c>
      <c r="T49" s="76" t="s">
        <v>79</v>
      </c>
      <c r="U49" s="76" t="s">
        <v>79</v>
      </c>
      <c r="V49" s="76" t="s">
        <v>79</v>
      </c>
      <c r="W49" s="76" t="s">
        <v>79</v>
      </c>
      <c r="X49" s="76" t="s">
        <v>79</v>
      </c>
      <c r="Y49" s="76" t="s">
        <v>79</v>
      </c>
      <c r="Z49" s="77">
        <f t="shared" si="2"/>
        <v>10</v>
      </c>
      <c r="AA49" s="78"/>
      <c r="AB49" s="78"/>
      <c r="AC49" s="72" t="s">
        <v>47</v>
      </c>
      <c r="AD49" s="76"/>
      <c r="AE49" s="79" t="str">
        <f t="shared" si="12"/>
        <v>Jan11183</v>
      </c>
      <c r="AF49" s="80">
        <f>IF(N49="","",IF(N49="SIM",VLOOKUP($I49&amp;$J49&amp;N$1,Pesos!$A:$I,7,FALSE),VLOOKUP($I49&amp;$J49&amp;N$1,Pesos!$A:$I,9,FALSE)))</f>
        <v>0.8</v>
      </c>
      <c r="AG49" s="80">
        <f>IF(O49="","",IF(O49="SIM",VLOOKUP($I49&amp;$J49&amp;O$1,Pesos!$A:$I,7,FALSE),VLOOKUP($I49&amp;$J49&amp;O$1,Pesos!$A:$I,9,FALSE)))</f>
        <v>0.8</v>
      </c>
      <c r="AH49" s="80">
        <f>IF(P49="","",IF(P49="SIM",VLOOKUP($I49&amp;$J49&amp;P$1,Pesos!$A:$I,7,FALSE),VLOOKUP($I49&amp;$J49&amp;P$1,Pesos!$A:$I,9,FALSE)))</f>
        <v>1.2</v>
      </c>
      <c r="AI49" s="80">
        <f>IF(Q49="","",IF(Q49="SIM",VLOOKUP($I49&amp;$J49&amp;Q$1,Pesos!$A:$I,7,FALSE),VLOOKUP($I49&amp;$J49&amp;Q$1,Pesos!$A:$I,9,FALSE)))</f>
        <v>0.8</v>
      </c>
      <c r="AJ49" s="80">
        <f>IF(R49="","",IF(R49="SIM",VLOOKUP($I49&amp;$J49&amp;R$1,Pesos!$A:$I,7,FALSE),VLOOKUP($I49&amp;$J49&amp;R$1,Pesos!$A:$I,9,FALSE)))</f>
        <v>0.8</v>
      </c>
      <c r="AK49" s="80">
        <f>IF(S49="","",IF(S49="SIM",VLOOKUP($I49&amp;$J49&amp;S$1,Pesos!$A:$I,7,FALSE),VLOOKUP($I49&amp;$J49&amp;S$1,Pesos!$A:$I,9,FALSE)))</f>
        <v>0.8</v>
      </c>
      <c r="AL49" s="80">
        <f t="shared" si="13"/>
        <v>5.1999999999999993</v>
      </c>
      <c r="AM49" s="80">
        <f>IF(T49="","",IF(T49="SIM",VLOOKUP($I49&amp;$J49&amp;T$1,Pesos!$A:$I,7,FALSE),VLOOKUP($I49&amp;$J49&amp;T$1,Pesos!$A:$I,9,FALSE)))</f>
        <v>0.8</v>
      </c>
      <c r="AN49" s="80">
        <f>IF(U49="","",IF(U49="SIM",VLOOKUP($I49&amp;$J49&amp;U$1,Pesos!$A:$I,7,FALSE),VLOOKUP($I49&amp;$J49&amp;U$1,Pesos!$A:$I,9,FALSE)))</f>
        <v>0.8</v>
      </c>
      <c r="AO49" s="80">
        <f>IF(V49="","",IF(V49="SIM",VLOOKUP($I49&amp;$J49&amp;V$1,Pesos!$A:$I,7,FALSE),VLOOKUP($I49&amp;$J49&amp;V$1,Pesos!$A:$I,9,FALSE)))</f>
        <v>0.8</v>
      </c>
      <c r="AP49" s="80">
        <f>IF(W49="","",IF(W49="SIM",VLOOKUP($I49&amp;$J49&amp;W$1,Pesos!$A:$I,7,FALSE),VLOOKUP($I49&amp;$J49&amp;W$1,Pesos!$A:$I,9,FALSE)))</f>
        <v>0.8</v>
      </c>
      <c r="AQ49" s="80">
        <f>IF(X49="","",IF(X49="SIM",VLOOKUP($I49&amp;$J49&amp;X$1,Pesos!$A:$I,7,FALSE),VLOOKUP($I49&amp;$J49&amp;X$1,Pesos!$A:$I,9,FALSE)))</f>
        <v>0.8</v>
      </c>
      <c r="AR49" s="80">
        <f>IF(Y49="","",IF(Y49="SIM",VLOOKUP($I49&amp;$J49&amp;Y$1,Pesos!$A:$I,7,FALSE),VLOOKUP($I49&amp;$J49&amp;Y$1,Pesos!$A:$I,9,FALSE)))</f>
        <v>0.8</v>
      </c>
      <c r="AS49" s="81">
        <f>IFERROR(Z49*VLOOKUP(J49,'BD Campos'!$Y$1:$Z$12,2,FALSE),"0")</f>
        <v>10</v>
      </c>
      <c r="AT49" s="76"/>
    </row>
    <row r="50" spans="1:46" x14ac:dyDescent="0.35">
      <c r="A50" s="68" t="str">
        <f t="shared" si="1"/>
        <v>Jan202511201ReceptivaTRANSFERÊNCIA</v>
      </c>
      <c r="B50" s="69" t="str">
        <f>E50&amp;YEAR(D50)&amp;F50&amp;H50&amp;K50&amp;AC50</f>
        <v>Jan2025112015TRANSFERÊNCIAPADRÃO</v>
      </c>
      <c r="C50" s="70">
        <v>1</v>
      </c>
      <c r="D50" s="71">
        <v>45670.73181597222</v>
      </c>
      <c r="E50" s="110" t="s">
        <v>74</v>
      </c>
      <c r="F50" s="72">
        <v>11201</v>
      </c>
      <c r="G50" s="69" t="s">
        <v>1385</v>
      </c>
      <c r="H50" s="73">
        <v>5</v>
      </c>
      <c r="I50" s="69" t="s">
        <v>6</v>
      </c>
      <c r="J50" s="69" t="s">
        <v>98</v>
      </c>
      <c r="K50" s="69" t="s">
        <v>106</v>
      </c>
      <c r="L50" s="74"/>
      <c r="M50" s="75">
        <v>8.7962962962962962E-4</v>
      </c>
      <c r="N50" s="76" t="s">
        <v>79</v>
      </c>
      <c r="O50" s="76" t="s">
        <v>79</v>
      </c>
      <c r="P50" s="76" t="s">
        <v>79</v>
      </c>
      <c r="Q50" s="76" t="s">
        <v>79</v>
      </c>
      <c r="R50" s="76" t="s">
        <v>79</v>
      </c>
      <c r="S50" s="76" t="s">
        <v>79</v>
      </c>
      <c r="T50" s="76" t="s">
        <v>79</v>
      </c>
      <c r="U50" s="76" t="s">
        <v>79</v>
      </c>
      <c r="V50" s="76" t="s">
        <v>79</v>
      </c>
      <c r="W50" s="76" t="s">
        <v>79</v>
      </c>
      <c r="X50" s="76" t="s">
        <v>79</v>
      </c>
      <c r="Y50" s="76" t="s">
        <v>79</v>
      </c>
      <c r="Z50" s="77">
        <f t="shared" si="2"/>
        <v>10</v>
      </c>
      <c r="AA50" s="78"/>
      <c r="AB50" s="78"/>
      <c r="AC50" s="72" t="s">
        <v>47</v>
      </c>
      <c r="AD50" s="76"/>
      <c r="AE50" s="79" t="str">
        <f t="shared" ref="AE50:AE64" si="14">E50&amp;F50</f>
        <v>Jan11201</v>
      </c>
      <c r="AF50" s="80">
        <f>IF(N50="","",IF(N50="SIM",VLOOKUP($I50&amp;$J50&amp;N$1,Pesos!$A:$I,7,FALSE),VLOOKUP($I50&amp;$J50&amp;N$1,Pesos!$A:$I,9,FALSE)))</f>
        <v>0.8</v>
      </c>
      <c r="AG50" s="80">
        <f>IF(O50="","",IF(O50="SIM",VLOOKUP($I50&amp;$J50&amp;O$1,Pesos!$A:$I,7,FALSE),VLOOKUP($I50&amp;$J50&amp;O$1,Pesos!$A:$I,9,FALSE)))</f>
        <v>0.8</v>
      </c>
      <c r="AH50" s="80">
        <f>IF(P50="","",IF(P50="SIM",VLOOKUP($I50&amp;$J50&amp;P$1,Pesos!$A:$I,7,FALSE),VLOOKUP($I50&amp;$J50&amp;P$1,Pesos!$A:$I,9,FALSE)))</f>
        <v>1.2</v>
      </c>
      <c r="AI50" s="80">
        <f>IF(Q50="","",IF(Q50="SIM",VLOOKUP($I50&amp;$J50&amp;Q$1,Pesos!$A:$I,7,FALSE),VLOOKUP($I50&amp;$J50&amp;Q$1,Pesos!$A:$I,9,FALSE)))</f>
        <v>0.8</v>
      </c>
      <c r="AJ50" s="80">
        <f>IF(R50="","",IF(R50="SIM",VLOOKUP($I50&amp;$J50&amp;R$1,Pesos!$A:$I,7,FALSE),VLOOKUP($I50&amp;$J50&amp;R$1,Pesos!$A:$I,9,FALSE)))</f>
        <v>0.8</v>
      </c>
      <c r="AK50" s="80">
        <f>IF(S50="","",IF(S50="SIM",VLOOKUP($I50&amp;$J50&amp;S$1,Pesos!$A:$I,7,FALSE),VLOOKUP($I50&amp;$J50&amp;S$1,Pesos!$A:$I,9,FALSE)))</f>
        <v>0.8</v>
      </c>
      <c r="AL50" s="80">
        <f t="shared" ref="AL50:AL64" si="15">SUM(AF50:AK50)</f>
        <v>5.1999999999999993</v>
      </c>
      <c r="AM50" s="80">
        <f>IF(T50="","",IF(T50="SIM",VLOOKUP($I50&amp;$J50&amp;T$1,Pesos!$A:$I,7,FALSE),VLOOKUP($I50&amp;$J50&amp;T$1,Pesos!$A:$I,9,FALSE)))</f>
        <v>0.8</v>
      </c>
      <c r="AN50" s="80">
        <f>IF(U50="","",IF(U50="SIM",VLOOKUP($I50&amp;$J50&amp;U$1,Pesos!$A:$I,7,FALSE),VLOOKUP($I50&amp;$J50&amp;U$1,Pesos!$A:$I,9,FALSE)))</f>
        <v>0.8</v>
      </c>
      <c r="AO50" s="80">
        <f>IF(V50="","",IF(V50="SIM",VLOOKUP($I50&amp;$J50&amp;V$1,Pesos!$A:$I,7,FALSE),VLOOKUP($I50&amp;$J50&amp;V$1,Pesos!$A:$I,9,FALSE)))</f>
        <v>0.8</v>
      </c>
      <c r="AP50" s="80">
        <f>IF(W50="","",IF(W50="SIM",VLOOKUP($I50&amp;$J50&amp;W$1,Pesos!$A:$I,7,FALSE),VLOOKUP($I50&amp;$J50&amp;W$1,Pesos!$A:$I,9,FALSE)))</f>
        <v>0.8</v>
      </c>
      <c r="AQ50" s="80">
        <f>IF(X50="","",IF(X50="SIM",VLOOKUP($I50&amp;$J50&amp;X$1,Pesos!$A:$I,7,FALSE),VLOOKUP($I50&amp;$J50&amp;X$1,Pesos!$A:$I,9,FALSE)))</f>
        <v>0.8</v>
      </c>
      <c r="AR50" s="80">
        <f>IF(Y50="","",IF(Y50="SIM",VLOOKUP($I50&amp;$J50&amp;Y$1,Pesos!$A:$I,7,FALSE),VLOOKUP($I50&amp;$J50&amp;Y$1,Pesos!$A:$I,9,FALSE)))</f>
        <v>0.8</v>
      </c>
      <c r="AS50" s="81">
        <f>IFERROR(Z50*VLOOKUP(J50,'BD Campos'!$Y$1:$Z$12,2,FALSE),"0")</f>
        <v>10</v>
      </c>
      <c r="AT50" s="76"/>
    </row>
    <row r="51" spans="1:46" x14ac:dyDescent="0.35">
      <c r="A51" s="68" t="str">
        <f t="shared" si="1"/>
        <v>Jan202511209ReceptivaTRANSFERÊNCIA</v>
      </c>
      <c r="B51" s="69" t="str">
        <f>E51&amp;YEAR(D51)&amp;F51&amp;H51&amp;K51&amp;AC51</f>
        <v>Jan2025112095TRANSFERÊNCIAPADRÃO</v>
      </c>
      <c r="C51" s="70">
        <v>1</v>
      </c>
      <c r="D51" s="71">
        <v>45670.732442129629</v>
      </c>
      <c r="E51" s="110" t="s">
        <v>74</v>
      </c>
      <c r="F51" s="72">
        <v>11209</v>
      </c>
      <c r="G51" s="69" t="s">
        <v>1386</v>
      </c>
      <c r="H51" s="73">
        <v>5</v>
      </c>
      <c r="I51" s="69" t="s">
        <v>6</v>
      </c>
      <c r="J51" s="69" t="s">
        <v>98</v>
      </c>
      <c r="K51" s="69" t="s">
        <v>106</v>
      </c>
      <c r="L51" s="74"/>
      <c r="M51" s="75">
        <v>1.2847222222222223E-3</v>
      </c>
      <c r="N51" s="76" t="s">
        <v>79</v>
      </c>
      <c r="O51" s="76" t="s">
        <v>79</v>
      </c>
      <c r="P51" s="76" t="s">
        <v>79</v>
      </c>
      <c r="Q51" s="76" t="s">
        <v>79</v>
      </c>
      <c r="R51" s="76" t="s">
        <v>79</v>
      </c>
      <c r="S51" s="76" t="s">
        <v>79</v>
      </c>
      <c r="T51" s="76" t="s">
        <v>79</v>
      </c>
      <c r="U51" s="76" t="s">
        <v>79</v>
      </c>
      <c r="V51" s="76" t="s">
        <v>79</v>
      </c>
      <c r="W51" s="76" t="s">
        <v>79</v>
      </c>
      <c r="X51" s="76" t="s">
        <v>79</v>
      </c>
      <c r="Y51" s="76" t="s">
        <v>79</v>
      </c>
      <c r="Z51" s="77">
        <f t="shared" si="2"/>
        <v>10</v>
      </c>
      <c r="AA51" s="78"/>
      <c r="AB51" s="78"/>
      <c r="AC51" s="72" t="s">
        <v>47</v>
      </c>
      <c r="AD51" s="76"/>
      <c r="AE51" s="79" t="str">
        <f t="shared" si="14"/>
        <v>Jan11209</v>
      </c>
      <c r="AF51" s="80">
        <f>IF(N51="","",IF(N51="SIM",VLOOKUP($I51&amp;$J51&amp;N$1,Pesos!$A:$I,7,FALSE),VLOOKUP($I51&amp;$J51&amp;N$1,Pesos!$A:$I,9,FALSE)))</f>
        <v>0.8</v>
      </c>
      <c r="AG51" s="80">
        <f>IF(O51="","",IF(O51="SIM",VLOOKUP($I51&amp;$J51&amp;O$1,Pesos!$A:$I,7,FALSE),VLOOKUP($I51&amp;$J51&amp;O$1,Pesos!$A:$I,9,FALSE)))</f>
        <v>0.8</v>
      </c>
      <c r="AH51" s="80">
        <f>IF(P51="","",IF(P51="SIM",VLOOKUP($I51&amp;$J51&amp;P$1,Pesos!$A:$I,7,FALSE),VLOOKUP($I51&amp;$J51&amp;P$1,Pesos!$A:$I,9,FALSE)))</f>
        <v>1.2</v>
      </c>
      <c r="AI51" s="80">
        <f>IF(Q51="","",IF(Q51="SIM",VLOOKUP($I51&amp;$J51&amp;Q$1,Pesos!$A:$I,7,FALSE),VLOOKUP($I51&amp;$J51&amp;Q$1,Pesos!$A:$I,9,FALSE)))</f>
        <v>0.8</v>
      </c>
      <c r="AJ51" s="80">
        <f>IF(R51="","",IF(R51="SIM",VLOOKUP($I51&amp;$J51&amp;R$1,Pesos!$A:$I,7,FALSE),VLOOKUP($I51&amp;$J51&amp;R$1,Pesos!$A:$I,9,FALSE)))</f>
        <v>0.8</v>
      </c>
      <c r="AK51" s="80">
        <f>IF(S51="","",IF(S51="SIM",VLOOKUP($I51&amp;$J51&amp;S$1,Pesos!$A:$I,7,FALSE),VLOOKUP($I51&amp;$J51&amp;S$1,Pesos!$A:$I,9,FALSE)))</f>
        <v>0.8</v>
      </c>
      <c r="AL51" s="80">
        <f t="shared" si="15"/>
        <v>5.1999999999999993</v>
      </c>
      <c r="AM51" s="80">
        <f>IF(T51="","",IF(T51="SIM",VLOOKUP($I51&amp;$J51&amp;T$1,Pesos!$A:$I,7,FALSE),VLOOKUP($I51&amp;$J51&amp;T$1,Pesos!$A:$I,9,FALSE)))</f>
        <v>0.8</v>
      </c>
      <c r="AN51" s="80">
        <f>IF(U51="","",IF(U51="SIM",VLOOKUP($I51&amp;$J51&amp;U$1,Pesos!$A:$I,7,FALSE),VLOOKUP($I51&amp;$J51&amp;U$1,Pesos!$A:$I,9,FALSE)))</f>
        <v>0.8</v>
      </c>
      <c r="AO51" s="80">
        <f>IF(V51="","",IF(V51="SIM",VLOOKUP($I51&amp;$J51&amp;V$1,Pesos!$A:$I,7,FALSE),VLOOKUP($I51&amp;$J51&amp;V$1,Pesos!$A:$I,9,FALSE)))</f>
        <v>0.8</v>
      </c>
      <c r="AP51" s="80">
        <f>IF(W51="","",IF(W51="SIM",VLOOKUP($I51&amp;$J51&amp;W$1,Pesos!$A:$I,7,FALSE),VLOOKUP($I51&amp;$J51&amp;W$1,Pesos!$A:$I,9,FALSE)))</f>
        <v>0.8</v>
      </c>
      <c r="AQ51" s="80">
        <f>IF(X51="","",IF(X51="SIM",VLOOKUP($I51&amp;$J51&amp;X$1,Pesos!$A:$I,7,FALSE),VLOOKUP($I51&amp;$J51&amp;X$1,Pesos!$A:$I,9,FALSE)))</f>
        <v>0.8</v>
      </c>
      <c r="AR51" s="80">
        <f>IF(Y51="","",IF(Y51="SIM",VLOOKUP($I51&amp;$J51&amp;Y$1,Pesos!$A:$I,7,FALSE),VLOOKUP($I51&amp;$J51&amp;Y$1,Pesos!$A:$I,9,FALSE)))</f>
        <v>0.8</v>
      </c>
      <c r="AS51" s="81">
        <f>IFERROR(Z51*VLOOKUP(J51,'BD Campos'!$Y$1:$Z$12,2,FALSE),"0")</f>
        <v>10</v>
      </c>
      <c r="AT51" s="76"/>
    </row>
    <row r="52" spans="1:46" x14ac:dyDescent="0.35">
      <c r="A52" s="68" t="str">
        <f t="shared" si="1"/>
        <v>Jan202511216ReceptivaTRANSFERÊNCIA</v>
      </c>
      <c r="B52" s="69" t="str">
        <f>E52&amp;YEAR(D52)&amp;F52&amp;H52&amp;K52&amp;AC52</f>
        <v>Jan2025112165TRANSFERÊNCIAPADRÃO</v>
      </c>
      <c r="C52" s="70">
        <v>1</v>
      </c>
      <c r="D52" s="71">
        <v>45670.734334375004</v>
      </c>
      <c r="E52" s="110" t="s">
        <v>74</v>
      </c>
      <c r="F52" s="72">
        <v>11216</v>
      </c>
      <c r="G52" s="69" t="s">
        <v>1390</v>
      </c>
      <c r="H52" s="73">
        <v>5</v>
      </c>
      <c r="I52" s="69" t="s">
        <v>6</v>
      </c>
      <c r="J52" s="69" t="s">
        <v>98</v>
      </c>
      <c r="K52" s="69" t="s">
        <v>106</v>
      </c>
      <c r="L52" s="74"/>
      <c r="M52" s="75">
        <v>1.0069444444444444E-3</v>
      </c>
      <c r="N52" s="76" t="s">
        <v>79</v>
      </c>
      <c r="O52" s="76" t="s">
        <v>83</v>
      </c>
      <c r="P52" s="76" t="s">
        <v>79</v>
      </c>
      <c r="Q52" s="76" t="s">
        <v>79</v>
      </c>
      <c r="R52" s="76" t="s">
        <v>79</v>
      </c>
      <c r="S52" s="76" t="s">
        <v>79</v>
      </c>
      <c r="T52" s="76" t="s">
        <v>79</v>
      </c>
      <c r="U52" s="76" t="s">
        <v>79</v>
      </c>
      <c r="V52" s="76" t="s">
        <v>79</v>
      </c>
      <c r="W52" s="76" t="s">
        <v>83</v>
      </c>
      <c r="X52" s="76" t="s">
        <v>79</v>
      </c>
      <c r="Y52" s="76" t="s">
        <v>79</v>
      </c>
      <c r="Z52" s="77">
        <f t="shared" si="2"/>
        <v>8.3199999999999985</v>
      </c>
      <c r="AA52" s="78"/>
      <c r="AB52" s="78"/>
      <c r="AC52" s="72" t="s">
        <v>47</v>
      </c>
      <c r="AD52" s="76"/>
      <c r="AE52" s="79" t="str">
        <f t="shared" si="14"/>
        <v>Jan11216</v>
      </c>
      <c r="AF52" s="80">
        <f>IF(N52="","",IF(N52="SIM",VLOOKUP($I52&amp;$J52&amp;N$1,Pesos!$A:$I,7,FALSE),VLOOKUP($I52&amp;$J52&amp;N$1,Pesos!$A:$I,9,FALSE)))</f>
        <v>0.8</v>
      </c>
      <c r="AG52" s="80">
        <f>IF(O52="","",IF(O52="SIM",VLOOKUP($I52&amp;$J52&amp;O$1,Pesos!$A:$I,7,FALSE),VLOOKUP($I52&amp;$J52&amp;O$1,Pesos!$A:$I,9,FALSE)))</f>
        <v>-4.0000000000000008E-2</v>
      </c>
      <c r="AH52" s="80">
        <f>IF(P52="","",IF(P52="SIM",VLOOKUP($I52&amp;$J52&amp;P$1,Pesos!$A:$I,7,FALSE),VLOOKUP($I52&amp;$J52&amp;P$1,Pesos!$A:$I,9,FALSE)))</f>
        <v>1.2</v>
      </c>
      <c r="AI52" s="80">
        <f>IF(Q52="","",IF(Q52="SIM",VLOOKUP($I52&amp;$J52&amp;Q$1,Pesos!$A:$I,7,FALSE),VLOOKUP($I52&amp;$J52&amp;Q$1,Pesos!$A:$I,9,FALSE)))</f>
        <v>0.8</v>
      </c>
      <c r="AJ52" s="80">
        <f>IF(R52="","",IF(R52="SIM",VLOOKUP($I52&amp;$J52&amp;R$1,Pesos!$A:$I,7,FALSE),VLOOKUP($I52&amp;$J52&amp;R$1,Pesos!$A:$I,9,FALSE)))</f>
        <v>0.8</v>
      </c>
      <c r="AK52" s="80">
        <f>IF(S52="","",IF(S52="SIM",VLOOKUP($I52&amp;$J52&amp;S$1,Pesos!$A:$I,7,FALSE),VLOOKUP($I52&amp;$J52&amp;S$1,Pesos!$A:$I,9,FALSE)))</f>
        <v>0.8</v>
      </c>
      <c r="AL52" s="80">
        <f t="shared" si="15"/>
        <v>4.3599999999999994</v>
      </c>
      <c r="AM52" s="80">
        <f>IF(T52="","",IF(T52="SIM",VLOOKUP($I52&amp;$J52&amp;T$1,Pesos!$A:$I,7,FALSE),VLOOKUP($I52&amp;$J52&amp;T$1,Pesos!$A:$I,9,FALSE)))</f>
        <v>0.8</v>
      </c>
      <c r="AN52" s="80">
        <f>IF(U52="","",IF(U52="SIM",VLOOKUP($I52&amp;$J52&amp;U$1,Pesos!$A:$I,7,FALSE),VLOOKUP($I52&amp;$J52&amp;U$1,Pesos!$A:$I,9,FALSE)))</f>
        <v>0.8</v>
      </c>
      <c r="AO52" s="80">
        <f>IF(V52="","",IF(V52="SIM",VLOOKUP($I52&amp;$J52&amp;V$1,Pesos!$A:$I,7,FALSE),VLOOKUP($I52&amp;$J52&amp;V$1,Pesos!$A:$I,9,FALSE)))</f>
        <v>0.8</v>
      </c>
      <c r="AP52" s="80">
        <f>IF(W52="","",IF(W52="SIM",VLOOKUP($I52&amp;$J52&amp;W$1,Pesos!$A:$I,7,FALSE),VLOOKUP($I52&amp;$J52&amp;W$1,Pesos!$A:$I,9,FALSE)))</f>
        <v>-4.0000000000000008E-2</v>
      </c>
      <c r="AQ52" s="80">
        <f>IF(X52="","",IF(X52="SIM",VLOOKUP($I52&amp;$J52&amp;X$1,Pesos!$A:$I,7,FALSE),VLOOKUP($I52&amp;$J52&amp;X$1,Pesos!$A:$I,9,FALSE)))</f>
        <v>0.8</v>
      </c>
      <c r="AR52" s="80">
        <f>IF(Y52="","",IF(Y52="SIM",VLOOKUP($I52&amp;$J52&amp;Y$1,Pesos!$A:$I,7,FALSE),VLOOKUP($I52&amp;$J52&amp;Y$1,Pesos!$A:$I,9,FALSE)))</f>
        <v>0.8</v>
      </c>
      <c r="AS52" s="81">
        <f>IFERROR(Z52*VLOOKUP(J52,'BD Campos'!$Y$1:$Z$12,2,FALSE),"0")</f>
        <v>8.3199999999999985</v>
      </c>
      <c r="AT52" s="76"/>
    </row>
    <row r="53" spans="1:46" x14ac:dyDescent="0.35">
      <c r="A53" s="68" t="str">
        <f t="shared" si="1"/>
        <v>Jan202510676ReceptivaTRANSFERÊNCIA</v>
      </c>
      <c r="B53" s="69" t="str">
        <f>E53&amp;YEAR(D53)&amp;F53&amp;H53&amp;K53&amp;AC53</f>
        <v>Jan2025106765TRANSFERÊNCIAPADRÃO</v>
      </c>
      <c r="C53" s="70">
        <v>1</v>
      </c>
      <c r="D53" s="71">
        <v>45670.734935995373</v>
      </c>
      <c r="E53" s="110" t="s">
        <v>74</v>
      </c>
      <c r="F53" s="72">
        <v>10676</v>
      </c>
      <c r="G53" s="69" t="s">
        <v>163</v>
      </c>
      <c r="H53" s="73">
        <v>5</v>
      </c>
      <c r="I53" s="69" t="s">
        <v>6</v>
      </c>
      <c r="J53" s="69" t="s">
        <v>98</v>
      </c>
      <c r="K53" s="69" t="s">
        <v>106</v>
      </c>
      <c r="L53" s="74"/>
      <c r="M53" s="75">
        <v>7.8703703703703705E-4</v>
      </c>
      <c r="N53" s="76" t="s">
        <v>79</v>
      </c>
      <c r="O53" s="76" t="s">
        <v>79</v>
      </c>
      <c r="P53" s="76" t="s">
        <v>79</v>
      </c>
      <c r="Q53" s="76" t="s">
        <v>79</v>
      </c>
      <c r="R53" s="76" t="s">
        <v>79</v>
      </c>
      <c r="S53" s="76" t="s">
        <v>79</v>
      </c>
      <c r="T53" s="76" t="s">
        <v>79</v>
      </c>
      <c r="U53" s="76" t="s">
        <v>79</v>
      </c>
      <c r="V53" s="76" t="s">
        <v>79</v>
      </c>
      <c r="W53" s="76" t="s">
        <v>79</v>
      </c>
      <c r="X53" s="76" t="s">
        <v>79</v>
      </c>
      <c r="Y53" s="76" t="s">
        <v>79</v>
      </c>
      <c r="Z53" s="77">
        <f t="shared" si="2"/>
        <v>10</v>
      </c>
      <c r="AA53" s="78"/>
      <c r="AB53" s="78"/>
      <c r="AC53" s="72" t="s">
        <v>47</v>
      </c>
      <c r="AD53" s="76"/>
      <c r="AE53" s="79" t="str">
        <f t="shared" si="14"/>
        <v>Jan10676</v>
      </c>
      <c r="AF53" s="80">
        <f>IF(N53="","",IF(N53="SIM",VLOOKUP($I53&amp;$J53&amp;N$1,Pesos!$A:$I,7,FALSE),VLOOKUP($I53&amp;$J53&amp;N$1,Pesos!$A:$I,9,FALSE)))</f>
        <v>0.8</v>
      </c>
      <c r="AG53" s="80">
        <f>IF(O53="","",IF(O53="SIM",VLOOKUP($I53&amp;$J53&amp;O$1,Pesos!$A:$I,7,FALSE),VLOOKUP($I53&amp;$J53&amp;O$1,Pesos!$A:$I,9,FALSE)))</f>
        <v>0.8</v>
      </c>
      <c r="AH53" s="80">
        <f>IF(P53="","",IF(P53="SIM",VLOOKUP($I53&amp;$J53&amp;P$1,Pesos!$A:$I,7,FALSE),VLOOKUP($I53&amp;$J53&amp;P$1,Pesos!$A:$I,9,FALSE)))</f>
        <v>1.2</v>
      </c>
      <c r="AI53" s="80">
        <f>IF(Q53="","",IF(Q53="SIM",VLOOKUP($I53&amp;$J53&amp;Q$1,Pesos!$A:$I,7,FALSE),VLOOKUP($I53&amp;$J53&amp;Q$1,Pesos!$A:$I,9,FALSE)))</f>
        <v>0.8</v>
      </c>
      <c r="AJ53" s="80">
        <f>IF(R53="","",IF(R53="SIM",VLOOKUP($I53&amp;$J53&amp;R$1,Pesos!$A:$I,7,FALSE),VLOOKUP($I53&amp;$J53&amp;R$1,Pesos!$A:$I,9,FALSE)))</f>
        <v>0.8</v>
      </c>
      <c r="AK53" s="80">
        <f>IF(S53="","",IF(S53="SIM",VLOOKUP($I53&amp;$J53&amp;S$1,Pesos!$A:$I,7,FALSE),VLOOKUP($I53&amp;$J53&amp;S$1,Pesos!$A:$I,9,FALSE)))</f>
        <v>0.8</v>
      </c>
      <c r="AL53" s="80">
        <f t="shared" si="15"/>
        <v>5.1999999999999993</v>
      </c>
      <c r="AM53" s="80">
        <f>IF(T53="","",IF(T53="SIM",VLOOKUP($I53&amp;$J53&amp;T$1,Pesos!$A:$I,7,FALSE),VLOOKUP($I53&amp;$J53&amp;T$1,Pesos!$A:$I,9,FALSE)))</f>
        <v>0.8</v>
      </c>
      <c r="AN53" s="80">
        <f>IF(U53="","",IF(U53="SIM",VLOOKUP($I53&amp;$J53&amp;U$1,Pesos!$A:$I,7,FALSE),VLOOKUP($I53&amp;$J53&amp;U$1,Pesos!$A:$I,9,FALSE)))</f>
        <v>0.8</v>
      </c>
      <c r="AO53" s="80">
        <f>IF(V53="","",IF(V53="SIM",VLOOKUP($I53&amp;$J53&amp;V$1,Pesos!$A:$I,7,FALSE),VLOOKUP($I53&amp;$J53&amp;V$1,Pesos!$A:$I,9,FALSE)))</f>
        <v>0.8</v>
      </c>
      <c r="AP53" s="80">
        <f>IF(W53="","",IF(W53="SIM",VLOOKUP($I53&amp;$J53&amp;W$1,Pesos!$A:$I,7,FALSE),VLOOKUP($I53&amp;$J53&amp;W$1,Pesos!$A:$I,9,FALSE)))</f>
        <v>0.8</v>
      </c>
      <c r="AQ53" s="80">
        <f>IF(X53="","",IF(X53="SIM",VLOOKUP($I53&amp;$J53&amp;X$1,Pesos!$A:$I,7,FALSE),VLOOKUP($I53&amp;$J53&amp;X$1,Pesos!$A:$I,9,FALSE)))</f>
        <v>0.8</v>
      </c>
      <c r="AR53" s="80">
        <f>IF(Y53="","",IF(Y53="SIM",VLOOKUP($I53&amp;$J53&amp;Y$1,Pesos!$A:$I,7,FALSE),VLOOKUP($I53&amp;$J53&amp;Y$1,Pesos!$A:$I,9,FALSE)))</f>
        <v>0.8</v>
      </c>
      <c r="AS53" s="81">
        <f>IFERROR(Z53*VLOOKUP(J53,'BD Campos'!$Y$1:$Z$12,2,FALSE),"0")</f>
        <v>10</v>
      </c>
      <c r="AT53" s="76"/>
    </row>
    <row r="54" spans="1:46" x14ac:dyDescent="0.35">
      <c r="A54" s="68" t="str">
        <f t="shared" si="1"/>
        <v>Jan202510825MotoristaTRANSFERÊNCIA</v>
      </c>
      <c r="B54" s="69" t="str">
        <f t="shared" ref="B54:B63" si="16">E54&amp;YEAR(D54)&amp;F54&amp;H54&amp;K54&amp;AC54</f>
        <v>Jan2025108251TRANSFERÊNCIAPADRÃO</v>
      </c>
      <c r="C54" s="70">
        <v>1</v>
      </c>
      <c r="D54" s="71">
        <v>45671.599238773146</v>
      </c>
      <c r="E54" s="110" t="s">
        <v>74</v>
      </c>
      <c r="F54" s="72">
        <v>10825</v>
      </c>
      <c r="G54" s="69" t="s">
        <v>150</v>
      </c>
      <c r="H54" s="73">
        <v>1</v>
      </c>
      <c r="I54" s="69" t="s">
        <v>121</v>
      </c>
      <c r="J54" s="69" t="s">
        <v>122</v>
      </c>
      <c r="K54" s="69" t="s">
        <v>106</v>
      </c>
      <c r="L54" s="74">
        <v>30830868</v>
      </c>
      <c r="M54" s="75">
        <v>7.0601851851851847E-4</v>
      </c>
      <c r="N54" s="76" t="s">
        <v>79</v>
      </c>
      <c r="O54" s="76" t="s">
        <v>79</v>
      </c>
      <c r="P54" s="76" t="s">
        <v>79</v>
      </c>
      <c r="Q54" s="76" t="s">
        <v>79</v>
      </c>
      <c r="R54" s="76" t="s">
        <v>79</v>
      </c>
      <c r="S54" s="76" t="s">
        <v>79</v>
      </c>
      <c r="T54" s="76" t="s">
        <v>79</v>
      </c>
      <c r="U54" s="76" t="s">
        <v>79</v>
      </c>
      <c r="V54" s="76" t="s">
        <v>83</v>
      </c>
      <c r="W54" s="76" t="s">
        <v>79</v>
      </c>
      <c r="X54" s="76" t="s">
        <v>79</v>
      </c>
      <c r="Y54" s="76"/>
      <c r="Z54" s="77">
        <f t="shared" si="2"/>
        <v>9.0287500000000005</v>
      </c>
      <c r="AA54" s="78"/>
      <c r="AB54" s="78" t="s">
        <v>1429</v>
      </c>
      <c r="AC54" s="72" t="s">
        <v>47</v>
      </c>
      <c r="AD54" s="76"/>
      <c r="AE54" s="79" t="str">
        <f t="shared" si="14"/>
        <v>Jan10825</v>
      </c>
      <c r="AF54" s="80">
        <f>IF(N54="","",IF(N54="SIM",VLOOKUP($I54&amp;$J54&amp;N$1,Pesos!$A:$I,7,FALSE),VLOOKUP($I54&amp;$J54&amp;N$1,Pesos!$A:$I,9,FALSE)))</f>
        <v>0.89999999999999991</v>
      </c>
      <c r="AG54" s="80">
        <f>IF(O54="","",IF(O54="SIM",VLOOKUP($I54&amp;$J54&amp;O$1,Pesos!$A:$I,7,FALSE),VLOOKUP($I54&amp;$J54&amp;O$1,Pesos!$A:$I,9,FALSE)))</f>
        <v>0.89999999999999991</v>
      </c>
      <c r="AH54" s="80">
        <f>IF(P54="","",IF(P54="SIM",VLOOKUP($I54&amp;$J54&amp;P$1,Pesos!$A:$I,7,FALSE),VLOOKUP($I54&amp;$J54&amp;P$1,Pesos!$A:$I,9,FALSE)))</f>
        <v>0.89999999999999991</v>
      </c>
      <c r="AI54" s="80">
        <f>IF(Q54="","",IF(Q54="SIM",VLOOKUP($I54&amp;$J54&amp;Q$1,Pesos!$A:$I,7,FALSE),VLOOKUP($I54&amp;$J54&amp;Q$1,Pesos!$A:$I,9,FALSE)))</f>
        <v>0.89999999999999991</v>
      </c>
      <c r="AJ54" s="80">
        <f>IF(R54="","",IF(R54="SIM",VLOOKUP($I54&amp;$J54&amp;R$1,Pesos!$A:$I,7,FALSE),VLOOKUP($I54&amp;$J54&amp;R$1,Pesos!$A:$I,9,FALSE)))</f>
        <v>0.89999999999999991</v>
      </c>
      <c r="AK54" s="80">
        <f>IF(S54="","",IF(S54="SIM",VLOOKUP($I54&amp;$J54&amp;S$1,Pesos!$A:$I,7,FALSE),VLOOKUP($I54&amp;$J54&amp;S$1,Pesos!$A:$I,9,FALSE)))</f>
        <v>0.89999999999999991</v>
      </c>
      <c r="AL54" s="80">
        <f t="shared" si="15"/>
        <v>5.4</v>
      </c>
      <c r="AM54" s="80">
        <f>IF(T54="","",IF(T54="SIM",VLOOKUP($I54&amp;$J54&amp;T$1,Pesos!$A:$I,7,FALSE),VLOOKUP($I54&amp;$J54&amp;T$1,Pesos!$A:$I,9,FALSE)))</f>
        <v>0.89999999999999991</v>
      </c>
      <c r="AN54" s="80">
        <f>IF(U54="","",IF(U54="SIM",VLOOKUP($I54&amp;$J54&amp;U$1,Pesos!$A:$I,7,FALSE),VLOOKUP($I54&amp;$J54&amp;U$1,Pesos!$A:$I,9,FALSE)))</f>
        <v>0.92500000000000004</v>
      </c>
      <c r="AO54" s="80">
        <f>IF(V54="","",IF(V54="SIM",VLOOKUP($I54&amp;$J54&amp;V$1,Pesos!$A:$I,7,FALSE),VLOOKUP($I54&amp;$J54&amp;V$1,Pesos!$A:$I,9,FALSE)))</f>
        <v>-4.6250000000000006E-2</v>
      </c>
      <c r="AP54" s="80">
        <f>IF(W54="","",IF(W54="SIM",VLOOKUP($I54&amp;$J54&amp;W$1,Pesos!$A:$I,7,FALSE),VLOOKUP($I54&amp;$J54&amp;W$1,Pesos!$A:$I,9,FALSE)))</f>
        <v>0.89999999999999991</v>
      </c>
      <c r="AQ54" s="80">
        <f>IF(X54="","",IF(X54="SIM",VLOOKUP($I54&amp;$J54&amp;X$1,Pesos!$A:$I,7,FALSE),VLOOKUP($I54&amp;$J54&amp;X$1,Pesos!$A:$I,9,FALSE)))</f>
        <v>0.95</v>
      </c>
      <c r="AR54" s="80" t="str">
        <f>IF(Y54="","",IF(Y54="SIM",VLOOKUP($I54&amp;$J54&amp;Y$1,Pesos!$A:$I,7,FALSE),VLOOKUP($I54&amp;$J54&amp;Y$1,Pesos!$A:$I,9,FALSE)))</f>
        <v/>
      </c>
      <c r="AS54" s="81">
        <f>IFERROR(Z54*VLOOKUP(J54,'BD Campos'!$Y$1:$Z$12,2,FALSE),"0")</f>
        <v>9.0287500000000005</v>
      </c>
      <c r="AT54" s="76"/>
    </row>
    <row r="55" spans="1:46" x14ac:dyDescent="0.35">
      <c r="A55" s="68" t="str">
        <f t="shared" si="1"/>
        <v>Jan202510826MotoristaTRANSFERÊNCIA</v>
      </c>
      <c r="B55" s="69" t="str">
        <f t="shared" si="16"/>
        <v>Jan2025108261TRANSFERÊNCIAPADRÃO</v>
      </c>
      <c r="C55" s="70">
        <v>1</v>
      </c>
      <c r="D55" s="71">
        <v>45671.607030439816</v>
      </c>
      <c r="E55" s="110" t="s">
        <v>74</v>
      </c>
      <c r="F55" s="72">
        <v>10826</v>
      </c>
      <c r="G55" s="69" t="s">
        <v>151</v>
      </c>
      <c r="H55" s="73">
        <v>1</v>
      </c>
      <c r="I55" s="69" t="s">
        <v>126</v>
      </c>
      <c r="J55" s="69" t="s">
        <v>122</v>
      </c>
      <c r="K55" s="69" t="s">
        <v>106</v>
      </c>
      <c r="L55" s="74">
        <v>30869467</v>
      </c>
      <c r="M55" s="75">
        <v>2.7546296296296294E-3</v>
      </c>
      <c r="N55" s="76" t="s">
        <v>79</v>
      </c>
      <c r="O55" s="76" t="s">
        <v>79</v>
      </c>
      <c r="P55" s="76" t="s">
        <v>79</v>
      </c>
      <c r="Q55" s="76" t="s">
        <v>79</v>
      </c>
      <c r="R55" s="76" t="s">
        <v>79</v>
      </c>
      <c r="S55" s="76" t="s">
        <v>79</v>
      </c>
      <c r="T55" s="76" t="s">
        <v>79</v>
      </c>
      <c r="U55" s="76" t="s">
        <v>79</v>
      </c>
      <c r="V55" s="76" t="s">
        <v>83</v>
      </c>
      <c r="W55" s="76" t="s">
        <v>83</v>
      </c>
      <c r="X55" s="76" t="s">
        <v>79</v>
      </c>
      <c r="Y55" s="76" t="s">
        <v>79</v>
      </c>
      <c r="Z55" s="77">
        <f t="shared" si="2"/>
        <v>8.32</v>
      </c>
      <c r="AA55" s="78"/>
      <c r="AB55" s="78" t="s">
        <v>1430</v>
      </c>
      <c r="AC55" s="72" t="s">
        <v>47</v>
      </c>
      <c r="AD55" s="76"/>
      <c r="AE55" s="79" t="str">
        <f t="shared" si="14"/>
        <v>Jan10826</v>
      </c>
      <c r="AF55" s="80">
        <f>IF(N55="","",IF(N55="SIM",VLOOKUP($I55&amp;$J55&amp;N$1,Pesos!$A:$I,7,FALSE),VLOOKUP($I55&amp;$J55&amp;N$1,Pesos!$A:$I,9,FALSE)))</f>
        <v>0.8</v>
      </c>
      <c r="AG55" s="80">
        <f>IF(O55="","",IF(O55="SIM",VLOOKUP($I55&amp;$J55&amp;O$1,Pesos!$A:$I,7,FALSE),VLOOKUP($I55&amp;$J55&amp;O$1,Pesos!$A:$I,9,FALSE)))</f>
        <v>0.8</v>
      </c>
      <c r="AH55" s="80">
        <f>IF(P55="","",IF(P55="SIM",VLOOKUP($I55&amp;$J55&amp;P$1,Pesos!$A:$I,7,FALSE),VLOOKUP($I55&amp;$J55&amp;P$1,Pesos!$A:$I,9,FALSE)))</f>
        <v>0.8</v>
      </c>
      <c r="AI55" s="80">
        <f>IF(Q55="","",IF(Q55="SIM",VLOOKUP($I55&amp;$J55&amp;Q$1,Pesos!$A:$I,7,FALSE),VLOOKUP($I55&amp;$J55&amp;Q$1,Pesos!$A:$I,9,FALSE)))</f>
        <v>0.8</v>
      </c>
      <c r="AJ55" s="80">
        <f>IF(R55="","",IF(R55="SIM",VLOOKUP($I55&amp;$J55&amp;R$1,Pesos!$A:$I,7,FALSE),VLOOKUP($I55&amp;$J55&amp;R$1,Pesos!$A:$I,9,FALSE)))</f>
        <v>0.8</v>
      </c>
      <c r="AK55" s="80">
        <f>IF(S55="","",IF(S55="SIM",VLOOKUP($I55&amp;$J55&amp;S$1,Pesos!$A:$I,7,FALSE),VLOOKUP($I55&amp;$J55&amp;S$1,Pesos!$A:$I,9,FALSE)))</f>
        <v>0.8</v>
      </c>
      <c r="AL55" s="80">
        <f t="shared" si="15"/>
        <v>4.8</v>
      </c>
      <c r="AM55" s="80">
        <f>IF(T55="","",IF(T55="SIM",VLOOKUP($I55&amp;$J55&amp;T$1,Pesos!$A:$I,7,FALSE),VLOOKUP($I55&amp;$J55&amp;T$1,Pesos!$A:$I,9,FALSE)))</f>
        <v>0.8</v>
      </c>
      <c r="AN55" s="80">
        <f>IF(U55="","",IF(U55="SIM",VLOOKUP($I55&amp;$J55&amp;U$1,Pesos!$A:$I,7,FALSE),VLOOKUP($I55&amp;$J55&amp;U$1,Pesos!$A:$I,9,FALSE)))</f>
        <v>0.8</v>
      </c>
      <c r="AO55" s="80">
        <f>IF(V55="","",IF(V55="SIM",VLOOKUP($I55&amp;$J55&amp;V$1,Pesos!$A:$I,7,FALSE),VLOOKUP($I55&amp;$J55&amp;V$1,Pesos!$A:$I,9,FALSE)))</f>
        <v>-4.0000000000000008E-2</v>
      </c>
      <c r="AP55" s="80">
        <f>IF(W55="","",IF(W55="SIM",VLOOKUP($I55&amp;$J55&amp;W$1,Pesos!$A:$I,7,FALSE),VLOOKUP($I55&amp;$J55&amp;W$1,Pesos!$A:$I,9,FALSE)))</f>
        <v>-4.0000000000000008E-2</v>
      </c>
      <c r="AQ55" s="80">
        <f>IF(X55="","",IF(X55="SIM",VLOOKUP($I55&amp;$J55&amp;X$1,Pesos!$A:$I,7,FALSE),VLOOKUP($I55&amp;$J55&amp;X$1,Pesos!$A:$I,9,FALSE)))</f>
        <v>1</v>
      </c>
      <c r="AR55" s="80">
        <f>IF(Y55="","",IF(Y55="SIM",VLOOKUP($I55&amp;$J55&amp;Y$1,Pesos!$A:$I,7,FALSE),VLOOKUP($I55&amp;$J55&amp;Y$1,Pesos!$A:$I,9,FALSE)))</f>
        <v>1</v>
      </c>
      <c r="AS55" s="81">
        <f>IFERROR(Z55*VLOOKUP(J55,'BD Campos'!$Y$1:$Z$12,2,FALSE),"0")</f>
        <v>8.32</v>
      </c>
      <c r="AT55" s="76"/>
    </row>
    <row r="56" spans="1:46" x14ac:dyDescent="0.35">
      <c r="A56" s="68" t="str">
        <f t="shared" si="1"/>
        <v>Jan202510953MotoristaTRANSFERÊNCIA</v>
      </c>
      <c r="B56" s="69" t="str">
        <f t="shared" si="16"/>
        <v>Jan2025109531TRANSFERÊNCIAPADRÃO</v>
      </c>
      <c r="C56" s="70">
        <v>1</v>
      </c>
      <c r="D56" s="71">
        <v>45671.609553125003</v>
      </c>
      <c r="E56" s="110" t="s">
        <v>74</v>
      </c>
      <c r="F56" s="72">
        <v>10953</v>
      </c>
      <c r="G56" s="69" t="s">
        <v>158</v>
      </c>
      <c r="H56" s="73">
        <v>1</v>
      </c>
      <c r="I56" s="69" t="s">
        <v>123</v>
      </c>
      <c r="J56" s="69" t="s">
        <v>122</v>
      </c>
      <c r="K56" s="69" t="s">
        <v>106</v>
      </c>
      <c r="L56" s="74">
        <v>30821884</v>
      </c>
      <c r="M56" s="75">
        <v>1.3310185185185185E-3</v>
      </c>
      <c r="N56" s="76" t="s">
        <v>79</v>
      </c>
      <c r="O56" s="76" t="s">
        <v>79</v>
      </c>
      <c r="P56" s="76" t="s">
        <v>79</v>
      </c>
      <c r="Q56" s="76" t="s">
        <v>79</v>
      </c>
      <c r="R56" s="76" t="s">
        <v>79</v>
      </c>
      <c r="S56" s="76" t="s">
        <v>79</v>
      </c>
      <c r="T56" s="76" t="s">
        <v>79</v>
      </c>
      <c r="U56" s="76" t="s">
        <v>83</v>
      </c>
      <c r="V56" s="76" t="s">
        <v>79</v>
      </c>
      <c r="W56" s="76" t="s">
        <v>79</v>
      </c>
      <c r="X56" s="76"/>
      <c r="Y56" s="76"/>
      <c r="Z56" s="77">
        <f t="shared" si="2"/>
        <v>8.9499999999999993</v>
      </c>
      <c r="AA56" s="78"/>
      <c r="AB56" s="78" t="s">
        <v>1431</v>
      </c>
      <c r="AC56" s="72" t="s">
        <v>47</v>
      </c>
      <c r="AD56" s="76"/>
      <c r="AE56" s="79" t="str">
        <f t="shared" si="14"/>
        <v>Jan10953</v>
      </c>
      <c r="AF56" s="80">
        <f>IF(N56="","",IF(N56="SIM",VLOOKUP($I56&amp;$J56&amp;N$1,Pesos!$A:$I,7,FALSE),VLOOKUP($I56&amp;$J56&amp;N$1,Pesos!$A:$I,9,FALSE)))</f>
        <v>1</v>
      </c>
      <c r="AG56" s="80">
        <f>IF(O56="","",IF(O56="SIM",VLOOKUP($I56&amp;$J56&amp;O$1,Pesos!$A:$I,7,FALSE),VLOOKUP($I56&amp;$J56&amp;O$1,Pesos!$A:$I,9,FALSE)))</f>
        <v>1</v>
      </c>
      <c r="AH56" s="80">
        <f>IF(P56="","",IF(P56="SIM",VLOOKUP($I56&amp;$J56&amp;P$1,Pesos!$A:$I,7,FALSE),VLOOKUP($I56&amp;$J56&amp;P$1,Pesos!$A:$I,9,FALSE)))</f>
        <v>1</v>
      </c>
      <c r="AI56" s="80">
        <f>IF(Q56="","",IF(Q56="SIM",VLOOKUP($I56&amp;$J56&amp;Q$1,Pesos!$A:$I,7,FALSE),VLOOKUP($I56&amp;$J56&amp;Q$1,Pesos!$A:$I,9,FALSE)))</f>
        <v>1</v>
      </c>
      <c r="AJ56" s="80">
        <f>IF(R56="","",IF(R56="SIM",VLOOKUP($I56&amp;$J56&amp;R$1,Pesos!$A:$I,7,FALSE),VLOOKUP($I56&amp;$J56&amp;R$1,Pesos!$A:$I,9,FALSE)))</f>
        <v>1</v>
      </c>
      <c r="AK56" s="80">
        <f>IF(S56="","",IF(S56="SIM",VLOOKUP($I56&amp;$J56&amp;S$1,Pesos!$A:$I,7,FALSE),VLOOKUP($I56&amp;$J56&amp;S$1,Pesos!$A:$I,9,FALSE)))</f>
        <v>1</v>
      </c>
      <c r="AL56" s="80">
        <f t="shared" si="15"/>
        <v>6</v>
      </c>
      <c r="AM56" s="80">
        <f>IF(T56="","",IF(T56="SIM",VLOOKUP($I56&amp;$J56&amp;T$1,Pesos!$A:$I,7,FALSE),VLOOKUP($I56&amp;$J56&amp;T$1,Pesos!$A:$I,9,FALSE)))</f>
        <v>1</v>
      </c>
      <c r="AN56" s="80">
        <f>IF(U56="","",IF(U56="SIM",VLOOKUP($I56&amp;$J56&amp;U$1,Pesos!$A:$I,7,FALSE),VLOOKUP($I56&amp;$J56&amp;U$1,Pesos!$A:$I,9,FALSE)))</f>
        <v>-0.05</v>
      </c>
      <c r="AO56" s="80">
        <f>IF(V56="","",IF(V56="SIM",VLOOKUP($I56&amp;$J56&amp;V$1,Pesos!$A:$I,7,FALSE),VLOOKUP($I56&amp;$J56&amp;V$1,Pesos!$A:$I,9,FALSE)))</f>
        <v>1</v>
      </c>
      <c r="AP56" s="80">
        <f>IF(W56="","",IF(W56="SIM",VLOOKUP($I56&amp;$J56&amp;W$1,Pesos!$A:$I,7,FALSE),VLOOKUP($I56&amp;$J56&amp;W$1,Pesos!$A:$I,9,FALSE)))</f>
        <v>1</v>
      </c>
      <c r="AQ56" s="80" t="str">
        <f>IF(X56="","",IF(X56="SIM",VLOOKUP($I56&amp;$J56&amp;X$1,Pesos!$A:$I,7,FALSE),VLOOKUP($I56&amp;$J56&amp;X$1,Pesos!$A:$I,9,FALSE)))</f>
        <v/>
      </c>
      <c r="AR56" s="80" t="str">
        <f>IF(Y56="","",IF(Y56="SIM",VLOOKUP($I56&amp;$J56&amp;Y$1,Pesos!$A:$I,7,FALSE),VLOOKUP($I56&amp;$J56&amp;Y$1,Pesos!$A:$I,9,FALSE)))</f>
        <v/>
      </c>
      <c r="AS56" s="81">
        <f>IFERROR(Z56*VLOOKUP(J56,'BD Campos'!$Y$1:$Z$12,2,FALSE),"0")</f>
        <v>8.9499999999999993</v>
      </c>
      <c r="AT56" s="76"/>
    </row>
    <row r="57" spans="1:46" x14ac:dyDescent="0.35">
      <c r="A57" s="68" t="str">
        <f t="shared" si="1"/>
        <v>Jan202510958MotoristaTRANSFERÊNCIA</v>
      </c>
      <c r="B57" s="69" t="str">
        <f t="shared" si="16"/>
        <v>Jan2025109581TRANSFERÊNCIAPADRÃO</v>
      </c>
      <c r="C57" s="70">
        <v>1</v>
      </c>
      <c r="D57" s="71">
        <v>45671.612218865739</v>
      </c>
      <c r="E57" s="110" t="s">
        <v>74</v>
      </c>
      <c r="F57" s="72">
        <v>10958</v>
      </c>
      <c r="G57" s="69" t="s">
        <v>159</v>
      </c>
      <c r="H57" s="73">
        <v>1</v>
      </c>
      <c r="I57" s="69" t="s">
        <v>123</v>
      </c>
      <c r="J57" s="69" t="s">
        <v>122</v>
      </c>
      <c r="K57" s="69" t="s">
        <v>106</v>
      </c>
      <c r="L57" s="74">
        <v>30777169</v>
      </c>
      <c r="M57" s="75">
        <v>1.3888888888888889E-3</v>
      </c>
      <c r="N57" s="76" t="s">
        <v>79</v>
      </c>
      <c r="O57" s="76" t="s">
        <v>79</v>
      </c>
      <c r="P57" s="76" t="s">
        <v>79</v>
      </c>
      <c r="Q57" s="76" t="s">
        <v>79</v>
      </c>
      <c r="R57" s="76" t="s">
        <v>79</v>
      </c>
      <c r="S57" s="76" t="s">
        <v>79</v>
      </c>
      <c r="T57" s="76" t="s">
        <v>79</v>
      </c>
      <c r="U57" s="76" t="s">
        <v>79</v>
      </c>
      <c r="V57" s="76" t="s">
        <v>79</v>
      </c>
      <c r="W57" s="76" t="s">
        <v>79</v>
      </c>
      <c r="X57" s="76"/>
      <c r="Y57" s="76"/>
      <c r="Z57" s="77">
        <f t="shared" si="2"/>
        <v>10</v>
      </c>
      <c r="AA57" s="78"/>
      <c r="AB57" s="78" t="s">
        <v>1432</v>
      </c>
      <c r="AC57" s="72" t="s">
        <v>47</v>
      </c>
      <c r="AD57" s="76"/>
      <c r="AE57" s="79" t="str">
        <f t="shared" si="14"/>
        <v>Jan10958</v>
      </c>
      <c r="AF57" s="80">
        <f>IF(N57="","",IF(N57="SIM",VLOOKUP($I57&amp;$J57&amp;N$1,Pesos!$A:$I,7,FALSE),VLOOKUP($I57&amp;$J57&amp;N$1,Pesos!$A:$I,9,FALSE)))</f>
        <v>1</v>
      </c>
      <c r="AG57" s="80">
        <f>IF(O57="","",IF(O57="SIM",VLOOKUP($I57&amp;$J57&amp;O$1,Pesos!$A:$I,7,FALSE),VLOOKUP($I57&amp;$J57&amp;O$1,Pesos!$A:$I,9,FALSE)))</f>
        <v>1</v>
      </c>
      <c r="AH57" s="80">
        <f>IF(P57="","",IF(P57="SIM",VLOOKUP($I57&amp;$J57&amp;P$1,Pesos!$A:$I,7,FALSE),VLOOKUP($I57&amp;$J57&amp;P$1,Pesos!$A:$I,9,FALSE)))</f>
        <v>1</v>
      </c>
      <c r="AI57" s="80">
        <f>IF(Q57="","",IF(Q57="SIM",VLOOKUP($I57&amp;$J57&amp;Q$1,Pesos!$A:$I,7,FALSE),VLOOKUP($I57&amp;$J57&amp;Q$1,Pesos!$A:$I,9,FALSE)))</f>
        <v>1</v>
      </c>
      <c r="AJ57" s="80">
        <f>IF(R57="","",IF(R57="SIM",VLOOKUP($I57&amp;$J57&amp;R$1,Pesos!$A:$I,7,FALSE),VLOOKUP($I57&amp;$J57&amp;R$1,Pesos!$A:$I,9,FALSE)))</f>
        <v>1</v>
      </c>
      <c r="AK57" s="80">
        <f>IF(S57="","",IF(S57="SIM",VLOOKUP($I57&amp;$J57&amp;S$1,Pesos!$A:$I,7,FALSE),VLOOKUP($I57&amp;$J57&amp;S$1,Pesos!$A:$I,9,FALSE)))</f>
        <v>1</v>
      </c>
      <c r="AL57" s="80">
        <f t="shared" si="15"/>
        <v>6</v>
      </c>
      <c r="AM57" s="80">
        <f>IF(T57="","",IF(T57="SIM",VLOOKUP($I57&amp;$J57&amp;T$1,Pesos!$A:$I,7,FALSE),VLOOKUP($I57&amp;$J57&amp;T$1,Pesos!$A:$I,9,FALSE)))</f>
        <v>1</v>
      </c>
      <c r="AN57" s="80">
        <f>IF(U57="","",IF(U57="SIM",VLOOKUP($I57&amp;$J57&amp;U$1,Pesos!$A:$I,7,FALSE),VLOOKUP($I57&amp;$J57&amp;U$1,Pesos!$A:$I,9,FALSE)))</f>
        <v>1</v>
      </c>
      <c r="AO57" s="80">
        <f>IF(V57="","",IF(V57="SIM",VLOOKUP($I57&amp;$J57&amp;V$1,Pesos!$A:$I,7,FALSE),VLOOKUP($I57&amp;$J57&amp;V$1,Pesos!$A:$I,9,FALSE)))</f>
        <v>1</v>
      </c>
      <c r="AP57" s="80">
        <f>IF(W57="","",IF(W57="SIM",VLOOKUP($I57&amp;$J57&amp;W$1,Pesos!$A:$I,7,FALSE),VLOOKUP($I57&amp;$J57&amp;W$1,Pesos!$A:$I,9,FALSE)))</f>
        <v>1</v>
      </c>
      <c r="AQ57" s="80" t="str">
        <f>IF(X57="","",IF(X57="SIM",VLOOKUP($I57&amp;$J57&amp;X$1,Pesos!$A:$I,7,FALSE),VLOOKUP($I57&amp;$J57&amp;X$1,Pesos!$A:$I,9,FALSE)))</f>
        <v/>
      </c>
      <c r="AR57" s="80" t="str">
        <f>IF(Y57="","",IF(Y57="SIM",VLOOKUP($I57&amp;$J57&amp;Y$1,Pesos!$A:$I,7,FALSE),VLOOKUP($I57&amp;$J57&amp;Y$1,Pesos!$A:$I,9,FALSE)))</f>
        <v/>
      </c>
      <c r="AS57" s="81">
        <f>IFERROR(Z57*VLOOKUP(J57,'BD Campos'!$Y$1:$Z$12,2,FALSE),"0")</f>
        <v>10</v>
      </c>
      <c r="AT57" s="76"/>
    </row>
    <row r="58" spans="1:46" x14ac:dyDescent="0.35">
      <c r="A58" s="68" t="str">
        <f t="shared" si="1"/>
        <v>Jan202511067MotoristaTRANSFERÊNCIA</v>
      </c>
      <c r="B58" s="69" t="str">
        <f t="shared" si="16"/>
        <v>Jan2025110671TRANSFERÊNCIAPADRÃO</v>
      </c>
      <c r="C58" s="70">
        <v>1</v>
      </c>
      <c r="D58" s="71">
        <v>45671.616301273149</v>
      </c>
      <c r="E58" s="110" t="s">
        <v>74</v>
      </c>
      <c r="F58" s="72">
        <v>11067</v>
      </c>
      <c r="G58" s="69" t="s">
        <v>392</v>
      </c>
      <c r="H58" s="73">
        <v>1</v>
      </c>
      <c r="I58" s="69" t="s">
        <v>147</v>
      </c>
      <c r="J58" s="69" t="s">
        <v>122</v>
      </c>
      <c r="K58" s="69" t="s">
        <v>106</v>
      </c>
      <c r="L58" s="74">
        <v>30811533</v>
      </c>
      <c r="M58" s="75">
        <v>2.4768518518518516E-3</v>
      </c>
      <c r="N58" s="76" t="s">
        <v>79</v>
      </c>
      <c r="O58" s="76" t="s">
        <v>79</v>
      </c>
      <c r="P58" s="76" t="s">
        <v>79</v>
      </c>
      <c r="Q58" s="76" t="s">
        <v>79</v>
      </c>
      <c r="R58" s="76" t="s">
        <v>79</v>
      </c>
      <c r="S58" s="76" t="s">
        <v>79</v>
      </c>
      <c r="T58" s="76" t="s">
        <v>79</v>
      </c>
      <c r="U58" s="76" t="s">
        <v>79</v>
      </c>
      <c r="V58" s="76"/>
      <c r="W58" s="76"/>
      <c r="X58" s="76"/>
      <c r="Y58" s="76"/>
      <c r="Z58" s="77">
        <f t="shared" si="2"/>
        <v>10</v>
      </c>
      <c r="AA58" s="78"/>
      <c r="AB58" s="78" t="s">
        <v>1433</v>
      </c>
      <c r="AC58" s="72" t="s">
        <v>47</v>
      </c>
      <c r="AD58" s="76"/>
      <c r="AE58" s="79" t="str">
        <f t="shared" si="14"/>
        <v>Jan11067</v>
      </c>
      <c r="AF58" s="80">
        <f>IF(N58="","",IF(N58="SIM",VLOOKUP($I58&amp;$J58&amp;N$1,Pesos!$A:$I,7,FALSE),VLOOKUP($I58&amp;$J58&amp;N$1,Pesos!$A:$I,9,FALSE)))</f>
        <v>1.1000000000000001</v>
      </c>
      <c r="AG58" s="80">
        <f>IF(O58="","",IF(O58="SIM",VLOOKUP($I58&amp;$J58&amp;O$1,Pesos!$A:$I,7,FALSE),VLOOKUP($I58&amp;$J58&amp;O$1,Pesos!$A:$I,9,FALSE)))</f>
        <v>1.1000000000000001</v>
      </c>
      <c r="AH58" s="80">
        <f>IF(P58="","",IF(P58="SIM",VLOOKUP($I58&amp;$J58&amp;P$1,Pesos!$A:$I,7,FALSE),VLOOKUP($I58&amp;$J58&amp;P$1,Pesos!$A:$I,9,FALSE)))</f>
        <v>1.1000000000000001</v>
      </c>
      <c r="AI58" s="80">
        <f>IF(Q58="","",IF(Q58="SIM",VLOOKUP($I58&amp;$J58&amp;Q$1,Pesos!$A:$I,7,FALSE),VLOOKUP($I58&amp;$J58&amp;Q$1,Pesos!$A:$I,9,FALSE)))</f>
        <v>1.1000000000000001</v>
      </c>
      <c r="AJ58" s="80">
        <f>IF(R58="","",IF(R58="SIM",VLOOKUP($I58&amp;$J58&amp;R$1,Pesos!$A:$I,7,FALSE),VLOOKUP($I58&amp;$J58&amp;R$1,Pesos!$A:$I,9,FALSE)))</f>
        <v>1.1000000000000001</v>
      </c>
      <c r="AK58" s="80">
        <f>IF(S58="","",IF(S58="SIM",VLOOKUP($I58&amp;$J58&amp;S$1,Pesos!$A:$I,7,FALSE),VLOOKUP($I58&amp;$J58&amp;S$1,Pesos!$A:$I,9,FALSE)))</f>
        <v>1.6</v>
      </c>
      <c r="AL58" s="80">
        <f t="shared" si="15"/>
        <v>7.1</v>
      </c>
      <c r="AM58" s="80">
        <f>IF(T58="","",IF(T58="SIM",VLOOKUP($I58&amp;$J58&amp;T$1,Pesos!$A:$I,7,FALSE),VLOOKUP($I58&amp;$J58&amp;T$1,Pesos!$A:$I,9,FALSE)))</f>
        <v>1.2</v>
      </c>
      <c r="AN58" s="80">
        <f>IF(U58="","",IF(U58="SIM",VLOOKUP($I58&amp;$J58&amp;U$1,Pesos!$A:$I,7,FALSE),VLOOKUP($I58&amp;$J58&amp;U$1,Pesos!$A:$I,9,FALSE)))</f>
        <v>1.7000000000000002</v>
      </c>
      <c r="AO58" s="80" t="str">
        <f>IF(V58="","",IF(V58="SIM",VLOOKUP($I58&amp;$J58&amp;V$1,Pesos!$A:$I,7,FALSE),VLOOKUP($I58&amp;$J58&amp;V$1,Pesos!$A:$I,9,FALSE)))</f>
        <v/>
      </c>
      <c r="AP58" s="80" t="str">
        <f>IF(W58="","",IF(W58="SIM",VLOOKUP($I58&amp;$J58&amp;W$1,Pesos!$A:$I,7,FALSE),VLOOKUP($I58&amp;$J58&amp;W$1,Pesos!$A:$I,9,FALSE)))</f>
        <v/>
      </c>
      <c r="AQ58" s="80" t="str">
        <f>IF(X58="","",IF(X58="SIM",VLOOKUP($I58&amp;$J58&amp;X$1,Pesos!$A:$I,7,FALSE),VLOOKUP($I58&amp;$J58&amp;X$1,Pesos!$A:$I,9,FALSE)))</f>
        <v/>
      </c>
      <c r="AR58" s="80" t="str">
        <f>IF(Y58="","",IF(Y58="SIM",VLOOKUP($I58&amp;$J58&amp;Y$1,Pesos!$A:$I,7,FALSE),VLOOKUP($I58&amp;$J58&amp;Y$1,Pesos!$A:$I,9,FALSE)))</f>
        <v/>
      </c>
      <c r="AS58" s="81">
        <f>IFERROR(Z58*VLOOKUP(J58,'BD Campos'!$Y$1:$Z$12,2,FALSE),"0")</f>
        <v>10</v>
      </c>
      <c r="AT58" s="76"/>
    </row>
    <row r="59" spans="1:46" x14ac:dyDescent="0.35">
      <c r="A59" s="68" t="str">
        <f t="shared" si="1"/>
        <v>Jan202511104MotoristaTRANSFERÊNCIA</v>
      </c>
      <c r="B59" s="69" t="str">
        <f t="shared" si="16"/>
        <v>Jan2025111041TRANSFERÊNCIAPADRÃO</v>
      </c>
      <c r="C59" s="70">
        <v>1</v>
      </c>
      <c r="D59" s="71">
        <v>45671.618201620367</v>
      </c>
      <c r="E59" s="110" t="s">
        <v>74</v>
      </c>
      <c r="F59" s="72">
        <v>11104</v>
      </c>
      <c r="G59" s="69" t="s">
        <v>415</v>
      </c>
      <c r="H59" s="73">
        <v>1</v>
      </c>
      <c r="I59" s="69" t="s">
        <v>121</v>
      </c>
      <c r="J59" s="69" t="s">
        <v>122</v>
      </c>
      <c r="K59" s="69" t="s">
        <v>106</v>
      </c>
      <c r="L59" s="74">
        <v>30864933</v>
      </c>
      <c r="M59" s="75">
        <v>8.3333333333333339E-4</v>
      </c>
      <c r="N59" s="76" t="s">
        <v>79</v>
      </c>
      <c r="O59" s="76" t="s">
        <v>79</v>
      </c>
      <c r="P59" s="76" t="s">
        <v>79</v>
      </c>
      <c r="Q59" s="76" t="s">
        <v>79</v>
      </c>
      <c r="R59" s="76" t="s">
        <v>79</v>
      </c>
      <c r="S59" s="76" t="s">
        <v>79</v>
      </c>
      <c r="T59" s="76" t="s">
        <v>79</v>
      </c>
      <c r="U59" s="76" t="s">
        <v>79</v>
      </c>
      <c r="V59" s="76" t="s">
        <v>79</v>
      </c>
      <c r="W59" s="76" t="s">
        <v>79</v>
      </c>
      <c r="X59" s="76" t="s">
        <v>79</v>
      </c>
      <c r="Y59" s="76"/>
      <c r="Z59" s="77">
        <f t="shared" si="2"/>
        <v>10</v>
      </c>
      <c r="AA59" s="78"/>
      <c r="AB59" s="78" t="s">
        <v>1434</v>
      </c>
      <c r="AC59" s="72" t="s">
        <v>47</v>
      </c>
      <c r="AD59" s="76"/>
      <c r="AE59" s="79" t="str">
        <f t="shared" si="14"/>
        <v>Jan11104</v>
      </c>
      <c r="AF59" s="80">
        <f>IF(N59="","",IF(N59="SIM",VLOOKUP($I59&amp;$J59&amp;N$1,Pesos!$A:$I,7,FALSE),VLOOKUP($I59&amp;$J59&amp;N$1,Pesos!$A:$I,9,FALSE)))</f>
        <v>0.89999999999999991</v>
      </c>
      <c r="AG59" s="80">
        <f>IF(O59="","",IF(O59="SIM",VLOOKUP($I59&amp;$J59&amp;O$1,Pesos!$A:$I,7,FALSE),VLOOKUP($I59&amp;$J59&amp;O$1,Pesos!$A:$I,9,FALSE)))</f>
        <v>0.89999999999999991</v>
      </c>
      <c r="AH59" s="80">
        <f>IF(P59="","",IF(P59="SIM",VLOOKUP($I59&amp;$J59&amp;P$1,Pesos!$A:$I,7,FALSE),VLOOKUP($I59&amp;$J59&amp;P$1,Pesos!$A:$I,9,FALSE)))</f>
        <v>0.89999999999999991</v>
      </c>
      <c r="AI59" s="80">
        <f>IF(Q59="","",IF(Q59="SIM",VLOOKUP($I59&amp;$J59&amp;Q$1,Pesos!$A:$I,7,FALSE),VLOOKUP($I59&amp;$J59&amp;Q$1,Pesos!$A:$I,9,FALSE)))</f>
        <v>0.89999999999999991</v>
      </c>
      <c r="AJ59" s="80">
        <f>IF(R59="","",IF(R59="SIM",VLOOKUP($I59&amp;$J59&amp;R$1,Pesos!$A:$I,7,FALSE),VLOOKUP($I59&amp;$J59&amp;R$1,Pesos!$A:$I,9,FALSE)))</f>
        <v>0.89999999999999991</v>
      </c>
      <c r="AK59" s="80">
        <f>IF(S59="","",IF(S59="SIM",VLOOKUP($I59&amp;$J59&amp;S$1,Pesos!$A:$I,7,FALSE),VLOOKUP($I59&amp;$J59&amp;S$1,Pesos!$A:$I,9,FALSE)))</f>
        <v>0.89999999999999991</v>
      </c>
      <c r="AL59" s="80">
        <f t="shared" si="15"/>
        <v>5.4</v>
      </c>
      <c r="AM59" s="80">
        <f>IF(T59="","",IF(T59="SIM",VLOOKUP($I59&amp;$J59&amp;T$1,Pesos!$A:$I,7,FALSE),VLOOKUP($I59&amp;$J59&amp;T$1,Pesos!$A:$I,9,FALSE)))</f>
        <v>0.89999999999999991</v>
      </c>
      <c r="AN59" s="80">
        <f>IF(U59="","",IF(U59="SIM",VLOOKUP($I59&amp;$J59&amp;U$1,Pesos!$A:$I,7,FALSE),VLOOKUP($I59&amp;$J59&amp;U$1,Pesos!$A:$I,9,FALSE)))</f>
        <v>0.92500000000000004</v>
      </c>
      <c r="AO59" s="80">
        <f>IF(V59="","",IF(V59="SIM",VLOOKUP($I59&amp;$J59&amp;V$1,Pesos!$A:$I,7,FALSE),VLOOKUP($I59&amp;$J59&amp;V$1,Pesos!$A:$I,9,FALSE)))</f>
        <v>0.92500000000000004</v>
      </c>
      <c r="AP59" s="80">
        <f>IF(W59="","",IF(W59="SIM",VLOOKUP($I59&amp;$J59&amp;W$1,Pesos!$A:$I,7,FALSE),VLOOKUP($I59&amp;$J59&amp;W$1,Pesos!$A:$I,9,FALSE)))</f>
        <v>0.89999999999999991</v>
      </c>
      <c r="AQ59" s="80">
        <f>IF(X59="","",IF(X59="SIM",VLOOKUP($I59&amp;$J59&amp;X$1,Pesos!$A:$I,7,FALSE),VLOOKUP($I59&amp;$J59&amp;X$1,Pesos!$A:$I,9,FALSE)))</f>
        <v>0.95</v>
      </c>
      <c r="AR59" s="80" t="str">
        <f>IF(Y59="","",IF(Y59="SIM",VLOOKUP($I59&amp;$J59&amp;Y$1,Pesos!$A:$I,7,FALSE),VLOOKUP($I59&amp;$J59&amp;Y$1,Pesos!$A:$I,9,FALSE)))</f>
        <v/>
      </c>
      <c r="AS59" s="81">
        <f>IFERROR(Z59*VLOOKUP(J59,'BD Campos'!$Y$1:$Z$12,2,FALSE),"0")</f>
        <v>10</v>
      </c>
      <c r="AT59" s="76"/>
    </row>
    <row r="60" spans="1:46" x14ac:dyDescent="0.35">
      <c r="A60" s="68" t="str">
        <f t="shared" si="1"/>
        <v>Jan202511149MotoristaTRANSFERÊNCIA</v>
      </c>
      <c r="B60" s="69" t="str">
        <f t="shared" si="16"/>
        <v>Jan2025111491TRANSFERÊNCIAPADRÃO</v>
      </c>
      <c r="C60" s="70">
        <v>1</v>
      </c>
      <c r="D60" s="71">
        <v>45671.620201851852</v>
      </c>
      <c r="E60" s="110" t="s">
        <v>74</v>
      </c>
      <c r="F60" s="72">
        <v>11149</v>
      </c>
      <c r="G60" s="69" t="s">
        <v>440</v>
      </c>
      <c r="H60" s="73">
        <v>1</v>
      </c>
      <c r="I60" s="69" t="s">
        <v>123</v>
      </c>
      <c r="J60" s="69" t="s">
        <v>122</v>
      </c>
      <c r="K60" s="69" t="s">
        <v>106</v>
      </c>
      <c r="L60" s="74">
        <v>30868535</v>
      </c>
      <c r="M60" s="75">
        <v>1.6087962962962963E-3</v>
      </c>
      <c r="N60" s="76" t="s">
        <v>79</v>
      </c>
      <c r="O60" s="76" t="s">
        <v>79</v>
      </c>
      <c r="P60" s="76" t="s">
        <v>79</v>
      </c>
      <c r="Q60" s="76" t="s">
        <v>79</v>
      </c>
      <c r="R60" s="76" t="s">
        <v>79</v>
      </c>
      <c r="S60" s="76" t="s">
        <v>83</v>
      </c>
      <c r="T60" s="76" t="s">
        <v>79</v>
      </c>
      <c r="U60" s="76" t="s">
        <v>79</v>
      </c>
      <c r="V60" s="76" t="s">
        <v>83</v>
      </c>
      <c r="W60" s="76" t="s">
        <v>83</v>
      </c>
      <c r="X60" s="76"/>
      <c r="Y60" s="76"/>
      <c r="Z60" s="77">
        <f t="shared" si="2"/>
        <v>6.8500000000000005</v>
      </c>
      <c r="AA60" s="78"/>
      <c r="AB60" s="78" t="s">
        <v>1435</v>
      </c>
      <c r="AC60" s="72" t="s">
        <v>47</v>
      </c>
      <c r="AD60" s="76"/>
      <c r="AE60" s="79" t="str">
        <f t="shared" si="14"/>
        <v>Jan11149</v>
      </c>
      <c r="AF60" s="80">
        <f>IF(N60="","",IF(N60="SIM",VLOOKUP($I60&amp;$J60&amp;N$1,Pesos!$A:$I,7,FALSE),VLOOKUP($I60&amp;$J60&amp;N$1,Pesos!$A:$I,9,FALSE)))</f>
        <v>1</v>
      </c>
      <c r="AG60" s="80">
        <f>IF(O60="","",IF(O60="SIM",VLOOKUP($I60&amp;$J60&amp;O$1,Pesos!$A:$I,7,FALSE),VLOOKUP($I60&amp;$J60&amp;O$1,Pesos!$A:$I,9,FALSE)))</f>
        <v>1</v>
      </c>
      <c r="AH60" s="80">
        <f>IF(P60="","",IF(P60="SIM",VLOOKUP($I60&amp;$J60&amp;P$1,Pesos!$A:$I,7,FALSE),VLOOKUP($I60&amp;$J60&amp;P$1,Pesos!$A:$I,9,FALSE)))</f>
        <v>1</v>
      </c>
      <c r="AI60" s="80">
        <f>IF(Q60="","",IF(Q60="SIM",VLOOKUP($I60&amp;$J60&amp;Q$1,Pesos!$A:$I,7,FALSE),VLOOKUP($I60&amp;$J60&amp;Q$1,Pesos!$A:$I,9,FALSE)))</f>
        <v>1</v>
      </c>
      <c r="AJ60" s="80">
        <f>IF(R60="","",IF(R60="SIM",VLOOKUP($I60&amp;$J60&amp;R$1,Pesos!$A:$I,7,FALSE),VLOOKUP($I60&amp;$J60&amp;R$1,Pesos!$A:$I,9,FALSE)))</f>
        <v>1</v>
      </c>
      <c r="AK60" s="80">
        <f>IF(S60="","",IF(S60="SIM",VLOOKUP($I60&amp;$J60&amp;S$1,Pesos!$A:$I,7,FALSE),VLOOKUP($I60&amp;$J60&amp;S$1,Pesos!$A:$I,9,FALSE)))</f>
        <v>-0.05</v>
      </c>
      <c r="AL60" s="80">
        <f t="shared" si="15"/>
        <v>4.95</v>
      </c>
      <c r="AM60" s="80">
        <f>IF(T60="","",IF(T60="SIM",VLOOKUP($I60&amp;$J60&amp;T$1,Pesos!$A:$I,7,FALSE),VLOOKUP($I60&amp;$J60&amp;T$1,Pesos!$A:$I,9,FALSE)))</f>
        <v>1</v>
      </c>
      <c r="AN60" s="80">
        <f>IF(U60="","",IF(U60="SIM",VLOOKUP($I60&amp;$J60&amp;U$1,Pesos!$A:$I,7,FALSE),VLOOKUP($I60&amp;$J60&amp;U$1,Pesos!$A:$I,9,FALSE)))</f>
        <v>1</v>
      </c>
      <c r="AO60" s="80">
        <f>IF(V60="","",IF(V60="SIM",VLOOKUP($I60&amp;$J60&amp;V$1,Pesos!$A:$I,7,FALSE),VLOOKUP($I60&amp;$J60&amp;V$1,Pesos!$A:$I,9,FALSE)))</f>
        <v>-0.05</v>
      </c>
      <c r="AP60" s="80">
        <f>IF(W60="","",IF(W60="SIM",VLOOKUP($I60&amp;$J60&amp;W$1,Pesos!$A:$I,7,FALSE),VLOOKUP($I60&amp;$J60&amp;W$1,Pesos!$A:$I,9,FALSE)))</f>
        <v>-0.05</v>
      </c>
      <c r="AQ60" s="80" t="str">
        <f>IF(X60="","",IF(X60="SIM",VLOOKUP($I60&amp;$J60&amp;X$1,Pesos!$A:$I,7,FALSE),VLOOKUP($I60&amp;$J60&amp;X$1,Pesos!$A:$I,9,FALSE)))</f>
        <v/>
      </c>
      <c r="AR60" s="80" t="str">
        <f>IF(Y60="","",IF(Y60="SIM",VLOOKUP($I60&amp;$J60&amp;Y$1,Pesos!$A:$I,7,FALSE),VLOOKUP($I60&amp;$J60&amp;Y$1,Pesos!$A:$I,9,FALSE)))</f>
        <v/>
      </c>
      <c r="AS60" s="81">
        <f>IFERROR(Z60*VLOOKUP(J60,'BD Campos'!$Y$1:$Z$12,2,FALSE),"0")</f>
        <v>6.8500000000000005</v>
      </c>
      <c r="AT60" s="76"/>
    </row>
    <row r="61" spans="1:46" x14ac:dyDescent="0.35">
      <c r="A61" s="68" t="str">
        <f t="shared" si="1"/>
        <v>Jan202511154MotoristaTRANSFERÊNCIA</v>
      </c>
      <c r="B61" s="69" t="str">
        <f t="shared" si="16"/>
        <v>Jan2025111541TRANSFERÊNCIAPADRÃO</v>
      </c>
      <c r="C61" s="70">
        <v>1</v>
      </c>
      <c r="D61" s="71">
        <v>45671.622524652776</v>
      </c>
      <c r="E61" s="110" t="s">
        <v>74</v>
      </c>
      <c r="F61" s="72">
        <v>11154</v>
      </c>
      <c r="G61" s="69" t="s">
        <v>451</v>
      </c>
      <c r="H61" s="73">
        <v>1</v>
      </c>
      <c r="I61" s="69" t="s">
        <v>126</v>
      </c>
      <c r="J61" s="69" t="s">
        <v>122</v>
      </c>
      <c r="K61" s="69" t="s">
        <v>106</v>
      </c>
      <c r="L61" s="74">
        <v>30687530</v>
      </c>
      <c r="M61" s="75">
        <v>1.261574074074074E-3</v>
      </c>
      <c r="N61" s="76" t="s">
        <v>79</v>
      </c>
      <c r="O61" s="76" t="s">
        <v>79</v>
      </c>
      <c r="P61" s="76" t="s">
        <v>79</v>
      </c>
      <c r="Q61" s="76" t="s">
        <v>79</v>
      </c>
      <c r="R61" s="76" t="s">
        <v>79</v>
      </c>
      <c r="S61" s="76" t="s">
        <v>83</v>
      </c>
      <c r="T61" s="76" t="s">
        <v>79</v>
      </c>
      <c r="U61" s="76" t="s">
        <v>79</v>
      </c>
      <c r="V61" s="76" t="s">
        <v>79</v>
      </c>
      <c r="W61" s="76" t="s">
        <v>83</v>
      </c>
      <c r="X61" s="76" t="s">
        <v>79</v>
      </c>
      <c r="Y61" s="76" t="s">
        <v>83</v>
      </c>
      <c r="Z61" s="77">
        <f t="shared" si="2"/>
        <v>7.27</v>
      </c>
      <c r="AA61" s="78"/>
      <c r="AB61" s="78" t="s">
        <v>1436</v>
      </c>
      <c r="AC61" s="72" t="s">
        <v>47</v>
      </c>
      <c r="AD61" s="76"/>
      <c r="AE61" s="79" t="str">
        <f t="shared" si="14"/>
        <v>Jan11154</v>
      </c>
      <c r="AF61" s="80">
        <f>IF(N61="","",IF(N61="SIM",VLOOKUP($I61&amp;$J61&amp;N$1,Pesos!$A:$I,7,FALSE),VLOOKUP($I61&amp;$J61&amp;N$1,Pesos!$A:$I,9,FALSE)))</f>
        <v>0.8</v>
      </c>
      <c r="AG61" s="80">
        <f>IF(O61="","",IF(O61="SIM",VLOOKUP($I61&amp;$J61&amp;O$1,Pesos!$A:$I,7,FALSE),VLOOKUP($I61&amp;$J61&amp;O$1,Pesos!$A:$I,9,FALSE)))</f>
        <v>0.8</v>
      </c>
      <c r="AH61" s="80">
        <f>IF(P61="","",IF(P61="SIM",VLOOKUP($I61&amp;$J61&amp;P$1,Pesos!$A:$I,7,FALSE),VLOOKUP($I61&amp;$J61&amp;P$1,Pesos!$A:$I,9,FALSE)))</f>
        <v>0.8</v>
      </c>
      <c r="AI61" s="80">
        <f>IF(Q61="","",IF(Q61="SIM",VLOOKUP($I61&amp;$J61&amp;Q$1,Pesos!$A:$I,7,FALSE),VLOOKUP($I61&amp;$J61&amp;Q$1,Pesos!$A:$I,9,FALSE)))</f>
        <v>0.8</v>
      </c>
      <c r="AJ61" s="80">
        <f>IF(R61="","",IF(R61="SIM",VLOOKUP($I61&amp;$J61&amp;R$1,Pesos!$A:$I,7,FALSE),VLOOKUP($I61&amp;$J61&amp;R$1,Pesos!$A:$I,9,FALSE)))</f>
        <v>0.8</v>
      </c>
      <c r="AK61" s="80">
        <f>IF(S61="","",IF(S61="SIM",VLOOKUP($I61&amp;$J61&amp;S$1,Pesos!$A:$I,7,FALSE),VLOOKUP($I61&amp;$J61&amp;S$1,Pesos!$A:$I,9,FALSE)))</f>
        <v>-4.0000000000000008E-2</v>
      </c>
      <c r="AL61" s="80">
        <f t="shared" si="15"/>
        <v>3.96</v>
      </c>
      <c r="AM61" s="80">
        <f>IF(T61="","",IF(T61="SIM",VLOOKUP($I61&amp;$J61&amp;T$1,Pesos!$A:$I,7,FALSE),VLOOKUP($I61&amp;$J61&amp;T$1,Pesos!$A:$I,9,FALSE)))</f>
        <v>0.8</v>
      </c>
      <c r="AN61" s="80">
        <f>IF(U61="","",IF(U61="SIM",VLOOKUP($I61&amp;$J61&amp;U$1,Pesos!$A:$I,7,FALSE),VLOOKUP($I61&amp;$J61&amp;U$1,Pesos!$A:$I,9,FALSE)))</f>
        <v>0.8</v>
      </c>
      <c r="AO61" s="80">
        <f>IF(V61="","",IF(V61="SIM",VLOOKUP($I61&amp;$J61&amp;V$1,Pesos!$A:$I,7,FALSE),VLOOKUP($I61&amp;$J61&amp;V$1,Pesos!$A:$I,9,FALSE)))</f>
        <v>0.8</v>
      </c>
      <c r="AP61" s="80">
        <f>IF(W61="","",IF(W61="SIM",VLOOKUP($I61&amp;$J61&amp;W$1,Pesos!$A:$I,7,FALSE),VLOOKUP($I61&amp;$J61&amp;W$1,Pesos!$A:$I,9,FALSE)))</f>
        <v>-4.0000000000000008E-2</v>
      </c>
      <c r="AQ61" s="80">
        <f>IF(X61="","",IF(X61="SIM",VLOOKUP($I61&amp;$J61&amp;X$1,Pesos!$A:$I,7,FALSE),VLOOKUP($I61&amp;$J61&amp;X$1,Pesos!$A:$I,9,FALSE)))</f>
        <v>1</v>
      </c>
      <c r="AR61" s="80">
        <f>IF(Y61="","",IF(Y61="SIM",VLOOKUP($I61&amp;$J61&amp;Y$1,Pesos!$A:$I,7,FALSE),VLOOKUP($I61&amp;$J61&amp;Y$1,Pesos!$A:$I,9,FALSE)))</f>
        <v>-0.05</v>
      </c>
      <c r="AS61" s="81">
        <f>IFERROR(Z61*VLOOKUP(J61,'BD Campos'!$Y$1:$Z$12,2,FALSE),"0")</f>
        <v>7.27</v>
      </c>
      <c r="AT61" s="76"/>
    </row>
    <row r="62" spans="1:46" x14ac:dyDescent="0.35">
      <c r="A62" s="68" t="str">
        <f t="shared" si="1"/>
        <v>Jan202511171MotoristaTRANSFERÊNCIA</v>
      </c>
      <c r="B62" s="69" t="str">
        <f t="shared" si="16"/>
        <v>Jan2025111711TRANSFERÊNCIAPADRÃO</v>
      </c>
      <c r="C62" s="70">
        <v>1</v>
      </c>
      <c r="D62" s="71">
        <v>45671.625159606483</v>
      </c>
      <c r="E62" s="110" t="s">
        <v>74</v>
      </c>
      <c r="F62" s="72">
        <v>11171</v>
      </c>
      <c r="G62" s="69" t="s">
        <v>1358</v>
      </c>
      <c r="H62" s="73">
        <v>1</v>
      </c>
      <c r="I62" s="69" t="s">
        <v>121</v>
      </c>
      <c r="J62" s="69" t="s">
        <v>122</v>
      </c>
      <c r="K62" s="69" t="s">
        <v>106</v>
      </c>
      <c r="L62" s="74">
        <v>30865588</v>
      </c>
      <c r="M62" s="75">
        <v>1.8750000000000001E-3</v>
      </c>
      <c r="N62" s="76" t="s">
        <v>79</v>
      </c>
      <c r="O62" s="76" t="s">
        <v>79</v>
      </c>
      <c r="P62" s="76" t="s">
        <v>79</v>
      </c>
      <c r="Q62" s="76" t="s">
        <v>79</v>
      </c>
      <c r="R62" s="76" t="s">
        <v>79</v>
      </c>
      <c r="S62" s="76" t="s">
        <v>79</v>
      </c>
      <c r="T62" s="76" t="s">
        <v>79</v>
      </c>
      <c r="U62" s="76" t="s">
        <v>79</v>
      </c>
      <c r="V62" s="76" t="s">
        <v>83</v>
      </c>
      <c r="W62" s="76" t="s">
        <v>79</v>
      </c>
      <c r="X62" s="76" t="s">
        <v>79</v>
      </c>
      <c r="Y62" s="76"/>
      <c r="Z62" s="77">
        <f t="shared" si="2"/>
        <v>9.0287500000000005</v>
      </c>
      <c r="AA62" s="78"/>
      <c r="AB62" s="78" t="s">
        <v>1437</v>
      </c>
      <c r="AC62" s="72" t="s">
        <v>47</v>
      </c>
      <c r="AD62" s="76"/>
      <c r="AE62" s="79" t="str">
        <f t="shared" si="14"/>
        <v>Jan11171</v>
      </c>
      <c r="AF62" s="80">
        <f>IF(N62="","",IF(N62="SIM",VLOOKUP($I62&amp;$J62&amp;N$1,Pesos!$A:$I,7,FALSE),VLOOKUP($I62&amp;$J62&amp;N$1,Pesos!$A:$I,9,FALSE)))</f>
        <v>0.89999999999999991</v>
      </c>
      <c r="AG62" s="80">
        <f>IF(O62="","",IF(O62="SIM",VLOOKUP($I62&amp;$J62&amp;O$1,Pesos!$A:$I,7,FALSE),VLOOKUP($I62&amp;$J62&amp;O$1,Pesos!$A:$I,9,FALSE)))</f>
        <v>0.89999999999999991</v>
      </c>
      <c r="AH62" s="80">
        <f>IF(P62="","",IF(P62="SIM",VLOOKUP($I62&amp;$J62&amp;P$1,Pesos!$A:$I,7,FALSE),VLOOKUP($I62&amp;$J62&amp;P$1,Pesos!$A:$I,9,FALSE)))</f>
        <v>0.89999999999999991</v>
      </c>
      <c r="AI62" s="80">
        <f>IF(Q62="","",IF(Q62="SIM",VLOOKUP($I62&amp;$J62&amp;Q$1,Pesos!$A:$I,7,FALSE),VLOOKUP($I62&amp;$J62&amp;Q$1,Pesos!$A:$I,9,FALSE)))</f>
        <v>0.89999999999999991</v>
      </c>
      <c r="AJ62" s="80">
        <f>IF(R62="","",IF(R62="SIM",VLOOKUP($I62&amp;$J62&amp;R$1,Pesos!$A:$I,7,FALSE),VLOOKUP($I62&amp;$J62&amp;R$1,Pesos!$A:$I,9,FALSE)))</f>
        <v>0.89999999999999991</v>
      </c>
      <c r="AK62" s="80">
        <f>IF(S62="","",IF(S62="SIM",VLOOKUP($I62&amp;$J62&amp;S$1,Pesos!$A:$I,7,FALSE),VLOOKUP($I62&amp;$J62&amp;S$1,Pesos!$A:$I,9,FALSE)))</f>
        <v>0.89999999999999991</v>
      </c>
      <c r="AL62" s="80">
        <f t="shared" si="15"/>
        <v>5.4</v>
      </c>
      <c r="AM62" s="80">
        <f>IF(T62="","",IF(T62="SIM",VLOOKUP($I62&amp;$J62&amp;T$1,Pesos!$A:$I,7,FALSE),VLOOKUP($I62&amp;$J62&amp;T$1,Pesos!$A:$I,9,FALSE)))</f>
        <v>0.89999999999999991</v>
      </c>
      <c r="AN62" s="80">
        <f>IF(U62="","",IF(U62="SIM",VLOOKUP($I62&amp;$J62&amp;U$1,Pesos!$A:$I,7,FALSE),VLOOKUP($I62&amp;$J62&amp;U$1,Pesos!$A:$I,9,FALSE)))</f>
        <v>0.92500000000000004</v>
      </c>
      <c r="AO62" s="80">
        <f>IF(V62="","",IF(V62="SIM",VLOOKUP($I62&amp;$J62&amp;V$1,Pesos!$A:$I,7,FALSE),VLOOKUP($I62&amp;$J62&amp;V$1,Pesos!$A:$I,9,FALSE)))</f>
        <v>-4.6250000000000006E-2</v>
      </c>
      <c r="AP62" s="80">
        <f>IF(W62="","",IF(W62="SIM",VLOOKUP($I62&amp;$J62&amp;W$1,Pesos!$A:$I,7,FALSE),VLOOKUP($I62&amp;$J62&amp;W$1,Pesos!$A:$I,9,FALSE)))</f>
        <v>0.89999999999999991</v>
      </c>
      <c r="AQ62" s="80">
        <f>IF(X62="","",IF(X62="SIM",VLOOKUP($I62&amp;$J62&amp;X$1,Pesos!$A:$I,7,FALSE),VLOOKUP($I62&amp;$J62&amp;X$1,Pesos!$A:$I,9,FALSE)))</f>
        <v>0.95</v>
      </c>
      <c r="AR62" s="80" t="str">
        <f>IF(Y62="","",IF(Y62="SIM",VLOOKUP($I62&amp;$J62&amp;Y$1,Pesos!$A:$I,7,FALSE),VLOOKUP($I62&amp;$J62&amp;Y$1,Pesos!$A:$I,9,FALSE)))</f>
        <v/>
      </c>
      <c r="AS62" s="81">
        <f>IFERROR(Z62*VLOOKUP(J62,'BD Campos'!$Y$1:$Z$12,2,FALSE),"0")</f>
        <v>9.0287500000000005</v>
      </c>
      <c r="AT62" s="76"/>
    </row>
    <row r="63" spans="1:46" x14ac:dyDescent="0.35">
      <c r="A63" s="68" t="str">
        <f t="shared" si="1"/>
        <v>Jan202511183MotoristaTRANSFERÊNCIA</v>
      </c>
      <c r="B63" s="69" t="str">
        <f t="shared" si="16"/>
        <v>Jan2025111831TRANSFERÊNCIAPADRÃO</v>
      </c>
      <c r="C63" s="70">
        <v>1</v>
      </c>
      <c r="D63" s="71">
        <v>45671.626826967593</v>
      </c>
      <c r="E63" s="110" t="s">
        <v>74</v>
      </c>
      <c r="F63" s="72">
        <v>11183</v>
      </c>
      <c r="G63" s="69" t="s">
        <v>1359</v>
      </c>
      <c r="H63" s="73">
        <v>1</v>
      </c>
      <c r="I63" s="69" t="s">
        <v>121</v>
      </c>
      <c r="J63" s="69" t="s">
        <v>122</v>
      </c>
      <c r="K63" s="69" t="s">
        <v>106</v>
      </c>
      <c r="L63" s="74">
        <v>30799455</v>
      </c>
      <c r="M63" s="75">
        <v>1.9212962962962962E-3</v>
      </c>
      <c r="N63" s="76"/>
      <c r="O63" s="76"/>
      <c r="P63" s="76"/>
      <c r="Q63" s="76"/>
      <c r="R63" s="76"/>
      <c r="S63" s="76"/>
      <c r="T63" s="76"/>
      <c r="U63" s="76"/>
      <c r="V63" s="76"/>
      <c r="W63" s="76"/>
      <c r="X63" s="76"/>
      <c r="Y63" s="76"/>
      <c r="Z63" s="77">
        <f t="shared" si="2"/>
        <v>0</v>
      </c>
      <c r="AA63" s="78" t="s">
        <v>1427</v>
      </c>
      <c r="AB63" s="78" t="s">
        <v>1438</v>
      </c>
      <c r="AC63" s="72" t="s">
        <v>47</v>
      </c>
      <c r="AD63" s="76"/>
      <c r="AE63" s="79" t="str">
        <f t="shared" si="14"/>
        <v>Jan11183</v>
      </c>
      <c r="AF63" s="80" t="str">
        <f>IF(N63="","",IF(N63="SIM",VLOOKUP($I63&amp;$J63&amp;N$1,Pesos!$A:$I,7,FALSE),VLOOKUP($I63&amp;$J63&amp;N$1,Pesos!$A:$I,9,FALSE)))</f>
        <v/>
      </c>
      <c r="AG63" s="80" t="str">
        <f>IF(O63="","",IF(O63="SIM",VLOOKUP($I63&amp;$J63&amp;O$1,Pesos!$A:$I,7,FALSE),VLOOKUP($I63&amp;$J63&amp;O$1,Pesos!$A:$I,9,FALSE)))</f>
        <v/>
      </c>
      <c r="AH63" s="80" t="str">
        <f>IF(P63="","",IF(P63="SIM",VLOOKUP($I63&amp;$J63&amp;P$1,Pesos!$A:$I,7,FALSE),VLOOKUP($I63&amp;$J63&amp;P$1,Pesos!$A:$I,9,FALSE)))</f>
        <v/>
      </c>
      <c r="AI63" s="80" t="str">
        <f>IF(Q63="","",IF(Q63="SIM",VLOOKUP($I63&amp;$J63&amp;Q$1,Pesos!$A:$I,7,FALSE),VLOOKUP($I63&amp;$J63&amp;Q$1,Pesos!$A:$I,9,FALSE)))</f>
        <v/>
      </c>
      <c r="AJ63" s="80" t="str">
        <f>IF(R63="","",IF(R63="SIM",VLOOKUP($I63&amp;$J63&amp;R$1,Pesos!$A:$I,7,FALSE),VLOOKUP($I63&amp;$J63&amp;R$1,Pesos!$A:$I,9,FALSE)))</f>
        <v/>
      </c>
      <c r="AK63" s="80" t="str">
        <f>IF(S63="","",IF(S63="SIM",VLOOKUP($I63&amp;$J63&amp;S$1,Pesos!$A:$I,7,FALSE),VLOOKUP($I63&amp;$J63&amp;S$1,Pesos!$A:$I,9,FALSE)))</f>
        <v/>
      </c>
      <c r="AL63" s="80">
        <f t="shared" si="15"/>
        <v>0</v>
      </c>
      <c r="AM63" s="80" t="str">
        <f>IF(T63="","",IF(T63="SIM",VLOOKUP($I63&amp;$J63&amp;T$1,Pesos!$A:$I,7,FALSE),VLOOKUP($I63&amp;$J63&amp;T$1,Pesos!$A:$I,9,FALSE)))</f>
        <v/>
      </c>
      <c r="AN63" s="80" t="str">
        <f>IF(U63="","",IF(U63="SIM",VLOOKUP($I63&amp;$J63&amp;U$1,Pesos!$A:$I,7,FALSE),VLOOKUP($I63&amp;$J63&amp;U$1,Pesos!$A:$I,9,FALSE)))</f>
        <v/>
      </c>
      <c r="AO63" s="80" t="str">
        <f>IF(V63="","",IF(V63="SIM",VLOOKUP($I63&amp;$J63&amp;V$1,Pesos!$A:$I,7,FALSE),VLOOKUP($I63&amp;$J63&amp;V$1,Pesos!$A:$I,9,FALSE)))</f>
        <v/>
      </c>
      <c r="AP63" s="80" t="str">
        <f>IF(W63="","",IF(W63="SIM",VLOOKUP($I63&amp;$J63&amp;W$1,Pesos!$A:$I,7,FALSE),VLOOKUP($I63&amp;$J63&amp;W$1,Pesos!$A:$I,9,FALSE)))</f>
        <v/>
      </c>
      <c r="AQ63" s="80" t="str">
        <f>IF(X63="","",IF(X63="SIM",VLOOKUP($I63&amp;$J63&amp;X$1,Pesos!$A:$I,7,FALSE),VLOOKUP($I63&amp;$J63&amp;X$1,Pesos!$A:$I,9,FALSE)))</f>
        <v/>
      </c>
      <c r="AR63" s="80" t="str">
        <f>IF(Y63="","",IF(Y63="SIM",VLOOKUP($I63&amp;$J63&amp;Y$1,Pesos!$A:$I,7,FALSE),VLOOKUP($I63&amp;$J63&amp;Y$1,Pesos!$A:$I,9,FALSE)))</f>
        <v/>
      </c>
      <c r="AS63" s="81">
        <f>IFERROR(Z63*VLOOKUP(J63,'BD Campos'!$Y$1:$Z$12,2,FALSE),"0")</f>
        <v>0</v>
      </c>
      <c r="AT63" s="76"/>
    </row>
    <row r="64" spans="1:46" x14ac:dyDescent="0.35">
      <c r="A64" s="68" t="str">
        <f t="shared" si="1"/>
        <v>Jan202511209MotoristaTRANSFERÊNCIA</v>
      </c>
      <c r="B64" s="69" t="str">
        <f>E64&amp;YEAR(D64)&amp;F64&amp;H64&amp;K64&amp;AC64</f>
        <v>Jan2025112091TRANSFERÊNCIAPADRÃO</v>
      </c>
      <c r="C64" s="70">
        <v>1</v>
      </c>
      <c r="D64" s="71">
        <v>45671.633247569443</v>
      </c>
      <c r="E64" s="110" t="s">
        <v>74</v>
      </c>
      <c r="F64" s="72">
        <v>11209</v>
      </c>
      <c r="G64" s="69" t="s">
        <v>1386</v>
      </c>
      <c r="H64" s="73">
        <v>1</v>
      </c>
      <c r="I64" s="69" t="s">
        <v>126</v>
      </c>
      <c r="J64" s="69" t="s">
        <v>122</v>
      </c>
      <c r="K64" s="69" t="s">
        <v>106</v>
      </c>
      <c r="L64" s="74">
        <v>30781219</v>
      </c>
      <c r="M64" s="75">
        <v>2.3263888888888887E-3</v>
      </c>
      <c r="N64" s="76" t="s">
        <v>79</v>
      </c>
      <c r="O64" s="76" t="s">
        <v>79</v>
      </c>
      <c r="P64" s="76" t="s">
        <v>79</v>
      </c>
      <c r="Q64" s="76" t="s">
        <v>79</v>
      </c>
      <c r="R64" s="76" t="s">
        <v>79</v>
      </c>
      <c r="S64" s="76" t="s">
        <v>83</v>
      </c>
      <c r="T64" s="76" t="s">
        <v>79</v>
      </c>
      <c r="U64" s="76" t="s">
        <v>79</v>
      </c>
      <c r="V64" s="76" t="s">
        <v>79</v>
      </c>
      <c r="W64" s="76" t="s">
        <v>83</v>
      </c>
      <c r="X64" s="76" t="s">
        <v>83</v>
      </c>
      <c r="Y64" s="76" t="s">
        <v>79</v>
      </c>
      <c r="Z64" s="77">
        <f t="shared" si="2"/>
        <v>7.27</v>
      </c>
      <c r="AA64" s="78"/>
      <c r="AB64" s="78" t="s">
        <v>1439</v>
      </c>
      <c r="AC64" s="72" t="s">
        <v>47</v>
      </c>
      <c r="AD64" s="76"/>
      <c r="AE64" s="79" t="str">
        <f t="shared" si="14"/>
        <v>Jan11209</v>
      </c>
      <c r="AF64" s="80">
        <f>IF(N64="","",IF(N64="SIM",VLOOKUP($I64&amp;$J64&amp;N$1,Pesos!$A:$I,7,FALSE),VLOOKUP($I64&amp;$J64&amp;N$1,Pesos!$A:$I,9,FALSE)))</f>
        <v>0.8</v>
      </c>
      <c r="AG64" s="80">
        <f>IF(O64="","",IF(O64="SIM",VLOOKUP($I64&amp;$J64&amp;O$1,Pesos!$A:$I,7,FALSE),VLOOKUP($I64&amp;$J64&amp;O$1,Pesos!$A:$I,9,FALSE)))</f>
        <v>0.8</v>
      </c>
      <c r="AH64" s="80">
        <f>IF(P64="","",IF(P64="SIM",VLOOKUP($I64&amp;$J64&amp;P$1,Pesos!$A:$I,7,FALSE),VLOOKUP($I64&amp;$J64&amp;P$1,Pesos!$A:$I,9,FALSE)))</f>
        <v>0.8</v>
      </c>
      <c r="AI64" s="80">
        <f>IF(Q64="","",IF(Q64="SIM",VLOOKUP($I64&amp;$J64&amp;Q$1,Pesos!$A:$I,7,FALSE),VLOOKUP($I64&amp;$J64&amp;Q$1,Pesos!$A:$I,9,FALSE)))</f>
        <v>0.8</v>
      </c>
      <c r="AJ64" s="80">
        <f>IF(R64="","",IF(R64="SIM",VLOOKUP($I64&amp;$J64&amp;R$1,Pesos!$A:$I,7,FALSE),VLOOKUP($I64&amp;$J64&amp;R$1,Pesos!$A:$I,9,FALSE)))</f>
        <v>0.8</v>
      </c>
      <c r="AK64" s="80">
        <f>IF(S64="","",IF(S64="SIM",VLOOKUP($I64&amp;$J64&amp;S$1,Pesos!$A:$I,7,FALSE),VLOOKUP($I64&amp;$J64&amp;S$1,Pesos!$A:$I,9,FALSE)))</f>
        <v>-4.0000000000000008E-2</v>
      </c>
      <c r="AL64" s="80">
        <f t="shared" si="15"/>
        <v>3.96</v>
      </c>
      <c r="AM64" s="80">
        <f>IF(T64="","",IF(T64="SIM",VLOOKUP($I64&amp;$J64&amp;T$1,Pesos!$A:$I,7,FALSE),VLOOKUP($I64&amp;$J64&amp;T$1,Pesos!$A:$I,9,FALSE)))</f>
        <v>0.8</v>
      </c>
      <c r="AN64" s="80">
        <f>IF(U64="","",IF(U64="SIM",VLOOKUP($I64&amp;$J64&amp;U$1,Pesos!$A:$I,7,FALSE),VLOOKUP($I64&amp;$J64&amp;U$1,Pesos!$A:$I,9,FALSE)))</f>
        <v>0.8</v>
      </c>
      <c r="AO64" s="80">
        <f>IF(V64="","",IF(V64="SIM",VLOOKUP($I64&amp;$J64&amp;V$1,Pesos!$A:$I,7,FALSE),VLOOKUP($I64&amp;$J64&amp;V$1,Pesos!$A:$I,9,FALSE)))</f>
        <v>0.8</v>
      </c>
      <c r="AP64" s="80">
        <f>IF(W64="","",IF(W64="SIM",VLOOKUP($I64&amp;$J64&amp;W$1,Pesos!$A:$I,7,FALSE),VLOOKUP($I64&amp;$J64&amp;W$1,Pesos!$A:$I,9,FALSE)))</f>
        <v>-4.0000000000000008E-2</v>
      </c>
      <c r="AQ64" s="80">
        <f>IF(X64="","",IF(X64="SIM",VLOOKUP($I64&amp;$J64&amp;X$1,Pesos!$A:$I,7,FALSE),VLOOKUP($I64&amp;$J64&amp;X$1,Pesos!$A:$I,9,FALSE)))</f>
        <v>-0.05</v>
      </c>
      <c r="AR64" s="80">
        <f>IF(Y64="","",IF(Y64="SIM",VLOOKUP($I64&amp;$J64&amp;Y$1,Pesos!$A:$I,7,FALSE),VLOOKUP($I64&amp;$J64&amp;Y$1,Pesos!$A:$I,9,FALSE)))</f>
        <v>1</v>
      </c>
      <c r="AS64" s="81">
        <f>IFERROR(Z64*VLOOKUP(J64,'BD Campos'!$Y$1:$Z$12,2,FALSE),"0")</f>
        <v>7.27</v>
      </c>
      <c r="AT64" s="76"/>
    </row>
    <row r="65" spans="1:45" x14ac:dyDescent="0.35">
      <c r="A65" s="68" t="str">
        <f t="shared" ref="A65:A128" si="17">E65&amp;YEAR(D65)&amp;F65&amp;J65&amp;K65&amp;""</f>
        <v>Jan202510857ReceptivaTRANSFERÊNCIA</v>
      </c>
      <c r="B65" s="69" t="str">
        <f t="shared" ref="B65:B76" si="18">E65&amp;YEAR(D65)&amp;F65&amp;H65&amp;K65&amp;AC65</f>
        <v>Jan2025108575TRANSFERÊNCIAPADRÃO</v>
      </c>
      <c r="C65" s="70">
        <v>1</v>
      </c>
      <c r="D65" s="71">
        <v>45671.71332476852</v>
      </c>
      <c r="E65" s="112" t="s">
        <v>74</v>
      </c>
      <c r="F65" s="113">
        <v>10857</v>
      </c>
      <c r="G65" s="69" t="s">
        <v>169</v>
      </c>
      <c r="H65" s="73">
        <v>5</v>
      </c>
      <c r="I65" s="69" t="s">
        <v>6</v>
      </c>
      <c r="J65" s="69" t="s">
        <v>98</v>
      </c>
      <c r="K65" s="69" t="s">
        <v>106</v>
      </c>
      <c r="L65" s="74"/>
      <c r="M65" s="75">
        <v>1.0763888888888889E-3</v>
      </c>
      <c r="N65" s="76" t="s">
        <v>79</v>
      </c>
      <c r="O65" s="76" t="s">
        <v>79</v>
      </c>
      <c r="P65" s="76" t="s">
        <v>79</v>
      </c>
      <c r="Q65" s="76" t="s">
        <v>83</v>
      </c>
      <c r="R65" s="76" t="s">
        <v>79</v>
      </c>
      <c r="S65" s="76" t="s">
        <v>79</v>
      </c>
      <c r="T65" s="76" t="s">
        <v>79</v>
      </c>
      <c r="U65" s="76" t="s">
        <v>79</v>
      </c>
      <c r="V65" s="76" t="s">
        <v>79</v>
      </c>
      <c r="W65" s="76" t="s">
        <v>79</v>
      </c>
      <c r="X65" s="76" t="s">
        <v>79</v>
      </c>
      <c r="Y65" s="76" t="s">
        <v>79</v>
      </c>
      <c r="Z65" s="77">
        <f t="shared" si="2"/>
        <v>9.16</v>
      </c>
      <c r="AA65" s="78"/>
      <c r="AB65" s="78"/>
      <c r="AC65" s="72" t="s">
        <v>47</v>
      </c>
      <c r="AE65" s="79" t="str">
        <f t="shared" ref="AE65:AE87" si="19">E65&amp;F65</f>
        <v>Jan10857</v>
      </c>
      <c r="AF65" s="80">
        <f>IF(N65="","",IF(N65="SIM",VLOOKUP($I65&amp;$J65&amp;N$1,Pesos!$A:$I,7,FALSE),VLOOKUP($I65&amp;$J65&amp;N$1,Pesos!$A:$I,9,FALSE)))</f>
        <v>0.8</v>
      </c>
      <c r="AG65" s="80">
        <f>IF(O65="","",IF(O65="SIM",VLOOKUP($I65&amp;$J65&amp;O$1,Pesos!$A:$I,7,FALSE),VLOOKUP($I65&amp;$J65&amp;O$1,Pesos!$A:$I,9,FALSE)))</f>
        <v>0.8</v>
      </c>
      <c r="AH65" s="80">
        <f>IF(P65="","",IF(P65="SIM",VLOOKUP($I65&amp;$J65&amp;P$1,Pesos!$A:$I,7,FALSE),VLOOKUP($I65&amp;$J65&amp;P$1,Pesos!$A:$I,9,FALSE)))</f>
        <v>1.2</v>
      </c>
      <c r="AI65" s="80">
        <f>IF(Q65="","",IF(Q65="SIM",VLOOKUP($I65&amp;$J65&amp;Q$1,Pesos!$A:$I,7,FALSE),VLOOKUP($I65&amp;$J65&amp;Q$1,Pesos!$A:$I,9,FALSE)))</f>
        <v>-4.0000000000000008E-2</v>
      </c>
      <c r="AJ65" s="80">
        <f>IF(R65="","",IF(R65="SIM",VLOOKUP($I65&amp;$J65&amp;R$1,Pesos!$A:$I,7,FALSE),VLOOKUP($I65&amp;$J65&amp;R$1,Pesos!$A:$I,9,FALSE)))</f>
        <v>0.8</v>
      </c>
      <c r="AK65" s="80">
        <f>IF(S65="","",IF(S65="SIM",VLOOKUP($I65&amp;$J65&amp;S$1,Pesos!$A:$I,7,FALSE),VLOOKUP($I65&amp;$J65&amp;S$1,Pesos!$A:$I,9,FALSE)))</f>
        <v>0.8</v>
      </c>
      <c r="AL65" s="80">
        <f t="shared" ref="AL65:AL87" si="20">SUM(AF65:AK65)</f>
        <v>4.3599999999999994</v>
      </c>
      <c r="AM65" s="80">
        <f>IF(T65="","",IF(T65="SIM",VLOOKUP($I65&amp;$J65&amp;T$1,Pesos!$A:$I,7,FALSE),VLOOKUP($I65&amp;$J65&amp;T$1,Pesos!$A:$I,9,FALSE)))</f>
        <v>0.8</v>
      </c>
      <c r="AN65" s="80">
        <f>IF(U65="","",IF(U65="SIM",VLOOKUP($I65&amp;$J65&amp;U$1,Pesos!$A:$I,7,FALSE),VLOOKUP($I65&amp;$J65&amp;U$1,Pesos!$A:$I,9,FALSE)))</f>
        <v>0.8</v>
      </c>
      <c r="AO65" s="80">
        <f>IF(V65="","",IF(V65="SIM",VLOOKUP($I65&amp;$J65&amp;V$1,Pesos!$A:$I,7,FALSE),VLOOKUP($I65&amp;$J65&amp;V$1,Pesos!$A:$I,9,FALSE)))</f>
        <v>0.8</v>
      </c>
      <c r="AP65" s="80">
        <f>IF(W65="","",IF(W65="SIM",VLOOKUP($I65&amp;$J65&amp;W$1,Pesos!$A:$I,7,FALSE),VLOOKUP($I65&amp;$J65&amp;W$1,Pesos!$A:$I,9,FALSE)))</f>
        <v>0.8</v>
      </c>
      <c r="AQ65" s="80">
        <f>IF(X65="","",IF(X65="SIM",VLOOKUP($I65&amp;$J65&amp;X$1,Pesos!$A:$I,7,FALSE),VLOOKUP($I65&amp;$J65&amp;X$1,Pesos!$A:$I,9,FALSE)))</f>
        <v>0.8</v>
      </c>
      <c r="AR65" s="80">
        <f>IF(Y65="","",IF(Y65="SIM",VLOOKUP($I65&amp;$J65&amp;Y$1,Pesos!$A:$I,7,FALSE),VLOOKUP($I65&amp;$J65&amp;Y$1,Pesos!$A:$I,9,FALSE)))</f>
        <v>0.8</v>
      </c>
      <c r="AS65" s="81">
        <f>IFERROR(Z65*VLOOKUP(J65,'BD Campos'!$Y$1:$Z$12,2,FALSE),"0")</f>
        <v>9.16</v>
      </c>
    </row>
    <row r="66" spans="1:45" x14ac:dyDescent="0.35">
      <c r="A66" s="68" t="str">
        <f t="shared" si="17"/>
        <v>Jan202510939ReceptivaTRANSFERÊNCIA</v>
      </c>
      <c r="B66" s="69" t="str">
        <f t="shared" si="18"/>
        <v>Jan2025109395TRANSFERÊNCIAPADRÃO</v>
      </c>
      <c r="C66" s="70">
        <v>1</v>
      </c>
      <c r="D66" s="71">
        <v>45671.714659143516</v>
      </c>
      <c r="E66" s="112" t="s">
        <v>74</v>
      </c>
      <c r="F66" s="113">
        <v>10939</v>
      </c>
      <c r="G66" s="69" t="s">
        <v>110</v>
      </c>
      <c r="H66" s="73">
        <v>5</v>
      </c>
      <c r="I66" s="69" t="s">
        <v>6</v>
      </c>
      <c r="J66" s="69" t="s">
        <v>98</v>
      </c>
      <c r="K66" s="69" t="s">
        <v>106</v>
      </c>
      <c r="L66" s="74"/>
      <c r="M66" s="75">
        <v>9.1435185185185185E-4</v>
      </c>
      <c r="N66" s="76" t="s">
        <v>79</v>
      </c>
      <c r="O66" s="76" t="s">
        <v>79</v>
      </c>
      <c r="P66" s="76" t="s">
        <v>79</v>
      </c>
      <c r="Q66" s="76" t="s">
        <v>79</v>
      </c>
      <c r="R66" s="76" t="s">
        <v>79</v>
      </c>
      <c r="S66" s="76" t="s">
        <v>79</v>
      </c>
      <c r="T66" s="76" t="s">
        <v>83</v>
      </c>
      <c r="U66" s="76" t="s">
        <v>79</v>
      </c>
      <c r="V66" s="76" t="s">
        <v>79</v>
      </c>
      <c r="W66" s="76" t="s">
        <v>79</v>
      </c>
      <c r="X66" s="76" t="s">
        <v>79</v>
      </c>
      <c r="Y66" s="76" t="s">
        <v>79</v>
      </c>
      <c r="Z66" s="77">
        <f t="shared" si="2"/>
        <v>9.16</v>
      </c>
      <c r="AA66" s="78"/>
      <c r="AB66" s="78"/>
      <c r="AC66" s="72" t="s">
        <v>47</v>
      </c>
      <c r="AE66" s="79" t="str">
        <f t="shared" si="19"/>
        <v>Jan10939</v>
      </c>
      <c r="AF66" s="80">
        <f>IF(N66="","",IF(N66="SIM",VLOOKUP($I66&amp;$J66&amp;N$1,Pesos!$A:$I,7,FALSE),VLOOKUP($I66&amp;$J66&amp;N$1,Pesos!$A:$I,9,FALSE)))</f>
        <v>0.8</v>
      </c>
      <c r="AG66" s="80">
        <f>IF(O66="","",IF(O66="SIM",VLOOKUP($I66&amp;$J66&amp;O$1,Pesos!$A:$I,7,FALSE),VLOOKUP($I66&amp;$J66&amp;O$1,Pesos!$A:$I,9,FALSE)))</f>
        <v>0.8</v>
      </c>
      <c r="AH66" s="80">
        <f>IF(P66="","",IF(P66="SIM",VLOOKUP($I66&amp;$J66&amp;P$1,Pesos!$A:$I,7,FALSE),VLOOKUP($I66&amp;$J66&amp;P$1,Pesos!$A:$I,9,FALSE)))</f>
        <v>1.2</v>
      </c>
      <c r="AI66" s="80">
        <f>IF(Q66="","",IF(Q66="SIM",VLOOKUP($I66&amp;$J66&amp;Q$1,Pesos!$A:$I,7,FALSE),VLOOKUP($I66&amp;$J66&amp;Q$1,Pesos!$A:$I,9,FALSE)))</f>
        <v>0.8</v>
      </c>
      <c r="AJ66" s="80">
        <f>IF(R66="","",IF(R66="SIM",VLOOKUP($I66&amp;$J66&amp;R$1,Pesos!$A:$I,7,FALSE),VLOOKUP($I66&amp;$J66&amp;R$1,Pesos!$A:$I,9,FALSE)))</f>
        <v>0.8</v>
      </c>
      <c r="AK66" s="80">
        <f>IF(S66="","",IF(S66="SIM",VLOOKUP($I66&amp;$J66&amp;S$1,Pesos!$A:$I,7,FALSE),VLOOKUP($I66&amp;$J66&amp;S$1,Pesos!$A:$I,9,FALSE)))</f>
        <v>0.8</v>
      </c>
      <c r="AL66" s="80">
        <f t="shared" si="20"/>
        <v>5.1999999999999993</v>
      </c>
      <c r="AM66" s="80">
        <f>IF(T66="","",IF(T66="SIM",VLOOKUP($I66&amp;$J66&amp;T$1,Pesos!$A:$I,7,FALSE),VLOOKUP($I66&amp;$J66&amp;T$1,Pesos!$A:$I,9,FALSE)))</f>
        <v>-4.0000000000000008E-2</v>
      </c>
      <c r="AN66" s="80">
        <f>IF(U66="","",IF(U66="SIM",VLOOKUP($I66&amp;$J66&amp;U$1,Pesos!$A:$I,7,FALSE),VLOOKUP($I66&amp;$J66&amp;U$1,Pesos!$A:$I,9,FALSE)))</f>
        <v>0.8</v>
      </c>
      <c r="AO66" s="80">
        <f>IF(V66="","",IF(V66="SIM",VLOOKUP($I66&amp;$J66&amp;V$1,Pesos!$A:$I,7,FALSE),VLOOKUP($I66&amp;$J66&amp;V$1,Pesos!$A:$I,9,FALSE)))</f>
        <v>0.8</v>
      </c>
      <c r="AP66" s="80">
        <f>IF(W66="","",IF(W66="SIM",VLOOKUP($I66&amp;$J66&amp;W$1,Pesos!$A:$I,7,FALSE),VLOOKUP($I66&amp;$J66&amp;W$1,Pesos!$A:$I,9,FALSE)))</f>
        <v>0.8</v>
      </c>
      <c r="AQ66" s="80">
        <f>IF(X66="","",IF(X66="SIM",VLOOKUP($I66&amp;$J66&amp;X$1,Pesos!$A:$I,7,FALSE),VLOOKUP($I66&amp;$J66&amp;X$1,Pesos!$A:$I,9,FALSE)))</f>
        <v>0.8</v>
      </c>
      <c r="AR66" s="80">
        <f>IF(Y66="","",IF(Y66="SIM",VLOOKUP($I66&amp;$J66&amp;Y$1,Pesos!$A:$I,7,FALSE),VLOOKUP($I66&amp;$J66&amp;Y$1,Pesos!$A:$I,9,FALSE)))</f>
        <v>0.8</v>
      </c>
      <c r="AS66" s="81">
        <f>IFERROR(Z66*VLOOKUP(J66,'BD Campos'!$Y$1:$Z$12,2,FALSE),"0")</f>
        <v>9.16</v>
      </c>
    </row>
    <row r="67" spans="1:45" x14ac:dyDescent="0.35">
      <c r="A67" s="68" t="str">
        <f t="shared" si="17"/>
        <v>Jan202510946ReceptivaTRANSFERÊNCIA</v>
      </c>
      <c r="B67" s="69" t="str">
        <f t="shared" si="18"/>
        <v>Jan2025109465TRANSFERÊNCIAPADRÃO</v>
      </c>
      <c r="C67" s="70">
        <v>1</v>
      </c>
      <c r="D67" s="71">
        <v>45671.715285995371</v>
      </c>
      <c r="E67" s="112" t="s">
        <v>74</v>
      </c>
      <c r="F67" s="113">
        <v>10946</v>
      </c>
      <c r="G67" s="69" t="s">
        <v>135</v>
      </c>
      <c r="H67" s="73">
        <v>5</v>
      </c>
      <c r="I67" s="69" t="s">
        <v>6</v>
      </c>
      <c r="J67" s="69" t="s">
        <v>98</v>
      </c>
      <c r="K67" s="69" t="s">
        <v>106</v>
      </c>
      <c r="L67" s="74"/>
      <c r="M67" s="75">
        <v>9.7222222222222209E-4</v>
      </c>
      <c r="N67" s="76" t="s">
        <v>79</v>
      </c>
      <c r="O67" s="76" t="s">
        <v>79</v>
      </c>
      <c r="P67" s="76" t="s">
        <v>79</v>
      </c>
      <c r="Q67" s="76" t="s">
        <v>79</v>
      </c>
      <c r="R67" s="76" t="s">
        <v>79</v>
      </c>
      <c r="S67" s="76" t="s">
        <v>79</v>
      </c>
      <c r="T67" s="76" t="s">
        <v>79</v>
      </c>
      <c r="U67" s="76" t="s">
        <v>79</v>
      </c>
      <c r="V67" s="76" t="s">
        <v>79</v>
      </c>
      <c r="W67" s="76" t="s">
        <v>79</v>
      </c>
      <c r="X67" s="76" t="s">
        <v>79</v>
      </c>
      <c r="Y67" s="76" t="s">
        <v>79</v>
      </c>
      <c r="Z67" s="77">
        <f t="shared" si="2"/>
        <v>10</v>
      </c>
      <c r="AA67" s="78"/>
      <c r="AB67" s="78"/>
      <c r="AC67" s="72" t="s">
        <v>47</v>
      </c>
      <c r="AE67" s="79" t="str">
        <f t="shared" si="19"/>
        <v>Jan10946</v>
      </c>
      <c r="AF67" s="80">
        <f>IF(N67="","",IF(N67="SIM",VLOOKUP($I67&amp;$J67&amp;N$1,Pesos!$A:$I,7,FALSE),VLOOKUP($I67&amp;$J67&amp;N$1,Pesos!$A:$I,9,FALSE)))</f>
        <v>0.8</v>
      </c>
      <c r="AG67" s="80">
        <f>IF(O67="","",IF(O67="SIM",VLOOKUP($I67&amp;$J67&amp;O$1,Pesos!$A:$I,7,FALSE),VLOOKUP($I67&amp;$J67&amp;O$1,Pesos!$A:$I,9,FALSE)))</f>
        <v>0.8</v>
      </c>
      <c r="AH67" s="80">
        <f>IF(P67="","",IF(P67="SIM",VLOOKUP($I67&amp;$J67&amp;P$1,Pesos!$A:$I,7,FALSE),VLOOKUP($I67&amp;$J67&amp;P$1,Pesos!$A:$I,9,FALSE)))</f>
        <v>1.2</v>
      </c>
      <c r="AI67" s="80">
        <f>IF(Q67="","",IF(Q67="SIM",VLOOKUP($I67&amp;$J67&amp;Q$1,Pesos!$A:$I,7,FALSE),VLOOKUP($I67&amp;$J67&amp;Q$1,Pesos!$A:$I,9,FALSE)))</f>
        <v>0.8</v>
      </c>
      <c r="AJ67" s="80">
        <f>IF(R67="","",IF(R67="SIM",VLOOKUP($I67&amp;$J67&amp;R$1,Pesos!$A:$I,7,FALSE),VLOOKUP($I67&amp;$J67&amp;R$1,Pesos!$A:$I,9,FALSE)))</f>
        <v>0.8</v>
      </c>
      <c r="AK67" s="80">
        <f>IF(S67="","",IF(S67="SIM",VLOOKUP($I67&amp;$J67&amp;S$1,Pesos!$A:$I,7,FALSE),VLOOKUP($I67&amp;$J67&amp;S$1,Pesos!$A:$I,9,FALSE)))</f>
        <v>0.8</v>
      </c>
      <c r="AL67" s="80">
        <f t="shared" si="20"/>
        <v>5.1999999999999993</v>
      </c>
      <c r="AM67" s="80">
        <f>IF(T67="","",IF(T67="SIM",VLOOKUP($I67&amp;$J67&amp;T$1,Pesos!$A:$I,7,FALSE),VLOOKUP($I67&amp;$J67&amp;T$1,Pesos!$A:$I,9,FALSE)))</f>
        <v>0.8</v>
      </c>
      <c r="AN67" s="80">
        <f>IF(U67="","",IF(U67="SIM",VLOOKUP($I67&amp;$J67&amp;U$1,Pesos!$A:$I,7,FALSE),VLOOKUP($I67&amp;$J67&amp;U$1,Pesos!$A:$I,9,FALSE)))</f>
        <v>0.8</v>
      </c>
      <c r="AO67" s="80">
        <f>IF(V67="","",IF(V67="SIM",VLOOKUP($I67&amp;$J67&amp;V$1,Pesos!$A:$I,7,FALSE),VLOOKUP($I67&amp;$J67&amp;V$1,Pesos!$A:$I,9,FALSE)))</f>
        <v>0.8</v>
      </c>
      <c r="AP67" s="80">
        <f>IF(W67="","",IF(W67="SIM",VLOOKUP($I67&amp;$J67&amp;W$1,Pesos!$A:$I,7,FALSE),VLOOKUP($I67&amp;$J67&amp;W$1,Pesos!$A:$I,9,FALSE)))</f>
        <v>0.8</v>
      </c>
      <c r="AQ67" s="80">
        <f>IF(X67="","",IF(X67="SIM",VLOOKUP($I67&amp;$J67&amp;X$1,Pesos!$A:$I,7,FALSE),VLOOKUP($I67&amp;$J67&amp;X$1,Pesos!$A:$I,9,FALSE)))</f>
        <v>0.8</v>
      </c>
      <c r="AR67" s="80">
        <f>IF(Y67="","",IF(Y67="SIM",VLOOKUP($I67&amp;$J67&amp;Y$1,Pesos!$A:$I,7,FALSE),VLOOKUP($I67&amp;$J67&amp;Y$1,Pesos!$A:$I,9,FALSE)))</f>
        <v>0.8</v>
      </c>
      <c r="AS67" s="81">
        <f>IFERROR(Z67*VLOOKUP(J67,'BD Campos'!$Y$1:$Z$12,2,FALSE),"0")</f>
        <v>10</v>
      </c>
    </row>
    <row r="68" spans="1:45" x14ac:dyDescent="0.35">
      <c r="A68" s="68" t="str">
        <f t="shared" si="17"/>
        <v>Jan202510957ReceptivaTRANSFERÊNCIA</v>
      </c>
      <c r="B68" s="69" t="str">
        <f t="shared" si="18"/>
        <v>Jan2025109575TRANSFERÊNCIAPADRÃO</v>
      </c>
      <c r="C68" s="70">
        <v>1</v>
      </c>
      <c r="D68" s="71">
        <v>45671.716021875</v>
      </c>
      <c r="E68" s="112" t="s">
        <v>74</v>
      </c>
      <c r="F68" s="113">
        <v>10957</v>
      </c>
      <c r="G68" s="69" t="s">
        <v>116</v>
      </c>
      <c r="H68" s="73">
        <v>5</v>
      </c>
      <c r="I68" s="69" t="s">
        <v>6</v>
      </c>
      <c r="J68" s="69" t="s">
        <v>98</v>
      </c>
      <c r="K68" s="69" t="s">
        <v>106</v>
      </c>
      <c r="L68" s="74"/>
      <c r="M68" s="75">
        <v>1.3310185185185185E-3</v>
      </c>
      <c r="N68" s="76" t="s">
        <v>79</v>
      </c>
      <c r="O68" s="76" t="s">
        <v>79</v>
      </c>
      <c r="P68" s="76" t="s">
        <v>79</v>
      </c>
      <c r="Q68" s="76" t="s">
        <v>79</v>
      </c>
      <c r="R68" s="76" t="s">
        <v>79</v>
      </c>
      <c r="S68" s="76" t="s">
        <v>79</v>
      </c>
      <c r="T68" s="76" t="s">
        <v>79</v>
      </c>
      <c r="U68" s="76" t="s">
        <v>79</v>
      </c>
      <c r="V68" s="76" t="s">
        <v>79</v>
      </c>
      <c r="W68" s="76" t="s">
        <v>79</v>
      </c>
      <c r="X68" s="76" t="s">
        <v>79</v>
      </c>
      <c r="Y68" s="76" t="s">
        <v>79</v>
      </c>
      <c r="Z68" s="77">
        <f t="shared" si="2"/>
        <v>10</v>
      </c>
      <c r="AA68" s="78"/>
      <c r="AB68" s="78"/>
      <c r="AC68" s="72" t="s">
        <v>47</v>
      </c>
      <c r="AE68" s="79" t="str">
        <f t="shared" si="19"/>
        <v>Jan10957</v>
      </c>
      <c r="AF68" s="80">
        <f>IF(N68="","",IF(N68="SIM",VLOOKUP($I68&amp;$J68&amp;N$1,Pesos!$A:$I,7,FALSE),VLOOKUP($I68&amp;$J68&amp;N$1,Pesos!$A:$I,9,FALSE)))</f>
        <v>0.8</v>
      </c>
      <c r="AG68" s="80">
        <f>IF(O68="","",IF(O68="SIM",VLOOKUP($I68&amp;$J68&amp;O$1,Pesos!$A:$I,7,FALSE),VLOOKUP($I68&amp;$J68&amp;O$1,Pesos!$A:$I,9,FALSE)))</f>
        <v>0.8</v>
      </c>
      <c r="AH68" s="80">
        <f>IF(P68="","",IF(P68="SIM",VLOOKUP($I68&amp;$J68&amp;P$1,Pesos!$A:$I,7,FALSE),VLOOKUP($I68&amp;$J68&amp;P$1,Pesos!$A:$I,9,FALSE)))</f>
        <v>1.2</v>
      </c>
      <c r="AI68" s="80">
        <f>IF(Q68="","",IF(Q68="SIM",VLOOKUP($I68&amp;$J68&amp;Q$1,Pesos!$A:$I,7,FALSE),VLOOKUP($I68&amp;$J68&amp;Q$1,Pesos!$A:$I,9,FALSE)))</f>
        <v>0.8</v>
      </c>
      <c r="AJ68" s="80">
        <f>IF(R68="","",IF(R68="SIM",VLOOKUP($I68&amp;$J68&amp;R$1,Pesos!$A:$I,7,FALSE),VLOOKUP($I68&amp;$J68&amp;R$1,Pesos!$A:$I,9,FALSE)))</f>
        <v>0.8</v>
      </c>
      <c r="AK68" s="80">
        <f>IF(S68="","",IF(S68="SIM",VLOOKUP($I68&amp;$J68&amp;S$1,Pesos!$A:$I,7,FALSE),VLOOKUP($I68&amp;$J68&amp;S$1,Pesos!$A:$I,9,FALSE)))</f>
        <v>0.8</v>
      </c>
      <c r="AL68" s="80">
        <f t="shared" si="20"/>
        <v>5.1999999999999993</v>
      </c>
      <c r="AM68" s="80">
        <f>IF(T68="","",IF(T68="SIM",VLOOKUP($I68&amp;$J68&amp;T$1,Pesos!$A:$I,7,FALSE),VLOOKUP($I68&amp;$J68&amp;T$1,Pesos!$A:$I,9,FALSE)))</f>
        <v>0.8</v>
      </c>
      <c r="AN68" s="80">
        <f>IF(U68="","",IF(U68="SIM",VLOOKUP($I68&amp;$J68&amp;U$1,Pesos!$A:$I,7,FALSE),VLOOKUP($I68&amp;$J68&amp;U$1,Pesos!$A:$I,9,FALSE)))</f>
        <v>0.8</v>
      </c>
      <c r="AO68" s="80">
        <f>IF(V68="","",IF(V68="SIM",VLOOKUP($I68&amp;$J68&amp;V$1,Pesos!$A:$I,7,FALSE),VLOOKUP($I68&amp;$J68&amp;V$1,Pesos!$A:$I,9,FALSE)))</f>
        <v>0.8</v>
      </c>
      <c r="AP68" s="80">
        <f>IF(W68="","",IF(W68="SIM",VLOOKUP($I68&amp;$J68&amp;W$1,Pesos!$A:$I,7,FALSE),VLOOKUP($I68&amp;$J68&amp;W$1,Pesos!$A:$I,9,FALSE)))</f>
        <v>0.8</v>
      </c>
      <c r="AQ68" s="80">
        <f>IF(X68="","",IF(X68="SIM",VLOOKUP($I68&amp;$J68&amp;X$1,Pesos!$A:$I,7,FALSE),VLOOKUP($I68&amp;$J68&amp;X$1,Pesos!$A:$I,9,FALSE)))</f>
        <v>0.8</v>
      </c>
      <c r="AR68" s="80">
        <f>IF(Y68="","",IF(Y68="SIM",VLOOKUP($I68&amp;$J68&amp;Y$1,Pesos!$A:$I,7,FALSE),VLOOKUP($I68&amp;$J68&amp;Y$1,Pesos!$A:$I,9,FALSE)))</f>
        <v>0.8</v>
      </c>
      <c r="AS68" s="81">
        <f>IFERROR(Z68*VLOOKUP(J68,'BD Campos'!$Y$1:$Z$12,2,FALSE),"0")</f>
        <v>10</v>
      </c>
    </row>
    <row r="69" spans="1:45" x14ac:dyDescent="0.35">
      <c r="A69" s="68" t="str">
        <f t="shared" si="17"/>
        <v>Jan202511051ReceptivaTRANSFERÊNCIA</v>
      </c>
      <c r="B69" s="69" t="str">
        <f t="shared" si="18"/>
        <v>Jan2025110515TRANSFERÊNCIAPADRÃO</v>
      </c>
      <c r="C69" s="70">
        <v>1</v>
      </c>
      <c r="D69" s="71">
        <v>45671.717027430554</v>
      </c>
      <c r="E69" s="112" t="s">
        <v>74</v>
      </c>
      <c r="F69" s="113">
        <v>11051</v>
      </c>
      <c r="G69" s="69" t="s">
        <v>380</v>
      </c>
      <c r="H69" s="73">
        <v>5</v>
      </c>
      <c r="I69" s="69" t="s">
        <v>6</v>
      </c>
      <c r="J69" s="69" t="s">
        <v>98</v>
      </c>
      <c r="K69" s="69" t="s">
        <v>106</v>
      </c>
      <c r="L69" s="74"/>
      <c r="M69" s="75">
        <v>9.1435185185185185E-4</v>
      </c>
      <c r="N69" s="76" t="s">
        <v>79</v>
      </c>
      <c r="O69" s="76" t="s">
        <v>79</v>
      </c>
      <c r="P69" s="76" t="s">
        <v>79</v>
      </c>
      <c r="Q69" s="76" t="s">
        <v>79</v>
      </c>
      <c r="R69" s="76" t="s">
        <v>79</v>
      </c>
      <c r="S69" s="76" t="s">
        <v>79</v>
      </c>
      <c r="T69" s="76" t="s">
        <v>79</v>
      </c>
      <c r="U69" s="76" t="s">
        <v>79</v>
      </c>
      <c r="V69" s="76" t="s">
        <v>79</v>
      </c>
      <c r="W69" s="76" t="s">
        <v>79</v>
      </c>
      <c r="X69" s="76" t="s">
        <v>79</v>
      </c>
      <c r="Y69" s="76" t="s">
        <v>79</v>
      </c>
      <c r="Z69" s="77">
        <f t="shared" si="2"/>
        <v>10</v>
      </c>
      <c r="AA69" s="78"/>
      <c r="AB69" s="78"/>
      <c r="AC69" s="72" t="s">
        <v>47</v>
      </c>
      <c r="AE69" s="79" t="str">
        <f t="shared" si="19"/>
        <v>Jan11051</v>
      </c>
      <c r="AF69" s="80">
        <f>IF(N69="","",IF(N69="SIM",VLOOKUP($I69&amp;$J69&amp;N$1,Pesos!$A:$I,7,FALSE),VLOOKUP($I69&amp;$J69&amp;N$1,Pesos!$A:$I,9,FALSE)))</f>
        <v>0.8</v>
      </c>
      <c r="AG69" s="80">
        <f>IF(O69="","",IF(O69="SIM",VLOOKUP($I69&amp;$J69&amp;O$1,Pesos!$A:$I,7,FALSE),VLOOKUP($I69&amp;$J69&amp;O$1,Pesos!$A:$I,9,FALSE)))</f>
        <v>0.8</v>
      </c>
      <c r="AH69" s="80">
        <f>IF(P69="","",IF(P69="SIM",VLOOKUP($I69&amp;$J69&amp;P$1,Pesos!$A:$I,7,FALSE),VLOOKUP($I69&amp;$J69&amp;P$1,Pesos!$A:$I,9,FALSE)))</f>
        <v>1.2</v>
      </c>
      <c r="AI69" s="80">
        <f>IF(Q69="","",IF(Q69="SIM",VLOOKUP($I69&amp;$J69&amp;Q$1,Pesos!$A:$I,7,FALSE),VLOOKUP($I69&amp;$J69&amp;Q$1,Pesos!$A:$I,9,FALSE)))</f>
        <v>0.8</v>
      </c>
      <c r="AJ69" s="80">
        <f>IF(R69="","",IF(R69="SIM",VLOOKUP($I69&amp;$J69&amp;R$1,Pesos!$A:$I,7,FALSE),VLOOKUP($I69&amp;$J69&amp;R$1,Pesos!$A:$I,9,FALSE)))</f>
        <v>0.8</v>
      </c>
      <c r="AK69" s="80">
        <f>IF(S69="","",IF(S69="SIM",VLOOKUP($I69&amp;$J69&amp;S$1,Pesos!$A:$I,7,FALSE),VLOOKUP($I69&amp;$J69&amp;S$1,Pesos!$A:$I,9,FALSE)))</f>
        <v>0.8</v>
      </c>
      <c r="AL69" s="80">
        <f t="shared" si="20"/>
        <v>5.1999999999999993</v>
      </c>
      <c r="AM69" s="80">
        <f>IF(T69="","",IF(T69="SIM",VLOOKUP($I69&amp;$J69&amp;T$1,Pesos!$A:$I,7,FALSE),VLOOKUP($I69&amp;$J69&amp;T$1,Pesos!$A:$I,9,FALSE)))</f>
        <v>0.8</v>
      </c>
      <c r="AN69" s="80">
        <f>IF(U69="","",IF(U69="SIM",VLOOKUP($I69&amp;$J69&amp;U$1,Pesos!$A:$I,7,FALSE),VLOOKUP($I69&amp;$J69&amp;U$1,Pesos!$A:$I,9,FALSE)))</f>
        <v>0.8</v>
      </c>
      <c r="AO69" s="80">
        <f>IF(V69="","",IF(V69="SIM",VLOOKUP($I69&amp;$J69&amp;V$1,Pesos!$A:$I,7,FALSE),VLOOKUP($I69&amp;$J69&amp;V$1,Pesos!$A:$I,9,FALSE)))</f>
        <v>0.8</v>
      </c>
      <c r="AP69" s="80">
        <f>IF(W69="","",IF(W69="SIM",VLOOKUP($I69&amp;$J69&amp;W$1,Pesos!$A:$I,7,FALSE),VLOOKUP($I69&amp;$J69&amp;W$1,Pesos!$A:$I,9,FALSE)))</f>
        <v>0.8</v>
      </c>
      <c r="AQ69" s="80">
        <f>IF(X69="","",IF(X69="SIM",VLOOKUP($I69&amp;$J69&amp;X$1,Pesos!$A:$I,7,FALSE),VLOOKUP($I69&amp;$J69&amp;X$1,Pesos!$A:$I,9,FALSE)))</f>
        <v>0.8</v>
      </c>
      <c r="AR69" s="80">
        <f>IF(Y69="","",IF(Y69="SIM",VLOOKUP($I69&amp;$J69&amp;Y$1,Pesos!$A:$I,7,FALSE),VLOOKUP($I69&amp;$J69&amp;Y$1,Pesos!$A:$I,9,FALSE)))</f>
        <v>0.8</v>
      </c>
      <c r="AS69" s="81">
        <f>IFERROR(Z69*VLOOKUP(J69,'BD Campos'!$Y$1:$Z$12,2,FALSE),"0")</f>
        <v>10</v>
      </c>
    </row>
    <row r="70" spans="1:45" x14ac:dyDescent="0.35">
      <c r="A70" s="68" t="str">
        <f t="shared" si="17"/>
        <v>Jan202511053ReceptivaTRANSFERÊNCIA</v>
      </c>
      <c r="B70" s="69" t="str">
        <f t="shared" si="18"/>
        <v>Jan2025110535TRANSFERÊNCIAPADRÃO</v>
      </c>
      <c r="C70" s="70">
        <v>1</v>
      </c>
      <c r="D70" s="71">
        <v>45671.717797685182</v>
      </c>
      <c r="E70" s="112" t="s">
        <v>74</v>
      </c>
      <c r="F70" s="113">
        <v>11053</v>
      </c>
      <c r="G70" s="69" t="s">
        <v>378</v>
      </c>
      <c r="H70" s="73">
        <v>5</v>
      </c>
      <c r="I70" s="69" t="s">
        <v>6</v>
      </c>
      <c r="J70" s="69" t="s">
        <v>98</v>
      </c>
      <c r="K70" s="69" t="s">
        <v>106</v>
      </c>
      <c r="L70" s="74"/>
      <c r="M70" s="75">
        <v>9.8379629629629642E-4</v>
      </c>
      <c r="N70" s="76" t="s">
        <v>79</v>
      </c>
      <c r="O70" s="76" t="s">
        <v>79</v>
      </c>
      <c r="P70" s="76" t="s">
        <v>79</v>
      </c>
      <c r="Q70" s="76" t="s">
        <v>79</v>
      </c>
      <c r="R70" s="76" t="s">
        <v>79</v>
      </c>
      <c r="S70" s="76" t="s">
        <v>79</v>
      </c>
      <c r="T70" s="76" t="s">
        <v>79</v>
      </c>
      <c r="U70" s="76" t="s">
        <v>79</v>
      </c>
      <c r="V70" s="76" t="s">
        <v>79</v>
      </c>
      <c r="W70" s="76" t="s">
        <v>79</v>
      </c>
      <c r="X70" s="76" t="s">
        <v>79</v>
      </c>
      <c r="Y70" s="76" t="s">
        <v>79</v>
      </c>
      <c r="Z70" s="77">
        <f t="shared" si="2"/>
        <v>10</v>
      </c>
      <c r="AA70" s="78"/>
      <c r="AB70" s="78"/>
      <c r="AC70" s="72" t="s">
        <v>47</v>
      </c>
      <c r="AE70" s="79" t="str">
        <f t="shared" si="19"/>
        <v>Jan11053</v>
      </c>
      <c r="AF70" s="80">
        <f>IF(N70="","",IF(N70="SIM",VLOOKUP($I70&amp;$J70&amp;N$1,Pesos!$A:$I,7,FALSE),VLOOKUP($I70&amp;$J70&amp;N$1,Pesos!$A:$I,9,FALSE)))</f>
        <v>0.8</v>
      </c>
      <c r="AG70" s="80">
        <f>IF(O70="","",IF(O70="SIM",VLOOKUP($I70&amp;$J70&amp;O$1,Pesos!$A:$I,7,FALSE),VLOOKUP($I70&amp;$J70&amp;O$1,Pesos!$A:$I,9,FALSE)))</f>
        <v>0.8</v>
      </c>
      <c r="AH70" s="80">
        <f>IF(P70="","",IF(P70="SIM",VLOOKUP($I70&amp;$J70&amp;P$1,Pesos!$A:$I,7,FALSE),VLOOKUP($I70&amp;$J70&amp;P$1,Pesos!$A:$I,9,FALSE)))</f>
        <v>1.2</v>
      </c>
      <c r="AI70" s="80">
        <f>IF(Q70="","",IF(Q70="SIM",VLOOKUP($I70&amp;$J70&amp;Q$1,Pesos!$A:$I,7,FALSE),VLOOKUP($I70&amp;$J70&amp;Q$1,Pesos!$A:$I,9,FALSE)))</f>
        <v>0.8</v>
      </c>
      <c r="AJ70" s="80">
        <f>IF(R70="","",IF(R70="SIM",VLOOKUP($I70&amp;$J70&amp;R$1,Pesos!$A:$I,7,FALSE),VLOOKUP($I70&amp;$J70&amp;R$1,Pesos!$A:$I,9,FALSE)))</f>
        <v>0.8</v>
      </c>
      <c r="AK70" s="80">
        <f>IF(S70="","",IF(S70="SIM",VLOOKUP($I70&amp;$J70&amp;S$1,Pesos!$A:$I,7,FALSE),VLOOKUP($I70&amp;$J70&amp;S$1,Pesos!$A:$I,9,FALSE)))</f>
        <v>0.8</v>
      </c>
      <c r="AL70" s="80">
        <f t="shared" si="20"/>
        <v>5.1999999999999993</v>
      </c>
      <c r="AM70" s="80">
        <f>IF(T70="","",IF(T70="SIM",VLOOKUP($I70&amp;$J70&amp;T$1,Pesos!$A:$I,7,FALSE),VLOOKUP($I70&amp;$J70&amp;T$1,Pesos!$A:$I,9,FALSE)))</f>
        <v>0.8</v>
      </c>
      <c r="AN70" s="80">
        <f>IF(U70="","",IF(U70="SIM",VLOOKUP($I70&amp;$J70&amp;U$1,Pesos!$A:$I,7,FALSE),VLOOKUP($I70&amp;$J70&amp;U$1,Pesos!$A:$I,9,FALSE)))</f>
        <v>0.8</v>
      </c>
      <c r="AO70" s="80">
        <f>IF(V70="","",IF(V70="SIM",VLOOKUP($I70&amp;$J70&amp;V$1,Pesos!$A:$I,7,FALSE),VLOOKUP($I70&amp;$J70&amp;V$1,Pesos!$A:$I,9,FALSE)))</f>
        <v>0.8</v>
      </c>
      <c r="AP70" s="80">
        <f>IF(W70="","",IF(W70="SIM",VLOOKUP($I70&amp;$J70&amp;W$1,Pesos!$A:$I,7,FALSE),VLOOKUP($I70&amp;$J70&amp;W$1,Pesos!$A:$I,9,FALSE)))</f>
        <v>0.8</v>
      </c>
      <c r="AQ70" s="80">
        <f>IF(X70="","",IF(X70="SIM",VLOOKUP($I70&amp;$J70&amp;X$1,Pesos!$A:$I,7,FALSE),VLOOKUP($I70&amp;$J70&amp;X$1,Pesos!$A:$I,9,FALSE)))</f>
        <v>0.8</v>
      </c>
      <c r="AR70" s="80">
        <f>IF(Y70="","",IF(Y70="SIM",VLOOKUP($I70&amp;$J70&amp;Y$1,Pesos!$A:$I,7,FALSE),VLOOKUP($I70&amp;$J70&amp;Y$1,Pesos!$A:$I,9,FALSE)))</f>
        <v>0.8</v>
      </c>
      <c r="AS70" s="81">
        <f>IFERROR(Z70*VLOOKUP(J70,'BD Campos'!$Y$1:$Z$12,2,FALSE),"0")</f>
        <v>10</v>
      </c>
    </row>
    <row r="71" spans="1:45" x14ac:dyDescent="0.35">
      <c r="A71" s="68" t="str">
        <f t="shared" si="17"/>
        <v>Jan202511094ReceptivaTRANSFERÊNCIA</v>
      </c>
      <c r="B71" s="69" t="str">
        <f t="shared" si="18"/>
        <v>Jan2025110945TRANSFERÊNCIAPADRÃO</v>
      </c>
      <c r="C71" s="70">
        <v>1</v>
      </c>
      <c r="D71" s="71">
        <v>45671.718692476854</v>
      </c>
      <c r="E71" s="112" t="s">
        <v>74</v>
      </c>
      <c r="F71" s="113">
        <v>11094</v>
      </c>
      <c r="G71" s="69" t="s">
        <v>418</v>
      </c>
      <c r="H71" s="73">
        <v>5</v>
      </c>
      <c r="I71" s="69" t="s">
        <v>6</v>
      </c>
      <c r="J71" s="69" t="s">
        <v>98</v>
      </c>
      <c r="K71" s="69" t="s">
        <v>106</v>
      </c>
      <c r="L71" s="74"/>
      <c r="M71" s="75">
        <v>1.3773148148148147E-3</v>
      </c>
      <c r="N71" s="76" t="s">
        <v>79</v>
      </c>
      <c r="O71" s="76" t="s">
        <v>79</v>
      </c>
      <c r="P71" s="76" t="s">
        <v>79</v>
      </c>
      <c r="Q71" s="76" t="s">
        <v>79</v>
      </c>
      <c r="R71" s="76" t="s">
        <v>79</v>
      </c>
      <c r="S71" s="76" t="s">
        <v>79</v>
      </c>
      <c r="T71" s="76" t="s">
        <v>79</v>
      </c>
      <c r="U71" s="76" t="s">
        <v>79</v>
      </c>
      <c r="V71" s="76" t="s">
        <v>79</v>
      </c>
      <c r="W71" s="76" t="s">
        <v>79</v>
      </c>
      <c r="X71" s="76" t="s">
        <v>79</v>
      </c>
      <c r="Y71" s="76" t="s">
        <v>79</v>
      </c>
      <c r="Z71" s="77">
        <f t="shared" si="2"/>
        <v>10</v>
      </c>
      <c r="AA71" s="78"/>
      <c r="AB71" s="78"/>
      <c r="AC71" s="72" t="s">
        <v>47</v>
      </c>
      <c r="AE71" s="79" t="str">
        <f t="shared" si="19"/>
        <v>Jan11094</v>
      </c>
      <c r="AF71" s="80">
        <f>IF(N71="","",IF(N71="SIM",VLOOKUP($I71&amp;$J71&amp;N$1,Pesos!$A:$I,7,FALSE),VLOOKUP($I71&amp;$J71&amp;N$1,Pesos!$A:$I,9,FALSE)))</f>
        <v>0.8</v>
      </c>
      <c r="AG71" s="80">
        <f>IF(O71="","",IF(O71="SIM",VLOOKUP($I71&amp;$J71&amp;O$1,Pesos!$A:$I,7,FALSE),VLOOKUP($I71&amp;$J71&amp;O$1,Pesos!$A:$I,9,FALSE)))</f>
        <v>0.8</v>
      </c>
      <c r="AH71" s="80">
        <f>IF(P71="","",IF(P71="SIM",VLOOKUP($I71&amp;$J71&amp;P$1,Pesos!$A:$I,7,FALSE),VLOOKUP($I71&amp;$J71&amp;P$1,Pesos!$A:$I,9,FALSE)))</f>
        <v>1.2</v>
      </c>
      <c r="AI71" s="80">
        <f>IF(Q71="","",IF(Q71="SIM",VLOOKUP($I71&amp;$J71&amp;Q$1,Pesos!$A:$I,7,FALSE),VLOOKUP($I71&amp;$J71&amp;Q$1,Pesos!$A:$I,9,FALSE)))</f>
        <v>0.8</v>
      </c>
      <c r="AJ71" s="80">
        <f>IF(R71="","",IF(R71="SIM",VLOOKUP($I71&amp;$J71&amp;R$1,Pesos!$A:$I,7,FALSE),VLOOKUP($I71&amp;$J71&amp;R$1,Pesos!$A:$I,9,FALSE)))</f>
        <v>0.8</v>
      </c>
      <c r="AK71" s="80">
        <f>IF(S71="","",IF(S71="SIM",VLOOKUP($I71&amp;$J71&amp;S$1,Pesos!$A:$I,7,FALSE),VLOOKUP($I71&amp;$J71&amp;S$1,Pesos!$A:$I,9,FALSE)))</f>
        <v>0.8</v>
      </c>
      <c r="AL71" s="80">
        <f t="shared" si="20"/>
        <v>5.1999999999999993</v>
      </c>
      <c r="AM71" s="80">
        <f>IF(T71="","",IF(T71="SIM",VLOOKUP($I71&amp;$J71&amp;T$1,Pesos!$A:$I,7,FALSE),VLOOKUP($I71&amp;$J71&amp;T$1,Pesos!$A:$I,9,FALSE)))</f>
        <v>0.8</v>
      </c>
      <c r="AN71" s="80">
        <f>IF(U71="","",IF(U71="SIM",VLOOKUP($I71&amp;$J71&amp;U$1,Pesos!$A:$I,7,FALSE),VLOOKUP($I71&amp;$J71&amp;U$1,Pesos!$A:$I,9,FALSE)))</f>
        <v>0.8</v>
      </c>
      <c r="AO71" s="80">
        <f>IF(V71="","",IF(V71="SIM",VLOOKUP($I71&amp;$J71&amp;V$1,Pesos!$A:$I,7,FALSE),VLOOKUP($I71&amp;$J71&amp;V$1,Pesos!$A:$I,9,FALSE)))</f>
        <v>0.8</v>
      </c>
      <c r="AP71" s="80">
        <f>IF(W71="","",IF(W71="SIM",VLOOKUP($I71&amp;$J71&amp;W$1,Pesos!$A:$I,7,FALSE),VLOOKUP($I71&amp;$J71&amp;W$1,Pesos!$A:$I,9,FALSE)))</f>
        <v>0.8</v>
      </c>
      <c r="AQ71" s="80">
        <f>IF(X71="","",IF(X71="SIM",VLOOKUP($I71&amp;$J71&amp;X$1,Pesos!$A:$I,7,FALSE),VLOOKUP($I71&amp;$J71&amp;X$1,Pesos!$A:$I,9,FALSE)))</f>
        <v>0.8</v>
      </c>
      <c r="AR71" s="80">
        <f>IF(Y71="","",IF(Y71="SIM",VLOOKUP($I71&amp;$J71&amp;Y$1,Pesos!$A:$I,7,FALSE),VLOOKUP($I71&amp;$J71&amp;Y$1,Pesos!$A:$I,9,FALSE)))</f>
        <v>0.8</v>
      </c>
      <c r="AS71" s="81">
        <f>IFERROR(Z71*VLOOKUP(J71,'BD Campos'!$Y$1:$Z$12,2,FALSE),"0")</f>
        <v>10</v>
      </c>
    </row>
    <row r="72" spans="1:45" x14ac:dyDescent="0.35">
      <c r="A72" s="68" t="str">
        <f t="shared" si="17"/>
        <v>Jan202511124ReceptivaTRANSFERÊNCIA</v>
      </c>
      <c r="B72" s="69" t="str">
        <f t="shared" si="18"/>
        <v>Jan2025111245TRANSFERÊNCIAPADRÃO</v>
      </c>
      <c r="C72" s="70">
        <v>1</v>
      </c>
      <c r="D72" s="71">
        <v>45671.719628819446</v>
      </c>
      <c r="E72" s="112" t="s">
        <v>74</v>
      </c>
      <c r="F72" s="113">
        <v>11124</v>
      </c>
      <c r="G72" s="69" t="s">
        <v>434</v>
      </c>
      <c r="H72" s="73">
        <v>5</v>
      </c>
      <c r="I72" s="69" t="s">
        <v>6</v>
      </c>
      <c r="J72" s="69" t="s">
        <v>98</v>
      </c>
      <c r="K72" s="69" t="s">
        <v>106</v>
      </c>
      <c r="L72" s="74"/>
      <c r="M72" s="75">
        <v>1.2847222222222223E-3</v>
      </c>
      <c r="N72" s="76" t="s">
        <v>79</v>
      </c>
      <c r="O72" s="76" t="s">
        <v>79</v>
      </c>
      <c r="P72" s="76" t="s">
        <v>79</v>
      </c>
      <c r="Q72" s="76" t="s">
        <v>79</v>
      </c>
      <c r="R72" s="76" t="s">
        <v>79</v>
      </c>
      <c r="S72" s="76" t="s">
        <v>79</v>
      </c>
      <c r="T72" s="76" t="s">
        <v>79</v>
      </c>
      <c r="U72" s="76" t="s">
        <v>79</v>
      </c>
      <c r="V72" s="76" t="s">
        <v>79</v>
      </c>
      <c r="W72" s="76" t="s">
        <v>79</v>
      </c>
      <c r="X72" s="76" t="s">
        <v>79</v>
      </c>
      <c r="Y72" s="76" t="s">
        <v>79</v>
      </c>
      <c r="Z72" s="77">
        <f t="shared" si="2"/>
        <v>10</v>
      </c>
      <c r="AA72" s="78"/>
      <c r="AB72" s="78"/>
      <c r="AC72" s="72" t="s">
        <v>47</v>
      </c>
      <c r="AE72" s="79" t="str">
        <f t="shared" si="19"/>
        <v>Jan11124</v>
      </c>
      <c r="AF72" s="80">
        <f>IF(N72="","",IF(N72="SIM",VLOOKUP($I72&amp;$J72&amp;N$1,Pesos!$A:$I,7,FALSE),VLOOKUP($I72&amp;$J72&amp;N$1,Pesos!$A:$I,9,FALSE)))</f>
        <v>0.8</v>
      </c>
      <c r="AG72" s="80">
        <f>IF(O72="","",IF(O72="SIM",VLOOKUP($I72&amp;$J72&amp;O$1,Pesos!$A:$I,7,FALSE),VLOOKUP($I72&amp;$J72&amp;O$1,Pesos!$A:$I,9,FALSE)))</f>
        <v>0.8</v>
      </c>
      <c r="AH72" s="80">
        <f>IF(P72="","",IF(P72="SIM",VLOOKUP($I72&amp;$J72&amp;P$1,Pesos!$A:$I,7,FALSE),VLOOKUP($I72&amp;$J72&amp;P$1,Pesos!$A:$I,9,FALSE)))</f>
        <v>1.2</v>
      </c>
      <c r="AI72" s="80">
        <f>IF(Q72="","",IF(Q72="SIM",VLOOKUP($I72&amp;$J72&amp;Q$1,Pesos!$A:$I,7,FALSE),VLOOKUP($I72&amp;$J72&amp;Q$1,Pesos!$A:$I,9,FALSE)))</f>
        <v>0.8</v>
      </c>
      <c r="AJ72" s="80">
        <f>IF(R72="","",IF(R72="SIM",VLOOKUP($I72&amp;$J72&amp;R$1,Pesos!$A:$I,7,FALSE),VLOOKUP($I72&amp;$J72&amp;R$1,Pesos!$A:$I,9,FALSE)))</f>
        <v>0.8</v>
      </c>
      <c r="AK72" s="80">
        <f>IF(S72="","",IF(S72="SIM",VLOOKUP($I72&amp;$J72&amp;S$1,Pesos!$A:$I,7,FALSE),VLOOKUP($I72&amp;$J72&amp;S$1,Pesos!$A:$I,9,FALSE)))</f>
        <v>0.8</v>
      </c>
      <c r="AL72" s="80">
        <f t="shared" si="20"/>
        <v>5.1999999999999993</v>
      </c>
      <c r="AM72" s="80">
        <f>IF(T72="","",IF(T72="SIM",VLOOKUP($I72&amp;$J72&amp;T$1,Pesos!$A:$I,7,FALSE),VLOOKUP($I72&amp;$J72&amp;T$1,Pesos!$A:$I,9,FALSE)))</f>
        <v>0.8</v>
      </c>
      <c r="AN72" s="80">
        <f>IF(U72="","",IF(U72="SIM",VLOOKUP($I72&amp;$J72&amp;U$1,Pesos!$A:$I,7,FALSE),VLOOKUP($I72&amp;$J72&amp;U$1,Pesos!$A:$I,9,FALSE)))</f>
        <v>0.8</v>
      </c>
      <c r="AO72" s="80">
        <f>IF(V72="","",IF(V72="SIM",VLOOKUP($I72&amp;$J72&amp;V$1,Pesos!$A:$I,7,FALSE),VLOOKUP($I72&amp;$J72&amp;V$1,Pesos!$A:$I,9,FALSE)))</f>
        <v>0.8</v>
      </c>
      <c r="AP72" s="80">
        <f>IF(W72="","",IF(W72="SIM",VLOOKUP($I72&amp;$J72&amp;W$1,Pesos!$A:$I,7,FALSE),VLOOKUP($I72&amp;$J72&amp;W$1,Pesos!$A:$I,9,FALSE)))</f>
        <v>0.8</v>
      </c>
      <c r="AQ72" s="80">
        <f>IF(X72="","",IF(X72="SIM",VLOOKUP($I72&amp;$J72&amp;X$1,Pesos!$A:$I,7,FALSE),VLOOKUP($I72&amp;$J72&amp;X$1,Pesos!$A:$I,9,FALSE)))</f>
        <v>0.8</v>
      </c>
      <c r="AR72" s="80">
        <f>IF(Y72="","",IF(Y72="SIM",VLOOKUP($I72&amp;$J72&amp;Y$1,Pesos!$A:$I,7,FALSE),VLOOKUP($I72&amp;$J72&amp;Y$1,Pesos!$A:$I,9,FALSE)))</f>
        <v>0.8</v>
      </c>
      <c r="AS72" s="81">
        <f>IFERROR(Z72*VLOOKUP(J72,'BD Campos'!$Y$1:$Z$12,2,FALSE),"0")</f>
        <v>10</v>
      </c>
    </row>
    <row r="73" spans="1:45" x14ac:dyDescent="0.35">
      <c r="A73" s="68" t="str">
        <f t="shared" si="17"/>
        <v>Jan202511148ReceptivaTRANSFERÊNCIA</v>
      </c>
      <c r="B73" s="69" t="str">
        <f t="shared" si="18"/>
        <v>Jan2025111485TRANSFERÊNCIAPADRÃO</v>
      </c>
      <c r="C73" s="70">
        <v>1</v>
      </c>
      <c r="D73" s="71">
        <v>45671.72062847222</v>
      </c>
      <c r="E73" s="112" t="s">
        <v>74</v>
      </c>
      <c r="F73" s="113">
        <v>11148</v>
      </c>
      <c r="G73" s="69" t="s">
        <v>435</v>
      </c>
      <c r="H73" s="73">
        <v>5</v>
      </c>
      <c r="I73" s="69" t="s">
        <v>6</v>
      </c>
      <c r="J73" s="69" t="s">
        <v>98</v>
      </c>
      <c r="K73" s="69" t="s">
        <v>106</v>
      </c>
      <c r="L73" s="74"/>
      <c r="M73" s="75">
        <v>7.407407407407407E-4</v>
      </c>
      <c r="N73" s="76" t="s">
        <v>79</v>
      </c>
      <c r="O73" s="76" t="s">
        <v>79</v>
      </c>
      <c r="P73" s="76" t="s">
        <v>79</v>
      </c>
      <c r="Q73" s="76" t="s">
        <v>79</v>
      </c>
      <c r="R73" s="76" t="s">
        <v>79</v>
      </c>
      <c r="S73" s="76" t="s">
        <v>79</v>
      </c>
      <c r="T73" s="76" t="s">
        <v>79</v>
      </c>
      <c r="U73" s="76" t="s">
        <v>79</v>
      </c>
      <c r="V73" s="76" t="s">
        <v>79</v>
      </c>
      <c r="W73" s="76" t="s">
        <v>79</v>
      </c>
      <c r="X73" s="76" t="s">
        <v>79</v>
      </c>
      <c r="Y73" s="76" t="s">
        <v>79</v>
      </c>
      <c r="Z73" s="77">
        <f t="shared" si="2"/>
        <v>10</v>
      </c>
      <c r="AA73" s="78"/>
      <c r="AB73" s="78"/>
      <c r="AC73" s="72" t="s">
        <v>47</v>
      </c>
      <c r="AE73" s="79" t="str">
        <f t="shared" si="19"/>
        <v>Jan11148</v>
      </c>
      <c r="AF73" s="80">
        <f>IF(N73="","",IF(N73="SIM",VLOOKUP($I73&amp;$J73&amp;N$1,Pesos!$A:$I,7,FALSE),VLOOKUP($I73&amp;$J73&amp;N$1,Pesos!$A:$I,9,FALSE)))</f>
        <v>0.8</v>
      </c>
      <c r="AG73" s="80">
        <f>IF(O73="","",IF(O73="SIM",VLOOKUP($I73&amp;$J73&amp;O$1,Pesos!$A:$I,7,FALSE),VLOOKUP($I73&amp;$J73&amp;O$1,Pesos!$A:$I,9,FALSE)))</f>
        <v>0.8</v>
      </c>
      <c r="AH73" s="80">
        <f>IF(P73="","",IF(P73="SIM",VLOOKUP($I73&amp;$J73&amp;P$1,Pesos!$A:$I,7,FALSE),VLOOKUP($I73&amp;$J73&amp;P$1,Pesos!$A:$I,9,FALSE)))</f>
        <v>1.2</v>
      </c>
      <c r="AI73" s="80">
        <f>IF(Q73="","",IF(Q73="SIM",VLOOKUP($I73&amp;$J73&amp;Q$1,Pesos!$A:$I,7,FALSE),VLOOKUP($I73&amp;$J73&amp;Q$1,Pesos!$A:$I,9,FALSE)))</f>
        <v>0.8</v>
      </c>
      <c r="AJ73" s="80">
        <f>IF(R73="","",IF(R73="SIM",VLOOKUP($I73&amp;$J73&amp;R$1,Pesos!$A:$I,7,FALSE),VLOOKUP($I73&amp;$J73&amp;R$1,Pesos!$A:$I,9,FALSE)))</f>
        <v>0.8</v>
      </c>
      <c r="AK73" s="80">
        <f>IF(S73="","",IF(S73="SIM",VLOOKUP($I73&amp;$J73&amp;S$1,Pesos!$A:$I,7,FALSE),VLOOKUP($I73&amp;$J73&amp;S$1,Pesos!$A:$I,9,FALSE)))</f>
        <v>0.8</v>
      </c>
      <c r="AL73" s="80">
        <f t="shared" si="20"/>
        <v>5.1999999999999993</v>
      </c>
      <c r="AM73" s="80">
        <f>IF(T73="","",IF(T73="SIM",VLOOKUP($I73&amp;$J73&amp;T$1,Pesos!$A:$I,7,FALSE),VLOOKUP($I73&amp;$J73&amp;T$1,Pesos!$A:$I,9,FALSE)))</f>
        <v>0.8</v>
      </c>
      <c r="AN73" s="80">
        <f>IF(U73="","",IF(U73="SIM",VLOOKUP($I73&amp;$J73&amp;U$1,Pesos!$A:$I,7,FALSE),VLOOKUP($I73&amp;$J73&amp;U$1,Pesos!$A:$I,9,FALSE)))</f>
        <v>0.8</v>
      </c>
      <c r="AO73" s="80">
        <f>IF(V73="","",IF(V73="SIM",VLOOKUP($I73&amp;$J73&amp;V$1,Pesos!$A:$I,7,FALSE),VLOOKUP($I73&amp;$J73&amp;V$1,Pesos!$A:$I,9,FALSE)))</f>
        <v>0.8</v>
      </c>
      <c r="AP73" s="80">
        <f>IF(W73="","",IF(W73="SIM",VLOOKUP($I73&amp;$J73&amp;W$1,Pesos!$A:$I,7,FALSE),VLOOKUP($I73&amp;$J73&amp;W$1,Pesos!$A:$I,9,FALSE)))</f>
        <v>0.8</v>
      </c>
      <c r="AQ73" s="80">
        <f>IF(X73="","",IF(X73="SIM",VLOOKUP($I73&amp;$J73&amp;X$1,Pesos!$A:$I,7,FALSE),VLOOKUP($I73&amp;$J73&amp;X$1,Pesos!$A:$I,9,FALSE)))</f>
        <v>0.8</v>
      </c>
      <c r="AR73" s="80">
        <f>IF(Y73="","",IF(Y73="SIM",VLOOKUP($I73&amp;$J73&amp;Y$1,Pesos!$A:$I,7,FALSE),VLOOKUP($I73&amp;$J73&amp;Y$1,Pesos!$A:$I,9,FALSE)))</f>
        <v>0.8</v>
      </c>
      <c r="AS73" s="81">
        <f>IFERROR(Z73*VLOOKUP(J73,'BD Campos'!$Y$1:$Z$12,2,FALSE),"0")</f>
        <v>10</v>
      </c>
    </row>
    <row r="74" spans="1:45" x14ac:dyDescent="0.35">
      <c r="A74" s="68" t="str">
        <f t="shared" si="17"/>
        <v>Jan202511187ReceptivaTRANSFERÊNCIA</v>
      </c>
      <c r="B74" s="69" t="str">
        <f t="shared" si="18"/>
        <v>Jan2025111875TRANSFERÊNCIAPADRÃO</v>
      </c>
      <c r="C74" s="70">
        <v>1</v>
      </c>
      <c r="D74" s="71">
        <v>45671.721455671293</v>
      </c>
      <c r="E74" s="112" t="s">
        <v>74</v>
      </c>
      <c r="F74" s="113">
        <v>11187</v>
      </c>
      <c r="G74" s="69" t="s">
        <v>1362</v>
      </c>
      <c r="H74" s="73">
        <v>5</v>
      </c>
      <c r="I74" s="69" t="s">
        <v>6</v>
      </c>
      <c r="J74" s="69" t="s">
        <v>98</v>
      </c>
      <c r="K74" s="69" t="s">
        <v>106</v>
      </c>
      <c r="L74" s="74"/>
      <c r="M74" s="75">
        <v>8.564814814814815E-4</v>
      </c>
      <c r="N74" s="76" t="s">
        <v>79</v>
      </c>
      <c r="O74" s="76" t="s">
        <v>79</v>
      </c>
      <c r="P74" s="76" t="s">
        <v>79</v>
      </c>
      <c r="Q74" s="76" t="s">
        <v>79</v>
      </c>
      <c r="R74" s="76" t="s">
        <v>79</v>
      </c>
      <c r="S74" s="76" t="s">
        <v>79</v>
      </c>
      <c r="T74" s="76" t="s">
        <v>79</v>
      </c>
      <c r="U74" s="76" t="s">
        <v>79</v>
      </c>
      <c r="V74" s="76" t="s">
        <v>79</v>
      </c>
      <c r="W74" s="76" t="s">
        <v>79</v>
      </c>
      <c r="X74" s="76" t="s">
        <v>79</v>
      </c>
      <c r="Y74" s="76" t="s">
        <v>79</v>
      </c>
      <c r="Z74" s="77">
        <f t="shared" si="2"/>
        <v>10</v>
      </c>
      <c r="AA74" s="78"/>
      <c r="AB74" s="78"/>
      <c r="AC74" s="72" t="s">
        <v>47</v>
      </c>
      <c r="AE74" s="79" t="str">
        <f t="shared" si="19"/>
        <v>Jan11187</v>
      </c>
      <c r="AF74" s="80">
        <f>IF(N74="","",IF(N74="SIM",VLOOKUP($I74&amp;$J74&amp;N$1,Pesos!$A:$I,7,FALSE),VLOOKUP($I74&amp;$J74&amp;N$1,Pesos!$A:$I,9,FALSE)))</f>
        <v>0.8</v>
      </c>
      <c r="AG74" s="80">
        <f>IF(O74="","",IF(O74="SIM",VLOOKUP($I74&amp;$J74&amp;O$1,Pesos!$A:$I,7,FALSE),VLOOKUP($I74&amp;$J74&amp;O$1,Pesos!$A:$I,9,FALSE)))</f>
        <v>0.8</v>
      </c>
      <c r="AH74" s="80">
        <f>IF(P74="","",IF(P74="SIM",VLOOKUP($I74&amp;$J74&amp;P$1,Pesos!$A:$I,7,FALSE),VLOOKUP($I74&amp;$J74&amp;P$1,Pesos!$A:$I,9,FALSE)))</f>
        <v>1.2</v>
      </c>
      <c r="AI74" s="80">
        <f>IF(Q74="","",IF(Q74="SIM",VLOOKUP($I74&amp;$J74&amp;Q$1,Pesos!$A:$I,7,FALSE),VLOOKUP($I74&amp;$J74&amp;Q$1,Pesos!$A:$I,9,FALSE)))</f>
        <v>0.8</v>
      </c>
      <c r="AJ74" s="80">
        <f>IF(R74="","",IF(R74="SIM",VLOOKUP($I74&amp;$J74&amp;R$1,Pesos!$A:$I,7,FALSE),VLOOKUP($I74&amp;$J74&amp;R$1,Pesos!$A:$I,9,FALSE)))</f>
        <v>0.8</v>
      </c>
      <c r="AK74" s="80">
        <f>IF(S74="","",IF(S74="SIM",VLOOKUP($I74&amp;$J74&amp;S$1,Pesos!$A:$I,7,FALSE),VLOOKUP($I74&amp;$J74&amp;S$1,Pesos!$A:$I,9,FALSE)))</f>
        <v>0.8</v>
      </c>
      <c r="AL74" s="80">
        <f t="shared" si="20"/>
        <v>5.1999999999999993</v>
      </c>
      <c r="AM74" s="80">
        <f>IF(T74="","",IF(T74="SIM",VLOOKUP($I74&amp;$J74&amp;T$1,Pesos!$A:$I,7,FALSE),VLOOKUP($I74&amp;$J74&amp;T$1,Pesos!$A:$I,9,FALSE)))</f>
        <v>0.8</v>
      </c>
      <c r="AN74" s="80">
        <f>IF(U74="","",IF(U74="SIM",VLOOKUP($I74&amp;$J74&amp;U$1,Pesos!$A:$I,7,FALSE),VLOOKUP($I74&amp;$J74&amp;U$1,Pesos!$A:$I,9,FALSE)))</f>
        <v>0.8</v>
      </c>
      <c r="AO74" s="80">
        <f>IF(V74="","",IF(V74="SIM",VLOOKUP($I74&amp;$J74&amp;V$1,Pesos!$A:$I,7,FALSE),VLOOKUP($I74&amp;$J74&amp;V$1,Pesos!$A:$I,9,FALSE)))</f>
        <v>0.8</v>
      </c>
      <c r="AP74" s="80">
        <f>IF(W74="","",IF(W74="SIM",VLOOKUP($I74&amp;$J74&amp;W$1,Pesos!$A:$I,7,FALSE),VLOOKUP($I74&amp;$J74&amp;W$1,Pesos!$A:$I,9,FALSE)))</f>
        <v>0.8</v>
      </c>
      <c r="AQ74" s="80">
        <f>IF(X74="","",IF(X74="SIM",VLOOKUP($I74&amp;$J74&amp;X$1,Pesos!$A:$I,7,FALSE),VLOOKUP($I74&amp;$J74&amp;X$1,Pesos!$A:$I,9,FALSE)))</f>
        <v>0.8</v>
      </c>
      <c r="AR74" s="80">
        <f>IF(Y74="","",IF(Y74="SIM",VLOOKUP($I74&amp;$J74&amp;Y$1,Pesos!$A:$I,7,FALSE),VLOOKUP($I74&amp;$J74&amp;Y$1,Pesos!$A:$I,9,FALSE)))</f>
        <v>0.8</v>
      </c>
      <c r="AS74" s="81">
        <f>IFERROR(Z74*VLOOKUP(J74,'BD Campos'!$Y$1:$Z$12,2,FALSE),"0")</f>
        <v>10</v>
      </c>
    </row>
    <row r="75" spans="1:45" x14ac:dyDescent="0.35">
      <c r="A75" s="68" t="str">
        <f t="shared" si="17"/>
        <v>Jan202511196ReceptivaTRANSFERÊNCIA</v>
      </c>
      <c r="B75" s="69" t="str">
        <f t="shared" si="18"/>
        <v>Jan2025111965TRANSFERÊNCIAPADRÃO</v>
      </c>
      <c r="C75" s="70">
        <v>1</v>
      </c>
      <c r="D75" s="71">
        <v>45671.722317245367</v>
      </c>
      <c r="E75" s="112" t="s">
        <v>74</v>
      </c>
      <c r="F75" s="113">
        <v>11196</v>
      </c>
      <c r="G75" s="69" t="s">
        <v>1384</v>
      </c>
      <c r="H75" s="73">
        <v>5</v>
      </c>
      <c r="I75" s="69" t="s">
        <v>6</v>
      </c>
      <c r="J75" s="69" t="s">
        <v>98</v>
      </c>
      <c r="K75" s="69" t="s">
        <v>106</v>
      </c>
      <c r="L75" s="74"/>
      <c r="M75" s="75">
        <v>1.2268518518518518E-3</v>
      </c>
      <c r="N75" s="76" t="s">
        <v>79</v>
      </c>
      <c r="O75" s="76" t="s">
        <v>79</v>
      </c>
      <c r="P75" s="76" t="s">
        <v>79</v>
      </c>
      <c r="Q75" s="76" t="s">
        <v>79</v>
      </c>
      <c r="R75" s="76" t="s">
        <v>79</v>
      </c>
      <c r="S75" s="76" t="s">
        <v>79</v>
      </c>
      <c r="T75" s="76" t="s">
        <v>79</v>
      </c>
      <c r="U75" s="76" t="s">
        <v>79</v>
      </c>
      <c r="V75" s="76" t="s">
        <v>79</v>
      </c>
      <c r="W75" s="76" t="s">
        <v>79</v>
      </c>
      <c r="X75" s="76" t="s">
        <v>79</v>
      </c>
      <c r="Y75" s="76" t="s">
        <v>79</v>
      </c>
      <c r="Z75" s="77">
        <f t="shared" si="2"/>
        <v>10</v>
      </c>
      <c r="AA75" s="78"/>
      <c r="AB75" s="78"/>
      <c r="AC75" s="72" t="s">
        <v>47</v>
      </c>
      <c r="AE75" s="79" t="str">
        <f t="shared" si="19"/>
        <v>Jan11196</v>
      </c>
      <c r="AF75" s="80">
        <f>IF(N75="","",IF(N75="SIM",VLOOKUP($I75&amp;$J75&amp;N$1,Pesos!$A:$I,7,FALSE),VLOOKUP($I75&amp;$J75&amp;N$1,Pesos!$A:$I,9,FALSE)))</f>
        <v>0.8</v>
      </c>
      <c r="AG75" s="80">
        <f>IF(O75="","",IF(O75="SIM",VLOOKUP($I75&amp;$J75&amp;O$1,Pesos!$A:$I,7,FALSE),VLOOKUP($I75&amp;$J75&amp;O$1,Pesos!$A:$I,9,FALSE)))</f>
        <v>0.8</v>
      </c>
      <c r="AH75" s="80">
        <f>IF(P75="","",IF(P75="SIM",VLOOKUP($I75&amp;$J75&amp;P$1,Pesos!$A:$I,7,FALSE),VLOOKUP($I75&amp;$J75&amp;P$1,Pesos!$A:$I,9,FALSE)))</f>
        <v>1.2</v>
      </c>
      <c r="AI75" s="80">
        <f>IF(Q75="","",IF(Q75="SIM",VLOOKUP($I75&amp;$J75&amp;Q$1,Pesos!$A:$I,7,FALSE),VLOOKUP($I75&amp;$J75&amp;Q$1,Pesos!$A:$I,9,FALSE)))</f>
        <v>0.8</v>
      </c>
      <c r="AJ75" s="80">
        <f>IF(R75="","",IF(R75="SIM",VLOOKUP($I75&amp;$J75&amp;R$1,Pesos!$A:$I,7,FALSE),VLOOKUP($I75&amp;$J75&amp;R$1,Pesos!$A:$I,9,FALSE)))</f>
        <v>0.8</v>
      </c>
      <c r="AK75" s="80">
        <f>IF(S75="","",IF(S75="SIM",VLOOKUP($I75&amp;$J75&amp;S$1,Pesos!$A:$I,7,FALSE),VLOOKUP($I75&amp;$J75&amp;S$1,Pesos!$A:$I,9,FALSE)))</f>
        <v>0.8</v>
      </c>
      <c r="AL75" s="80">
        <f t="shared" si="20"/>
        <v>5.1999999999999993</v>
      </c>
      <c r="AM75" s="80">
        <f>IF(T75="","",IF(T75="SIM",VLOOKUP($I75&amp;$J75&amp;T$1,Pesos!$A:$I,7,FALSE),VLOOKUP($I75&amp;$J75&amp;T$1,Pesos!$A:$I,9,FALSE)))</f>
        <v>0.8</v>
      </c>
      <c r="AN75" s="80">
        <f>IF(U75="","",IF(U75="SIM",VLOOKUP($I75&amp;$J75&amp;U$1,Pesos!$A:$I,7,FALSE),VLOOKUP($I75&amp;$J75&amp;U$1,Pesos!$A:$I,9,FALSE)))</f>
        <v>0.8</v>
      </c>
      <c r="AO75" s="80">
        <f>IF(V75="","",IF(V75="SIM",VLOOKUP($I75&amp;$J75&amp;V$1,Pesos!$A:$I,7,FALSE),VLOOKUP($I75&amp;$J75&amp;V$1,Pesos!$A:$I,9,FALSE)))</f>
        <v>0.8</v>
      </c>
      <c r="AP75" s="80">
        <f>IF(W75="","",IF(W75="SIM",VLOOKUP($I75&amp;$J75&amp;W$1,Pesos!$A:$I,7,FALSE),VLOOKUP($I75&amp;$J75&amp;W$1,Pesos!$A:$I,9,FALSE)))</f>
        <v>0.8</v>
      </c>
      <c r="AQ75" s="80">
        <f>IF(X75="","",IF(X75="SIM",VLOOKUP($I75&amp;$J75&amp;X$1,Pesos!$A:$I,7,FALSE),VLOOKUP($I75&amp;$J75&amp;X$1,Pesos!$A:$I,9,FALSE)))</f>
        <v>0.8</v>
      </c>
      <c r="AR75" s="80">
        <f>IF(Y75="","",IF(Y75="SIM",VLOOKUP($I75&amp;$J75&amp;Y$1,Pesos!$A:$I,7,FALSE),VLOOKUP($I75&amp;$J75&amp;Y$1,Pesos!$A:$I,9,FALSE)))</f>
        <v>0.8</v>
      </c>
      <c r="AS75" s="81">
        <f>IFERROR(Z75*VLOOKUP(J75,'BD Campos'!$Y$1:$Z$12,2,FALSE),"0")</f>
        <v>10</v>
      </c>
    </row>
    <row r="76" spans="1:45" x14ac:dyDescent="0.35">
      <c r="A76" s="68" t="str">
        <f t="shared" si="17"/>
        <v>Jan202511224ReceptivaTRANSFERÊNCIA</v>
      </c>
      <c r="B76" s="69" t="str">
        <f t="shared" si="18"/>
        <v>Jan2025112245TRANSFERÊNCIAPADRÃO</v>
      </c>
      <c r="C76" s="70">
        <v>1</v>
      </c>
      <c r="D76" s="71">
        <v>45671.723299768521</v>
      </c>
      <c r="E76" s="112" t="s">
        <v>74</v>
      </c>
      <c r="F76" s="113">
        <v>11224</v>
      </c>
      <c r="G76" s="69" t="s">
        <v>1391</v>
      </c>
      <c r="H76" s="73">
        <v>5</v>
      </c>
      <c r="I76" s="69" t="s">
        <v>6</v>
      </c>
      <c r="J76" s="69" t="s">
        <v>98</v>
      </c>
      <c r="K76" s="69" t="s">
        <v>106</v>
      </c>
      <c r="L76" s="74"/>
      <c r="M76" s="75">
        <v>1.5046296296296294E-3</v>
      </c>
      <c r="N76" s="76" t="s">
        <v>79</v>
      </c>
      <c r="O76" s="76" t="s">
        <v>79</v>
      </c>
      <c r="P76" s="76" t="s">
        <v>79</v>
      </c>
      <c r="Q76" s="76" t="s">
        <v>79</v>
      </c>
      <c r="R76" s="76" t="s">
        <v>79</v>
      </c>
      <c r="S76" s="76" t="s">
        <v>79</v>
      </c>
      <c r="T76" s="76" t="s">
        <v>79</v>
      </c>
      <c r="U76" s="76" t="s">
        <v>79</v>
      </c>
      <c r="V76" s="76" t="s">
        <v>79</v>
      </c>
      <c r="W76" s="76" t="s">
        <v>79</v>
      </c>
      <c r="X76" s="76" t="s">
        <v>79</v>
      </c>
      <c r="Y76" s="76" t="s">
        <v>79</v>
      </c>
      <c r="Z76" s="77">
        <f t="shared" si="2"/>
        <v>10</v>
      </c>
      <c r="AA76" s="78"/>
      <c r="AB76" s="78"/>
      <c r="AC76" s="72" t="s">
        <v>47</v>
      </c>
      <c r="AE76" s="79" t="str">
        <f t="shared" si="19"/>
        <v>Jan11224</v>
      </c>
      <c r="AF76" s="80">
        <f>IF(N76="","",IF(N76="SIM",VLOOKUP($I76&amp;$J76&amp;N$1,Pesos!$A:$I,7,FALSE),VLOOKUP($I76&amp;$J76&amp;N$1,Pesos!$A:$I,9,FALSE)))</f>
        <v>0.8</v>
      </c>
      <c r="AG76" s="80">
        <f>IF(O76="","",IF(O76="SIM",VLOOKUP($I76&amp;$J76&amp;O$1,Pesos!$A:$I,7,FALSE),VLOOKUP($I76&amp;$J76&amp;O$1,Pesos!$A:$I,9,FALSE)))</f>
        <v>0.8</v>
      </c>
      <c r="AH76" s="80">
        <f>IF(P76="","",IF(P76="SIM",VLOOKUP($I76&amp;$J76&amp;P$1,Pesos!$A:$I,7,FALSE),VLOOKUP($I76&amp;$J76&amp;P$1,Pesos!$A:$I,9,FALSE)))</f>
        <v>1.2</v>
      </c>
      <c r="AI76" s="80">
        <f>IF(Q76="","",IF(Q76="SIM",VLOOKUP($I76&amp;$J76&amp;Q$1,Pesos!$A:$I,7,FALSE),VLOOKUP($I76&amp;$J76&amp;Q$1,Pesos!$A:$I,9,FALSE)))</f>
        <v>0.8</v>
      </c>
      <c r="AJ76" s="80">
        <f>IF(R76="","",IF(R76="SIM",VLOOKUP($I76&amp;$J76&amp;R$1,Pesos!$A:$I,7,FALSE),VLOOKUP($I76&amp;$J76&amp;R$1,Pesos!$A:$I,9,FALSE)))</f>
        <v>0.8</v>
      </c>
      <c r="AK76" s="80">
        <f>IF(S76="","",IF(S76="SIM",VLOOKUP($I76&amp;$J76&amp;S$1,Pesos!$A:$I,7,FALSE),VLOOKUP($I76&amp;$J76&amp;S$1,Pesos!$A:$I,9,FALSE)))</f>
        <v>0.8</v>
      </c>
      <c r="AL76" s="80">
        <f t="shared" si="20"/>
        <v>5.1999999999999993</v>
      </c>
      <c r="AM76" s="80">
        <f>IF(T76="","",IF(T76="SIM",VLOOKUP($I76&amp;$J76&amp;T$1,Pesos!$A:$I,7,FALSE),VLOOKUP($I76&amp;$J76&amp;T$1,Pesos!$A:$I,9,FALSE)))</f>
        <v>0.8</v>
      </c>
      <c r="AN76" s="80">
        <f>IF(U76="","",IF(U76="SIM",VLOOKUP($I76&amp;$J76&amp;U$1,Pesos!$A:$I,7,FALSE),VLOOKUP($I76&amp;$J76&amp;U$1,Pesos!$A:$I,9,FALSE)))</f>
        <v>0.8</v>
      </c>
      <c r="AO76" s="80">
        <f>IF(V76="","",IF(V76="SIM",VLOOKUP($I76&amp;$J76&amp;V$1,Pesos!$A:$I,7,FALSE),VLOOKUP($I76&amp;$J76&amp;V$1,Pesos!$A:$I,9,FALSE)))</f>
        <v>0.8</v>
      </c>
      <c r="AP76" s="80">
        <f>IF(W76="","",IF(W76="SIM",VLOOKUP($I76&amp;$J76&amp;W$1,Pesos!$A:$I,7,FALSE),VLOOKUP($I76&amp;$J76&amp;W$1,Pesos!$A:$I,9,FALSE)))</f>
        <v>0.8</v>
      </c>
      <c r="AQ76" s="80">
        <f>IF(X76="","",IF(X76="SIM",VLOOKUP($I76&amp;$J76&amp;X$1,Pesos!$A:$I,7,FALSE),VLOOKUP($I76&amp;$J76&amp;X$1,Pesos!$A:$I,9,FALSE)))</f>
        <v>0.8</v>
      </c>
      <c r="AR76" s="80">
        <f>IF(Y76="","",IF(Y76="SIM",VLOOKUP($I76&amp;$J76&amp;Y$1,Pesos!$A:$I,7,FALSE),VLOOKUP($I76&amp;$J76&amp;Y$1,Pesos!$A:$I,9,FALSE)))</f>
        <v>0.8</v>
      </c>
      <c r="AS76" s="81">
        <f>IFERROR(Z76*VLOOKUP(J76,'BD Campos'!$Y$1:$Z$12,2,FALSE),"0")</f>
        <v>10</v>
      </c>
    </row>
    <row r="77" spans="1:45" x14ac:dyDescent="0.35">
      <c r="A77" s="68" t="str">
        <f t="shared" si="17"/>
        <v>Jan202510862ReceptivaTRANSFERÊNCIA</v>
      </c>
      <c r="B77" s="69" t="str">
        <f t="shared" ref="B77:B140" si="21">E77&amp;YEAR(D77)&amp;F77&amp;H77&amp;K77&amp;AC77</f>
        <v>Jan2025108625TRANSFERÊNCIAPADRÃO</v>
      </c>
      <c r="C77" s="70">
        <v>1</v>
      </c>
      <c r="D77" s="71">
        <v>45671.731996527778</v>
      </c>
      <c r="E77" s="112" t="s">
        <v>74</v>
      </c>
      <c r="F77" s="113">
        <v>10862</v>
      </c>
      <c r="G77" s="69" t="s">
        <v>132</v>
      </c>
      <c r="H77" s="73">
        <v>5</v>
      </c>
      <c r="I77" s="69" t="s">
        <v>6</v>
      </c>
      <c r="J77" s="69" t="s">
        <v>98</v>
      </c>
      <c r="K77" s="69" t="s">
        <v>106</v>
      </c>
      <c r="L77" s="74"/>
      <c r="M77" s="75">
        <v>9.9537037037037042E-4</v>
      </c>
      <c r="N77" s="76" t="s">
        <v>79</v>
      </c>
      <c r="O77" s="76" t="s">
        <v>79</v>
      </c>
      <c r="P77" s="76" t="s">
        <v>79</v>
      </c>
      <c r="Q77" s="76" t="s">
        <v>79</v>
      </c>
      <c r="R77" s="76" t="s">
        <v>79</v>
      </c>
      <c r="S77" s="76" t="s">
        <v>79</v>
      </c>
      <c r="T77" s="76" t="s">
        <v>79</v>
      </c>
      <c r="U77" s="76" t="s">
        <v>79</v>
      </c>
      <c r="V77" s="76" t="s">
        <v>79</v>
      </c>
      <c r="W77" s="76" t="s">
        <v>83</v>
      </c>
      <c r="X77" s="76" t="s">
        <v>79</v>
      </c>
      <c r="Y77" s="76" t="s">
        <v>79</v>
      </c>
      <c r="Z77" s="77">
        <f t="shared" si="2"/>
        <v>9.16</v>
      </c>
      <c r="AA77" s="78"/>
      <c r="AB77" s="78"/>
      <c r="AC77" s="72" t="s">
        <v>47</v>
      </c>
      <c r="AE77" s="79" t="str">
        <f t="shared" si="19"/>
        <v>Jan10862</v>
      </c>
      <c r="AF77" s="80">
        <f>IF(N77="","",IF(N77="SIM",VLOOKUP($I77&amp;$J77&amp;N$1,Pesos!$A:$I,7,FALSE),VLOOKUP($I77&amp;$J77&amp;N$1,Pesos!$A:$I,9,FALSE)))</f>
        <v>0.8</v>
      </c>
      <c r="AG77" s="80">
        <f>IF(O77="","",IF(O77="SIM",VLOOKUP($I77&amp;$J77&amp;O$1,Pesos!$A:$I,7,FALSE),VLOOKUP($I77&amp;$J77&amp;O$1,Pesos!$A:$I,9,FALSE)))</f>
        <v>0.8</v>
      </c>
      <c r="AH77" s="80">
        <f>IF(P77="","",IF(P77="SIM",VLOOKUP($I77&amp;$J77&amp;P$1,Pesos!$A:$I,7,FALSE),VLOOKUP($I77&amp;$J77&amp;P$1,Pesos!$A:$I,9,FALSE)))</f>
        <v>1.2</v>
      </c>
      <c r="AI77" s="80">
        <f>IF(Q77="","",IF(Q77="SIM",VLOOKUP($I77&amp;$J77&amp;Q$1,Pesos!$A:$I,7,FALSE),VLOOKUP($I77&amp;$J77&amp;Q$1,Pesos!$A:$I,9,FALSE)))</f>
        <v>0.8</v>
      </c>
      <c r="AJ77" s="80">
        <f>IF(R77="","",IF(R77="SIM",VLOOKUP($I77&amp;$J77&amp;R$1,Pesos!$A:$I,7,FALSE),VLOOKUP($I77&amp;$J77&amp;R$1,Pesos!$A:$I,9,FALSE)))</f>
        <v>0.8</v>
      </c>
      <c r="AK77" s="80">
        <f>IF(S77="","",IF(S77="SIM",VLOOKUP($I77&amp;$J77&amp;S$1,Pesos!$A:$I,7,FALSE),VLOOKUP($I77&amp;$J77&amp;S$1,Pesos!$A:$I,9,FALSE)))</f>
        <v>0.8</v>
      </c>
      <c r="AL77" s="80">
        <f t="shared" si="20"/>
        <v>5.1999999999999993</v>
      </c>
      <c r="AM77" s="80">
        <f>IF(T77="","",IF(T77="SIM",VLOOKUP($I77&amp;$J77&amp;T$1,Pesos!$A:$I,7,FALSE),VLOOKUP($I77&amp;$J77&amp;T$1,Pesos!$A:$I,9,FALSE)))</f>
        <v>0.8</v>
      </c>
      <c r="AN77" s="80">
        <f>IF(U77="","",IF(U77="SIM",VLOOKUP($I77&amp;$J77&amp;U$1,Pesos!$A:$I,7,FALSE),VLOOKUP($I77&amp;$J77&amp;U$1,Pesos!$A:$I,9,FALSE)))</f>
        <v>0.8</v>
      </c>
      <c r="AO77" s="80">
        <f>IF(V77="","",IF(V77="SIM",VLOOKUP($I77&amp;$J77&amp;V$1,Pesos!$A:$I,7,FALSE),VLOOKUP($I77&amp;$J77&amp;V$1,Pesos!$A:$I,9,FALSE)))</f>
        <v>0.8</v>
      </c>
      <c r="AP77" s="80">
        <f>IF(W77="","",IF(W77="SIM",VLOOKUP($I77&amp;$J77&amp;W$1,Pesos!$A:$I,7,FALSE),VLOOKUP($I77&amp;$J77&amp;W$1,Pesos!$A:$I,9,FALSE)))</f>
        <v>-4.0000000000000008E-2</v>
      </c>
      <c r="AQ77" s="80">
        <f>IF(X77="","",IF(X77="SIM",VLOOKUP($I77&amp;$J77&amp;X$1,Pesos!$A:$I,7,FALSE),VLOOKUP($I77&amp;$J77&amp;X$1,Pesos!$A:$I,9,FALSE)))</f>
        <v>0.8</v>
      </c>
      <c r="AR77" s="80">
        <f>IF(Y77="","",IF(Y77="SIM",VLOOKUP($I77&amp;$J77&amp;Y$1,Pesos!$A:$I,7,FALSE),VLOOKUP($I77&amp;$J77&amp;Y$1,Pesos!$A:$I,9,FALSE)))</f>
        <v>0.8</v>
      </c>
      <c r="AS77" s="81">
        <f>IFERROR(Z77*VLOOKUP(J77,'BD Campos'!$Y$1:$Z$12,2,FALSE),"0")</f>
        <v>9.16</v>
      </c>
    </row>
    <row r="78" spans="1:45" x14ac:dyDescent="0.35">
      <c r="A78" s="68" t="str">
        <f t="shared" si="17"/>
        <v>Jan202510976ReceptivaTRANSFERÊNCIA</v>
      </c>
      <c r="B78" s="69" t="str">
        <f t="shared" si="21"/>
        <v>Jan2025109765TRANSFERÊNCIAPADRÃO</v>
      </c>
      <c r="C78" s="70">
        <v>1</v>
      </c>
      <c r="D78" s="71">
        <v>45671.733192708336</v>
      </c>
      <c r="E78" s="112" t="s">
        <v>74</v>
      </c>
      <c r="F78" s="113">
        <v>10976</v>
      </c>
      <c r="G78" s="69" t="s">
        <v>138</v>
      </c>
      <c r="H78" s="73">
        <v>5</v>
      </c>
      <c r="I78" s="69" t="s">
        <v>6</v>
      </c>
      <c r="J78" s="69" t="s">
        <v>98</v>
      </c>
      <c r="K78" s="69" t="s">
        <v>106</v>
      </c>
      <c r="L78" s="74"/>
      <c r="M78" s="75">
        <v>1.0416666666666667E-3</v>
      </c>
      <c r="N78" s="76" t="s">
        <v>79</v>
      </c>
      <c r="O78" s="76" t="s">
        <v>79</v>
      </c>
      <c r="P78" s="76" t="s">
        <v>79</v>
      </c>
      <c r="Q78" s="76" t="s">
        <v>79</v>
      </c>
      <c r="R78" s="76" t="s">
        <v>79</v>
      </c>
      <c r="S78" s="76" t="s">
        <v>79</v>
      </c>
      <c r="T78" s="76" t="s">
        <v>79</v>
      </c>
      <c r="U78" s="76" t="s">
        <v>79</v>
      </c>
      <c r="V78" s="76" t="s">
        <v>79</v>
      </c>
      <c r="W78" s="76" t="s">
        <v>79</v>
      </c>
      <c r="X78" s="76" t="s">
        <v>79</v>
      </c>
      <c r="Y78" s="76" t="s">
        <v>79</v>
      </c>
      <c r="Z78" s="77">
        <f t="shared" si="2"/>
        <v>10</v>
      </c>
      <c r="AA78" s="78"/>
      <c r="AB78" s="78"/>
      <c r="AC78" s="72" t="s">
        <v>47</v>
      </c>
      <c r="AE78" s="79" t="str">
        <f t="shared" si="19"/>
        <v>Jan10976</v>
      </c>
      <c r="AF78" s="80">
        <f>IF(N78="","",IF(N78="SIM",VLOOKUP($I78&amp;$J78&amp;N$1,Pesos!$A:$I,7,FALSE),VLOOKUP($I78&amp;$J78&amp;N$1,Pesos!$A:$I,9,FALSE)))</f>
        <v>0.8</v>
      </c>
      <c r="AG78" s="80">
        <f>IF(O78="","",IF(O78="SIM",VLOOKUP($I78&amp;$J78&amp;O$1,Pesos!$A:$I,7,FALSE),VLOOKUP($I78&amp;$J78&amp;O$1,Pesos!$A:$I,9,FALSE)))</f>
        <v>0.8</v>
      </c>
      <c r="AH78" s="80">
        <f>IF(P78="","",IF(P78="SIM",VLOOKUP($I78&amp;$J78&amp;P$1,Pesos!$A:$I,7,FALSE),VLOOKUP($I78&amp;$J78&amp;P$1,Pesos!$A:$I,9,FALSE)))</f>
        <v>1.2</v>
      </c>
      <c r="AI78" s="80">
        <f>IF(Q78="","",IF(Q78="SIM",VLOOKUP($I78&amp;$J78&amp;Q$1,Pesos!$A:$I,7,FALSE),VLOOKUP($I78&amp;$J78&amp;Q$1,Pesos!$A:$I,9,FALSE)))</f>
        <v>0.8</v>
      </c>
      <c r="AJ78" s="80">
        <f>IF(R78="","",IF(R78="SIM",VLOOKUP($I78&amp;$J78&amp;R$1,Pesos!$A:$I,7,FALSE),VLOOKUP($I78&amp;$J78&amp;R$1,Pesos!$A:$I,9,FALSE)))</f>
        <v>0.8</v>
      </c>
      <c r="AK78" s="80">
        <f>IF(S78="","",IF(S78="SIM",VLOOKUP($I78&amp;$J78&amp;S$1,Pesos!$A:$I,7,FALSE),VLOOKUP($I78&amp;$J78&amp;S$1,Pesos!$A:$I,9,FALSE)))</f>
        <v>0.8</v>
      </c>
      <c r="AL78" s="80">
        <f t="shared" si="20"/>
        <v>5.1999999999999993</v>
      </c>
      <c r="AM78" s="80">
        <f>IF(T78="","",IF(T78="SIM",VLOOKUP($I78&amp;$J78&amp;T$1,Pesos!$A:$I,7,FALSE),VLOOKUP($I78&amp;$J78&amp;T$1,Pesos!$A:$I,9,FALSE)))</f>
        <v>0.8</v>
      </c>
      <c r="AN78" s="80">
        <f>IF(U78="","",IF(U78="SIM",VLOOKUP($I78&amp;$J78&amp;U$1,Pesos!$A:$I,7,FALSE),VLOOKUP($I78&amp;$J78&amp;U$1,Pesos!$A:$I,9,FALSE)))</f>
        <v>0.8</v>
      </c>
      <c r="AO78" s="80">
        <f>IF(V78="","",IF(V78="SIM",VLOOKUP($I78&amp;$J78&amp;V$1,Pesos!$A:$I,7,FALSE),VLOOKUP($I78&amp;$J78&amp;V$1,Pesos!$A:$I,9,FALSE)))</f>
        <v>0.8</v>
      </c>
      <c r="AP78" s="80">
        <f>IF(W78="","",IF(W78="SIM",VLOOKUP($I78&amp;$J78&amp;W$1,Pesos!$A:$I,7,FALSE),VLOOKUP($I78&amp;$J78&amp;W$1,Pesos!$A:$I,9,FALSE)))</f>
        <v>0.8</v>
      </c>
      <c r="AQ78" s="80">
        <f>IF(X78="","",IF(X78="SIM",VLOOKUP($I78&amp;$J78&amp;X$1,Pesos!$A:$I,7,FALSE),VLOOKUP($I78&amp;$J78&amp;X$1,Pesos!$A:$I,9,FALSE)))</f>
        <v>0.8</v>
      </c>
      <c r="AR78" s="80">
        <f>IF(Y78="","",IF(Y78="SIM",VLOOKUP($I78&amp;$J78&amp;Y$1,Pesos!$A:$I,7,FALSE),VLOOKUP($I78&amp;$J78&amp;Y$1,Pesos!$A:$I,9,FALSE)))</f>
        <v>0.8</v>
      </c>
      <c r="AS78" s="81">
        <f>IFERROR(Z78*VLOOKUP(J78,'BD Campos'!$Y$1:$Z$12,2,FALSE),"0")</f>
        <v>10</v>
      </c>
    </row>
    <row r="79" spans="1:45" x14ac:dyDescent="0.35">
      <c r="A79" s="68" t="str">
        <f t="shared" si="17"/>
        <v>Jan202511024ReceptivaTRANSFERÊNCIA</v>
      </c>
      <c r="B79" s="69" t="str">
        <f t="shared" si="21"/>
        <v>Jan2025110245TRANSFERÊNCIAPADRÃO</v>
      </c>
      <c r="C79" s="70">
        <v>1</v>
      </c>
      <c r="D79" s="71">
        <v>45671.73490127315</v>
      </c>
      <c r="E79" s="112" t="s">
        <v>74</v>
      </c>
      <c r="F79" s="113">
        <v>11024</v>
      </c>
      <c r="G79" s="69" t="s">
        <v>144</v>
      </c>
      <c r="H79" s="73">
        <v>5</v>
      </c>
      <c r="I79" s="69" t="s">
        <v>6</v>
      </c>
      <c r="J79" s="69" t="s">
        <v>98</v>
      </c>
      <c r="K79" s="69" t="s">
        <v>106</v>
      </c>
      <c r="L79" s="74"/>
      <c r="M79" s="75">
        <v>7.8703703703703705E-4</v>
      </c>
      <c r="N79" s="76" t="s">
        <v>79</v>
      </c>
      <c r="O79" s="76" t="s">
        <v>83</v>
      </c>
      <c r="P79" s="76" t="s">
        <v>79</v>
      </c>
      <c r="Q79" s="76" t="s">
        <v>79</v>
      </c>
      <c r="R79" s="76" t="s">
        <v>79</v>
      </c>
      <c r="S79" s="76" t="s">
        <v>79</v>
      </c>
      <c r="T79" s="76" t="s">
        <v>79</v>
      </c>
      <c r="U79" s="76" t="s">
        <v>79</v>
      </c>
      <c r="V79" s="76" t="s">
        <v>79</v>
      </c>
      <c r="W79" s="76" t="s">
        <v>79</v>
      </c>
      <c r="X79" s="76" t="s">
        <v>79</v>
      </c>
      <c r="Y79" s="76" t="s">
        <v>79</v>
      </c>
      <c r="Z79" s="77">
        <f t="shared" si="2"/>
        <v>9.16</v>
      </c>
      <c r="AA79" s="78"/>
      <c r="AB79" s="78"/>
      <c r="AC79" s="72" t="s">
        <v>47</v>
      </c>
      <c r="AE79" s="79" t="str">
        <f t="shared" si="19"/>
        <v>Jan11024</v>
      </c>
      <c r="AF79" s="80">
        <f>IF(N79="","",IF(N79="SIM",VLOOKUP($I79&amp;$J79&amp;N$1,Pesos!$A:$I,7,FALSE),VLOOKUP($I79&amp;$J79&amp;N$1,Pesos!$A:$I,9,FALSE)))</f>
        <v>0.8</v>
      </c>
      <c r="AG79" s="80">
        <f>IF(O79="","",IF(O79="SIM",VLOOKUP($I79&amp;$J79&amp;O$1,Pesos!$A:$I,7,FALSE),VLOOKUP($I79&amp;$J79&amp;O$1,Pesos!$A:$I,9,FALSE)))</f>
        <v>-4.0000000000000008E-2</v>
      </c>
      <c r="AH79" s="80">
        <f>IF(P79="","",IF(P79="SIM",VLOOKUP($I79&amp;$J79&amp;P$1,Pesos!$A:$I,7,FALSE),VLOOKUP($I79&amp;$J79&amp;P$1,Pesos!$A:$I,9,FALSE)))</f>
        <v>1.2</v>
      </c>
      <c r="AI79" s="80">
        <f>IF(Q79="","",IF(Q79="SIM",VLOOKUP($I79&amp;$J79&amp;Q$1,Pesos!$A:$I,7,FALSE),VLOOKUP($I79&amp;$J79&amp;Q$1,Pesos!$A:$I,9,FALSE)))</f>
        <v>0.8</v>
      </c>
      <c r="AJ79" s="80">
        <f>IF(R79="","",IF(R79="SIM",VLOOKUP($I79&amp;$J79&amp;R$1,Pesos!$A:$I,7,FALSE),VLOOKUP($I79&amp;$J79&amp;R$1,Pesos!$A:$I,9,FALSE)))</f>
        <v>0.8</v>
      </c>
      <c r="AK79" s="80">
        <f>IF(S79="","",IF(S79="SIM",VLOOKUP($I79&amp;$J79&amp;S$1,Pesos!$A:$I,7,FALSE),VLOOKUP($I79&amp;$J79&amp;S$1,Pesos!$A:$I,9,FALSE)))</f>
        <v>0.8</v>
      </c>
      <c r="AL79" s="80">
        <f t="shared" si="20"/>
        <v>4.3599999999999994</v>
      </c>
      <c r="AM79" s="80">
        <f>IF(T79="","",IF(T79="SIM",VLOOKUP($I79&amp;$J79&amp;T$1,Pesos!$A:$I,7,FALSE),VLOOKUP($I79&amp;$J79&amp;T$1,Pesos!$A:$I,9,FALSE)))</f>
        <v>0.8</v>
      </c>
      <c r="AN79" s="80">
        <f>IF(U79="","",IF(U79="SIM",VLOOKUP($I79&amp;$J79&amp;U$1,Pesos!$A:$I,7,FALSE),VLOOKUP($I79&amp;$J79&amp;U$1,Pesos!$A:$I,9,FALSE)))</f>
        <v>0.8</v>
      </c>
      <c r="AO79" s="80">
        <f>IF(V79="","",IF(V79="SIM",VLOOKUP($I79&amp;$J79&amp;V$1,Pesos!$A:$I,7,FALSE),VLOOKUP($I79&amp;$J79&amp;V$1,Pesos!$A:$I,9,FALSE)))</f>
        <v>0.8</v>
      </c>
      <c r="AP79" s="80">
        <f>IF(W79="","",IF(W79="SIM",VLOOKUP($I79&amp;$J79&amp;W$1,Pesos!$A:$I,7,FALSE),VLOOKUP($I79&amp;$J79&amp;W$1,Pesos!$A:$I,9,FALSE)))</f>
        <v>0.8</v>
      </c>
      <c r="AQ79" s="80">
        <f>IF(X79="","",IF(X79="SIM",VLOOKUP($I79&amp;$J79&amp;X$1,Pesos!$A:$I,7,FALSE),VLOOKUP($I79&amp;$J79&amp;X$1,Pesos!$A:$I,9,FALSE)))</f>
        <v>0.8</v>
      </c>
      <c r="AR79" s="80">
        <f>IF(Y79="","",IF(Y79="SIM",VLOOKUP($I79&amp;$J79&amp;Y$1,Pesos!$A:$I,7,FALSE),VLOOKUP($I79&amp;$J79&amp;Y$1,Pesos!$A:$I,9,FALSE)))</f>
        <v>0.8</v>
      </c>
      <c r="AS79" s="81">
        <f>IFERROR(Z79*VLOOKUP(J79,'BD Campos'!$Y$1:$Z$12,2,FALSE),"0")</f>
        <v>9.16</v>
      </c>
    </row>
    <row r="80" spans="1:45" x14ac:dyDescent="0.35">
      <c r="A80" s="68" t="str">
        <f t="shared" si="17"/>
        <v>Jan202511048ReceptivaTRANSFERÊNCIA</v>
      </c>
      <c r="B80" s="69" t="str">
        <f t="shared" si="21"/>
        <v>Jan2025110485TRANSFERÊNCIAPADRÃO</v>
      </c>
      <c r="C80" s="70">
        <v>1</v>
      </c>
      <c r="D80" s="71">
        <v>45671.735501388888</v>
      </c>
      <c r="E80" s="112" t="s">
        <v>74</v>
      </c>
      <c r="F80" s="113">
        <v>11048</v>
      </c>
      <c r="G80" s="69" t="s">
        <v>381</v>
      </c>
      <c r="H80" s="73">
        <v>5</v>
      </c>
      <c r="I80" s="69" t="s">
        <v>6</v>
      </c>
      <c r="J80" s="69" t="s">
        <v>98</v>
      </c>
      <c r="K80" s="69" t="s">
        <v>106</v>
      </c>
      <c r="L80" s="74"/>
      <c r="M80" s="75">
        <v>8.2175925925925917E-4</v>
      </c>
      <c r="N80" s="76" t="s">
        <v>79</v>
      </c>
      <c r="O80" s="76" t="s">
        <v>79</v>
      </c>
      <c r="P80" s="76" t="s">
        <v>79</v>
      </c>
      <c r="Q80" s="76" t="s">
        <v>79</v>
      </c>
      <c r="R80" s="76" t="s">
        <v>79</v>
      </c>
      <c r="S80" s="76" t="s">
        <v>79</v>
      </c>
      <c r="T80" s="76" t="s">
        <v>79</v>
      </c>
      <c r="U80" s="76" t="s">
        <v>79</v>
      </c>
      <c r="V80" s="76" t="s">
        <v>79</v>
      </c>
      <c r="W80" s="76" t="s">
        <v>79</v>
      </c>
      <c r="X80" s="76" t="s">
        <v>79</v>
      </c>
      <c r="Y80" s="76" t="s">
        <v>79</v>
      </c>
      <c r="Z80" s="77">
        <f t="shared" si="2"/>
        <v>10</v>
      </c>
      <c r="AA80" s="78"/>
      <c r="AB80" s="78"/>
      <c r="AC80" s="72" t="s">
        <v>47</v>
      </c>
      <c r="AE80" s="79" t="str">
        <f t="shared" si="19"/>
        <v>Jan11048</v>
      </c>
      <c r="AF80" s="80">
        <f>IF(N80="","",IF(N80="SIM",VLOOKUP($I80&amp;$J80&amp;N$1,Pesos!$A:$I,7,FALSE),VLOOKUP($I80&amp;$J80&amp;N$1,Pesos!$A:$I,9,FALSE)))</f>
        <v>0.8</v>
      </c>
      <c r="AG80" s="80">
        <f>IF(O80="","",IF(O80="SIM",VLOOKUP($I80&amp;$J80&amp;O$1,Pesos!$A:$I,7,FALSE),VLOOKUP($I80&amp;$J80&amp;O$1,Pesos!$A:$I,9,FALSE)))</f>
        <v>0.8</v>
      </c>
      <c r="AH80" s="80">
        <f>IF(P80="","",IF(P80="SIM",VLOOKUP($I80&amp;$J80&amp;P$1,Pesos!$A:$I,7,FALSE),VLOOKUP($I80&amp;$J80&amp;P$1,Pesos!$A:$I,9,FALSE)))</f>
        <v>1.2</v>
      </c>
      <c r="AI80" s="80">
        <f>IF(Q80="","",IF(Q80="SIM",VLOOKUP($I80&amp;$J80&amp;Q$1,Pesos!$A:$I,7,FALSE),VLOOKUP($I80&amp;$J80&amp;Q$1,Pesos!$A:$I,9,FALSE)))</f>
        <v>0.8</v>
      </c>
      <c r="AJ80" s="80">
        <f>IF(R80="","",IF(R80="SIM",VLOOKUP($I80&amp;$J80&amp;R$1,Pesos!$A:$I,7,FALSE),VLOOKUP($I80&amp;$J80&amp;R$1,Pesos!$A:$I,9,FALSE)))</f>
        <v>0.8</v>
      </c>
      <c r="AK80" s="80">
        <f>IF(S80="","",IF(S80="SIM",VLOOKUP($I80&amp;$J80&amp;S$1,Pesos!$A:$I,7,FALSE),VLOOKUP($I80&amp;$J80&amp;S$1,Pesos!$A:$I,9,FALSE)))</f>
        <v>0.8</v>
      </c>
      <c r="AL80" s="80">
        <f t="shared" si="20"/>
        <v>5.1999999999999993</v>
      </c>
      <c r="AM80" s="80">
        <f>IF(T80="","",IF(T80="SIM",VLOOKUP($I80&amp;$J80&amp;T$1,Pesos!$A:$I,7,FALSE),VLOOKUP($I80&amp;$J80&amp;T$1,Pesos!$A:$I,9,FALSE)))</f>
        <v>0.8</v>
      </c>
      <c r="AN80" s="80">
        <f>IF(U80="","",IF(U80="SIM",VLOOKUP($I80&amp;$J80&amp;U$1,Pesos!$A:$I,7,FALSE),VLOOKUP($I80&amp;$J80&amp;U$1,Pesos!$A:$I,9,FALSE)))</f>
        <v>0.8</v>
      </c>
      <c r="AO80" s="80">
        <f>IF(V80="","",IF(V80="SIM",VLOOKUP($I80&amp;$J80&amp;V$1,Pesos!$A:$I,7,FALSE),VLOOKUP($I80&amp;$J80&amp;V$1,Pesos!$A:$I,9,FALSE)))</f>
        <v>0.8</v>
      </c>
      <c r="AP80" s="80">
        <f>IF(W80="","",IF(W80="SIM",VLOOKUP($I80&amp;$J80&amp;W$1,Pesos!$A:$I,7,FALSE),VLOOKUP($I80&amp;$J80&amp;W$1,Pesos!$A:$I,9,FALSE)))</f>
        <v>0.8</v>
      </c>
      <c r="AQ80" s="80">
        <f>IF(X80="","",IF(X80="SIM",VLOOKUP($I80&amp;$J80&amp;X$1,Pesos!$A:$I,7,FALSE),VLOOKUP($I80&amp;$J80&amp;X$1,Pesos!$A:$I,9,FALSE)))</f>
        <v>0.8</v>
      </c>
      <c r="AR80" s="80">
        <f>IF(Y80="","",IF(Y80="SIM",VLOOKUP($I80&amp;$J80&amp;Y$1,Pesos!$A:$I,7,FALSE),VLOOKUP($I80&amp;$J80&amp;Y$1,Pesos!$A:$I,9,FALSE)))</f>
        <v>0.8</v>
      </c>
      <c r="AS80" s="81">
        <f>IFERROR(Z80*VLOOKUP(J80,'BD Campos'!$Y$1:$Z$12,2,FALSE),"0")</f>
        <v>10</v>
      </c>
    </row>
    <row r="81" spans="1:45" x14ac:dyDescent="0.35">
      <c r="A81" s="68" t="str">
        <f t="shared" si="17"/>
        <v>Jan202511090ReceptivaTRANSFERÊNCIA</v>
      </c>
      <c r="B81" s="69" t="str">
        <f t="shared" si="21"/>
        <v>Jan2025110905TRANSFERÊNCIAPADRÃO</v>
      </c>
      <c r="C81" s="70">
        <v>1</v>
      </c>
      <c r="D81" s="71">
        <v>45671.736157060186</v>
      </c>
      <c r="E81" s="112" t="s">
        <v>74</v>
      </c>
      <c r="F81" s="113">
        <v>11090</v>
      </c>
      <c r="G81" s="69" t="s">
        <v>419</v>
      </c>
      <c r="H81" s="73">
        <v>5</v>
      </c>
      <c r="I81" s="69" t="s">
        <v>6</v>
      </c>
      <c r="J81" s="69" t="s">
        <v>98</v>
      </c>
      <c r="K81" s="69" t="s">
        <v>106</v>
      </c>
      <c r="L81" s="74"/>
      <c r="M81" s="75">
        <v>1.3194444444444443E-3</v>
      </c>
      <c r="N81" s="76" t="s">
        <v>79</v>
      </c>
      <c r="O81" s="76" t="s">
        <v>79</v>
      </c>
      <c r="P81" s="76" t="s">
        <v>79</v>
      </c>
      <c r="Q81" s="76" t="s">
        <v>79</v>
      </c>
      <c r="R81" s="76" t="s">
        <v>79</v>
      </c>
      <c r="S81" s="76" t="s">
        <v>79</v>
      </c>
      <c r="T81" s="76" t="s">
        <v>79</v>
      </c>
      <c r="U81" s="76" t="s">
        <v>79</v>
      </c>
      <c r="V81" s="76" t="s">
        <v>79</v>
      </c>
      <c r="W81" s="76" t="s">
        <v>79</v>
      </c>
      <c r="X81" s="76" t="s">
        <v>79</v>
      </c>
      <c r="Y81" s="76" t="s">
        <v>79</v>
      </c>
      <c r="Z81" s="77">
        <f t="shared" si="2"/>
        <v>10</v>
      </c>
      <c r="AA81" s="78"/>
      <c r="AB81" s="78"/>
      <c r="AC81" s="72" t="s">
        <v>47</v>
      </c>
      <c r="AE81" s="79" t="str">
        <f t="shared" si="19"/>
        <v>Jan11090</v>
      </c>
      <c r="AF81" s="80">
        <f>IF(N81="","",IF(N81="SIM",VLOOKUP($I81&amp;$J81&amp;N$1,Pesos!$A:$I,7,FALSE),VLOOKUP($I81&amp;$J81&amp;N$1,Pesos!$A:$I,9,FALSE)))</f>
        <v>0.8</v>
      </c>
      <c r="AG81" s="80">
        <f>IF(O81="","",IF(O81="SIM",VLOOKUP($I81&amp;$J81&amp;O$1,Pesos!$A:$I,7,FALSE),VLOOKUP($I81&amp;$J81&amp;O$1,Pesos!$A:$I,9,FALSE)))</f>
        <v>0.8</v>
      </c>
      <c r="AH81" s="80">
        <f>IF(P81="","",IF(P81="SIM",VLOOKUP($I81&amp;$J81&amp;P$1,Pesos!$A:$I,7,FALSE),VLOOKUP($I81&amp;$J81&amp;P$1,Pesos!$A:$I,9,FALSE)))</f>
        <v>1.2</v>
      </c>
      <c r="AI81" s="80">
        <f>IF(Q81="","",IF(Q81="SIM",VLOOKUP($I81&amp;$J81&amp;Q$1,Pesos!$A:$I,7,FALSE),VLOOKUP($I81&amp;$J81&amp;Q$1,Pesos!$A:$I,9,FALSE)))</f>
        <v>0.8</v>
      </c>
      <c r="AJ81" s="80">
        <f>IF(R81="","",IF(R81="SIM",VLOOKUP($I81&amp;$J81&amp;R$1,Pesos!$A:$I,7,FALSE),VLOOKUP($I81&amp;$J81&amp;R$1,Pesos!$A:$I,9,FALSE)))</f>
        <v>0.8</v>
      </c>
      <c r="AK81" s="80">
        <f>IF(S81="","",IF(S81="SIM",VLOOKUP($I81&amp;$J81&amp;S$1,Pesos!$A:$I,7,FALSE),VLOOKUP($I81&amp;$J81&amp;S$1,Pesos!$A:$I,9,FALSE)))</f>
        <v>0.8</v>
      </c>
      <c r="AL81" s="80">
        <f t="shared" si="20"/>
        <v>5.1999999999999993</v>
      </c>
      <c r="AM81" s="80">
        <f>IF(T81="","",IF(T81="SIM",VLOOKUP($I81&amp;$J81&amp;T$1,Pesos!$A:$I,7,FALSE),VLOOKUP($I81&amp;$J81&amp;T$1,Pesos!$A:$I,9,FALSE)))</f>
        <v>0.8</v>
      </c>
      <c r="AN81" s="80">
        <f>IF(U81="","",IF(U81="SIM",VLOOKUP($I81&amp;$J81&amp;U$1,Pesos!$A:$I,7,FALSE),VLOOKUP($I81&amp;$J81&amp;U$1,Pesos!$A:$I,9,FALSE)))</f>
        <v>0.8</v>
      </c>
      <c r="AO81" s="80">
        <f>IF(V81="","",IF(V81="SIM",VLOOKUP($I81&amp;$J81&amp;V$1,Pesos!$A:$I,7,FALSE),VLOOKUP($I81&amp;$J81&amp;V$1,Pesos!$A:$I,9,FALSE)))</f>
        <v>0.8</v>
      </c>
      <c r="AP81" s="80">
        <f>IF(W81="","",IF(W81="SIM",VLOOKUP($I81&amp;$J81&amp;W$1,Pesos!$A:$I,7,FALSE),VLOOKUP($I81&amp;$J81&amp;W$1,Pesos!$A:$I,9,FALSE)))</f>
        <v>0.8</v>
      </c>
      <c r="AQ81" s="80">
        <f>IF(X81="","",IF(X81="SIM",VLOOKUP($I81&amp;$J81&amp;X$1,Pesos!$A:$I,7,FALSE),VLOOKUP($I81&amp;$J81&amp;X$1,Pesos!$A:$I,9,FALSE)))</f>
        <v>0.8</v>
      </c>
      <c r="AR81" s="80">
        <f>IF(Y81="","",IF(Y81="SIM",VLOOKUP($I81&amp;$J81&amp;Y$1,Pesos!$A:$I,7,FALSE),VLOOKUP($I81&amp;$J81&amp;Y$1,Pesos!$A:$I,9,FALSE)))</f>
        <v>0.8</v>
      </c>
      <c r="AS81" s="81">
        <f>IFERROR(Z81*VLOOKUP(J81,'BD Campos'!$Y$1:$Z$12,2,FALSE),"0")</f>
        <v>10</v>
      </c>
    </row>
    <row r="82" spans="1:45" x14ac:dyDescent="0.35">
      <c r="A82" s="68" t="str">
        <f t="shared" si="17"/>
        <v>Jan202511093ReceptivaTRANSFERÊNCIA</v>
      </c>
      <c r="B82" s="69" t="str">
        <f t="shared" si="21"/>
        <v>Jan2025110935TRANSFERÊNCIAPADRÃO</v>
      </c>
      <c r="C82" s="70">
        <v>1</v>
      </c>
      <c r="D82" s="71">
        <v>45671.737870833334</v>
      </c>
      <c r="E82" s="112" t="s">
        <v>74</v>
      </c>
      <c r="F82" s="113">
        <v>11093</v>
      </c>
      <c r="G82" s="69" t="s">
        <v>420</v>
      </c>
      <c r="H82" s="73">
        <v>5</v>
      </c>
      <c r="I82" s="69" t="s">
        <v>6</v>
      </c>
      <c r="J82" s="69" t="s">
        <v>98</v>
      </c>
      <c r="K82" s="69" t="s">
        <v>106</v>
      </c>
      <c r="L82" s="74"/>
      <c r="M82" s="75">
        <v>9.3750000000000007E-4</v>
      </c>
      <c r="N82" s="76" t="s">
        <v>79</v>
      </c>
      <c r="O82" s="76" t="s">
        <v>83</v>
      </c>
      <c r="P82" s="76" t="s">
        <v>79</v>
      </c>
      <c r="Q82" s="76" t="s">
        <v>79</v>
      </c>
      <c r="R82" s="76" t="s">
        <v>79</v>
      </c>
      <c r="S82" s="76" t="s">
        <v>79</v>
      </c>
      <c r="T82" s="76" t="s">
        <v>79</v>
      </c>
      <c r="U82" s="76" t="s">
        <v>79</v>
      </c>
      <c r="V82" s="76" t="s">
        <v>79</v>
      </c>
      <c r="W82" s="76" t="s">
        <v>79</v>
      </c>
      <c r="X82" s="76" t="s">
        <v>79</v>
      </c>
      <c r="Y82" s="76" t="s">
        <v>79</v>
      </c>
      <c r="Z82" s="77">
        <f t="shared" si="2"/>
        <v>9.16</v>
      </c>
      <c r="AA82" s="78"/>
      <c r="AB82" s="78"/>
      <c r="AC82" s="72" t="s">
        <v>47</v>
      </c>
      <c r="AE82" s="79" t="str">
        <f t="shared" si="19"/>
        <v>Jan11093</v>
      </c>
      <c r="AF82" s="80">
        <f>IF(N82="","",IF(N82="SIM",VLOOKUP($I82&amp;$J82&amp;N$1,Pesos!$A:$I,7,FALSE),VLOOKUP($I82&amp;$J82&amp;N$1,Pesos!$A:$I,9,FALSE)))</f>
        <v>0.8</v>
      </c>
      <c r="AG82" s="80">
        <f>IF(O82="","",IF(O82="SIM",VLOOKUP($I82&amp;$J82&amp;O$1,Pesos!$A:$I,7,FALSE),VLOOKUP($I82&amp;$J82&amp;O$1,Pesos!$A:$I,9,FALSE)))</f>
        <v>-4.0000000000000008E-2</v>
      </c>
      <c r="AH82" s="80">
        <f>IF(P82="","",IF(P82="SIM",VLOOKUP($I82&amp;$J82&amp;P$1,Pesos!$A:$I,7,FALSE),VLOOKUP($I82&amp;$J82&amp;P$1,Pesos!$A:$I,9,FALSE)))</f>
        <v>1.2</v>
      </c>
      <c r="AI82" s="80">
        <f>IF(Q82="","",IF(Q82="SIM",VLOOKUP($I82&amp;$J82&amp;Q$1,Pesos!$A:$I,7,FALSE),VLOOKUP($I82&amp;$J82&amp;Q$1,Pesos!$A:$I,9,FALSE)))</f>
        <v>0.8</v>
      </c>
      <c r="AJ82" s="80">
        <f>IF(R82="","",IF(R82="SIM",VLOOKUP($I82&amp;$J82&amp;R$1,Pesos!$A:$I,7,FALSE),VLOOKUP($I82&amp;$J82&amp;R$1,Pesos!$A:$I,9,FALSE)))</f>
        <v>0.8</v>
      </c>
      <c r="AK82" s="80">
        <f>IF(S82="","",IF(S82="SIM",VLOOKUP($I82&amp;$J82&amp;S$1,Pesos!$A:$I,7,FALSE),VLOOKUP($I82&amp;$J82&amp;S$1,Pesos!$A:$I,9,FALSE)))</f>
        <v>0.8</v>
      </c>
      <c r="AL82" s="80">
        <f t="shared" si="20"/>
        <v>4.3599999999999994</v>
      </c>
      <c r="AM82" s="80">
        <f>IF(T82="","",IF(T82="SIM",VLOOKUP($I82&amp;$J82&amp;T$1,Pesos!$A:$I,7,FALSE),VLOOKUP($I82&amp;$J82&amp;T$1,Pesos!$A:$I,9,FALSE)))</f>
        <v>0.8</v>
      </c>
      <c r="AN82" s="80">
        <f>IF(U82="","",IF(U82="SIM",VLOOKUP($I82&amp;$J82&amp;U$1,Pesos!$A:$I,7,FALSE),VLOOKUP($I82&amp;$J82&amp;U$1,Pesos!$A:$I,9,FALSE)))</f>
        <v>0.8</v>
      </c>
      <c r="AO82" s="80">
        <f>IF(V82="","",IF(V82="SIM",VLOOKUP($I82&amp;$J82&amp;V$1,Pesos!$A:$I,7,FALSE),VLOOKUP($I82&amp;$J82&amp;V$1,Pesos!$A:$I,9,FALSE)))</f>
        <v>0.8</v>
      </c>
      <c r="AP82" s="80">
        <f>IF(W82="","",IF(W82="SIM",VLOOKUP($I82&amp;$J82&amp;W$1,Pesos!$A:$I,7,FALSE),VLOOKUP($I82&amp;$J82&amp;W$1,Pesos!$A:$I,9,FALSE)))</f>
        <v>0.8</v>
      </c>
      <c r="AQ82" s="80">
        <f>IF(X82="","",IF(X82="SIM",VLOOKUP($I82&amp;$J82&amp;X$1,Pesos!$A:$I,7,FALSE),VLOOKUP($I82&amp;$J82&amp;X$1,Pesos!$A:$I,9,FALSE)))</f>
        <v>0.8</v>
      </c>
      <c r="AR82" s="80">
        <f>IF(Y82="","",IF(Y82="SIM",VLOOKUP($I82&amp;$J82&amp;Y$1,Pesos!$A:$I,7,FALSE),VLOOKUP($I82&amp;$J82&amp;Y$1,Pesos!$A:$I,9,FALSE)))</f>
        <v>0.8</v>
      </c>
      <c r="AS82" s="81">
        <f>IFERROR(Z82*VLOOKUP(J82,'BD Campos'!$Y$1:$Z$12,2,FALSE),"0")</f>
        <v>9.16</v>
      </c>
    </row>
    <row r="83" spans="1:45" x14ac:dyDescent="0.35">
      <c r="A83" s="68" t="str">
        <f t="shared" si="17"/>
        <v>Jan202511123ReceptivaTRANSFERÊNCIA</v>
      </c>
      <c r="B83" s="69" t="str">
        <f t="shared" si="21"/>
        <v>Jan2025111235TRANSFERÊNCIAPADRÃO</v>
      </c>
      <c r="C83" s="70">
        <v>1</v>
      </c>
      <c r="D83" s="71">
        <v>45671.738563078703</v>
      </c>
      <c r="E83" s="112" t="s">
        <v>74</v>
      </c>
      <c r="F83" s="113">
        <v>11123</v>
      </c>
      <c r="G83" s="69" t="s">
        <v>433</v>
      </c>
      <c r="H83" s="73">
        <v>5</v>
      </c>
      <c r="I83" s="69" t="s">
        <v>6</v>
      </c>
      <c r="J83" s="69" t="s">
        <v>98</v>
      </c>
      <c r="K83" s="69" t="s">
        <v>106</v>
      </c>
      <c r="L83" s="74"/>
      <c r="M83" s="75">
        <v>8.564814814814815E-4</v>
      </c>
      <c r="N83" s="76" t="s">
        <v>79</v>
      </c>
      <c r="O83" s="76" t="s">
        <v>83</v>
      </c>
      <c r="P83" s="76" t="s">
        <v>79</v>
      </c>
      <c r="Q83" s="76" t="s">
        <v>79</v>
      </c>
      <c r="R83" s="76" t="s">
        <v>79</v>
      </c>
      <c r="S83" s="76" t="s">
        <v>79</v>
      </c>
      <c r="T83" s="76" t="s">
        <v>79</v>
      </c>
      <c r="U83" s="76" t="s">
        <v>79</v>
      </c>
      <c r="V83" s="76" t="s">
        <v>79</v>
      </c>
      <c r="W83" s="76" t="s">
        <v>79</v>
      </c>
      <c r="X83" s="76" t="s">
        <v>79</v>
      </c>
      <c r="Y83" s="76" t="s">
        <v>79</v>
      </c>
      <c r="Z83" s="77">
        <f t="shared" si="2"/>
        <v>9.16</v>
      </c>
      <c r="AA83" s="78"/>
      <c r="AB83" s="78"/>
      <c r="AC83" s="72" t="s">
        <v>47</v>
      </c>
      <c r="AE83" s="79" t="str">
        <f t="shared" si="19"/>
        <v>Jan11123</v>
      </c>
      <c r="AF83" s="80">
        <f>IF(N83="","",IF(N83="SIM",VLOOKUP($I83&amp;$J83&amp;N$1,Pesos!$A:$I,7,FALSE),VLOOKUP($I83&amp;$J83&amp;N$1,Pesos!$A:$I,9,FALSE)))</f>
        <v>0.8</v>
      </c>
      <c r="AG83" s="80">
        <f>IF(O83="","",IF(O83="SIM",VLOOKUP($I83&amp;$J83&amp;O$1,Pesos!$A:$I,7,FALSE),VLOOKUP($I83&amp;$J83&amp;O$1,Pesos!$A:$I,9,FALSE)))</f>
        <v>-4.0000000000000008E-2</v>
      </c>
      <c r="AH83" s="80">
        <f>IF(P83="","",IF(P83="SIM",VLOOKUP($I83&amp;$J83&amp;P$1,Pesos!$A:$I,7,FALSE),VLOOKUP($I83&amp;$J83&amp;P$1,Pesos!$A:$I,9,FALSE)))</f>
        <v>1.2</v>
      </c>
      <c r="AI83" s="80">
        <f>IF(Q83="","",IF(Q83="SIM",VLOOKUP($I83&amp;$J83&amp;Q$1,Pesos!$A:$I,7,FALSE),VLOOKUP($I83&amp;$J83&amp;Q$1,Pesos!$A:$I,9,FALSE)))</f>
        <v>0.8</v>
      </c>
      <c r="AJ83" s="80">
        <f>IF(R83="","",IF(R83="SIM",VLOOKUP($I83&amp;$J83&amp;R$1,Pesos!$A:$I,7,FALSE),VLOOKUP($I83&amp;$J83&amp;R$1,Pesos!$A:$I,9,FALSE)))</f>
        <v>0.8</v>
      </c>
      <c r="AK83" s="80">
        <f>IF(S83="","",IF(S83="SIM",VLOOKUP($I83&amp;$J83&amp;S$1,Pesos!$A:$I,7,FALSE),VLOOKUP($I83&amp;$J83&amp;S$1,Pesos!$A:$I,9,FALSE)))</f>
        <v>0.8</v>
      </c>
      <c r="AL83" s="80">
        <f t="shared" si="20"/>
        <v>4.3599999999999994</v>
      </c>
      <c r="AM83" s="80">
        <f>IF(T83="","",IF(T83="SIM",VLOOKUP($I83&amp;$J83&amp;T$1,Pesos!$A:$I,7,FALSE),VLOOKUP($I83&amp;$J83&amp;T$1,Pesos!$A:$I,9,FALSE)))</f>
        <v>0.8</v>
      </c>
      <c r="AN83" s="80">
        <f>IF(U83="","",IF(U83="SIM",VLOOKUP($I83&amp;$J83&amp;U$1,Pesos!$A:$I,7,FALSE),VLOOKUP($I83&amp;$J83&amp;U$1,Pesos!$A:$I,9,FALSE)))</f>
        <v>0.8</v>
      </c>
      <c r="AO83" s="80">
        <f>IF(V83="","",IF(V83="SIM",VLOOKUP($I83&amp;$J83&amp;V$1,Pesos!$A:$I,7,FALSE),VLOOKUP($I83&amp;$J83&amp;V$1,Pesos!$A:$I,9,FALSE)))</f>
        <v>0.8</v>
      </c>
      <c r="AP83" s="80">
        <f>IF(W83="","",IF(W83="SIM",VLOOKUP($I83&amp;$J83&amp;W$1,Pesos!$A:$I,7,FALSE),VLOOKUP($I83&amp;$J83&amp;W$1,Pesos!$A:$I,9,FALSE)))</f>
        <v>0.8</v>
      </c>
      <c r="AQ83" s="80">
        <f>IF(X83="","",IF(X83="SIM",VLOOKUP($I83&amp;$J83&amp;X$1,Pesos!$A:$I,7,FALSE),VLOOKUP($I83&amp;$J83&amp;X$1,Pesos!$A:$I,9,FALSE)))</f>
        <v>0.8</v>
      </c>
      <c r="AR83" s="80">
        <f>IF(Y83="","",IF(Y83="SIM",VLOOKUP($I83&amp;$J83&amp;Y$1,Pesos!$A:$I,7,FALSE),VLOOKUP($I83&amp;$J83&amp;Y$1,Pesos!$A:$I,9,FALSE)))</f>
        <v>0.8</v>
      </c>
      <c r="AS83" s="81">
        <f>IFERROR(Z83*VLOOKUP(J83,'BD Campos'!$Y$1:$Z$12,2,FALSE),"0")</f>
        <v>9.16</v>
      </c>
    </row>
    <row r="84" spans="1:45" x14ac:dyDescent="0.35">
      <c r="A84" s="68" t="str">
        <f t="shared" si="17"/>
        <v>Jan202511181ReceptivaTRANSFERÊNCIA</v>
      </c>
      <c r="B84" s="69" t="str">
        <f t="shared" si="21"/>
        <v>Jan2025111815TRANSFERÊNCIAPADRÃO</v>
      </c>
      <c r="C84" s="70">
        <v>1</v>
      </c>
      <c r="D84" s="71">
        <v>45671.739546990742</v>
      </c>
      <c r="E84" s="112" t="s">
        <v>74</v>
      </c>
      <c r="F84" s="113">
        <v>11181</v>
      </c>
      <c r="G84" s="69" t="s">
        <v>1363</v>
      </c>
      <c r="H84" s="73">
        <v>5</v>
      </c>
      <c r="I84" s="69" t="s">
        <v>6</v>
      </c>
      <c r="J84" s="69" t="s">
        <v>98</v>
      </c>
      <c r="K84" s="69" t="s">
        <v>106</v>
      </c>
      <c r="L84" s="74"/>
      <c r="M84" s="75">
        <v>1.3310185185185185E-3</v>
      </c>
      <c r="N84" s="76" t="s">
        <v>79</v>
      </c>
      <c r="O84" s="76" t="s">
        <v>79</v>
      </c>
      <c r="P84" s="76" t="s">
        <v>79</v>
      </c>
      <c r="Q84" s="76" t="s">
        <v>83</v>
      </c>
      <c r="R84" s="76" t="s">
        <v>79</v>
      </c>
      <c r="S84" s="76" t="s">
        <v>79</v>
      </c>
      <c r="T84" s="76" t="s">
        <v>79</v>
      </c>
      <c r="U84" s="76" t="s">
        <v>79</v>
      </c>
      <c r="V84" s="76" t="s">
        <v>79</v>
      </c>
      <c r="W84" s="76" t="s">
        <v>79</v>
      </c>
      <c r="X84" s="76" t="s">
        <v>79</v>
      </c>
      <c r="Y84" s="76" t="s">
        <v>79</v>
      </c>
      <c r="Z84" s="77">
        <f t="shared" si="2"/>
        <v>9.16</v>
      </c>
      <c r="AA84" s="78"/>
      <c r="AB84" s="78"/>
      <c r="AC84" s="72" t="s">
        <v>47</v>
      </c>
      <c r="AE84" s="79" t="str">
        <f t="shared" si="19"/>
        <v>Jan11181</v>
      </c>
      <c r="AF84" s="80">
        <f>IF(N84="","",IF(N84="SIM",VLOOKUP($I84&amp;$J84&amp;N$1,Pesos!$A:$I,7,FALSE),VLOOKUP($I84&amp;$J84&amp;N$1,Pesos!$A:$I,9,FALSE)))</f>
        <v>0.8</v>
      </c>
      <c r="AG84" s="80">
        <f>IF(O84="","",IF(O84="SIM",VLOOKUP($I84&amp;$J84&amp;O$1,Pesos!$A:$I,7,FALSE),VLOOKUP($I84&amp;$J84&amp;O$1,Pesos!$A:$I,9,FALSE)))</f>
        <v>0.8</v>
      </c>
      <c r="AH84" s="80">
        <f>IF(P84="","",IF(P84="SIM",VLOOKUP($I84&amp;$J84&amp;P$1,Pesos!$A:$I,7,FALSE),VLOOKUP($I84&amp;$J84&amp;P$1,Pesos!$A:$I,9,FALSE)))</f>
        <v>1.2</v>
      </c>
      <c r="AI84" s="80">
        <f>IF(Q84="","",IF(Q84="SIM",VLOOKUP($I84&amp;$J84&amp;Q$1,Pesos!$A:$I,7,FALSE),VLOOKUP($I84&amp;$J84&amp;Q$1,Pesos!$A:$I,9,FALSE)))</f>
        <v>-4.0000000000000008E-2</v>
      </c>
      <c r="AJ84" s="80">
        <f>IF(R84="","",IF(R84="SIM",VLOOKUP($I84&amp;$J84&amp;R$1,Pesos!$A:$I,7,FALSE),VLOOKUP($I84&amp;$J84&amp;R$1,Pesos!$A:$I,9,FALSE)))</f>
        <v>0.8</v>
      </c>
      <c r="AK84" s="80">
        <f>IF(S84="","",IF(S84="SIM",VLOOKUP($I84&amp;$J84&amp;S$1,Pesos!$A:$I,7,FALSE),VLOOKUP($I84&amp;$J84&amp;S$1,Pesos!$A:$I,9,FALSE)))</f>
        <v>0.8</v>
      </c>
      <c r="AL84" s="80">
        <f t="shared" si="20"/>
        <v>4.3599999999999994</v>
      </c>
      <c r="AM84" s="80">
        <f>IF(T84="","",IF(T84="SIM",VLOOKUP($I84&amp;$J84&amp;T$1,Pesos!$A:$I,7,FALSE),VLOOKUP($I84&amp;$J84&amp;T$1,Pesos!$A:$I,9,FALSE)))</f>
        <v>0.8</v>
      </c>
      <c r="AN84" s="80">
        <f>IF(U84="","",IF(U84="SIM",VLOOKUP($I84&amp;$J84&amp;U$1,Pesos!$A:$I,7,FALSE),VLOOKUP($I84&amp;$J84&amp;U$1,Pesos!$A:$I,9,FALSE)))</f>
        <v>0.8</v>
      </c>
      <c r="AO84" s="80">
        <f>IF(V84="","",IF(V84="SIM",VLOOKUP($I84&amp;$J84&amp;V$1,Pesos!$A:$I,7,FALSE),VLOOKUP($I84&amp;$J84&amp;V$1,Pesos!$A:$I,9,FALSE)))</f>
        <v>0.8</v>
      </c>
      <c r="AP84" s="80">
        <f>IF(W84="","",IF(W84="SIM",VLOOKUP($I84&amp;$J84&amp;W$1,Pesos!$A:$I,7,FALSE),VLOOKUP($I84&amp;$J84&amp;W$1,Pesos!$A:$I,9,FALSE)))</f>
        <v>0.8</v>
      </c>
      <c r="AQ84" s="80">
        <f>IF(X84="","",IF(X84="SIM",VLOOKUP($I84&amp;$J84&amp;X$1,Pesos!$A:$I,7,FALSE),VLOOKUP($I84&amp;$J84&amp;X$1,Pesos!$A:$I,9,FALSE)))</f>
        <v>0.8</v>
      </c>
      <c r="AR84" s="80">
        <f>IF(Y84="","",IF(Y84="SIM",VLOOKUP($I84&amp;$J84&amp;Y$1,Pesos!$A:$I,7,FALSE),VLOOKUP($I84&amp;$J84&amp;Y$1,Pesos!$A:$I,9,FALSE)))</f>
        <v>0.8</v>
      </c>
      <c r="AS84" s="81">
        <f>IFERROR(Z84*VLOOKUP(J84,'BD Campos'!$Y$1:$Z$12,2,FALSE),"0")</f>
        <v>9.16</v>
      </c>
    </row>
    <row r="85" spans="1:45" x14ac:dyDescent="0.35">
      <c r="A85" s="68" t="str">
        <f t="shared" si="17"/>
        <v>Jan202511207ReceptivaTRANSFERÊNCIA</v>
      </c>
      <c r="B85" s="69" t="str">
        <f t="shared" si="21"/>
        <v>Jan2025112075TRANSFERÊNCIAPADRÃO</v>
      </c>
      <c r="C85" s="70">
        <v>1</v>
      </c>
      <c r="D85" s="71">
        <v>45671.740275231481</v>
      </c>
      <c r="E85" s="112" t="s">
        <v>74</v>
      </c>
      <c r="F85" s="113">
        <v>11207</v>
      </c>
      <c r="G85" s="69" t="s">
        <v>1382</v>
      </c>
      <c r="H85" s="73">
        <v>5</v>
      </c>
      <c r="I85" s="69" t="s">
        <v>6</v>
      </c>
      <c r="J85" s="69" t="s">
        <v>98</v>
      </c>
      <c r="K85" s="69" t="s">
        <v>106</v>
      </c>
      <c r="L85" s="74"/>
      <c r="M85" s="75">
        <v>1.5856481481481479E-3</v>
      </c>
      <c r="N85" s="76" t="s">
        <v>79</v>
      </c>
      <c r="O85" s="76" t="s">
        <v>79</v>
      </c>
      <c r="P85" s="76" t="s">
        <v>79</v>
      </c>
      <c r="Q85" s="76" t="s">
        <v>79</v>
      </c>
      <c r="R85" s="76" t="s">
        <v>79</v>
      </c>
      <c r="S85" s="76" t="s">
        <v>79</v>
      </c>
      <c r="T85" s="76" t="s">
        <v>79</v>
      </c>
      <c r="U85" s="76" t="s">
        <v>79</v>
      </c>
      <c r="V85" s="76" t="s">
        <v>79</v>
      </c>
      <c r="W85" s="76" t="s">
        <v>79</v>
      </c>
      <c r="X85" s="76" t="s">
        <v>79</v>
      </c>
      <c r="Y85" s="76" t="s">
        <v>79</v>
      </c>
      <c r="Z85" s="77">
        <f t="shared" si="2"/>
        <v>10</v>
      </c>
      <c r="AA85" s="78"/>
      <c r="AB85" s="78"/>
      <c r="AC85" s="72" t="s">
        <v>47</v>
      </c>
      <c r="AE85" s="79" t="str">
        <f t="shared" si="19"/>
        <v>Jan11207</v>
      </c>
      <c r="AF85" s="80">
        <f>IF(N85="","",IF(N85="SIM",VLOOKUP($I85&amp;$J85&amp;N$1,Pesos!$A:$I,7,FALSE),VLOOKUP($I85&amp;$J85&amp;N$1,Pesos!$A:$I,9,FALSE)))</f>
        <v>0.8</v>
      </c>
      <c r="AG85" s="80">
        <f>IF(O85="","",IF(O85="SIM",VLOOKUP($I85&amp;$J85&amp;O$1,Pesos!$A:$I,7,FALSE),VLOOKUP($I85&amp;$J85&amp;O$1,Pesos!$A:$I,9,FALSE)))</f>
        <v>0.8</v>
      </c>
      <c r="AH85" s="80">
        <f>IF(P85="","",IF(P85="SIM",VLOOKUP($I85&amp;$J85&amp;P$1,Pesos!$A:$I,7,FALSE),VLOOKUP($I85&amp;$J85&amp;P$1,Pesos!$A:$I,9,FALSE)))</f>
        <v>1.2</v>
      </c>
      <c r="AI85" s="80">
        <f>IF(Q85="","",IF(Q85="SIM",VLOOKUP($I85&amp;$J85&amp;Q$1,Pesos!$A:$I,7,FALSE),VLOOKUP($I85&amp;$J85&amp;Q$1,Pesos!$A:$I,9,FALSE)))</f>
        <v>0.8</v>
      </c>
      <c r="AJ85" s="80">
        <f>IF(R85="","",IF(R85="SIM",VLOOKUP($I85&amp;$J85&amp;R$1,Pesos!$A:$I,7,FALSE),VLOOKUP($I85&amp;$J85&amp;R$1,Pesos!$A:$I,9,FALSE)))</f>
        <v>0.8</v>
      </c>
      <c r="AK85" s="80">
        <f>IF(S85="","",IF(S85="SIM",VLOOKUP($I85&amp;$J85&amp;S$1,Pesos!$A:$I,7,FALSE),VLOOKUP($I85&amp;$J85&amp;S$1,Pesos!$A:$I,9,FALSE)))</f>
        <v>0.8</v>
      </c>
      <c r="AL85" s="80">
        <f t="shared" si="20"/>
        <v>5.1999999999999993</v>
      </c>
      <c r="AM85" s="80">
        <f>IF(T85="","",IF(T85="SIM",VLOOKUP($I85&amp;$J85&amp;T$1,Pesos!$A:$I,7,FALSE),VLOOKUP($I85&amp;$J85&amp;T$1,Pesos!$A:$I,9,FALSE)))</f>
        <v>0.8</v>
      </c>
      <c r="AN85" s="80">
        <f>IF(U85="","",IF(U85="SIM",VLOOKUP($I85&amp;$J85&amp;U$1,Pesos!$A:$I,7,FALSE),VLOOKUP($I85&amp;$J85&amp;U$1,Pesos!$A:$I,9,FALSE)))</f>
        <v>0.8</v>
      </c>
      <c r="AO85" s="80">
        <f>IF(V85="","",IF(V85="SIM",VLOOKUP($I85&amp;$J85&amp;V$1,Pesos!$A:$I,7,FALSE),VLOOKUP($I85&amp;$J85&amp;V$1,Pesos!$A:$I,9,FALSE)))</f>
        <v>0.8</v>
      </c>
      <c r="AP85" s="80">
        <f>IF(W85="","",IF(W85="SIM",VLOOKUP($I85&amp;$J85&amp;W$1,Pesos!$A:$I,7,FALSE),VLOOKUP($I85&amp;$J85&amp;W$1,Pesos!$A:$I,9,FALSE)))</f>
        <v>0.8</v>
      </c>
      <c r="AQ85" s="80">
        <f>IF(X85="","",IF(X85="SIM",VLOOKUP($I85&amp;$J85&amp;X$1,Pesos!$A:$I,7,FALSE),VLOOKUP($I85&amp;$J85&amp;X$1,Pesos!$A:$I,9,FALSE)))</f>
        <v>0.8</v>
      </c>
      <c r="AR85" s="80">
        <f>IF(Y85="","",IF(Y85="SIM",VLOOKUP($I85&amp;$J85&amp;Y$1,Pesos!$A:$I,7,FALSE),VLOOKUP($I85&amp;$J85&amp;Y$1,Pesos!$A:$I,9,FALSE)))</f>
        <v>0.8</v>
      </c>
      <c r="AS85" s="81">
        <f>IFERROR(Z85*VLOOKUP(J85,'BD Campos'!$Y$1:$Z$12,2,FALSE),"0")</f>
        <v>10</v>
      </c>
    </row>
    <row r="86" spans="1:45" x14ac:dyDescent="0.35">
      <c r="A86" s="68" t="str">
        <f t="shared" si="17"/>
        <v>Jan202511225ReceptivaTRANSFERÊNCIA</v>
      </c>
      <c r="B86" s="69" t="str">
        <f t="shared" si="21"/>
        <v>Jan2025112255TRANSFERÊNCIAPADRÃO</v>
      </c>
      <c r="C86" s="70">
        <v>1</v>
      </c>
      <c r="D86" s="71">
        <v>45671.741806134261</v>
      </c>
      <c r="E86" s="112" t="s">
        <v>74</v>
      </c>
      <c r="F86" s="113">
        <v>11225</v>
      </c>
      <c r="G86" s="69" t="s">
        <v>1392</v>
      </c>
      <c r="H86" s="73">
        <v>5</v>
      </c>
      <c r="I86" s="69" t="s">
        <v>6</v>
      </c>
      <c r="J86" s="69" t="s">
        <v>98</v>
      </c>
      <c r="K86" s="69" t="s">
        <v>106</v>
      </c>
      <c r="L86" s="74"/>
      <c r="M86" s="75">
        <v>1.0069444444444444E-3</v>
      </c>
      <c r="N86" s="76" t="s">
        <v>79</v>
      </c>
      <c r="O86" s="76" t="s">
        <v>83</v>
      </c>
      <c r="P86" s="76" t="s">
        <v>79</v>
      </c>
      <c r="Q86" s="76" t="s">
        <v>79</v>
      </c>
      <c r="R86" s="76" t="s">
        <v>79</v>
      </c>
      <c r="S86" s="76" t="s">
        <v>79</v>
      </c>
      <c r="T86" s="76" t="s">
        <v>79</v>
      </c>
      <c r="U86" s="76" t="s">
        <v>79</v>
      </c>
      <c r="V86" s="76" t="s">
        <v>79</v>
      </c>
      <c r="W86" s="76" t="s">
        <v>79</v>
      </c>
      <c r="X86" s="76" t="s">
        <v>79</v>
      </c>
      <c r="Y86" s="76" t="s">
        <v>79</v>
      </c>
      <c r="Z86" s="77">
        <f t="shared" si="2"/>
        <v>9.16</v>
      </c>
      <c r="AA86" s="78"/>
      <c r="AB86" s="78"/>
      <c r="AC86" s="72" t="s">
        <v>47</v>
      </c>
      <c r="AE86" s="79" t="str">
        <f t="shared" si="19"/>
        <v>Jan11225</v>
      </c>
      <c r="AF86" s="80">
        <f>IF(N86="","",IF(N86="SIM",VLOOKUP($I86&amp;$J86&amp;N$1,Pesos!$A:$I,7,FALSE),VLOOKUP($I86&amp;$J86&amp;N$1,Pesos!$A:$I,9,FALSE)))</f>
        <v>0.8</v>
      </c>
      <c r="AG86" s="80">
        <f>IF(O86="","",IF(O86="SIM",VLOOKUP($I86&amp;$J86&amp;O$1,Pesos!$A:$I,7,FALSE),VLOOKUP($I86&amp;$J86&amp;O$1,Pesos!$A:$I,9,FALSE)))</f>
        <v>-4.0000000000000008E-2</v>
      </c>
      <c r="AH86" s="80">
        <f>IF(P86="","",IF(P86="SIM",VLOOKUP($I86&amp;$J86&amp;P$1,Pesos!$A:$I,7,FALSE),VLOOKUP($I86&amp;$J86&amp;P$1,Pesos!$A:$I,9,FALSE)))</f>
        <v>1.2</v>
      </c>
      <c r="AI86" s="80">
        <f>IF(Q86="","",IF(Q86="SIM",VLOOKUP($I86&amp;$J86&amp;Q$1,Pesos!$A:$I,7,FALSE),VLOOKUP($I86&amp;$J86&amp;Q$1,Pesos!$A:$I,9,FALSE)))</f>
        <v>0.8</v>
      </c>
      <c r="AJ86" s="80">
        <f>IF(R86="","",IF(R86="SIM",VLOOKUP($I86&amp;$J86&amp;R$1,Pesos!$A:$I,7,FALSE),VLOOKUP($I86&amp;$J86&amp;R$1,Pesos!$A:$I,9,FALSE)))</f>
        <v>0.8</v>
      </c>
      <c r="AK86" s="80">
        <f>IF(S86="","",IF(S86="SIM",VLOOKUP($I86&amp;$J86&amp;S$1,Pesos!$A:$I,7,FALSE),VLOOKUP($I86&amp;$J86&amp;S$1,Pesos!$A:$I,9,FALSE)))</f>
        <v>0.8</v>
      </c>
      <c r="AL86" s="80">
        <f t="shared" si="20"/>
        <v>4.3599999999999994</v>
      </c>
      <c r="AM86" s="80">
        <f>IF(T86="","",IF(T86="SIM",VLOOKUP($I86&amp;$J86&amp;T$1,Pesos!$A:$I,7,FALSE),VLOOKUP($I86&amp;$J86&amp;T$1,Pesos!$A:$I,9,FALSE)))</f>
        <v>0.8</v>
      </c>
      <c r="AN86" s="80">
        <f>IF(U86="","",IF(U86="SIM",VLOOKUP($I86&amp;$J86&amp;U$1,Pesos!$A:$I,7,FALSE),VLOOKUP($I86&amp;$J86&amp;U$1,Pesos!$A:$I,9,FALSE)))</f>
        <v>0.8</v>
      </c>
      <c r="AO86" s="80">
        <f>IF(V86="","",IF(V86="SIM",VLOOKUP($I86&amp;$J86&amp;V$1,Pesos!$A:$I,7,FALSE),VLOOKUP($I86&amp;$J86&amp;V$1,Pesos!$A:$I,9,FALSE)))</f>
        <v>0.8</v>
      </c>
      <c r="AP86" s="80">
        <f>IF(W86="","",IF(W86="SIM",VLOOKUP($I86&amp;$J86&amp;W$1,Pesos!$A:$I,7,FALSE),VLOOKUP($I86&amp;$J86&amp;W$1,Pesos!$A:$I,9,FALSE)))</f>
        <v>0.8</v>
      </c>
      <c r="AQ86" s="80">
        <f>IF(X86="","",IF(X86="SIM",VLOOKUP($I86&amp;$J86&amp;X$1,Pesos!$A:$I,7,FALSE),VLOOKUP($I86&amp;$J86&amp;X$1,Pesos!$A:$I,9,FALSE)))</f>
        <v>0.8</v>
      </c>
      <c r="AR86" s="80">
        <f>IF(Y86="","",IF(Y86="SIM",VLOOKUP($I86&amp;$J86&amp;Y$1,Pesos!$A:$I,7,FALSE),VLOOKUP($I86&amp;$J86&amp;Y$1,Pesos!$A:$I,9,FALSE)))</f>
        <v>0.8</v>
      </c>
      <c r="AS86" s="81">
        <f>IFERROR(Z86*VLOOKUP(J86,'BD Campos'!$Y$1:$Z$12,2,FALSE),"0")</f>
        <v>9.16</v>
      </c>
    </row>
    <row r="87" spans="1:45" x14ac:dyDescent="0.35">
      <c r="A87" s="68" t="str">
        <f t="shared" si="17"/>
        <v>Jan202511235ReceptivaTRANSFERÊNCIA</v>
      </c>
      <c r="B87" s="69" t="str">
        <f t="shared" si="21"/>
        <v>Jan2025112355TRANSFERÊNCIAPADRÃO</v>
      </c>
      <c r="C87" s="70">
        <v>1</v>
      </c>
      <c r="D87" s="71">
        <v>45671.744474189814</v>
      </c>
      <c r="E87" s="112" t="s">
        <v>74</v>
      </c>
      <c r="F87" s="113">
        <v>11235</v>
      </c>
      <c r="G87" s="69" t="s">
        <v>1440</v>
      </c>
      <c r="H87" s="73">
        <v>5</v>
      </c>
      <c r="I87" s="69" t="s">
        <v>6</v>
      </c>
      <c r="J87" s="69" t="s">
        <v>98</v>
      </c>
      <c r="K87" s="69" t="s">
        <v>106</v>
      </c>
      <c r="L87" s="74"/>
      <c r="M87" s="75">
        <v>1.736111111111111E-3</v>
      </c>
      <c r="N87" s="76" t="s">
        <v>79</v>
      </c>
      <c r="O87" s="76" t="s">
        <v>83</v>
      </c>
      <c r="P87" s="76" t="s">
        <v>79</v>
      </c>
      <c r="Q87" s="76" t="s">
        <v>79</v>
      </c>
      <c r="R87" s="76" t="s">
        <v>79</v>
      </c>
      <c r="S87" s="76" t="s">
        <v>79</v>
      </c>
      <c r="T87" s="76" t="s">
        <v>79</v>
      </c>
      <c r="U87" s="76" t="s">
        <v>79</v>
      </c>
      <c r="V87" s="76" t="s">
        <v>79</v>
      </c>
      <c r="W87" s="76" t="s">
        <v>83</v>
      </c>
      <c r="X87" s="76" t="s">
        <v>79</v>
      </c>
      <c r="Y87" s="76" t="s">
        <v>79</v>
      </c>
      <c r="Z87" s="77">
        <f t="shared" si="2"/>
        <v>8.3199999999999985</v>
      </c>
      <c r="AA87" s="78"/>
      <c r="AB87" s="78"/>
      <c r="AC87" s="72" t="s">
        <v>47</v>
      </c>
      <c r="AE87" s="79" t="str">
        <f t="shared" si="19"/>
        <v>Jan11235</v>
      </c>
      <c r="AF87" s="80">
        <f>IF(N87="","",IF(N87="SIM",VLOOKUP($I87&amp;$J87&amp;N$1,Pesos!$A:$I,7,FALSE),VLOOKUP($I87&amp;$J87&amp;N$1,Pesos!$A:$I,9,FALSE)))</f>
        <v>0.8</v>
      </c>
      <c r="AG87" s="80">
        <f>IF(O87="","",IF(O87="SIM",VLOOKUP($I87&amp;$J87&amp;O$1,Pesos!$A:$I,7,FALSE),VLOOKUP($I87&amp;$J87&amp;O$1,Pesos!$A:$I,9,FALSE)))</f>
        <v>-4.0000000000000008E-2</v>
      </c>
      <c r="AH87" s="80">
        <f>IF(P87="","",IF(P87="SIM",VLOOKUP($I87&amp;$J87&amp;P$1,Pesos!$A:$I,7,FALSE),VLOOKUP($I87&amp;$J87&amp;P$1,Pesos!$A:$I,9,FALSE)))</f>
        <v>1.2</v>
      </c>
      <c r="AI87" s="80">
        <f>IF(Q87="","",IF(Q87="SIM",VLOOKUP($I87&amp;$J87&amp;Q$1,Pesos!$A:$I,7,FALSE),VLOOKUP($I87&amp;$J87&amp;Q$1,Pesos!$A:$I,9,FALSE)))</f>
        <v>0.8</v>
      </c>
      <c r="AJ87" s="80">
        <f>IF(R87="","",IF(R87="SIM",VLOOKUP($I87&amp;$J87&amp;R$1,Pesos!$A:$I,7,FALSE),VLOOKUP($I87&amp;$J87&amp;R$1,Pesos!$A:$I,9,FALSE)))</f>
        <v>0.8</v>
      </c>
      <c r="AK87" s="80">
        <f>IF(S87="","",IF(S87="SIM",VLOOKUP($I87&amp;$J87&amp;S$1,Pesos!$A:$I,7,FALSE),VLOOKUP($I87&amp;$J87&amp;S$1,Pesos!$A:$I,9,FALSE)))</f>
        <v>0.8</v>
      </c>
      <c r="AL87" s="80">
        <f t="shared" si="20"/>
        <v>4.3599999999999994</v>
      </c>
      <c r="AM87" s="80">
        <f>IF(T87="","",IF(T87="SIM",VLOOKUP($I87&amp;$J87&amp;T$1,Pesos!$A:$I,7,FALSE),VLOOKUP($I87&amp;$J87&amp;T$1,Pesos!$A:$I,9,FALSE)))</f>
        <v>0.8</v>
      </c>
      <c r="AN87" s="80">
        <f>IF(U87="","",IF(U87="SIM",VLOOKUP($I87&amp;$J87&amp;U$1,Pesos!$A:$I,7,FALSE),VLOOKUP($I87&amp;$J87&amp;U$1,Pesos!$A:$I,9,FALSE)))</f>
        <v>0.8</v>
      </c>
      <c r="AO87" s="80">
        <f>IF(V87="","",IF(V87="SIM",VLOOKUP($I87&amp;$J87&amp;V$1,Pesos!$A:$I,7,FALSE),VLOOKUP($I87&amp;$J87&amp;V$1,Pesos!$A:$I,9,FALSE)))</f>
        <v>0.8</v>
      </c>
      <c r="AP87" s="80">
        <f>IF(W87="","",IF(W87="SIM",VLOOKUP($I87&amp;$J87&amp;W$1,Pesos!$A:$I,7,FALSE),VLOOKUP($I87&amp;$J87&amp;W$1,Pesos!$A:$I,9,FALSE)))</f>
        <v>-4.0000000000000008E-2</v>
      </c>
      <c r="AQ87" s="80">
        <f>IF(X87="","",IF(X87="SIM",VLOOKUP($I87&amp;$J87&amp;X$1,Pesos!$A:$I,7,FALSE),VLOOKUP($I87&amp;$J87&amp;X$1,Pesos!$A:$I,9,FALSE)))</f>
        <v>0.8</v>
      </c>
      <c r="AR87" s="80">
        <f>IF(Y87="","",IF(Y87="SIM",VLOOKUP($I87&amp;$J87&amp;Y$1,Pesos!$A:$I,7,FALSE),VLOOKUP($I87&amp;$J87&amp;Y$1,Pesos!$A:$I,9,FALSE)))</f>
        <v>0.8</v>
      </c>
      <c r="AS87" s="81">
        <f>IFERROR(Z87*VLOOKUP(J87,'BD Campos'!$Y$1:$Z$12,2,FALSE),"0")</f>
        <v>8.3199999999999985</v>
      </c>
    </row>
    <row r="88" spans="1:45" x14ac:dyDescent="0.35">
      <c r="A88" s="68" t="str">
        <f t="shared" si="17"/>
        <v>Jan202511243ReceptivaTRANSFERÊNCIA</v>
      </c>
      <c r="B88" s="69" t="str">
        <f t="shared" si="21"/>
        <v>Jan2025112435TRANSFERÊNCIAPADRÃO</v>
      </c>
      <c r="C88" s="70">
        <v>1</v>
      </c>
      <c r="D88" s="71">
        <v>45671.748446990743</v>
      </c>
      <c r="E88" s="112" t="s">
        <v>74</v>
      </c>
      <c r="F88" s="113">
        <v>11243</v>
      </c>
      <c r="G88" s="69" t="s">
        <v>1441</v>
      </c>
      <c r="H88" s="73">
        <v>5</v>
      </c>
      <c r="I88" s="69" t="s">
        <v>6</v>
      </c>
      <c r="J88" s="69" t="s">
        <v>98</v>
      </c>
      <c r="K88" s="69" t="s">
        <v>106</v>
      </c>
      <c r="L88" s="74"/>
      <c r="M88" s="75">
        <v>1.1805555555555556E-3</v>
      </c>
      <c r="N88" s="76" t="s">
        <v>83</v>
      </c>
      <c r="O88" s="76" t="s">
        <v>79</v>
      </c>
      <c r="P88" s="76" t="s">
        <v>79</v>
      </c>
      <c r="Q88" s="76" t="s">
        <v>79</v>
      </c>
      <c r="R88" s="76" t="s">
        <v>79</v>
      </c>
      <c r="S88" s="76" t="s">
        <v>79</v>
      </c>
      <c r="T88" s="76" t="s">
        <v>79</v>
      </c>
      <c r="U88" s="76" t="s">
        <v>79</v>
      </c>
      <c r="V88" s="76" t="s">
        <v>79</v>
      </c>
      <c r="W88" s="76" t="s">
        <v>79</v>
      </c>
      <c r="X88" s="76" t="s">
        <v>79</v>
      </c>
      <c r="Y88" s="76" t="s">
        <v>79</v>
      </c>
      <c r="Z88" s="77">
        <f t="shared" si="2"/>
        <v>9.16</v>
      </c>
      <c r="AA88" s="78" t="s">
        <v>1442</v>
      </c>
      <c r="AB88" s="78"/>
      <c r="AC88" s="72" t="s">
        <v>47</v>
      </c>
      <c r="AE88" s="79" t="str">
        <f t="shared" ref="AE88:AE99" si="22">E88&amp;F88</f>
        <v>Jan11243</v>
      </c>
      <c r="AF88" s="80">
        <f>IF(N88="","",IF(N88="SIM",VLOOKUP($I88&amp;$J88&amp;N$1,Pesos!$A:$I,7,FALSE),VLOOKUP($I88&amp;$J88&amp;N$1,Pesos!$A:$I,9,FALSE)))</f>
        <v>-4.0000000000000008E-2</v>
      </c>
      <c r="AG88" s="80">
        <f>IF(O88="","",IF(O88="SIM",VLOOKUP($I88&amp;$J88&amp;O$1,Pesos!$A:$I,7,FALSE),VLOOKUP($I88&amp;$J88&amp;O$1,Pesos!$A:$I,9,FALSE)))</f>
        <v>0.8</v>
      </c>
      <c r="AH88" s="80">
        <f>IF(P88="","",IF(P88="SIM",VLOOKUP($I88&amp;$J88&amp;P$1,Pesos!$A:$I,7,FALSE),VLOOKUP($I88&amp;$J88&amp;P$1,Pesos!$A:$I,9,FALSE)))</f>
        <v>1.2</v>
      </c>
      <c r="AI88" s="80">
        <f>IF(Q88="","",IF(Q88="SIM",VLOOKUP($I88&amp;$J88&amp;Q$1,Pesos!$A:$I,7,FALSE),VLOOKUP($I88&amp;$J88&amp;Q$1,Pesos!$A:$I,9,FALSE)))</f>
        <v>0.8</v>
      </c>
      <c r="AJ88" s="80">
        <f>IF(R88="","",IF(R88="SIM",VLOOKUP($I88&amp;$J88&amp;R$1,Pesos!$A:$I,7,FALSE),VLOOKUP($I88&amp;$J88&amp;R$1,Pesos!$A:$I,9,FALSE)))</f>
        <v>0.8</v>
      </c>
      <c r="AK88" s="80">
        <f>IF(S88="","",IF(S88="SIM",VLOOKUP($I88&amp;$J88&amp;S$1,Pesos!$A:$I,7,FALSE),VLOOKUP($I88&amp;$J88&amp;S$1,Pesos!$A:$I,9,FALSE)))</f>
        <v>0.8</v>
      </c>
      <c r="AL88" s="80">
        <f t="shared" ref="AL88:AL99" si="23">SUM(AF88:AK88)</f>
        <v>4.3599999999999994</v>
      </c>
      <c r="AM88" s="80">
        <f>IF(T88="","",IF(T88="SIM",VLOOKUP($I88&amp;$J88&amp;T$1,Pesos!$A:$I,7,FALSE),VLOOKUP($I88&amp;$J88&amp;T$1,Pesos!$A:$I,9,FALSE)))</f>
        <v>0.8</v>
      </c>
      <c r="AN88" s="80">
        <f>IF(U88="","",IF(U88="SIM",VLOOKUP($I88&amp;$J88&amp;U$1,Pesos!$A:$I,7,FALSE),VLOOKUP($I88&amp;$J88&amp;U$1,Pesos!$A:$I,9,FALSE)))</f>
        <v>0.8</v>
      </c>
      <c r="AO88" s="80">
        <f>IF(V88="","",IF(V88="SIM",VLOOKUP($I88&amp;$J88&amp;V$1,Pesos!$A:$I,7,FALSE),VLOOKUP($I88&amp;$J88&amp;V$1,Pesos!$A:$I,9,FALSE)))</f>
        <v>0.8</v>
      </c>
      <c r="AP88" s="80">
        <f>IF(W88="","",IF(W88="SIM",VLOOKUP($I88&amp;$J88&amp;W$1,Pesos!$A:$I,7,FALSE),VLOOKUP($I88&amp;$J88&amp;W$1,Pesos!$A:$I,9,FALSE)))</f>
        <v>0.8</v>
      </c>
      <c r="AQ88" s="80">
        <f>IF(X88="","",IF(X88="SIM",VLOOKUP($I88&amp;$J88&amp;X$1,Pesos!$A:$I,7,FALSE),VLOOKUP($I88&amp;$J88&amp;X$1,Pesos!$A:$I,9,FALSE)))</f>
        <v>0.8</v>
      </c>
      <c r="AR88" s="80">
        <f>IF(Y88="","",IF(Y88="SIM",VLOOKUP($I88&amp;$J88&amp;Y$1,Pesos!$A:$I,7,FALSE),VLOOKUP($I88&amp;$J88&amp;Y$1,Pesos!$A:$I,9,FALSE)))</f>
        <v>0.8</v>
      </c>
      <c r="AS88" s="81">
        <f>IFERROR(Z88*VLOOKUP(J88,'BD Campos'!$Y$1:$Z$12,2,FALSE),"0")</f>
        <v>9.16</v>
      </c>
    </row>
    <row r="89" spans="1:45" x14ac:dyDescent="0.35">
      <c r="A89" s="68" t="str">
        <f t="shared" si="17"/>
        <v>Jan202510857MotoristaTRANSFERÊNCIA</v>
      </c>
      <c r="B89" s="69" t="str">
        <f t="shared" si="21"/>
        <v>Jan2025108571TRANSFERÊNCIAPADRÃO</v>
      </c>
      <c r="C89" s="70">
        <v>1</v>
      </c>
      <c r="D89" s="71">
        <v>45673.388258564817</v>
      </c>
      <c r="E89" s="112" t="s">
        <v>74</v>
      </c>
      <c r="F89" s="72">
        <v>10857</v>
      </c>
      <c r="G89" s="69" t="s">
        <v>169</v>
      </c>
      <c r="H89" s="73">
        <v>1</v>
      </c>
      <c r="I89" s="69" t="s">
        <v>123</v>
      </c>
      <c r="J89" s="69" t="s">
        <v>122</v>
      </c>
      <c r="K89" s="69" t="s">
        <v>106</v>
      </c>
      <c r="L89" s="74">
        <v>30829502</v>
      </c>
      <c r="M89" s="75">
        <v>8.2407407407407412E-3</v>
      </c>
      <c r="N89" s="76" t="s">
        <v>79</v>
      </c>
      <c r="O89" s="76" t="s">
        <v>79</v>
      </c>
      <c r="P89" s="76" t="s">
        <v>79</v>
      </c>
      <c r="Q89" s="76" t="s">
        <v>79</v>
      </c>
      <c r="R89" s="76" t="s">
        <v>79</v>
      </c>
      <c r="S89" s="76" t="s">
        <v>79</v>
      </c>
      <c r="T89" s="76" t="s">
        <v>79</v>
      </c>
      <c r="U89" s="76" t="s">
        <v>79</v>
      </c>
      <c r="V89" s="76" t="s">
        <v>79</v>
      </c>
      <c r="W89" s="76" t="s">
        <v>79</v>
      </c>
      <c r="X89" s="76"/>
      <c r="Y89" s="76"/>
      <c r="Z89" s="77">
        <f t="shared" si="2"/>
        <v>10</v>
      </c>
      <c r="AA89" s="78"/>
      <c r="AB89" s="78" t="s">
        <v>1443</v>
      </c>
      <c r="AC89" s="72" t="s">
        <v>47</v>
      </c>
      <c r="AE89" s="79" t="str">
        <f t="shared" si="22"/>
        <v>Jan10857</v>
      </c>
      <c r="AF89" s="80">
        <f>IF(N89="","",IF(N89="SIM",VLOOKUP($I89&amp;$J89&amp;N$1,Pesos!$A:$I,7,FALSE),VLOOKUP($I89&amp;$J89&amp;N$1,Pesos!$A:$I,9,FALSE)))</f>
        <v>1</v>
      </c>
      <c r="AG89" s="80">
        <f>IF(O89="","",IF(O89="SIM",VLOOKUP($I89&amp;$J89&amp;O$1,Pesos!$A:$I,7,FALSE),VLOOKUP($I89&amp;$J89&amp;O$1,Pesos!$A:$I,9,FALSE)))</f>
        <v>1</v>
      </c>
      <c r="AH89" s="80">
        <f>IF(P89="","",IF(P89="SIM",VLOOKUP($I89&amp;$J89&amp;P$1,Pesos!$A:$I,7,FALSE),VLOOKUP($I89&amp;$J89&amp;P$1,Pesos!$A:$I,9,FALSE)))</f>
        <v>1</v>
      </c>
      <c r="AI89" s="80">
        <f>IF(Q89="","",IF(Q89="SIM",VLOOKUP($I89&amp;$J89&amp;Q$1,Pesos!$A:$I,7,FALSE),VLOOKUP($I89&amp;$J89&amp;Q$1,Pesos!$A:$I,9,FALSE)))</f>
        <v>1</v>
      </c>
      <c r="AJ89" s="80">
        <f>IF(R89="","",IF(R89="SIM",VLOOKUP($I89&amp;$J89&amp;R$1,Pesos!$A:$I,7,FALSE),VLOOKUP($I89&amp;$J89&amp;R$1,Pesos!$A:$I,9,FALSE)))</f>
        <v>1</v>
      </c>
      <c r="AK89" s="80">
        <f>IF(S89="","",IF(S89="SIM",VLOOKUP($I89&amp;$J89&amp;S$1,Pesos!$A:$I,7,FALSE),VLOOKUP($I89&amp;$J89&amp;S$1,Pesos!$A:$I,9,FALSE)))</f>
        <v>1</v>
      </c>
      <c r="AL89" s="80">
        <f t="shared" si="23"/>
        <v>6</v>
      </c>
      <c r="AM89" s="80">
        <f>IF(T89="","",IF(T89="SIM",VLOOKUP($I89&amp;$J89&amp;T$1,Pesos!$A:$I,7,FALSE),VLOOKUP($I89&amp;$J89&amp;T$1,Pesos!$A:$I,9,FALSE)))</f>
        <v>1</v>
      </c>
      <c r="AN89" s="80">
        <f>IF(U89="","",IF(U89="SIM",VLOOKUP($I89&amp;$J89&amp;U$1,Pesos!$A:$I,7,FALSE),VLOOKUP($I89&amp;$J89&amp;U$1,Pesos!$A:$I,9,FALSE)))</f>
        <v>1</v>
      </c>
      <c r="AO89" s="80">
        <f>IF(V89="","",IF(V89="SIM",VLOOKUP($I89&amp;$J89&amp;V$1,Pesos!$A:$I,7,FALSE),VLOOKUP($I89&amp;$J89&amp;V$1,Pesos!$A:$I,9,FALSE)))</f>
        <v>1</v>
      </c>
      <c r="AP89" s="80">
        <f>IF(W89="","",IF(W89="SIM",VLOOKUP($I89&amp;$J89&amp;W$1,Pesos!$A:$I,7,FALSE),VLOOKUP($I89&amp;$J89&amp;W$1,Pesos!$A:$I,9,FALSE)))</f>
        <v>1</v>
      </c>
      <c r="AQ89" s="80" t="str">
        <f>IF(X89="","",IF(X89="SIM",VLOOKUP($I89&amp;$J89&amp;X$1,Pesos!$A:$I,7,FALSE),VLOOKUP($I89&amp;$J89&amp;X$1,Pesos!$A:$I,9,FALSE)))</f>
        <v/>
      </c>
      <c r="AR89" s="80" t="str">
        <f>IF(Y89="","",IF(Y89="SIM",VLOOKUP($I89&amp;$J89&amp;Y$1,Pesos!$A:$I,7,FALSE),VLOOKUP($I89&amp;$J89&amp;Y$1,Pesos!$A:$I,9,FALSE)))</f>
        <v/>
      </c>
      <c r="AS89" s="81">
        <f>IFERROR(Z89*VLOOKUP(J89,'BD Campos'!$Y$1:$Z$12,2,FALSE),"0")</f>
        <v>10</v>
      </c>
    </row>
    <row r="90" spans="1:45" x14ac:dyDescent="0.35">
      <c r="A90" s="68" t="str">
        <f t="shared" si="17"/>
        <v>Jan202511053MotoristaTRANSFERÊNCIA</v>
      </c>
      <c r="B90" s="69" t="str">
        <f t="shared" si="21"/>
        <v>Jan2025110531TRANSFERÊNCIAPADRÃO</v>
      </c>
      <c r="C90" s="70">
        <v>1</v>
      </c>
      <c r="D90" s="71">
        <v>45673.397124537034</v>
      </c>
      <c r="E90" s="112" t="s">
        <v>74</v>
      </c>
      <c r="F90" s="72">
        <v>11053</v>
      </c>
      <c r="G90" s="69" t="s">
        <v>378</v>
      </c>
      <c r="H90" s="73">
        <v>1</v>
      </c>
      <c r="I90" s="69" t="s">
        <v>126</v>
      </c>
      <c r="J90" s="69" t="s">
        <v>122</v>
      </c>
      <c r="K90" s="69" t="s">
        <v>106</v>
      </c>
      <c r="L90" s="74">
        <v>30875995</v>
      </c>
      <c r="M90" s="75">
        <v>1.5046296296296294E-3</v>
      </c>
      <c r="N90" s="76" t="s">
        <v>79</v>
      </c>
      <c r="O90" s="76" t="s">
        <v>79</v>
      </c>
      <c r="P90" s="76" t="s">
        <v>79</v>
      </c>
      <c r="Q90" s="76" t="s">
        <v>79</v>
      </c>
      <c r="R90" s="76" t="s">
        <v>79</v>
      </c>
      <c r="S90" s="76" t="s">
        <v>83</v>
      </c>
      <c r="T90" s="76" t="s">
        <v>79</v>
      </c>
      <c r="U90" s="76" t="s">
        <v>79</v>
      </c>
      <c r="V90" s="76" t="s">
        <v>83</v>
      </c>
      <c r="W90" s="76" t="s">
        <v>79</v>
      </c>
      <c r="X90" s="76" t="s">
        <v>79</v>
      </c>
      <c r="Y90" s="76" t="s">
        <v>83</v>
      </c>
      <c r="Z90" s="77">
        <f t="shared" si="2"/>
        <v>7.27</v>
      </c>
      <c r="AA90" s="78"/>
      <c r="AB90" s="78" t="s">
        <v>1444</v>
      </c>
      <c r="AC90" s="72" t="s">
        <v>47</v>
      </c>
      <c r="AE90" s="79" t="str">
        <f t="shared" si="22"/>
        <v>Jan11053</v>
      </c>
      <c r="AF90" s="80">
        <f>IF(N90="","",IF(N90="SIM",VLOOKUP($I90&amp;$J90&amp;N$1,Pesos!$A:$I,7,FALSE),VLOOKUP($I90&amp;$J90&amp;N$1,Pesos!$A:$I,9,FALSE)))</f>
        <v>0.8</v>
      </c>
      <c r="AG90" s="80">
        <f>IF(O90="","",IF(O90="SIM",VLOOKUP($I90&amp;$J90&amp;O$1,Pesos!$A:$I,7,FALSE),VLOOKUP($I90&amp;$J90&amp;O$1,Pesos!$A:$I,9,FALSE)))</f>
        <v>0.8</v>
      </c>
      <c r="AH90" s="80">
        <f>IF(P90="","",IF(P90="SIM",VLOOKUP($I90&amp;$J90&amp;P$1,Pesos!$A:$I,7,FALSE),VLOOKUP($I90&amp;$J90&amp;P$1,Pesos!$A:$I,9,FALSE)))</f>
        <v>0.8</v>
      </c>
      <c r="AI90" s="80">
        <f>IF(Q90="","",IF(Q90="SIM",VLOOKUP($I90&amp;$J90&amp;Q$1,Pesos!$A:$I,7,FALSE),VLOOKUP($I90&amp;$J90&amp;Q$1,Pesos!$A:$I,9,FALSE)))</f>
        <v>0.8</v>
      </c>
      <c r="AJ90" s="80">
        <f>IF(R90="","",IF(R90="SIM",VLOOKUP($I90&amp;$J90&amp;R$1,Pesos!$A:$I,7,FALSE),VLOOKUP($I90&amp;$J90&amp;R$1,Pesos!$A:$I,9,FALSE)))</f>
        <v>0.8</v>
      </c>
      <c r="AK90" s="80">
        <f>IF(S90="","",IF(S90="SIM",VLOOKUP($I90&amp;$J90&amp;S$1,Pesos!$A:$I,7,FALSE),VLOOKUP($I90&amp;$J90&amp;S$1,Pesos!$A:$I,9,FALSE)))</f>
        <v>-4.0000000000000008E-2</v>
      </c>
      <c r="AL90" s="80">
        <f t="shared" si="23"/>
        <v>3.96</v>
      </c>
      <c r="AM90" s="80">
        <f>IF(T90="","",IF(T90="SIM",VLOOKUP($I90&amp;$J90&amp;T$1,Pesos!$A:$I,7,FALSE),VLOOKUP($I90&amp;$J90&amp;T$1,Pesos!$A:$I,9,FALSE)))</f>
        <v>0.8</v>
      </c>
      <c r="AN90" s="80">
        <f>IF(U90="","",IF(U90="SIM",VLOOKUP($I90&amp;$J90&amp;U$1,Pesos!$A:$I,7,FALSE),VLOOKUP($I90&amp;$J90&amp;U$1,Pesos!$A:$I,9,FALSE)))</f>
        <v>0.8</v>
      </c>
      <c r="AO90" s="80">
        <f>IF(V90="","",IF(V90="SIM",VLOOKUP($I90&amp;$J90&amp;V$1,Pesos!$A:$I,7,FALSE),VLOOKUP($I90&amp;$J90&amp;V$1,Pesos!$A:$I,9,FALSE)))</f>
        <v>-4.0000000000000008E-2</v>
      </c>
      <c r="AP90" s="80">
        <f>IF(W90="","",IF(W90="SIM",VLOOKUP($I90&amp;$J90&amp;W$1,Pesos!$A:$I,7,FALSE),VLOOKUP($I90&amp;$J90&amp;W$1,Pesos!$A:$I,9,FALSE)))</f>
        <v>0.8</v>
      </c>
      <c r="AQ90" s="80">
        <f>IF(X90="","",IF(X90="SIM",VLOOKUP($I90&amp;$J90&amp;X$1,Pesos!$A:$I,7,FALSE),VLOOKUP($I90&amp;$J90&amp;X$1,Pesos!$A:$I,9,FALSE)))</f>
        <v>1</v>
      </c>
      <c r="AR90" s="80">
        <f>IF(Y90="","",IF(Y90="SIM",VLOOKUP($I90&amp;$J90&amp;Y$1,Pesos!$A:$I,7,FALSE),VLOOKUP($I90&amp;$J90&amp;Y$1,Pesos!$A:$I,9,FALSE)))</f>
        <v>-0.05</v>
      </c>
      <c r="AS90" s="81">
        <f>IFERROR(Z90*VLOOKUP(J90,'BD Campos'!$Y$1:$Z$12,2,FALSE),"0")</f>
        <v>7.27</v>
      </c>
    </row>
    <row r="91" spans="1:45" x14ac:dyDescent="0.35">
      <c r="A91" s="68" t="str">
        <f t="shared" si="17"/>
        <v>Jan202510939MotoristaTRANSFERÊNCIA</v>
      </c>
      <c r="B91" s="69" t="str">
        <f t="shared" si="21"/>
        <v>Jan2025109391TRANSFERÊNCIAPADRÃO</v>
      </c>
      <c r="C91" s="70">
        <v>1</v>
      </c>
      <c r="D91" s="71">
        <v>45673.401276620367</v>
      </c>
      <c r="E91" s="112" t="s">
        <v>74</v>
      </c>
      <c r="F91" s="72">
        <v>10939</v>
      </c>
      <c r="G91" s="69" t="s">
        <v>110</v>
      </c>
      <c r="H91" s="73">
        <v>1</v>
      </c>
      <c r="I91" s="69" t="s">
        <v>123</v>
      </c>
      <c r="J91" s="69" t="s">
        <v>122</v>
      </c>
      <c r="K91" s="69" t="s">
        <v>106</v>
      </c>
      <c r="L91" s="74">
        <v>30853725</v>
      </c>
      <c r="M91" s="75">
        <v>8.9120370370370362E-4</v>
      </c>
      <c r="N91" s="76"/>
      <c r="O91" s="76"/>
      <c r="P91" s="76"/>
      <c r="Q91" s="76"/>
      <c r="R91" s="76"/>
      <c r="S91" s="76"/>
      <c r="T91" s="76"/>
      <c r="U91" s="76"/>
      <c r="V91" s="76"/>
      <c r="W91" s="76"/>
      <c r="X91" s="76"/>
      <c r="Y91" s="76"/>
      <c r="Z91" s="77">
        <f t="shared" si="2"/>
        <v>0</v>
      </c>
      <c r="AA91" s="78" t="s">
        <v>1455</v>
      </c>
      <c r="AB91" s="78" t="s">
        <v>1445</v>
      </c>
      <c r="AC91" s="72" t="s">
        <v>47</v>
      </c>
      <c r="AE91" s="79" t="str">
        <f t="shared" si="22"/>
        <v>Jan10939</v>
      </c>
      <c r="AF91" s="80" t="str">
        <f>IF(N91="","",IF(N91="SIM",VLOOKUP($I91&amp;$J91&amp;N$1,Pesos!$A:$I,7,FALSE),VLOOKUP($I91&amp;$J91&amp;N$1,Pesos!$A:$I,9,FALSE)))</f>
        <v/>
      </c>
      <c r="AG91" s="80" t="str">
        <f>IF(O91="","",IF(O91="SIM",VLOOKUP($I91&amp;$J91&amp;O$1,Pesos!$A:$I,7,FALSE),VLOOKUP($I91&amp;$J91&amp;O$1,Pesos!$A:$I,9,FALSE)))</f>
        <v/>
      </c>
      <c r="AH91" s="80" t="str">
        <f>IF(P91="","",IF(P91="SIM",VLOOKUP($I91&amp;$J91&amp;P$1,Pesos!$A:$I,7,FALSE),VLOOKUP($I91&amp;$J91&amp;P$1,Pesos!$A:$I,9,FALSE)))</f>
        <v/>
      </c>
      <c r="AI91" s="80" t="str">
        <f>IF(Q91="","",IF(Q91="SIM",VLOOKUP($I91&amp;$J91&amp;Q$1,Pesos!$A:$I,7,FALSE),VLOOKUP($I91&amp;$J91&amp;Q$1,Pesos!$A:$I,9,FALSE)))</f>
        <v/>
      </c>
      <c r="AJ91" s="80" t="str">
        <f>IF(R91="","",IF(R91="SIM",VLOOKUP($I91&amp;$J91&amp;R$1,Pesos!$A:$I,7,FALSE),VLOOKUP($I91&amp;$J91&amp;R$1,Pesos!$A:$I,9,FALSE)))</f>
        <v/>
      </c>
      <c r="AK91" s="80" t="str">
        <f>IF(S91="","",IF(S91="SIM",VLOOKUP($I91&amp;$J91&amp;S$1,Pesos!$A:$I,7,FALSE),VLOOKUP($I91&amp;$J91&amp;S$1,Pesos!$A:$I,9,FALSE)))</f>
        <v/>
      </c>
      <c r="AL91" s="80">
        <f t="shared" si="23"/>
        <v>0</v>
      </c>
      <c r="AM91" s="80" t="str">
        <f>IF(T91="","",IF(T91="SIM",VLOOKUP($I91&amp;$J91&amp;T$1,Pesos!$A:$I,7,FALSE),VLOOKUP($I91&amp;$J91&amp;T$1,Pesos!$A:$I,9,FALSE)))</f>
        <v/>
      </c>
      <c r="AN91" s="80" t="str">
        <f>IF(U91="","",IF(U91="SIM",VLOOKUP($I91&amp;$J91&amp;U$1,Pesos!$A:$I,7,FALSE),VLOOKUP($I91&amp;$J91&amp;U$1,Pesos!$A:$I,9,FALSE)))</f>
        <v/>
      </c>
      <c r="AO91" s="80" t="str">
        <f>IF(V91="","",IF(V91="SIM",VLOOKUP($I91&amp;$J91&amp;V$1,Pesos!$A:$I,7,FALSE),VLOOKUP($I91&amp;$J91&amp;V$1,Pesos!$A:$I,9,FALSE)))</f>
        <v/>
      </c>
      <c r="AP91" s="80" t="str">
        <f>IF(W91="","",IF(W91="SIM",VLOOKUP($I91&amp;$J91&amp;W$1,Pesos!$A:$I,7,FALSE),VLOOKUP($I91&amp;$J91&amp;W$1,Pesos!$A:$I,9,FALSE)))</f>
        <v/>
      </c>
      <c r="AQ91" s="80" t="str">
        <f>IF(X91="","",IF(X91="SIM",VLOOKUP($I91&amp;$J91&amp;X$1,Pesos!$A:$I,7,FALSE),VLOOKUP($I91&amp;$J91&amp;X$1,Pesos!$A:$I,9,FALSE)))</f>
        <v/>
      </c>
      <c r="AR91" s="80" t="str">
        <f>IF(Y91="","",IF(Y91="SIM",VLOOKUP($I91&amp;$J91&amp;Y$1,Pesos!$A:$I,7,FALSE),VLOOKUP($I91&amp;$J91&amp;Y$1,Pesos!$A:$I,9,FALSE)))</f>
        <v/>
      </c>
      <c r="AS91" s="81">
        <f>IFERROR(Z91*VLOOKUP(J91,'BD Campos'!$Y$1:$Z$12,2,FALSE),"0")</f>
        <v>0</v>
      </c>
    </row>
    <row r="92" spans="1:45" x14ac:dyDescent="0.35">
      <c r="A92" s="68" t="str">
        <f t="shared" si="17"/>
        <v>Jan202510957MotoristaTRANSFERÊNCIA</v>
      </c>
      <c r="B92" s="69" t="str">
        <f t="shared" si="21"/>
        <v>Jan2025109571TRANSFERÊNCIAPADRÃO</v>
      </c>
      <c r="C92" s="70">
        <v>1</v>
      </c>
      <c r="D92" s="71">
        <v>45673.408706134258</v>
      </c>
      <c r="E92" s="112" t="s">
        <v>74</v>
      </c>
      <c r="F92" s="72">
        <v>10957</v>
      </c>
      <c r="G92" s="69" t="s">
        <v>116</v>
      </c>
      <c r="H92" s="73">
        <v>1</v>
      </c>
      <c r="I92" s="69" t="s">
        <v>123</v>
      </c>
      <c r="J92" s="69" t="s">
        <v>122</v>
      </c>
      <c r="K92" s="69" t="s">
        <v>106</v>
      </c>
      <c r="L92" s="74">
        <v>30787171</v>
      </c>
      <c r="M92" s="75">
        <v>1.4351851851851854E-3</v>
      </c>
      <c r="N92" s="76" t="s">
        <v>79</v>
      </c>
      <c r="O92" s="76" t="s">
        <v>79</v>
      </c>
      <c r="P92" s="76" t="s">
        <v>79</v>
      </c>
      <c r="Q92" s="76" t="s">
        <v>79</v>
      </c>
      <c r="R92" s="76" t="s">
        <v>79</v>
      </c>
      <c r="S92" s="76" t="s">
        <v>79</v>
      </c>
      <c r="T92" s="76" t="s">
        <v>79</v>
      </c>
      <c r="U92" s="76" t="s">
        <v>79</v>
      </c>
      <c r="V92" s="76" t="s">
        <v>79</v>
      </c>
      <c r="W92" s="76" t="s">
        <v>79</v>
      </c>
      <c r="X92" s="76"/>
      <c r="Y92" s="76"/>
      <c r="Z92" s="77">
        <f t="shared" si="2"/>
        <v>10</v>
      </c>
      <c r="AA92" s="78"/>
      <c r="AB92" s="78" t="s">
        <v>1446</v>
      </c>
      <c r="AC92" s="72" t="s">
        <v>47</v>
      </c>
      <c r="AE92" s="79" t="str">
        <f t="shared" si="22"/>
        <v>Jan10957</v>
      </c>
      <c r="AF92" s="80">
        <f>IF(N92="","",IF(N92="SIM",VLOOKUP($I92&amp;$J92&amp;N$1,Pesos!$A:$I,7,FALSE),VLOOKUP($I92&amp;$J92&amp;N$1,Pesos!$A:$I,9,FALSE)))</f>
        <v>1</v>
      </c>
      <c r="AG92" s="80">
        <f>IF(O92="","",IF(O92="SIM",VLOOKUP($I92&amp;$J92&amp;O$1,Pesos!$A:$I,7,FALSE),VLOOKUP($I92&amp;$J92&amp;O$1,Pesos!$A:$I,9,FALSE)))</f>
        <v>1</v>
      </c>
      <c r="AH92" s="80">
        <f>IF(P92="","",IF(P92="SIM",VLOOKUP($I92&amp;$J92&amp;P$1,Pesos!$A:$I,7,FALSE),VLOOKUP($I92&amp;$J92&amp;P$1,Pesos!$A:$I,9,FALSE)))</f>
        <v>1</v>
      </c>
      <c r="AI92" s="80">
        <f>IF(Q92="","",IF(Q92="SIM",VLOOKUP($I92&amp;$J92&amp;Q$1,Pesos!$A:$I,7,FALSE),VLOOKUP($I92&amp;$J92&amp;Q$1,Pesos!$A:$I,9,FALSE)))</f>
        <v>1</v>
      </c>
      <c r="AJ92" s="80">
        <f>IF(R92="","",IF(R92="SIM",VLOOKUP($I92&amp;$J92&amp;R$1,Pesos!$A:$I,7,FALSE),VLOOKUP($I92&amp;$J92&amp;R$1,Pesos!$A:$I,9,FALSE)))</f>
        <v>1</v>
      </c>
      <c r="AK92" s="80">
        <f>IF(S92="","",IF(S92="SIM",VLOOKUP($I92&amp;$J92&amp;S$1,Pesos!$A:$I,7,FALSE),VLOOKUP($I92&amp;$J92&amp;S$1,Pesos!$A:$I,9,FALSE)))</f>
        <v>1</v>
      </c>
      <c r="AL92" s="80">
        <f t="shared" si="23"/>
        <v>6</v>
      </c>
      <c r="AM92" s="80">
        <f>IF(T92="","",IF(T92="SIM",VLOOKUP($I92&amp;$J92&amp;T$1,Pesos!$A:$I,7,FALSE),VLOOKUP($I92&amp;$J92&amp;T$1,Pesos!$A:$I,9,FALSE)))</f>
        <v>1</v>
      </c>
      <c r="AN92" s="80">
        <f>IF(U92="","",IF(U92="SIM",VLOOKUP($I92&amp;$J92&amp;U$1,Pesos!$A:$I,7,FALSE),VLOOKUP($I92&amp;$J92&amp;U$1,Pesos!$A:$I,9,FALSE)))</f>
        <v>1</v>
      </c>
      <c r="AO92" s="80">
        <f>IF(V92="","",IF(V92="SIM",VLOOKUP($I92&amp;$J92&amp;V$1,Pesos!$A:$I,7,FALSE),VLOOKUP($I92&amp;$J92&amp;V$1,Pesos!$A:$I,9,FALSE)))</f>
        <v>1</v>
      </c>
      <c r="AP92" s="80">
        <f>IF(W92="","",IF(W92="SIM",VLOOKUP($I92&amp;$J92&amp;W$1,Pesos!$A:$I,7,FALSE),VLOOKUP($I92&amp;$J92&amp;W$1,Pesos!$A:$I,9,FALSE)))</f>
        <v>1</v>
      </c>
      <c r="AQ92" s="80" t="str">
        <f>IF(X92="","",IF(X92="SIM",VLOOKUP($I92&amp;$J92&amp;X$1,Pesos!$A:$I,7,FALSE),VLOOKUP($I92&amp;$J92&amp;X$1,Pesos!$A:$I,9,FALSE)))</f>
        <v/>
      </c>
      <c r="AR92" s="80" t="str">
        <f>IF(Y92="","",IF(Y92="SIM",VLOOKUP($I92&amp;$J92&amp;Y$1,Pesos!$A:$I,7,FALSE),VLOOKUP($I92&amp;$J92&amp;Y$1,Pesos!$A:$I,9,FALSE)))</f>
        <v/>
      </c>
      <c r="AS92" s="81">
        <f>IFERROR(Z92*VLOOKUP(J92,'BD Campos'!$Y$1:$Z$12,2,FALSE),"0")</f>
        <v>10</v>
      </c>
    </row>
    <row r="93" spans="1:45" x14ac:dyDescent="0.35">
      <c r="A93" s="68" t="str">
        <f t="shared" si="17"/>
        <v>Jan202511187ClienteTRANSFERÊNCIA</v>
      </c>
      <c r="B93" s="69" t="str">
        <f t="shared" si="21"/>
        <v>Jan2025111871TRANSFERÊNCIAPADRÃO</v>
      </c>
      <c r="C93" s="70">
        <v>1</v>
      </c>
      <c r="D93" s="71">
        <v>45673.414516319448</v>
      </c>
      <c r="E93" s="112" t="s">
        <v>74</v>
      </c>
      <c r="F93" s="72">
        <v>11187</v>
      </c>
      <c r="G93" s="69" t="s">
        <v>1362</v>
      </c>
      <c r="H93" s="73">
        <v>1</v>
      </c>
      <c r="I93" s="69" t="s">
        <v>123</v>
      </c>
      <c r="J93" s="69" t="s">
        <v>124</v>
      </c>
      <c r="K93" s="69" t="s">
        <v>106</v>
      </c>
      <c r="L93" s="74">
        <v>30803603</v>
      </c>
      <c r="M93" s="75">
        <v>1.8750000000000001E-3</v>
      </c>
      <c r="N93" s="76" t="s">
        <v>79</v>
      </c>
      <c r="O93" s="76" t="s">
        <v>79</v>
      </c>
      <c r="P93" s="76" t="s">
        <v>79</v>
      </c>
      <c r="Q93" s="76" t="s">
        <v>79</v>
      </c>
      <c r="R93" s="76" t="s">
        <v>79</v>
      </c>
      <c r="S93" s="76" t="s">
        <v>79</v>
      </c>
      <c r="T93" s="76" t="s">
        <v>79</v>
      </c>
      <c r="U93" s="76" t="s">
        <v>79</v>
      </c>
      <c r="V93" s="76" t="s">
        <v>83</v>
      </c>
      <c r="W93" s="76" t="s">
        <v>79</v>
      </c>
      <c r="X93" s="76" t="s">
        <v>83</v>
      </c>
      <c r="Y93" s="76"/>
      <c r="Z93" s="77">
        <f t="shared" si="2"/>
        <v>8.057500000000001</v>
      </c>
      <c r="AA93" s="78"/>
      <c r="AB93" s="78" t="s">
        <v>1447</v>
      </c>
      <c r="AC93" s="72" t="s">
        <v>47</v>
      </c>
      <c r="AE93" s="79" t="str">
        <f t="shared" si="22"/>
        <v>Jan11187</v>
      </c>
      <c r="AF93" s="80">
        <f>IF(N93="","",IF(N93="SIM",VLOOKUP($I93&amp;$J93&amp;N$1,Pesos!$A:$I,7,FALSE),VLOOKUP($I93&amp;$J93&amp;N$1,Pesos!$A:$I,9,FALSE)))</f>
        <v>0.89999999999999991</v>
      </c>
      <c r="AG93" s="80">
        <f>IF(O93="","",IF(O93="SIM",VLOOKUP($I93&amp;$J93&amp;O$1,Pesos!$A:$I,7,FALSE),VLOOKUP($I93&amp;$J93&amp;O$1,Pesos!$A:$I,9,FALSE)))</f>
        <v>0.89999999999999991</v>
      </c>
      <c r="AH93" s="80">
        <f>IF(P93="","",IF(P93="SIM",VLOOKUP($I93&amp;$J93&amp;P$1,Pesos!$A:$I,7,FALSE),VLOOKUP($I93&amp;$J93&amp;P$1,Pesos!$A:$I,9,FALSE)))</f>
        <v>0.89999999999999991</v>
      </c>
      <c r="AI93" s="80">
        <f>IF(Q93="","",IF(Q93="SIM",VLOOKUP($I93&amp;$J93&amp;Q$1,Pesos!$A:$I,7,FALSE),VLOOKUP($I93&amp;$J93&amp;Q$1,Pesos!$A:$I,9,FALSE)))</f>
        <v>0.89999999999999991</v>
      </c>
      <c r="AJ93" s="80">
        <f>IF(R93="","",IF(R93="SIM",VLOOKUP($I93&amp;$J93&amp;R$1,Pesos!$A:$I,7,FALSE),VLOOKUP($I93&amp;$J93&amp;R$1,Pesos!$A:$I,9,FALSE)))</f>
        <v>0.89999999999999991</v>
      </c>
      <c r="AK93" s="80">
        <f>IF(S93="","",IF(S93="SIM",VLOOKUP($I93&amp;$J93&amp;S$1,Pesos!$A:$I,7,FALSE),VLOOKUP($I93&amp;$J93&amp;S$1,Pesos!$A:$I,9,FALSE)))</f>
        <v>0.89999999999999991</v>
      </c>
      <c r="AL93" s="80">
        <f t="shared" si="23"/>
        <v>5.4</v>
      </c>
      <c r="AM93" s="80">
        <f>IF(T93="","",IF(T93="SIM",VLOOKUP($I93&amp;$J93&amp;T$1,Pesos!$A:$I,7,FALSE),VLOOKUP($I93&amp;$J93&amp;T$1,Pesos!$A:$I,9,FALSE)))</f>
        <v>0.89999999999999991</v>
      </c>
      <c r="AN93" s="80">
        <f>IF(U93="","",IF(U93="SIM",VLOOKUP($I93&amp;$J93&amp;U$1,Pesos!$A:$I,7,FALSE),VLOOKUP($I93&amp;$J93&amp;U$1,Pesos!$A:$I,9,FALSE)))</f>
        <v>0.95</v>
      </c>
      <c r="AO93" s="80">
        <f>IF(V93="","",IF(V93="SIM",VLOOKUP($I93&amp;$J93&amp;V$1,Pesos!$A:$I,7,FALSE),VLOOKUP($I93&amp;$J93&amp;V$1,Pesos!$A:$I,9,FALSE)))</f>
        <v>-4.7500000000000001E-2</v>
      </c>
      <c r="AP93" s="80">
        <f>IF(W93="","",IF(W93="SIM",VLOOKUP($I93&amp;$J93&amp;W$1,Pesos!$A:$I,7,FALSE),VLOOKUP($I93&amp;$J93&amp;W$1,Pesos!$A:$I,9,FALSE)))</f>
        <v>0.89999999999999991</v>
      </c>
      <c r="AQ93" s="80">
        <f>IF(X93="","",IF(X93="SIM",VLOOKUP($I93&amp;$J93&amp;X$1,Pesos!$A:$I,7,FALSE),VLOOKUP($I93&amp;$J93&amp;X$1,Pesos!$A:$I,9,FALSE)))</f>
        <v>-4.4999999999999998E-2</v>
      </c>
      <c r="AR93" s="80" t="str">
        <f>IF(Y93="","",IF(Y93="SIM",VLOOKUP($I93&amp;$J93&amp;Y$1,Pesos!$A:$I,7,FALSE),VLOOKUP($I93&amp;$J93&amp;Y$1,Pesos!$A:$I,9,FALSE)))</f>
        <v/>
      </c>
      <c r="AS93" s="81">
        <f>IFERROR(Z93*VLOOKUP(J93,'BD Campos'!$Y$1:$Z$12,2,FALSE),"0")</f>
        <v>8.057500000000001</v>
      </c>
    </row>
    <row r="94" spans="1:45" x14ac:dyDescent="0.35">
      <c r="A94" s="68" t="str">
        <f t="shared" si="17"/>
        <v>Jan202511224MotoristaTRANSFERÊNCIA</v>
      </c>
      <c r="B94" s="69" t="str">
        <f t="shared" si="21"/>
        <v>Jan2025112241TRANSFERÊNCIAPADRÃO</v>
      </c>
      <c r="C94" s="70">
        <v>1</v>
      </c>
      <c r="D94" s="71">
        <v>45673.417585185183</v>
      </c>
      <c r="E94" s="112" t="s">
        <v>74</v>
      </c>
      <c r="F94" s="72">
        <v>11224</v>
      </c>
      <c r="G94" s="69" t="s">
        <v>1391</v>
      </c>
      <c r="H94" s="73">
        <v>1</v>
      </c>
      <c r="I94" s="69" t="s">
        <v>147</v>
      </c>
      <c r="J94" s="69" t="s">
        <v>122</v>
      </c>
      <c r="K94" s="69" t="s">
        <v>106</v>
      </c>
      <c r="L94" s="74">
        <v>30872696</v>
      </c>
      <c r="M94" s="75">
        <v>2.2916666666666667E-3</v>
      </c>
      <c r="N94" s="76" t="s">
        <v>79</v>
      </c>
      <c r="O94" s="76" t="s">
        <v>79</v>
      </c>
      <c r="P94" s="76" t="s">
        <v>79</v>
      </c>
      <c r="Q94" s="76" t="s">
        <v>79</v>
      </c>
      <c r="R94" s="76" t="s">
        <v>79</v>
      </c>
      <c r="S94" s="76" t="s">
        <v>79</v>
      </c>
      <c r="T94" s="76" t="s">
        <v>79</v>
      </c>
      <c r="U94" s="76" t="s">
        <v>79</v>
      </c>
      <c r="V94" s="76"/>
      <c r="W94" s="76"/>
      <c r="X94" s="76"/>
      <c r="Y94" s="76"/>
      <c r="Z94" s="77">
        <f t="shared" si="2"/>
        <v>10</v>
      </c>
      <c r="AA94" s="78"/>
      <c r="AB94" s="78" t="s">
        <v>1448</v>
      </c>
      <c r="AC94" s="72" t="s">
        <v>47</v>
      </c>
      <c r="AE94" s="79" t="str">
        <f t="shared" si="22"/>
        <v>Jan11224</v>
      </c>
      <c r="AF94" s="80">
        <f>IF(N94="","",IF(N94="SIM",VLOOKUP($I94&amp;$J94&amp;N$1,Pesos!$A:$I,7,FALSE),VLOOKUP($I94&amp;$J94&amp;N$1,Pesos!$A:$I,9,FALSE)))</f>
        <v>1.1000000000000001</v>
      </c>
      <c r="AG94" s="80">
        <f>IF(O94="","",IF(O94="SIM",VLOOKUP($I94&amp;$J94&amp;O$1,Pesos!$A:$I,7,FALSE),VLOOKUP($I94&amp;$J94&amp;O$1,Pesos!$A:$I,9,FALSE)))</f>
        <v>1.1000000000000001</v>
      </c>
      <c r="AH94" s="80">
        <f>IF(P94="","",IF(P94="SIM",VLOOKUP($I94&amp;$J94&amp;P$1,Pesos!$A:$I,7,FALSE),VLOOKUP($I94&amp;$J94&amp;P$1,Pesos!$A:$I,9,FALSE)))</f>
        <v>1.1000000000000001</v>
      </c>
      <c r="AI94" s="80">
        <f>IF(Q94="","",IF(Q94="SIM",VLOOKUP($I94&amp;$J94&amp;Q$1,Pesos!$A:$I,7,FALSE),VLOOKUP($I94&amp;$J94&amp;Q$1,Pesos!$A:$I,9,FALSE)))</f>
        <v>1.1000000000000001</v>
      </c>
      <c r="AJ94" s="80">
        <f>IF(R94="","",IF(R94="SIM",VLOOKUP($I94&amp;$J94&amp;R$1,Pesos!$A:$I,7,FALSE),VLOOKUP($I94&amp;$J94&amp;R$1,Pesos!$A:$I,9,FALSE)))</f>
        <v>1.1000000000000001</v>
      </c>
      <c r="AK94" s="80">
        <f>IF(S94="","",IF(S94="SIM",VLOOKUP($I94&amp;$J94&amp;S$1,Pesos!$A:$I,7,FALSE),VLOOKUP($I94&amp;$J94&amp;S$1,Pesos!$A:$I,9,FALSE)))</f>
        <v>1.6</v>
      </c>
      <c r="AL94" s="80">
        <f t="shared" si="23"/>
        <v>7.1</v>
      </c>
      <c r="AM94" s="80">
        <f>IF(T94="","",IF(T94="SIM",VLOOKUP($I94&amp;$J94&amp;T$1,Pesos!$A:$I,7,FALSE),VLOOKUP($I94&amp;$J94&amp;T$1,Pesos!$A:$I,9,FALSE)))</f>
        <v>1.2</v>
      </c>
      <c r="AN94" s="80">
        <f>IF(U94="","",IF(U94="SIM",VLOOKUP($I94&amp;$J94&amp;U$1,Pesos!$A:$I,7,FALSE),VLOOKUP($I94&amp;$J94&amp;U$1,Pesos!$A:$I,9,FALSE)))</f>
        <v>1.7000000000000002</v>
      </c>
      <c r="AO94" s="80" t="str">
        <f>IF(V94="","",IF(V94="SIM",VLOOKUP($I94&amp;$J94&amp;V$1,Pesos!$A:$I,7,FALSE),VLOOKUP($I94&amp;$J94&amp;V$1,Pesos!$A:$I,9,FALSE)))</f>
        <v/>
      </c>
      <c r="AP94" s="80" t="str">
        <f>IF(W94="","",IF(W94="SIM",VLOOKUP($I94&amp;$J94&amp;W$1,Pesos!$A:$I,7,FALSE),VLOOKUP($I94&amp;$J94&amp;W$1,Pesos!$A:$I,9,FALSE)))</f>
        <v/>
      </c>
      <c r="AQ94" s="80" t="str">
        <f>IF(X94="","",IF(X94="SIM",VLOOKUP($I94&amp;$J94&amp;X$1,Pesos!$A:$I,7,FALSE),VLOOKUP($I94&amp;$J94&amp;X$1,Pesos!$A:$I,9,FALSE)))</f>
        <v/>
      </c>
      <c r="AR94" s="80" t="str">
        <f>IF(Y94="","",IF(Y94="SIM",VLOOKUP($I94&amp;$J94&amp;Y$1,Pesos!$A:$I,7,FALSE),VLOOKUP($I94&amp;$J94&amp;Y$1,Pesos!$A:$I,9,FALSE)))</f>
        <v/>
      </c>
      <c r="AS94" s="81">
        <f>IFERROR(Z94*VLOOKUP(J94,'BD Campos'!$Y$1:$Z$12,2,FALSE),"0")</f>
        <v>10</v>
      </c>
    </row>
    <row r="95" spans="1:45" x14ac:dyDescent="0.35">
      <c r="A95" s="68" t="str">
        <f t="shared" si="17"/>
        <v>Jan202511196MotoristaTRANSFERÊNCIA</v>
      </c>
      <c r="B95" s="69" t="str">
        <f t="shared" si="21"/>
        <v>Jan2025111961TRANSFERÊNCIAPADRÃO</v>
      </c>
      <c r="C95" s="70">
        <v>1</v>
      </c>
      <c r="D95" s="71">
        <v>45673.429515393516</v>
      </c>
      <c r="E95" s="112" t="s">
        <v>74</v>
      </c>
      <c r="F95" s="72">
        <v>11196</v>
      </c>
      <c r="G95" s="69" t="s">
        <v>1384</v>
      </c>
      <c r="H95" s="73">
        <v>1</v>
      </c>
      <c r="I95" s="69" t="s">
        <v>123</v>
      </c>
      <c r="J95" s="69" t="s">
        <v>122</v>
      </c>
      <c r="K95" s="69" t="s">
        <v>106</v>
      </c>
      <c r="L95" s="74">
        <v>30761536</v>
      </c>
      <c r="M95" s="75">
        <v>2.2685185185185182E-3</v>
      </c>
      <c r="N95" s="76"/>
      <c r="O95" s="76"/>
      <c r="P95" s="76"/>
      <c r="Q95" s="76"/>
      <c r="R95" s="76"/>
      <c r="S95" s="76"/>
      <c r="T95" s="76"/>
      <c r="U95" s="76"/>
      <c r="V95" s="76"/>
      <c r="W95" s="76"/>
      <c r="X95" s="76"/>
      <c r="Y95" s="76"/>
      <c r="Z95" s="77">
        <f t="shared" si="2"/>
        <v>0</v>
      </c>
      <c r="AA95" s="78" t="s">
        <v>1454</v>
      </c>
      <c r="AB95" s="78" t="s">
        <v>1449</v>
      </c>
      <c r="AC95" s="72" t="s">
        <v>47</v>
      </c>
      <c r="AE95" s="79" t="str">
        <f t="shared" si="22"/>
        <v>Jan11196</v>
      </c>
      <c r="AF95" s="80" t="str">
        <f>IF(N95="","",IF(N95="SIM",VLOOKUP($I95&amp;$J95&amp;N$1,Pesos!$A:$I,7,FALSE),VLOOKUP($I95&amp;$J95&amp;N$1,Pesos!$A:$I,9,FALSE)))</f>
        <v/>
      </c>
      <c r="AG95" s="80" t="str">
        <f>IF(O95="","",IF(O95="SIM",VLOOKUP($I95&amp;$J95&amp;O$1,Pesos!$A:$I,7,FALSE),VLOOKUP($I95&amp;$J95&amp;O$1,Pesos!$A:$I,9,FALSE)))</f>
        <v/>
      </c>
      <c r="AH95" s="80" t="str">
        <f>IF(P95="","",IF(P95="SIM",VLOOKUP($I95&amp;$J95&amp;P$1,Pesos!$A:$I,7,FALSE),VLOOKUP($I95&amp;$J95&amp;P$1,Pesos!$A:$I,9,FALSE)))</f>
        <v/>
      </c>
      <c r="AI95" s="80" t="str">
        <f>IF(Q95="","",IF(Q95="SIM",VLOOKUP($I95&amp;$J95&amp;Q$1,Pesos!$A:$I,7,FALSE),VLOOKUP($I95&amp;$J95&amp;Q$1,Pesos!$A:$I,9,FALSE)))</f>
        <v/>
      </c>
      <c r="AJ95" s="80" t="str">
        <f>IF(R95="","",IF(R95="SIM",VLOOKUP($I95&amp;$J95&amp;R$1,Pesos!$A:$I,7,FALSE),VLOOKUP($I95&amp;$J95&amp;R$1,Pesos!$A:$I,9,FALSE)))</f>
        <v/>
      </c>
      <c r="AK95" s="80" t="str">
        <f>IF(S95="","",IF(S95="SIM",VLOOKUP($I95&amp;$J95&amp;S$1,Pesos!$A:$I,7,FALSE),VLOOKUP($I95&amp;$J95&amp;S$1,Pesos!$A:$I,9,FALSE)))</f>
        <v/>
      </c>
      <c r="AL95" s="80">
        <f t="shared" si="23"/>
        <v>0</v>
      </c>
      <c r="AM95" s="80" t="str">
        <f>IF(T95="","",IF(T95="SIM",VLOOKUP($I95&amp;$J95&amp;T$1,Pesos!$A:$I,7,FALSE),VLOOKUP($I95&amp;$J95&amp;T$1,Pesos!$A:$I,9,FALSE)))</f>
        <v/>
      </c>
      <c r="AN95" s="80" t="str">
        <f>IF(U95="","",IF(U95="SIM",VLOOKUP($I95&amp;$J95&amp;U$1,Pesos!$A:$I,7,FALSE),VLOOKUP($I95&amp;$J95&amp;U$1,Pesos!$A:$I,9,FALSE)))</f>
        <v/>
      </c>
      <c r="AO95" s="80" t="str">
        <f>IF(V95="","",IF(V95="SIM",VLOOKUP($I95&amp;$J95&amp;V$1,Pesos!$A:$I,7,FALSE),VLOOKUP($I95&amp;$J95&amp;V$1,Pesos!$A:$I,9,FALSE)))</f>
        <v/>
      </c>
      <c r="AP95" s="80" t="str">
        <f>IF(W95="","",IF(W95="SIM",VLOOKUP($I95&amp;$J95&amp;W$1,Pesos!$A:$I,7,FALSE),VLOOKUP($I95&amp;$J95&amp;W$1,Pesos!$A:$I,9,FALSE)))</f>
        <v/>
      </c>
      <c r="AQ95" s="80" t="str">
        <f>IF(X95="","",IF(X95="SIM",VLOOKUP($I95&amp;$J95&amp;X$1,Pesos!$A:$I,7,FALSE),VLOOKUP($I95&amp;$J95&amp;X$1,Pesos!$A:$I,9,FALSE)))</f>
        <v/>
      </c>
      <c r="AR95" s="80" t="str">
        <f>IF(Y95="","",IF(Y95="SIM",VLOOKUP($I95&amp;$J95&amp;Y$1,Pesos!$A:$I,7,FALSE),VLOOKUP($I95&amp;$J95&amp;Y$1,Pesos!$A:$I,9,FALSE)))</f>
        <v/>
      </c>
      <c r="AS95" s="81">
        <f>IFERROR(Z95*VLOOKUP(J95,'BD Campos'!$Y$1:$Z$12,2,FALSE),"0")</f>
        <v>0</v>
      </c>
    </row>
    <row r="96" spans="1:45" x14ac:dyDescent="0.35">
      <c r="A96" s="68" t="str">
        <f t="shared" si="17"/>
        <v>Jan202511094ClienteTRANSFERÊNCIA</v>
      </c>
      <c r="B96" s="69" t="str">
        <f t="shared" si="21"/>
        <v>Jan2025110941TRANSFERÊNCIAPADRÃO</v>
      </c>
      <c r="C96" s="70">
        <v>1</v>
      </c>
      <c r="D96" s="71">
        <v>45673.441150810184</v>
      </c>
      <c r="E96" s="112" t="s">
        <v>74</v>
      </c>
      <c r="F96" s="72">
        <v>11094</v>
      </c>
      <c r="G96" s="69" t="s">
        <v>418</v>
      </c>
      <c r="H96" s="73">
        <v>1</v>
      </c>
      <c r="I96" s="69" t="s">
        <v>147</v>
      </c>
      <c r="J96" s="69" t="s">
        <v>124</v>
      </c>
      <c r="K96" s="69" t="s">
        <v>106</v>
      </c>
      <c r="L96" s="74">
        <v>30817666</v>
      </c>
      <c r="M96" s="75">
        <v>1.7476851851851852E-3</v>
      </c>
      <c r="N96" s="76" t="s">
        <v>79</v>
      </c>
      <c r="O96" s="76" t="s">
        <v>79</v>
      </c>
      <c r="P96" s="76" t="s">
        <v>79</v>
      </c>
      <c r="Q96" s="76" t="s">
        <v>79</v>
      </c>
      <c r="R96" s="76" t="s">
        <v>79</v>
      </c>
      <c r="S96" s="76" t="s">
        <v>83</v>
      </c>
      <c r="T96" s="76" t="s">
        <v>79</v>
      </c>
      <c r="U96" s="76" t="s">
        <v>83</v>
      </c>
      <c r="V96" s="76" t="s">
        <v>79</v>
      </c>
      <c r="W96" s="76" t="s">
        <v>83</v>
      </c>
      <c r="X96" s="76" t="s">
        <v>83</v>
      </c>
      <c r="Y96" s="76"/>
      <c r="Z96" s="77">
        <f t="shared" si="2"/>
        <v>6.3250000000000002</v>
      </c>
      <c r="AA96" s="78"/>
      <c r="AB96" s="78" t="s">
        <v>1450</v>
      </c>
      <c r="AC96" s="72" t="s">
        <v>47</v>
      </c>
      <c r="AE96" s="79" t="str">
        <f t="shared" si="22"/>
        <v>Jan11094</v>
      </c>
      <c r="AF96" s="80">
        <f>IF(N96="","",IF(N96="SIM",VLOOKUP($I96&amp;$J96&amp;N$1,Pesos!$A:$I,7,FALSE),VLOOKUP($I96&amp;$J96&amp;N$1,Pesos!$A:$I,9,FALSE)))</f>
        <v>1</v>
      </c>
      <c r="AG96" s="80">
        <f>IF(O96="","",IF(O96="SIM",VLOOKUP($I96&amp;$J96&amp;O$1,Pesos!$A:$I,7,FALSE),VLOOKUP($I96&amp;$J96&amp;O$1,Pesos!$A:$I,9,FALSE)))</f>
        <v>1</v>
      </c>
      <c r="AH96" s="80">
        <f>IF(P96="","",IF(P96="SIM",VLOOKUP($I96&amp;$J96&amp;P$1,Pesos!$A:$I,7,FALSE),VLOOKUP($I96&amp;$J96&amp;P$1,Pesos!$A:$I,9,FALSE)))</f>
        <v>1</v>
      </c>
      <c r="AI96" s="80">
        <f>IF(Q96="","",IF(Q96="SIM",VLOOKUP($I96&amp;$J96&amp;Q$1,Pesos!$A:$I,7,FALSE),VLOOKUP($I96&amp;$J96&amp;Q$1,Pesos!$A:$I,9,FALSE)))</f>
        <v>1</v>
      </c>
      <c r="AJ96" s="80">
        <f>IF(R96="","",IF(R96="SIM",VLOOKUP($I96&amp;$J96&amp;R$1,Pesos!$A:$I,7,FALSE),VLOOKUP($I96&amp;$J96&amp;R$1,Pesos!$A:$I,9,FALSE)))</f>
        <v>1</v>
      </c>
      <c r="AK96" s="80">
        <f>IF(S96="","",IF(S96="SIM",VLOOKUP($I96&amp;$J96&amp;S$1,Pesos!$A:$I,7,FALSE),VLOOKUP($I96&amp;$J96&amp;S$1,Pesos!$A:$I,9,FALSE)))</f>
        <v>-0.05</v>
      </c>
      <c r="AL96" s="80">
        <f t="shared" si="23"/>
        <v>4.95</v>
      </c>
      <c r="AM96" s="80">
        <f>IF(T96="","",IF(T96="SIM",VLOOKUP($I96&amp;$J96&amp;T$1,Pesos!$A:$I,7,FALSE),VLOOKUP($I96&amp;$J96&amp;T$1,Pesos!$A:$I,9,FALSE)))</f>
        <v>1</v>
      </c>
      <c r="AN96" s="80">
        <f>IF(U96="","",IF(U96="SIM",VLOOKUP($I96&amp;$J96&amp;U$1,Pesos!$A:$I,7,FALSE),VLOOKUP($I96&amp;$J96&amp;U$1,Pesos!$A:$I,9,FALSE)))</f>
        <v>-0.05</v>
      </c>
      <c r="AO96" s="80">
        <f>IF(V96="","",IF(V96="SIM",VLOOKUP($I96&amp;$J96&amp;V$1,Pesos!$A:$I,7,FALSE),VLOOKUP($I96&amp;$J96&amp;V$1,Pesos!$A:$I,9,FALSE)))</f>
        <v>0.5</v>
      </c>
      <c r="AP96" s="80">
        <f>IF(W96="","",IF(W96="SIM",VLOOKUP($I96&amp;$J96&amp;W$1,Pesos!$A:$I,7,FALSE),VLOOKUP($I96&amp;$J96&amp;W$1,Pesos!$A:$I,9,FALSE)))</f>
        <v>-2.5000000000000001E-2</v>
      </c>
      <c r="AQ96" s="80">
        <f>IF(X96="","",IF(X96="SIM",VLOOKUP($I96&amp;$J96&amp;X$1,Pesos!$A:$I,7,FALSE),VLOOKUP($I96&amp;$J96&amp;X$1,Pesos!$A:$I,9,FALSE)))</f>
        <v>-0.05</v>
      </c>
      <c r="AR96" s="80" t="str">
        <f>IF(Y96="","",IF(Y96="SIM",VLOOKUP($I96&amp;$J96&amp;Y$1,Pesos!$A:$I,7,FALSE),VLOOKUP($I96&amp;$J96&amp;Y$1,Pesos!$A:$I,9,FALSE)))</f>
        <v/>
      </c>
      <c r="AS96" s="81">
        <f>IFERROR(Z96*VLOOKUP(J96,'BD Campos'!$Y$1:$Z$12,2,FALSE),"0")</f>
        <v>6.3250000000000002</v>
      </c>
    </row>
    <row r="97" spans="1:45" x14ac:dyDescent="0.35">
      <c r="A97" s="68" t="str">
        <f t="shared" si="17"/>
        <v>Jan202511051MotoristaTRANSFERÊNCIA</v>
      </c>
      <c r="B97" s="69" t="str">
        <f t="shared" si="21"/>
        <v>Jan2025110511TRANSFERÊNCIAPADRÃO</v>
      </c>
      <c r="C97" s="70">
        <v>1</v>
      </c>
      <c r="D97" s="71">
        <v>45673.445663310187</v>
      </c>
      <c r="E97" s="112" t="s">
        <v>74</v>
      </c>
      <c r="F97" s="72">
        <v>11051</v>
      </c>
      <c r="G97" s="69" t="s">
        <v>380</v>
      </c>
      <c r="H97" s="73">
        <v>1</v>
      </c>
      <c r="I97" s="69" t="s">
        <v>121</v>
      </c>
      <c r="J97" s="69" t="s">
        <v>122</v>
      </c>
      <c r="K97" s="69" t="s">
        <v>106</v>
      </c>
      <c r="L97" s="74">
        <v>30776845</v>
      </c>
      <c r="M97" s="75">
        <v>3.0555555555555557E-3</v>
      </c>
      <c r="N97" s="76" t="s">
        <v>79</v>
      </c>
      <c r="O97" s="76" t="s">
        <v>79</v>
      </c>
      <c r="P97" s="76" t="s">
        <v>79</v>
      </c>
      <c r="Q97" s="76" t="s">
        <v>79</v>
      </c>
      <c r="R97" s="76" t="s">
        <v>79</v>
      </c>
      <c r="S97" s="76" t="s">
        <v>79</v>
      </c>
      <c r="T97" s="76" t="s">
        <v>79</v>
      </c>
      <c r="U97" s="76" t="s">
        <v>79</v>
      </c>
      <c r="V97" s="76" t="s">
        <v>79</v>
      </c>
      <c r="W97" s="76" t="s">
        <v>79</v>
      </c>
      <c r="X97" s="76" t="s">
        <v>79</v>
      </c>
      <c r="Y97" s="76"/>
      <c r="Z97" s="77">
        <f t="shared" si="2"/>
        <v>10</v>
      </c>
      <c r="AA97" s="78"/>
      <c r="AB97" s="78" t="s">
        <v>1451</v>
      </c>
      <c r="AC97" s="72" t="s">
        <v>47</v>
      </c>
      <c r="AE97" s="79" t="str">
        <f t="shared" si="22"/>
        <v>Jan11051</v>
      </c>
      <c r="AF97" s="80">
        <f>IF(N97="","",IF(N97="SIM",VLOOKUP($I97&amp;$J97&amp;N$1,Pesos!$A:$I,7,FALSE),VLOOKUP($I97&amp;$J97&amp;N$1,Pesos!$A:$I,9,FALSE)))</f>
        <v>0.89999999999999991</v>
      </c>
      <c r="AG97" s="80">
        <f>IF(O97="","",IF(O97="SIM",VLOOKUP($I97&amp;$J97&amp;O$1,Pesos!$A:$I,7,FALSE),VLOOKUP($I97&amp;$J97&amp;O$1,Pesos!$A:$I,9,FALSE)))</f>
        <v>0.89999999999999991</v>
      </c>
      <c r="AH97" s="80">
        <f>IF(P97="","",IF(P97="SIM",VLOOKUP($I97&amp;$J97&amp;P$1,Pesos!$A:$I,7,FALSE),VLOOKUP($I97&amp;$J97&amp;P$1,Pesos!$A:$I,9,FALSE)))</f>
        <v>0.89999999999999991</v>
      </c>
      <c r="AI97" s="80">
        <f>IF(Q97="","",IF(Q97="SIM",VLOOKUP($I97&amp;$J97&amp;Q$1,Pesos!$A:$I,7,FALSE),VLOOKUP($I97&amp;$J97&amp;Q$1,Pesos!$A:$I,9,FALSE)))</f>
        <v>0.89999999999999991</v>
      </c>
      <c r="AJ97" s="80">
        <f>IF(R97="","",IF(R97="SIM",VLOOKUP($I97&amp;$J97&amp;R$1,Pesos!$A:$I,7,FALSE),VLOOKUP($I97&amp;$J97&amp;R$1,Pesos!$A:$I,9,FALSE)))</f>
        <v>0.89999999999999991</v>
      </c>
      <c r="AK97" s="80">
        <f>IF(S97="","",IF(S97="SIM",VLOOKUP($I97&amp;$J97&amp;S$1,Pesos!$A:$I,7,FALSE),VLOOKUP($I97&amp;$J97&amp;S$1,Pesos!$A:$I,9,FALSE)))</f>
        <v>0.89999999999999991</v>
      </c>
      <c r="AL97" s="80">
        <f t="shared" si="23"/>
        <v>5.4</v>
      </c>
      <c r="AM97" s="80">
        <f>IF(T97="","",IF(T97="SIM",VLOOKUP($I97&amp;$J97&amp;T$1,Pesos!$A:$I,7,FALSE),VLOOKUP($I97&amp;$J97&amp;T$1,Pesos!$A:$I,9,FALSE)))</f>
        <v>0.89999999999999991</v>
      </c>
      <c r="AN97" s="80">
        <f>IF(U97="","",IF(U97="SIM",VLOOKUP($I97&amp;$J97&amp;U$1,Pesos!$A:$I,7,FALSE),VLOOKUP($I97&amp;$J97&amp;U$1,Pesos!$A:$I,9,FALSE)))</f>
        <v>0.92500000000000004</v>
      </c>
      <c r="AO97" s="80">
        <f>IF(V97="","",IF(V97="SIM",VLOOKUP($I97&amp;$J97&amp;V$1,Pesos!$A:$I,7,FALSE),VLOOKUP($I97&amp;$J97&amp;V$1,Pesos!$A:$I,9,FALSE)))</f>
        <v>0.92500000000000004</v>
      </c>
      <c r="AP97" s="80">
        <f>IF(W97="","",IF(W97="SIM",VLOOKUP($I97&amp;$J97&amp;W$1,Pesos!$A:$I,7,FALSE),VLOOKUP($I97&amp;$J97&amp;W$1,Pesos!$A:$I,9,FALSE)))</f>
        <v>0.89999999999999991</v>
      </c>
      <c r="AQ97" s="80">
        <f>IF(X97="","",IF(X97="SIM",VLOOKUP($I97&amp;$J97&amp;X$1,Pesos!$A:$I,7,FALSE),VLOOKUP($I97&amp;$J97&amp;X$1,Pesos!$A:$I,9,FALSE)))</f>
        <v>0.95</v>
      </c>
      <c r="AR97" s="80" t="str">
        <f>IF(Y97="","",IF(Y97="SIM",VLOOKUP($I97&amp;$J97&amp;Y$1,Pesos!$A:$I,7,FALSE),VLOOKUP($I97&amp;$J97&amp;Y$1,Pesos!$A:$I,9,FALSE)))</f>
        <v/>
      </c>
      <c r="AS97" s="81">
        <f>IFERROR(Z97*VLOOKUP(J97,'BD Campos'!$Y$1:$Z$12,2,FALSE),"0")</f>
        <v>10</v>
      </c>
    </row>
    <row r="98" spans="1:45" x14ac:dyDescent="0.35">
      <c r="A98" s="68" t="str">
        <f t="shared" si="17"/>
        <v>Jan202511124MotoristaTRANSFERÊNCIA</v>
      </c>
      <c r="B98" s="69" t="str">
        <f t="shared" si="21"/>
        <v>Jan2025111241TRANSFERÊNCIAPADRÃO</v>
      </c>
      <c r="C98" s="70">
        <v>1</v>
      </c>
      <c r="D98" s="71">
        <v>45673.45089965278</v>
      </c>
      <c r="E98" s="112" t="s">
        <v>74</v>
      </c>
      <c r="F98" s="72">
        <v>11124</v>
      </c>
      <c r="G98" s="69" t="s">
        <v>434</v>
      </c>
      <c r="H98" s="73">
        <v>1</v>
      </c>
      <c r="I98" s="69" t="s">
        <v>121</v>
      </c>
      <c r="J98" s="69" t="s">
        <v>122</v>
      </c>
      <c r="K98" s="69" t="s">
        <v>106</v>
      </c>
      <c r="L98" s="74">
        <v>30802963</v>
      </c>
      <c r="M98" s="75">
        <v>4.7106481481481478E-3</v>
      </c>
      <c r="N98" s="76" t="s">
        <v>79</v>
      </c>
      <c r="O98" s="76" t="s">
        <v>79</v>
      </c>
      <c r="P98" s="76" t="s">
        <v>79</v>
      </c>
      <c r="Q98" s="76" t="s">
        <v>79</v>
      </c>
      <c r="R98" s="76" t="s">
        <v>79</v>
      </c>
      <c r="S98" s="76" t="s">
        <v>79</v>
      </c>
      <c r="T98" s="76" t="s">
        <v>79</v>
      </c>
      <c r="U98" s="76" t="s">
        <v>79</v>
      </c>
      <c r="V98" s="76" t="s">
        <v>79</v>
      </c>
      <c r="W98" s="76" t="s">
        <v>79</v>
      </c>
      <c r="X98" s="76" t="s">
        <v>79</v>
      </c>
      <c r="Y98" s="76"/>
      <c r="Z98" s="77">
        <f t="shared" si="2"/>
        <v>10</v>
      </c>
      <c r="AA98" s="78" t="s">
        <v>1453</v>
      </c>
      <c r="AB98" s="78" t="s">
        <v>1452</v>
      </c>
      <c r="AC98" s="72" t="s">
        <v>47</v>
      </c>
      <c r="AE98" s="79" t="str">
        <f t="shared" si="22"/>
        <v>Jan11124</v>
      </c>
      <c r="AF98" s="80">
        <f>IF(N98="","",IF(N98="SIM",VLOOKUP($I98&amp;$J98&amp;N$1,Pesos!$A:$I,7,FALSE),VLOOKUP($I98&amp;$J98&amp;N$1,Pesos!$A:$I,9,FALSE)))</f>
        <v>0.89999999999999991</v>
      </c>
      <c r="AG98" s="80">
        <f>IF(O98="","",IF(O98="SIM",VLOOKUP($I98&amp;$J98&amp;O$1,Pesos!$A:$I,7,FALSE),VLOOKUP($I98&amp;$J98&amp;O$1,Pesos!$A:$I,9,FALSE)))</f>
        <v>0.89999999999999991</v>
      </c>
      <c r="AH98" s="80">
        <f>IF(P98="","",IF(P98="SIM",VLOOKUP($I98&amp;$J98&amp;P$1,Pesos!$A:$I,7,FALSE),VLOOKUP($I98&amp;$J98&amp;P$1,Pesos!$A:$I,9,FALSE)))</f>
        <v>0.89999999999999991</v>
      </c>
      <c r="AI98" s="80">
        <f>IF(Q98="","",IF(Q98="SIM",VLOOKUP($I98&amp;$J98&amp;Q$1,Pesos!$A:$I,7,FALSE),VLOOKUP($I98&amp;$J98&amp;Q$1,Pesos!$A:$I,9,FALSE)))</f>
        <v>0.89999999999999991</v>
      </c>
      <c r="AJ98" s="80">
        <f>IF(R98="","",IF(R98="SIM",VLOOKUP($I98&amp;$J98&amp;R$1,Pesos!$A:$I,7,FALSE),VLOOKUP($I98&amp;$J98&amp;R$1,Pesos!$A:$I,9,FALSE)))</f>
        <v>0.89999999999999991</v>
      </c>
      <c r="AK98" s="80">
        <f>IF(S98="","",IF(S98="SIM",VLOOKUP($I98&amp;$J98&amp;S$1,Pesos!$A:$I,7,FALSE),VLOOKUP($I98&amp;$J98&amp;S$1,Pesos!$A:$I,9,FALSE)))</f>
        <v>0.89999999999999991</v>
      </c>
      <c r="AL98" s="80">
        <f t="shared" si="23"/>
        <v>5.4</v>
      </c>
      <c r="AM98" s="80">
        <f>IF(T98="","",IF(T98="SIM",VLOOKUP($I98&amp;$J98&amp;T$1,Pesos!$A:$I,7,FALSE),VLOOKUP($I98&amp;$J98&amp;T$1,Pesos!$A:$I,9,FALSE)))</f>
        <v>0.89999999999999991</v>
      </c>
      <c r="AN98" s="80">
        <f>IF(U98="","",IF(U98="SIM",VLOOKUP($I98&amp;$J98&amp;U$1,Pesos!$A:$I,7,FALSE),VLOOKUP($I98&amp;$J98&amp;U$1,Pesos!$A:$I,9,FALSE)))</f>
        <v>0.92500000000000004</v>
      </c>
      <c r="AO98" s="80">
        <f>IF(V98="","",IF(V98="SIM",VLOOKUP($I98&amp;$J98&amp;V$1,Pesos!$A:$I,7,FALSE),VLOOKUP($I98&amp;$J98&amp;V$1,Pesos!$A:$I,9,FALSE)))</f>
        <v>0.92500000000000004</v>
      </c>
      <c r="AP98" s="80">
        <f>IF(W98="","",IF(W98="SIM",VLOOKUP($I98&amp;$J98&amp;W$1,Pesos!$A:$I,7,FALSE),VLOOKUP($I98&amp;$J98&amp;W$1,Pesos!$A:$I,9,FALSE)))</f>
        <v>0.89999999999999991</v>
      </c>
      <c r="AQ98" s="80">
        <f>IF(X98="","",IF(X98="SIM",VLOOKUP($I98&amp;$J98&amp;X$1,Pesos!$A:$I,7,FALSE),VLOOKUP($I98&amp;$J98&amp;X$1,Pesos!$A:$I,9,FALSE)))</f>
        <v>0.95</v>
      </c>
      <c r="AR98" s="80" t="str">
        <f>IF(Y98="","",IF(Y98="SIM",VLOOKUP($I98&amp;$J98&amp;Y$1,Pesos!$A:$I,7,FALSE),VLOOKUP($I98&amp;$J98&amp;Y$1,Pesos!$A:$I,9,FALSE)))</f>
        <v/>
      </c>
      <c r="AS98" s="81">
        <f>IFERROR(Z98*VLOOKUP(J98,'BD Campos'!$Y$1:$Z$12,2,FALSE),"0")</f>
        <v>10</v>
      </c>
    </row>
    <row r="99" spans="1:45" x14ac:dyDescent="0.35">
      <c r="A99" s="68" t="str">
        <f t="shared" si="17"/>
        <v>Jan202510946MotoristaTRANSFERÊNCIA</v>
      </c>
      <c r="B99" s="69" t="str">
        <f t="shared" si="21"/>
        <v>Jan2025109461TRANSFERÊNCIAPADRÃO</v>
      </c>
      <c r="C99" s="70">
        <v>1</v>
      </c>
      <c r="D99" s="71">
        <v>45673.462521412039</v>
      </c>
      <c r="E99" s="112" t="s">
        <v>74</v>
      </c>
      <c r="F99" s="72">
        <v>10946</v>
      </c>
      <c r="G99" s="69" t="s">
        <v>135</v>
      </c>
      <c r="H99" s="73">
        <v>1</v>
      </c>
      <c r="I99" s="69" t="s">
        <v>147</v>
      </c>
      <c r="J99" s="69" t="s">
        <v>122</v>
      </c>
      <c r="K99" s="69" t="s">
        <v>106</v>
      </c>
      <c r="L99" s="74">
        <v>30881377</v>
      </c>
      <c r="M99" s="75">
        <v>1.8287037037037037E-3</v>
      </c>
      <c r="N99" s="76" t="s">
        <v>79</v>
      </c>
      <c r="O99" s="76" t="s">
        <v>79</v>
      </c>
      <c r="P99" s="76" t="s">
        <v>79</v>
      </c>
      <c r="Q99" s="76" t="s">
        <v>79</v>
      </c>
      <c r="R99" s="76" t="s">
        <v>79</v>
      </c>
      <c r="S99" s="76" t="s">
        <v>79</v>
      </c>
      <c r="T99" s="76" t="s">
        <v>79</v>
      </c>
      <c r="U99" s="76" t="s">
        <v>79</v>
      </c>
      <c r="V99" s="76"/>
      <c r="W99" s="76"/>
      <c r="X99" s="76"/>
      <c r="Y99" s="76"/>
      <c r="Z99" s="77">
        <f t="shared" si="2"/>
        <v>10</v>
      </c>
      <c r="AA99" s="78"/>
      <c r="AB99" s="78" t="s">
        <v>1456</v>
      </c>
      <c r="AC99" s="72" t="s">
        <v>47</v>
      </c>
      <c r="AE99" s="79" t="str">
        <f t="shared" si="22"/>
        <v>Jan10946</v>
      </c>
      <c r="AF99" s="80">
        <f>IF(N99="","",IF(N99="SIM",VLOOKUP($I99&amp;$J99&amp;N$1,Pesos!$A:$I,7,FALSE),VLOOKUP($I99&amp;$J99&amp;N$1,Pesos!$A:$I,9,FALSE)))</f>
        <v>1.1000000000000001</v>
      </c>
      <c r="AG99" s="80">
        <f>IF(O99="","",IF(O99="SIM",VLOOKUP($I99&amp;$J99&amp;O$1,Pesos!$A:$I,7,FALSE),VLOOKUP($I99&amp;$J99&amp;O$1,Pesos!$A:$I,9,FALSE)))</f>
        <v>1.1000000000000001</v>
      </c>
      <c r="AH99" s="80">
        <f>IF(P99="","",IF(P99="SIM",VLOOKUP($I99&amp;$J99&amp;P$1,Pesos!$A:$I,7,FALSE),VLOOKUP($I99&amp;$J99&amp;P$1,Pesos!$A:$I,9,FALSE)))</f>
        <v>1.1000000000000001</v>
      </c>
      <c r="AI99" s="80">
        <f>IF(Q99="","",IF(Q99="SIM",VLOOKUP($I99&amp;$J99&amp;Q$1,Pesos!$A:$I,7,FALSE),VLOOKUP($I99&amp;$J99&amp;Q$1,Pesos!$A:$I,9,FALSE)))</f>
        <v>1.1000000000000001</v>
      </c>
      <c r="AJ99" s="80">
        <f>IF(R99="","",IF(R99="SIM",VLOOKUP($I99&amp;$J99&amp;R$1,Pesos!$A:$I,7,FALSE),VLOOKUP($I99&amp;$J99&amp;R$1,Pesos!$A:$I,9,FALSE)))</f>
        <v>1.1000000000000001</v>
      </c>
      <c r="AK99" s="80">
        <f>IF(S99="","",IF(S99="SIM",VLOOKUP($I99&amp;$J99&amp;S$1,Pesos!$A:$I,7,FALSE),VLOOKUP($I99&amp;$J99&amp;S$1,Pesos!$A:$I,9,FALSE)))</f>
        <v>1.6</v>
      </c>
      <c r="AL99" s="80">
        <f t="shared" si="23"/>
        <v>7.1</v>
      </c>
      <c r="AM99" s="80">
        <f>IF(T99="","",IF(T99="SIM",VLOOKUP($I99&amp;$J99&amp;T$1,Pesos!$A:$I,7,FALSE),VLOOKUP($I99&amp;$J99&amp;T$1,Pesos!$A:$I,9,FALSE)))</f>
        <v>1.2</v>
      </c>
      <c r="AN99" s="80">
        <f>IF(U99="","",IF(U99="SIM",VLOOKUP($I99&amp;$J99&amp;U$1,Pesos!$A:$I,7,FALSE),VLOOKUP($I99&amp;$J99&amp;U$1,Pesos!$A:$I,9,FALSE)))</f>
        <v>1.7000000000000002</v>
      </c>
      <c r="AO99" s="80" t="str">
        <f>IF(V99="","",IF(V99="SIM",VLOOKUP($I99&amp;$J99&amp;V$1,Pesos!$A:$I,7,FALSE),VLOOKUP($I99&amp;$J99&amp;V$1,Pesos!$A:$I,9,FALSE)))</f>
        <v/>
      </c>
      <c r="AP99" s="80" t="str">
        <f>IF(W99="","",IF(W99="SIM",VLOOKUP($I99&amp;$J99&amp;W$1,Pesos!$A:$I,7,FALSE),VLOOKUP($I99&amp;$J99&amp;W$1,Pesos!$A:$I,9,FALSE)))</f>
        <v/>
      </c>
      <c r="AQ99" s="80" t="str">
        <f>IF(X99="","",IF(X99="SIM",VLOOKUP($I99&amp;$J99&amp;X$1,Pesos!$A:$I,7,FALSE),VLOOKUP($I99&amp;$J99&amp;X$1,Pesos!$A:$I,9,FALSE)))</f>
        <v/>
      </c>
      <c r="AR99" s="80" t="str">
        <f>IF(Y99="","",IF(Y99="SIM",VLOOKUP($I99&amp;$J99&amp;Y$1,Pesos!$A:$I,7,FALSE),VLOOKUP($I99&amp;$J99&amp;Y$1,Pesos!$A:$I,9,FALSE)))</f>
        <v/>
      </c>
      <c r="AS99" s="81">
        <f>IFERROR(Z99*VLOOKUP(J99,'BD Campos'!$Y$1:$Z$12,2,FALSE),"0")</f>
        <v>10</v>
      </c>
    </row>
    <row r="100" spans="1:45" x14ac:dyDescent="0.35">
      <c r="A100" s="68" t="str">
        <f t="shared" si="17"/>
        <v>Jan202511148MotoristaTRANSFERÊNCIA</v>
      </c>
      <c r="B100" s="69" t="str">
        <f t="shared" si="21"/>
        <v>Jan2025111481TRANSFERÊNCIAPADRÃO</v>
      </c>
      <c r="C100" s="70">
        <v>1</v>
      </c>
      <c r="D100" s="71">
        <v>45673.466441435186</v>
      </c>
      <c r="E100" s="112" t="s">
        <v>74</v>
      </c>
      <c r="F100" s="72">
        <v>11148</v>
      </c>
      <c r="G100" s="69" t="s">
        <v>435</v>
      </c>
      <c r="H100" s="73">
        <v>1</v>
      </c>
      <c r="I100" s="69" t="s">
        <v>123</v>
      </c>
      <c r="J100" s="69" t="s">
        <v>122</v>
      </c>
      <c r="K100" s="69" t="s">
        <v>106</v>
      </c>
      <c r="L100" s="74">
        <v>1767503</v>
      </c>
      <c r="M100" s="75">
        <v>1.8287037037037037E-3</v>
      </c>
      <c r="N100" s="76" t="s">
        <v>79</v>
      </c>
      <c r="O100" s="76" t="s">
        <v>79</v>
      </c>
      <c r="P100" s="76" t="s">
        <v>79</v>
      </c>
      <c r="Q100" s="76" t="s">
        <v>79</v>
      </c>
      <c r="R100" s="76" t="s">
        <v>79</v>
      </c>
      <c r="S100" s="76" t="s">
        <v>79</v>
      </c>
      <c r="T100" s="76" t="s">
        <v>79</v>
      </c>
      <c r="U100" s="76" t="s">
        <v>79</v>
      </c>
      <c r="V100" s="76" t="s">
        <v>79</v>
      </c>
      <c r="W100" s="76" t="s">
        <v>79</v>
      </c>
      <c r="X100" s="76"/>
      <c r="Y100" s="76"/>
      <c r="Z100" s="77">
        <f t="shared" si="2"/>
        <v>10</v>
      </c>
      <c r="AA100" s="78"/>
      <c r="AB100" s="78" t="s">
        <v>1457</v>
      </c>
      <c r="AC100" s="72" t="s">
        <v>47</v>
      </c>
      <c r="AE100" s="79" t="str">
        <f t="shared" ref="AE100:AE153" si="24">E100&amp;F100</f>
        <v>Jan11148</v>
      </c>
      <c r="AF100" s="80">
        <f>IF(N100="","",IF(N100="SIM",VLOOKUP($I100&amp;$J100&amp;N$1,Pesos!$A:$I,7,FALSE),VLOOKUP($I100&amp;$J100&amp;N$1,Pesos!$A:$I,9,FALSE)))</f>
        <v>1</v>
      </c>
      <c r="AG100" s="80">
        <f>IF(O100="","",IF(O100="SIM",VLOOKUP($I100&amp;$J100&amp;O$1,Pesos!$A:$I,7,FALSE),VLOOKUP($I100&amp;$J100&amp;O$1,Pesos!$A:$I,9,FALSE)))</f>
        <v>1</v>
      </c>
      <c r="AH100" s="80">
        <f>IF(P100="","",IF(P100="SIM",VLOOKUP($I100&amp;$J100&amp;P$1,Pesos!$A:$I,7,FALSE),VLOOKUP($I100&amp;$J100&amp;P$1,Pesos!$A:$I,9,FALSE)))</f>
        <v>1</v>
      </c>
      <c r="AI100" s="80">
        <f>IF(Q100="","",IF(Q100="SIM",VLOOKUP($I100&amp;$J100&amp;Q$1,Pesos!$A:$I,7,FALSE),VLOOKUP($I100&amp;$J100&amp;Q$1,Pesos!$A:$I,9,FALSE)))</f>
        <v>1</v>
      </c>
      <c r="AJ100" s="80">
        <f>IF(R100="","",IF(R100="SIM",VLOOKUP($I100&amp;$J100&amp;R$1,Pesos!$A:$I,7,FALSE),VLOOKUP($I100&amp;$J100&amp;R$1,Pesos!$A:$I,9,FALSE)))</f>
        <v>1</v>
      </c>
      <c r="AK100" s="80">
        <f>IF(S100="","",IF(S100="SIM",VLOOKUP($I100&amp;$J100&amp;S$1,Pesos!$A:$I,7,FALSE),VLOOKUP($I100&amp;$J100&amp;S$1,Pesos!$A:$I,9,FALSE)))</f>
        <v>1</v>
      </c>
      <c r="AL100" s="80">
        <f t="shared" ref="AL100:AL153" si="25">SUM(AF100:AK100)</f>
        <v>6</v>
      </c>
      <c r="AM100" s="80">
        <f>IF(T100="","",IF(T100="SIM",VLOOKUP($I100&amp;$J100&amp;T$1,Pesos!$A:$I,7,FALSE),VLOOKUP($I100&amp;$J100&amp;T$1,Pesos!$A:$I,9,FALSE)))</f>
        <v>1</v>
      </c>
      <c r="AN100" s="80">
        <f>IF(U100="","",IF(U100="SIM",VLOOKUP($I100&amp;$J100&amp;U$1,Pesos!$A:$I,7,FALSE),VLOOKUP($I100&amp;$J100&amp;U$1,Pesos!$A:$I,9,FALSE)))</f>
        <v>1</v>
      </c>
      <c r="AO100" s="80">
        <f>IF(V100="","",IF(V100="SIM",VLOOKUP($I100&amp;$J100&amp;V$1,Pesos!$A:$I,7,FALSE),VLOOKUP($I100&amp;$J100&amp;V$1,Pesos!$A:$I,9,FALSE)))</f>
        <v>1</v>
      </c>
      <c r="AP100" s="80">
        <f>IF(W100="","",IF(W100="SIM",VLOOKUP($I100&amp;$J100&amp;W$1,Pesos!$A:$I,7,FALSE),VLOOKUP($I100&amp;$J100&amp;W$1,Pesos!$A:$I,9,FALSE)))</f>
        <v>1</v>
      </c>
      <c r="AQ100" s="80" t="str">
        <f>IF(X100="","",IF(X100="SIM",VLOOKUP($I100&amp;$J100&amp;X$1,Pesos!$A:$I,7,FALSE),VLOOKUP($I100&amp;$J100&amp;X$1,Pesos!$A:$I,9,FALSE)))</f>
        <v/>
      </c>
      <c r="AR100" s="80" t="str">
        <f>IF(Y100="","",IF(Y100="SIM",VLOOKUP($I100&amp;$J100&amp;Y$1,Pesos!$A:$I,7,FALSE),VLOOKUP($I100&amp;$J100&amp;Y$1,Pesos!$A:$I,9,FALSE)))</f>
        <v/>
      </c>
      <c r="AS100" s="81">
        <f>IFERROR(Z100*VLOOKUP(J100,'BD Campos'!$Y$1:$Z$12,2,FALSE),"0")</f>
        <v>10</v>
      </c>
    </row>
    <row r="101" spans="1:45" x14ac:dyDescent="0.35">
      <c r="A101" s="68" t="str">
        <f t="shared" si="17"/>
        <v>Jan202511048MotoristaTRANSFERÊNCIA</v>
      </c>
      <c r="B101" s="69" t="str">
        <f t="shared" si="21"/>
        <v>Jan2025110481TRANSFERÊNCIAPADRÃO</v>
      </c>
      <c r="C101" s="70">
        <v>1</v>
      </c>
      <c r="D101" s="71">
        <v>45673.561278240741</v>
      </c>
      <c r="E101" s="112" t="s">
        <v>74</v>
      </c>
      <c r="F101" s="72">
        <v>11048</v>
      </c>
      <c r="G101" s="69" t="s">
        <v>381</v>
      </c>
      <c r="H101" s="73">
        <v>1</v>
      </c>
      <c r="I101" s="69" t="s">
        <v>121</v>
      </c>
      <c r="J101" s="69" t="s">
        <v>122</v>
      </c>
      <c r="K101" s="69" t="s">
        <v>106</v>
      </c>
      <c r="L101" s="74">
        <v>30856899</v>
      </c>
      <c r="M101" s="75">
        <v>1.0416666666666667E-3</v>
      </c>
      <c r="N101" s="76" t="s">
        <v>79</v>
      </c>
      <c r="O101" s="76" t="s">
        <v>79</v>
      </c>
      <c r="P101" s="76" t="s">
        <v>79</v>
      </c>
      <c r="Q101" s="76" t="s">
        <v>79</v>
      </c>
      <c r="R101" s="76" t="s">
        <v>79</v>
      </c>
      <c r="S101" s="76" t="s">
        <v>79</v>
      </c>
      <c r="T101" s="76" t="s">
        <v>79</v>
      </c>
      <c r="U101" s="76" t="s">
        <v>79</v>
      </c>
      <c r="V101" s="76" t="s">
        <v>79</v>
      </c>
      <c r="W101" s="76" t="s">
        <v>83</v>
      </c>
      <c r="X101" s="76" t="s">
        <v>79</v>
      </c>
      <c r="Y101" s="76"/>
      <c r="Z101" s="77">
        <f t="shared" si="2"/>
        <v>9.0549999999999997</v>
      </c>
      <c r="AA101" s="78"/>
      <c r="AB101" s="78" t="s">
        <v>1458</v>
      </c>
      <c r="AC101" s="72" t="s">
        <v>47</v>
      </c>
      <c r="AE101" s="79" t="str">
        <f t="shared" si="24"/>
        <v>Jan11048</v>
      </c>
      <c r="AF101" s="80">
        <f>IF(N101="","",IF(N101="SIM",VLOOKUP($I101&amp;$J101&amp;N$1,Pesos!$A:$I,7,FALSE),VLOOKUP($I101&amp;$J101&amp;N$1,Pesos!$A:$I,9,FALSE)))</f>
        <v>0.89999999999999991</v>
      </c>
      <c r="AG101" s="80">
        <f>IF(O101="","",IF(O101="SIM",VLOOKUP($I101&amp;$J101&amp;O$1,Pesos!$A:$I,7,FALSE),VLOOKUP($I101&amp;$J101&amp;O$1,Pesos!$A:$I,9,FALSE)))</f>
        <v>0.89999999999999991</v>
      </c>
      <c r="AH101" s="80">
        <f>IF(P101="","",IF(P101="SIM",VLOOKUP($I101&amp;$J101&amp;P$1,Pesos!$A:$I,7,FALSE),VLOOKUP($I101&amp;$J101&amp;P$1,Pesos!$A:$I,9,FALSE)))</f>
        <v>0.89999999999999991</v>
      </c>
      <c r="AI101" s="80">
        <f>IF(Q101="","",IF(Q101="SIM",VLOOKUP($I101&amp;$J101&amp;Q$1,Pesos!$A:$I,7,FALSE),VLOOKUP($I101&amp;$J101&amp;Q$1,Pesos!$A:$I,9,FALSE)))</f>
        <v>0.89999999999999991</v>
      </c>
      <c r="AJ101" s="80">
        <f>IF(R101="","",IF(R101="SIM",VLOOKUP($I101&amp;$J101&amp;R$1,Pesos!$A:$I,7,FALSE),VLOOKUP($I101&amp;$J101&amp;R$1,Pesos!$A:$I,9,FALSE)))</f>
        <v>0.89999999999999991</v>
      </c>
      <c r="AK101" s="80">
        <f>IF(S101="","",IF(S101="SIM",VLOOKUP($I101&amp;$J101&amp;S$1,Pesos!$A:$I,7,FALSE),VLOOKUP($I101&amp;$J101&amp;S$1,Pesos!$A:$I,9,FALSE)))</f>
        <v>0.89999999999999991</v>
      </c>
      <c r="AL101" s="80">
        <f t="shared" si="25"/>
        <v>5.4</v>
      </c>
      <c r="AM101" s="80">
        <f>IF(T101="","",IF(T101="SIM",VLOOKUP($I101&amp;$J101&amp;T$1,Pesos!$A:$I,7,FALSE),VLOOKUP($I101&amp;$J101&amp;T$1,Pesos!$A:$I,9,FALSE)))</f>
        <v>0.89999999999999991</v>
      </c>
      <c r="AN101" s="80">
        <f>IF(U101="","",IF(U101="SIM",VLOOKUP($I101&amp;$J101&amp;U$1,Pesos!$A:$I,7,FALSE),VLOOKUP($I101&amp;$J101&amp;U$1,Pesos!$A:$I,9,FALSE)))</f>
        <v>0.92500000000000004</v>
      </c>
      <c r="AO101" s="80">
        <f>IF(V101="","",IF(V101="SIM",VLOOKUP($I101&amp;$J101&amp;V$1,Pesos!$A:$I,7,FALSE),VLOOKUP($I101&amp;$J101&amp;V$1,Pesos!$A:$I,9,FALSE)))</f>
        <v>0.92500000000000004</v>
      </c>
      <c r="AP101" s="80">
        <f>IF(W101="","",IF(W101="SIM",VLOOKUP($I101&amp;$J101&amp;W$1,Pesos!$A:$I,7,FALSE),VLOOKUP($I101&amp;$J101&amp;W$1,Pesos!$A:$I,9,FALSE)))</f>
        <v>-4.4999999999999998E-2</v>
      </c>
      <c r="AQ101" s="80">
        <f>IF(X101="","",IF(X101="SIM",VLOOKUP($I101&amp;$J101&amp;X$1,Pesos!$A:$I,7,FALSE),VLOOKUP($I101&amp;$J101&amp;X$1,Pesos!$A:$I,9,FALSE)))</f>
        <v>0.95</v>
      </c>
      <c r="AR101" s="80" t="str">
        <f>IF(Y101="","",IF(Y101="SIM",VLOOKUP($I101&amp;$J101&amp;Y$1,Pesos!$A:$I,7,FALSE),VLOOKUP($I101&amp;$J101&amp;Y$1,Pesos!$A:$I,9,FALSE)))</f>
        <v/>
      </c>
      <c r="AS101" s="81">
        <f>IFERROR(Z101*VLOOKUP(J101,'BD Campos'!$Y$1:$Z$12,2,FALSE),"0")</f>
        <v>9.0549999999999997</v>
      </c>
    </row>
    <row r="102" spans="1:45" x14ac:dyDescent="0.35">
      <c r="A102" s="68" t="str">
        <f t="shared" si="17"/>
        <v>Jan202511207MotoristaTRANSFERÊNCIA</v>
      </c>
      <c r="B102" s="69" t="str">
        <f t="shared" si="21"/>
        <v>Jan2025112071TRANSFERÊNCIAPADRÃO</v>
      </c>
      <c r="C102" s="70">
        <v>1</v>
      </c>
      <c r="D102" s="71">
        <v>45673.568296064812</v>
      </c>
      <c r="E102" s="112" t="s">
        <v>74</v>
      </c>
      <c r="F102" s="72">
        <v>11207</v>
      </c>
      <c r="G102" s="69" t="s">
        <v>1382</v>
      </c>
      <c r="H102" s="73">
        <v>1</v>
      </c>
      <c r="I102" s="69" t="s">
        <v>121</v>
      </c>
      <c r="J102" s="69" t="s">
        <v>122</v>
      </c>
      <c r="K102" s="69" t="s">
        <v>106</v>
      </c>
      <c r="L102" s="74">
        <v>30859423</v>
      </c>
      <c r="M102" s="75">
        <v>6.0416666666666665E-3</v>
      </c>
      <c r="N102" s="76" t="s">
        <v>79</v>
      </c>
      <c r="O102" s="76" t="s">
        <v>79</v>
      </c>
      <c r="P102" s="76" t="s">
        <v>79</v>
      </c>
      <c r="Q102" s="76" t="s">
        <v>79</v>
      </c>
      <c r="R102" s="76" t="s">
        <v>79</v>
      </c>
      <c r="S102" s="76" t="s">
        <v>79</v>
      </c>
      <c r="T102" s="76" t="s">
        <v>79</v>
      </c>
      <c r="U102" s="76" t="s">
        <v>79</v>
      </c>
      <c r="V102" s="76" t="s">
        <v>79</v>
      </c>
      <c r="W102" s="76" t="s">
        <v>83</v>
      </c>
      <c r="X102" s="76" t="s">
        <v>83</v>
      </c>
      <c r="Y102" s="76"/>
      <c r="Z102" s="77">
        <f t="shared" si="2"/>
        <v>8.057500000000001</v>
      </c>
      <c r="AA102" s="78"/>
      <c r="AB102" s="78" t="s">
        <v>1459</v>
      </c>
      <c r="AC102" s="72" t="s">
        <v>47</v>
      </c>
      <c r="AE102" s="79" t="str">
        <f t="shared" si="24"/>
        <v>Jan11207</v>
      </c>
      <c r="AF102" s="80">
        <f>IF(N102="","",IF(N102="SIM",VLOOKUP($I102&amp;$J102&amp;N$1,Pesos!$A:$I,7,FALSE),VLOOKUP($I102&amp;$J102&amp;N$1,Pesos!$A:$I,9,FALSE)))</f>
        <v>0.89999999999999991</v>
      </c>
      <c r="AG102" s="80">
        <f>IF(O102="","",IF(O102="SIM",VLOOKUP($I102&amp;$J102&amp;O$1,Pesos!$A:$I,7,FALSE),VLOOKUP($I102&amp;$J102&amp;O$1,Pesos!$A:$I,9,FALSE)))</f>
        <v>0.89999999999999991</v>
      </c>
      <c r="AH102" s="80">
        <f>IF(P102="","",IF(P102="SIM",VLOOKUP($I102&amp;$J102&amp;P$1,Pesos!$A:$I,7,FALSE),VLOOKUP($I102&amp;$J102&amp;P$1,Pesos!$A:$I,9,FALSE)))</f>
        <v>0.89999999999999991</v>
      </c>
      <c r="AI102" s="80">
        <f>IF(Q102="","",IF(Q102="SIM",VLOOKUP($I102&amp;$J102&amp;Q$1,Pesos!$A:$I,7,FALSE),VLOOKUP($I102&amp;$J102&amp;Q$1,Pesos!$A:$I,9,FALSE)))</f>
        <v>0.89999999999999991</v>
      </c>
      <c r="AJ102" s="80">
        <f>IF(R102="","",IF(R102="SIM",VLOOKUP($I102&amp;$J102&amp;R$1,Pesos!$A:$I,7,FALSE),VLOOKUP($I102&amp;$J102&amp;R$1,Pesos!$A:$I,9,FALSE)))</f>
        <v>0.89999999999999991</v>
      </c>
      <c r="AK102" s="80">
        <f>IF(S102="","",IF(S102="SIM",VLOOKUP($I102&amp;$J102&amp;S$1,Pesos!$A:$I,7,FALSE),VLOOKUP($I102&amp;$J102&amp;S$1,Pesos!$A:$I,9,FALSE)))</f>
        <v>0.89999999999999991</v>
      </c>
      <c r="AL102" s="80">
        <f t="shared" si="25"/>
        <v>5.4</v>
      </c>
      <c r="AM102" s="80">
        <f>IF(T102="","",IF(T102="SIM",VLOOKUP($I102&amp;$J102&amp;T$1,Pesos!$A:$I,7,FALSE),VLOOKUP($I102&amp;$J102&amp;T$1,Pesos!$A:$I,9,FALSE)))</f>
        <v>0.89999999999999991</v>
      </c>
      <c r="AN102" s="80">
        <f>IF(U102="","",IF(U102="SIM",VLOOKUP($I102&amp;$J102&amp;U$1,Pesos!$A:$I,7,FALSE),VLOOKUP($I102&amp;$J102&amp;U$1,Pesos!$A:$I,9,FALSE)))</f>
        <v>0.92500000000000004</v>
      </c>
      <c r="AO102" s="80">
        <f>IF(V102="","",IF(V102="SIM",VLOOKUP($I102&amp;$J102&amp;V$1,Pesos!$A:$I,7,FALSE),VLOOKUP($I102&amp;$J102&amp;V$1,Pesos!$A:$I,9,FALSE)))</f>
        <v>0.92500000000000004</v>
      </c>
      <c r="AP102" s="80">
        <f>IF(W102="","",IF(W102="SIM",VLOOKUP($I102&amp;$J102&amp;W$1,Pesos!$A:$I,7,FALSE),VLOOKUP($I102&amp;$J102&amp;W$1,Pesos!$A:$I,9,FALSE)))</f>
        <v>-4.4999999999999998E-2</v>
      </c>
      <c r="AQ102" s="80">
        <f>IF(X102="","",IF(X102="SIM",VLOOKUP($I102&amp;$J102&amp;X$1,Pesos!$A:$I,7,FALSE),VLOOKUP($I102&amp;$J102&amp;X$1,Pesos!$A:$I,9,FALSE)))</f>
        <v>-4.7500000000000001E-2</v>
      </c>
      <c r="AR102" s="80" t="str">
        <f>IF(Y102="","",IF(Y102="SIM",VLOOKUP($I102&amp;$J102&amp;Y$1,Pesos!$A:$I,7,FALSE),VLOOKUP($I102&amp;$J102&amp;Y$1,Pesos!$A:$I,9,FALSE)))</f>
        <v/>
      </c>
      <c r="AS102" s="81">
        <f>IFERROR(Z102*VLOOKUP(J102,'BD Campos'!$Y$1:$Z$12,2,FALSE),"0")</f>
        <v>8.057500000000001</v>
      </c>
    </row>
    <row r="103" spans="1:45" x14ac:dyDescent="0.35">
      <c r="A103" s="68" t="str">
        <f t="shared" si="17"/>
        <v>Jan202511243MotoristaTRANSFERÊNCIA</v>
      </c>
      <c r="B103" s="69" t="str">
        <f t="shared" si="21"/>
        <v>Jan2025112431TRANSFERÊNCIAPADRÃO</v>
      </c>
      <c r="C103" s="70">
        <v>1</v>
      </c>
      <c r="D103" s="71">
        <v>45673.573843634258</v>
      </c>
      <c r="E103" s="112" t="s">
        <v>74</v>
      </c>
      <c r="F103" s="72">
        <v>11243</v>
      </c>
      <c r="G103" s="69" t="s">
        <v>1441</v>
      </c>
      <c r="H103" s="73">
        <v>1</v>
      </c>
      <c r="I103" s="69" t="s">
        <v>147</v>
      </c>
      <c r="J103" s="69" t="s">
        <v>122</v>
      </c>
      <c r="K103" s="69" t="s">
        <v>106</v>
      </c>
      <c r="L103" s="74">
        <v>30762602</v>
      </c>
      <c r="M103" s="75">
        <v>2.1759259259259258E-3</v>
      </c>
      <c r="N103" s="76"/>
      <c r="O103" s="76"/>
      <c r="P103" s="76"/>
      <c r="Q103" s="76"/>
      <c r="R103" s="76"/>
      <c r="S103" s="76"/>
      <c r="T103" s="76"/>
      <c r="U103" s="76"/>
      <c r="V103" s="76"/>
      <c r="W103" s="76"/>
      <c r="X103" s="76"/>
      <c r="Y103" s="76"/>
      <c r="Z103" s="77">
        <f t="shared" si="2"/>
        <v>0</v>
      </c>
      <c r="AA103" s="78" t="s">
        <v>1461</v>
      </c>
      <c r="AB103" s="78" t="s">
        <v>1460</v>
      </c>
      <c r="AC103" s="72" t="s">
        <v>47</v>
      </c>
      <c r="AE103" s="79" t="str">
        <f t="shared" si="24"/>
        <v>Jan11243</v>
      </c>
      <c r="AF103" s="80" t="str">
        <f>IF(N103="","",IF(N103="SIM",VLOOKUP($I103&amp;$J103&amp;N$1,Pesos!$A:$I,7,FALSE),VLOOKUP($I103&amp;$J103&amp;N$1,Pesos!$A:$I,9,FALSE)))</f>
        <v/>
      </c>
      <c r="AG103" s="80" t="str">
        <f>IF(O103="","",IF(O103="SIM",VLOOKUP($I103&amp;$J103&amp;O$1,Pesos!$A:$I,7,FALSE),VLOOKUP($I103&amp;$J103&amp;O$1,Pesos!$A:$I,9,FALSE)))</f>
        <v/>
      </c>
      <c r="AH103" s="80" t="str">
        <f>IF(P103="","",IF(P103="SIM",VLOOKUP($I103&amp;$J103&amp;P$1,Pesos!$A:$I,7,FALSE),VLOOKUP($I103&amp;$J103&amp;P$1,Pesos!$A:$I,9,FALSE)))</f>
        <v/>
      </c>
      <c r="AI103" s="80" t="str">
        <f>IF(Q103="","",IF(Q103="SIM",VLOOKUP($I103&amp;$J103&amp;Q$1,Pesos!$A:$I,7,FALSE),VLOOKUP($I103&amp;$J103&amp;Q$1,Pesos!$A:$I,9,FALSE)))</f>
        <v/>
      </c>
      <c r="AJ103" s="80" t="str">
        <f>IF(R103="","",IF(R103="SIM",VLOOKUP($I103&amp;$J103&amp;R$1,Pesos!$A:$I,7,FALSE),VLOOKUP($I103&amp;$J103&amp;R$1,Pesos!$A:$I,9,FALSE)))</f>
        <v/>
      </c>
      <c r="AK103" s="80" t="str">
        <f>IF(S103="","",IF(S103="SIM",VLOOKUP($I103&amp;$J103&amp;S$1,Pesos!$A:$I,7,FALSE),VLOOKUP($I103&amp;$J103&amp;S$1,Pesos!$A:$I,9,FALSE)))</f>
        <v/>
      </c>
      <c r="AL103" s="80">
        <f t="shared" si="25"/>
        <v>0</v>
      </c>
      <c r="AM103" s="80" t="str">
        <f>IF(T103="","",IF(T103="SIM",VLOOKUP($I103&amp;$J103&amp;T$1,Pesos!$A:$I,7,FALSE),VLOOKUP($I103&amp;$J103&amp;T$1,Pesos!$A:$I,9,FALSE)))</f>
        <v/>
      </c>
      <c r="AN103" s="80" t="str">
        <f>IF(U103="","",IF(U103="SIM",VLOOKUP($I103&amp;$J103&amp;U$1,Pesos!$A:$I,7,FALSE),VLOOKUP($I103&amp;$J103&amp;U$1,Pesos!$A:$I,9,FALSE)))</f>
        <v/>
      </c>
      <c r="AO103" s="80" t="str">
        <f>IF(V103="","",IF(V103="SIM",VLOOKUP($I103&amp;$J103&amp;V$1,Pesos!$A:$I,7,FALSE),VLOOKUP($I103&amp;$J103&amp;V$1,Pesos!$A:$I,9,FALSE)))</f>
        <v/>
      </c>
      <c r="AP103" s="80" t="str">
        <f>IF(W103="","",IF(W103="SIM",VLOOKUP($I103&amp;$J103&amp;W$1,Pesos!$A:$I,7,FALSE),VLOOKUP($I103&amp;$J103&amp;W$1,Pesos!$A:$I,9,FALSE)))</f>
        <v/>
      </c>
      <c r="AQ103" s="80" t="str">
        <f>IF(X103="","",IF(X103="SIM",VLOOKUP($I103&amp;$J103&amp;X$1,Pesos!$A:$I,7,FALSE),VLOOKUP($I103&amp;$J103&amp;X$1,Pesos!$A:$I,9,FALSE)))</f>
        <v/>
      </c>
      <c r="AR103" s="80" t="str">
        <f>IF(Y103="","",IF(Y103="SIM",VLOOKUP($I103&amp;$J103&amp;Y$1,Pesos!$A:$I,7,FALSE),VLOOKUP($I103&amp;$J103&amp;Y$1,Pesos!$A:$I,9,FALSE)))</f>
        <v/>
      </c>
      <c r="AS103" s="81">
        <f>IFERROR(Z103*VLOOKUP(J103,'BD Campos'!$Y$1:$Z$12,2,FALSE),"0")</f>
        <v>0</v>
      </c>
    </row>
    <row r="104" spans="1:45" x14ac:dyDescent="0.35">
      <c r="A104" s="68" t="str">
        <f t="shared" si="17"/>
        <v>Jan202511123PoliciaTRANSFERÊNCIA</v>
      </c>
      <c r="B104" s="69" t="str">
        <f t="shared" si="21"/>
        <v>Jan2025111231TRANSFERÊNCIAPADRÃO</v>
      </c>
      <c r="C104" s="70">
        <v>1</v>
      </c>
      <c r="D104" s="71">
        <v>45673.577955787034</v>
      </c>
      <c r="E104" s="112" t="s">
        <v>74</v>
      </c>
      <c r="F104" s="72">
        <v>11123</v>
      </c>
      <c r="G104" s="69" t="s">
        <v>433</v>
      </c>
      <c r="H104" s="73">
        <v>1</v>
      </c>
      <c r="I104" s="69" t="s">
        <v>123</v>
      </c>
      <c r="J104" s="69" t="s">
        <v>146</v>
      </c>
      <c r="K104" s="69" t="s">
        <v>106</v>
      </c>
      <c r="L104" s="74">
        <v>1769868</v>
      </c>
      <c r="M104" s="75">
        <v>1.7476851851851852E-3</v>
      </c>
      <c r="N104" s="76" t="s">
        <v>79</v>
      </c>
      <c r="O104" s="76" t="s">
        <v>79</v>
      </c>
      <c r="P104" s="76" t="s">
        <v>79</v>
      </c>
      <c r="Q104" s="76" t="s">
        <v>79</v>
      </c>
      <c r="R104" s="76" t="s">
        <v>79</v>
      </c>
      <c r="S104" s="76" t="s">
        <v>79</v>
      </c>
      <c r="T104" s="76" t="s">
        <v>83</v>
      </c>
      <c r="U104" s="76" t="s">
        <v>79</v>
      </c>
      <c r="V104" s="76" t="s">
        <v>79</v>
      </c>
      <c r="W104" s="76" t="s">
        <v>79</v>
      </c>
      <c r="X104" s="76" t="s">
        <v>79</v>
      </c>
      <c r="Y104" s="76" t="s">
        <v>79</v>
      </c>
      <c r="Z104" s="77">
        <f t="shared" si="2"/>
        <v>9.16</v>
      </c>
      <c r="AA104" s="78"/>
      <c r="AB104" s="78" t="s">
        <v>1463</v>
      </c>
      <c r="AC104" s="72" t="s">
        <v>47</v>
      </c>
      <c r="AE104" s="79" t="str">
        <f t="shared" si="24"/>
        <v>Jan11123</v>
      </c>
      <c r="AF104" s="80">
        <f>IF(N104="","",IF(N104="SIM",VLOOKUP($I104&amp;$J104&amp;N$1,Pesos!$A:$I,7,FALSE),VLOOKUP($I104&amp;$J104&amp;N$1,Pesos!$A:$I,9,FALSE)))</f>
        <v>0.8</v>
      </c>
      <c r="AG104" s="80">
        <f>IF(O104="","",IF(O104="SIM",VLOOKUP($I104&amp;$J104&amp;O$1,Pesos!$A:$I,7,FALSE),VLOOKUP($I104&amp;$J104&amp;O$1,Pesos!$A:$I,9,FALSE)))</f>
        <v>0.8</v>
      </c>
      <c r="AH104" s="80">
        <f>IF(P104="","",IF(P104="SIM",VLOOKUP($I104&amp;$J104&amp;P$1,Pesos!$A:$I,7,FALSE),VLOOKUP($I104&amp;$J104&amp;P$1,Pesos!$A:$I,9,FALSE)))</f>
        <v>0.8</v>
      </c>
      <c r="AI104" s="80">
        <f>IF(Q104="","",IF(Q104="SIM",VLOOKUP($I104&amp;$J104&amp;Q$1,Pesos!$A:$I,7,FALSE),VLOOKUP($I104&amp;$J104&amp;Q$1,Pesos!$A:$I,9,FALSE)))</f>
        <v>0.8</v>
      </c>
      <c r="AJ104" s="80">
        <f>IF(R104="","",IF(R104="SIM",VLOOKUP($I104&amp;$J104&amp;R$1,Pesos!$A:$I,7,FALSE),VLOOKUP($I104&amp;$J104&amp;R$1,Pesos!$A:$I,9,FALSE)))</f>
        <v>0.8</v>
      </c>
      <c r="AK104" s="80">
        <f>IF(S104="","",IF(S104="SIM",VLOOKUP($I104&amp;$J104&amp;S$1,Pesos!$A:$I,7,FALSE),VLOOKUP($I104&amp;$J104&amp;S$1,Pesos!$A:$I,9,FALSE)))</f>
        <v>0.8</v>
      </c>
      <c r="AL104" s="80">
        <f t="shared" si="25"/>
        <v>4.8</v>
      </c>
      <c r="AM104" s="80">
        <f>IF(T104="","",IF(T104="SIM",VLOOKUP($I104&amp;$J104&amp;T$1,Pesos!$A:$I,7,FALSE),VLOOKUP($I104&amp;$J104&amp;T$1,Pesos!$A:$I,9,FALSE)))</f>
        <v>-4.0000000000000008E-2</v>
      </c>
      <c r="AN104" s="80">
        <f>IF(U104="","",IF(U104="SIM",VLOOKUP($I104&amp;$J104&amp;U$1,Pesos!$A:$I,7,FALSE),VLOOKUP($I104&amp;$J104&amp;U$1,Pesos!$A:$I,9,FALSE)))</f>
        <v>0.8</v>
      </c>
      <c r="AO104" s="80">
        <f>IF(V104="","",IF(V104="SIM",VLOOKUP($I104&amp;$J104&amp;V$1,Pesos!$A:$I,7,FALSE),VLOOKUP($I104&amp;$J104&amp;V$1,Pesos!$A:$I,9,FALSE)))</f>
        <v>0.8</v>
      </c>
      <c r="AP104" s="80">
        <f>IF(W104="","",IF(W104="SIM",VLOOKUP($I104&amp;$J104&amp;W$1,Pesos!$A:$I,7,FALSE),VLOOKUP($I104&amp;$J104&amp;W$1,Pesos!$A:$I,9,FALSE)))</f>
        <v>0.8</v>
      </c>
      <c r="AQ104" s="80">
        <f>IF(X104="","",IF(X104="SIM",VLOOKUP($I104&amp;$J104&amp;X$1,Pesos!$A:$I,7,FALSE),VLOOKUP($I104&amp;$J104&amp;X$1,Pesos!$A:$I,9,FALSE)))</f>
        <v>1</v>
      </c>
      <c r="AR104" s="80">
        <f>IF(Y104="","",IF(Y104="SIM",VLOOKUP($I104&amp;$J104&amp;Y$1,Pesos!$A:$I,7,FALSE),VLOOKUP($I104&amp;$J104&amp;Y$1,Pesos!$A:$I,9,FALSE)))</f>
        <v>1</v>
      </c>
      <c r="AS104" s="81">
        <f>IFERROR(Z104*VLOOKUP(J104,'BD Campos'!$Y$1:$Z$12,2,FALSE),"0")</f>
        <v>9.16</v>
      </c>
    </row>
    <row r="105" spans="1:45" x14ac:dyDescent="0.35">
      <c r="A105" s="68" t="str">
        <f t="shared" si="17"/>
        <v>Jan202511225MotoristaTRANSFERÊNCIA</v>
      </c>
      <c r="B105" s="69" t="str">
        <f t="shared" si="21"/>
        <v>Jan2025112251TRANSFERÊNCIAPADRÃO</v>
      </c>
      <c r="C105" s="70">
        <v>1</v>
      </c>
      <c r="D105" s="71">
        <v>45673.593378240737</v>
      </c>
      <c r="E105" s="112" t="s">
        <v>74</v>
      </c>
      <c r="F105" s="72">
        <v>11225</v>
      </c>
      <c r="G105" s="69" t="s">
        <v>1392</v>
      </c>
      <c r="H105" s="73">
        <v>1</v>
      </c>
      <c r="I105" s="69" t="s">
        <v>147</v>
      </c>
      <c r="J105" s="69" t="s">
        <v>122</v>
      </c>
      <c r="K105" s="69" t="s">
        <v>106</v>
      </c>
      <c r="L105" s="74">
        <v>30884917</v>
      </c>
      <c r="M105" s="75">
        <v>3.0787037037037037E-3</v>
      </c>
      <c r="N105" s="76" t="s">
        <v>79</v>
      </c>
      <c r="O105" s="76" t="s">
        <v>79</v>
      </c>
      <c r="P105" s="76" t="s">
        <v>79</v>
      </c>
      <c r="Q105" s="76" t="s">
        <v>79</v>
      </c>
      <c r="R105" s="76" t="s">
        <v>79</v>
      </c>
      <c r="S105" s="76" t="s">
        <v>79</v>
      </c>
      <c r="T105" s="76" t="s">
        <v>79</v>
      </c>
      <c r="U105" s="76" t="s">
        <v>79</v>
      </c>
      <c r="V105" s="76"/>
      <c r="W105" s="76"/>
      <c r="X105" s="76"/>
      <c r="Y105" s="76"/>
      <c r="Z105" s="77">
        <f t="shared" si="2"/>
        <v>10</v>
      </c>
      <c r="AA105" s="78"/>
      <c r="AB105" s="78" t="s">
        <v>1464</v>
      </c>
      <c r="AC105" s="72" t="s">
        <v>47</v>
      </c>
      <c r="AE105" s="79" t="str">
        <f t="shared" si="24"/>
        <v>Jan11225</v>
      </c>
      <c r="AF105" s="80">
        <f>IF(N105="","",IF(N105="SIM",VLOOKUP($I105&amp;$J105&amp;N$1,Pesos!$A:$I,7,FALSE),VLOOKUP($I105&amp;$J105&amp;N$1,Pesos!$A:$I,9,FALSE)))</f>
        <v>1.1000000000000001</v>
      </c>
      <c r="AG105" s="80">
        <f>IF(O105="","",IF(O105="SIM",VLOOKUP($I105&amp;$J105&amp;O$1,Pesos!$A:$I,7,FALSE),VLOOKUP($I105&amp;$J105&amp;O$1,Pesos!$A:$I,9,FALSE)))</f>
        <v>1.1000000000000001</v>
      </c>
      <c r="AH105" s="80">
        <f>IF(P105="","",IF(P105="SIM",VLOOKUP($I105&amp;$J105&amp;P$1,Pesos!$A:$I,7,FALSE),VLOOKUP($I105&amp;$J105&amp;P$1,Pesos!$A:$I,9,FALSE)))</f>
        <v>1.1000000000000001</v>
      </c>
      <c r="AI105" s="80">
        <f>IF(Q105="","",IF(Q105="SIM",VLOOKUP($I105&amp;$J105&amp;Q$1,Pesos!$A:$I,7,FALSE),VLOOKUP($I105&amp;$J105&amp;Q$1,Pesos!$A:$I,9,FALSE)))</f>
        <v>1.1000000000000001</v>
      </c>
      <c r="AJ105" s="80">
        <f>IF(R105="","",IF(R105="SIM",VLOOKUP($I105&amp;$J105&amp;R$1,Pesos!$A:$I,7,FALSE),VLOOKUP($I105&amp;$J105&amp;R$1,Pesos!$A:$I,9,FALSE)))</f>
        <v>1.1000000000000001</v>
      </c>
      <c r="AK105" s="80">
        <f>IF(S105="","",IF(S105="SIM",VLOOKUP($I105&amp;$J105&amp;S$1,Pesos!$A:$I,7,FALSE),VLOOKUP($I105&amp;$J105&amp;S$1,Pesos!$A:$I,9,FALSE)))</f>
        <v>1.6</v>
      </c>
      <c r="AL105" s="80">
        <f t="shared" si="25"/>
        <v>7.1</v>
      </c>
      <c r="AM105" s="80">
        <f>IF(T105="","",IF(T105="SIM",VLOOKUP($I105&amp;$J105&amp;T$1,Pesos!$A:$I,7,FALSE),VLOOKUP($I105&amp;$J105&amp;T$1,Pesos!$A:$I,9,FALSE)))</f>
        <v>1.2</v>
      </c>
      <c r="AN105" s="80">
        <f>IF(U105="","",IF(U105="SIM",VLOOKUP($I105&amp;$J105&amp;U$1,Pesos!$A:$I,7,FALSE),VLOOKUP($I105&amp;$J105&amp;U$1,Pesos!$A:$I,9,FALSE)))</f>
        <v>1.7000000000000002</v>
      </c>
      <c r="AO105" s="80" t="str">
        <f>IF(V105="","",IF(V105="SIM",VLOOKUP($I105&amp;$J105&amp;V$1,Pesos!$A:$I,7,FALSE),VLOOKUP($I105&amp;$J105&amp;V$1,Pesos!$A:$I,9,FALSE)))</f>
        <v/>
      </c>
      <c r="AP105" s="80" t="str">
        <f>IF(W105="","",IF(W105="SIM",VLOOKUP($I105&amp;$J105&amp;W$1,Pesos!$A:$I,7,FALSE),VLOOKUP($I105&amp;$J105&amp;W$1,Pesos!$A:$I,9,FALSE)))</f>
        <v/>
      </c>
      <c r="AQ105" s="80" t="str">
        <f>IF(X105="","",IF(X105="SIM",VLOOKUP($I105&amp;$J105&amp;X$1,Pesos!$A:$I,7,FALSE),VLOOKUP($I105&amp;$J105&amp;X$1,Pesos!$A:$I,9,FALSE)))</f>
        <v/>
      </c>
      <c r="AR105" s="80" t="str">
        <f>IF(Y105="","",IF(Y105="SIM",VLOOKUP($I105&amp;$J105&amp;Y$1,Pesos!$A:$I,7,FALSE),VLOOKUP($I105&amp;$J105&amp;Y$1,Pesos!$A:$I,9,FALSE)))</f>
        <v/>
      </c>
      <c r="AS105" s="81">
        <f>IFERROR(Z105*VLOOKUP(J105,'BD Campos'!$Y$1:$Z$12,2,FALSE),"0")</f>
        <v>10</v>
      </c>
    </row>
    <row r="106" spans="1:45" x14ac:dyDescent="0.35">
      <c r="A106" s="68" t="str">
        <f t="shared" si="17"/>
        <v>Jan202510976Ponto de ApoioTRANSFERÊNCIA</v>
      </c>
      <c r="B106" s="69" t="str">
        <f t="shared" si="21"/>
        <v>Jan2025109761TRANSFERÊNCIAPADRÃO</v>
      </c>
      <c r="C106" s="70">
        <v>1</v>
      </c>
      <c r="D106" s="71">
        <v>45673.598098726849</v>
      </c>
      <c r="E106" s="112" t="s">
        <v>74</v>
      </c>
      <c r="F106" s="72">
        <v>10976</v>
      </c>
      <c r="G106" s="69" t="s">
        <v>138</v>
      </c>
      <c r="H106" s="73">
        <v>1</v>
      </c>
      <c r="I106" s="69" t="s">
        <v>123</v>
      </c>
      <c r="J106" s="69" t="s">
        <v>125</v>
      </c>
      <c r="K106" s="69" t="s">
        <v>106</v>
      </c>
      <c r="L106" s="74">
        <v>30809097</v>
      </c>
      <c r="M106" s="75">
        <v>2.0949074074074073E-3</v>
      </c>
      <c r="N106" s="76" t="s">
        <v>79</v>
      </c>
      <c r="O106" s="76" t="s">
        <v>79</v>
      </c>
      <c r="P106" s="76" t="s">
        <v>79</v>
      </c>
      <c r="Q106" s="76" t="s">
        <v>79</v>
      </c>
      <c r="R106" s="76" t="s">
        <v>79</v>
      </c>
      <c r="S106" s="76" t="s">
        <v>83</v>
      </c>
      <c r="T106" s="76" t="s">
        <v>79</v>
      </c>
      <c r="U106" s="76" t="s">
        <v>79</v>
      </c>
      <c r="V106" s="76" t="s">
        <v>83</v>
      </c>
      <c r="W106" s="76" t="s">
        <v>83</v>
      </c>
      <c r="X106" s="76"/>
      <c r="Y106" s="76"/>
      <c r="Z106" s="77">
        <f t="shared" si="2"/>
        <v>6.8500000000000005</v>
      </c>
      <c r="AA106" s="78"/>
      <c r="AB106" s="78" t="s">
        <v>1465</v>
      </c>
      <c r="AC106" s="72" t="s">
        <v>47</v>
      </c>
      <c r="AE106" s="79" t="str">
        <f t="shared" si="24"/>
        <v>Jan10976</v>
      </c>
      <c r="AF106" s="80">
        <f>IF(N106="","",IF(N106="SIM",VLOOKUP($I106&amp;$J106&amp;N$1,Pesos!$A:$I,7,FALSE),VLOOKUP($I106&amp;$J106&amp;N$1,Pesos!$A:$I,9,FALSE)))</f>
        <v>1</v>
      </c>
      <c r="AG106" s="80">
        <f>IF(O106="","",IF(O106="SIM",VLOOKUP($I106&amp;$J106&amp;O$1,Pesos!$A:$I,7,FALSE),VLOOKUP($I106&amp;$J106&amp;O$1,Pesos!$A:$I,9,FALSE)))</f>
        <v>1</v>
      </c>
      <c r="AH106" s="80">
        <f>IF(P106="","",IF(P106="SIM",VLOOKUP($I106&amp;$J106&amp;P$1,Pesos!$A:$I,7,FALSE),VLOOKUP($I106&amp;$J106&amp;P$1,Pesos!$A:$I,9,FALSE)))</f>
        <v>1</v>
      </c>
      <c r="AI106" s="80">
        <f>IF(Q106="","",IF(Q106="SIM",VLOOKUP($I106&amp;$J106&amp;Q$1,Pesos!$A:$I,7,FALSE),VLOOKUP($I106&amp;$J106&amp;Q$1,Pesos!$A:$I,9,FALSE)))</f>
        <v>1</v>
      </c>
      <c r="AJ106" s="80">
        <f>IF(R106="","",IF(R106="SIM",VLOOKUP($I106&amp;$J106&amp;R$1,Pesos!$A:$I,7,FALSE),VLOOKUP($I106&amp;$J106&amp;R$1,Pesos!$A:$I,9,FALSE)))</f>
        <v>1</v>
      </c>
      <c r="AK106" s="80">
        <f>IF(S106="","",IF(S106="SIM",VLOOKUP($I106&amp;$J106&amp;S$1,Pesos!$A:$I,7,FALSE),VLOOKUP($I106&amp;$J106&amp;S$1,Pesos!$A:$I,9,FALSE)))</f>
        <v>-0.05</v>
      </c>
      <c r="AL106" s="80">
        <f t="shared" si="25"/>
        <v>4.95</v>
      </c>
      <c r="AM106" s="80">
        <f>IF(T106="","",IF(T106="SIM",VLOOKUP($I106&amp;$J106&amp;T$1,Pesos!$A:$I,7,FALSE),VLOOKUP($I106&amp;$J106&amp;T$1,Pesos!$A:$I,9,FALSE)))</f>
        <v>1</v>
      </c>
      <c r="AN106" s="80">
        <f>IF(U106="","",IF(U106="SIM",VLOOKUP($I106&amp;$J106&amp;U$1,Pesos!$A:$I,7,FALSE),VLOOKUP($I106&amp;$J106&amp;U$1,Pesos!$A:$I,9,FALSE)))</f>
        <v>1</v>
      </c>
      <c r="AO106" s="80">
        <f>IF(V106="","",IF(V106="SIM",VLOOKUP($I106&amp;$J106&amp;V$1,Pesos!$A:$I,7,FALSE),VLOOKUP($I106&amp;$J106&amp;V$1,Pesos!$A:$I,9,FALSE)))</f>
        <v>-0.05</v>
      </c>
      <c r="AP106" s="80">
        <f>IF(W106="","",IF(W106="SIM",VLOOKUP($I106&amp;$J106&amp;W$1,Pesos!$A:$I,7,FALSE),VLOOKUP($I106&amp;$J106&amp;W$1,Pesos!$A:$I,9,FALSE)))</f>
        <v>-0.05</v>
      </c>
      <c r="AQ106" s="80" t="str">
        <f>IF(X106="","",IF(X106="SIM",VLOOKUP($I106&amp;$J106&amp;X$1,Pesos!$A:$I,7,FALSE),VLOOKUP($I106&amp;$J106&amp;X$1,Pesos!$A:$I,9,FALSE)))</f>
        <v/>
      </c>
      <c r="AR106" s="80" t="str">
        <f>IF(Y106="","",IF(Y106="SIM",VLOOKUP($I106&amp;$J106&amp;Y$1,Pesos!$A:$I,7,FALSE),VLOOKUP($I106&amp;$J106&amp;Y$1,Pesos!$A:$I,9,FALSE)))</f>
        <v/>
      </c>
      <c r="AS106" s="81">
        <f>IFERROR(Z106*VLOOKUP(J106,'BD Campos'!$Y$1:$Z$12,2,FALSE),"0")</f>
        <v>6.8500000000000005</v>
      </c>
    </row>
    <row r="107" spans="1:45" x14ac:dyDescent="0.35">
      <c r="A107" s="68" t="str">
        <f t="shared" si="17"/>
        <v>Jan202510862MotoristaTRANSFERÊNCIA</v>
      </c>
      <c r="B107" s="69" t="str">
        <f t="shared" si="21"/>
        <v>Jan2025108621TRANSFERÊNCIAPADRÃO</v>
      </c>
      <c r="C107" s="70">
        <v>1</v>
      </c>
      <c r="D107" s="71">
        <v>45674.349393750002</v>
      </c>
      <c r="E107" s="112" t="s">
        <v>74</v>
      </c>
      <c r="F107" s="72">
        <v>10862</v>
      </c>
      <c r="G107" s="69" t="s">
        <v>132</v>
      </c>
      <c r="H107" s="73">
        <v>1</v>
      </c>
      <c r="I107" s="69" t="s">
        <v>121</v>
      </c>
      <c r="J107" s="69" t="s">
        <v>122</v>
      </c>
      <c r="K107" s="69" t="s">
        <v>106</v>
      </c>
      <c r="L107" s="74">
        <v>30774560</v>
      </c>
      <c r="M107" s="75">
        <v>3.7037037037037034E-3</v>
      </c>
      <c r="N107" s="76" t="s">
        <v>79</v>
      </c>
      <c r="O107" s="76" t="s">
        <v>79</v>
      </c>
      <c r="P107" s="76" t="s">
        <v>79</v>
      </c>
      <c r="Q107" s="76" t="s">
        <v>79</v>
      </c>
      <c r="R107" s="76" t="s">
        <v>79</v>
      </c>
      <c r="S107" s="76" t="s">
        <v>79</v>
      </c>
      <c r="T107" s="76" t="s">
        <v>79</v>
      </c>
      <c r="U107" s="76" t="s">
        <v>79</v>
      </c>
      <c r="V107" s="76" t="s">
        <v>79</v>
      </c>
      <c r="W107" s="76" t="s">
        <v>83</v>
      </c>
      <c r="X107" s="76" t="s">
        <v>79</v>
      </c>
      <c r="Y107" s="76"/>
      <c r="Z107" s="77">
        <f t="shared" si="2"/>
        <v>9.0549999999999997</v>
      </c>
      <c r="AA107" s="78" t="s">
        <v>1467</v>
      </c>
      <c r="AB107" s="78" t="s">
        <v>1466</v>
      </c>
      <c r="AC107" s="72" t="s">
        <v>47</v>
      </c>
      <c r="AE107" s="79" t="str">
        <f t="shared" si="24"/>
        <v>Jan10862</v>
      </c>
      <c r="AF107" s="80">
        <f>IF(N107="","",IF(N107="SIM",VLOOKUP($I107&amp;$J107&amp;N$1,Pesos!$A:$I,7,FALSE),VLOOKUP($I107&amp;$J107&amp;N$1,Pesos!$A:$I,9,FALSE)))</f>
        <v>0.89999999999999991</v>
      </c>
      <c r="AG107" s="80">
        <f>IF(O107="","",IF(O107="SIM",VLOOKUP($I107&amp;$J107&amp;O$1,Pesos!$A:$I,7,FALSE),VLOOKUP($I107&amp;$J107&amp;O$1,Pesos!$A:$I,9,FALSE)))</f>
        <v>0.89999999999999991</v>
      </c>
      <c r="AH107" s="80">
        <f>IF(P107="","",IF(P107="SIM",VLOOKUP($I107&amp;$J107&amp;P$1,Pesos!$A:$I,7,FALSE),VLOOKUP($I107&amp;$J107&amp;P$1,Pesos!$A:$I,9,FALSE)))</f>
        <v>0.89999999999999991</v>
      </c>
      <c r="AI107" s="80">
        <f>IF(Q107="","",IF(Q107="SIM",VLOOKUP($I107&amp;$J107&amp;Q$1,Pesos!$A:$I,7,FALSE),VLOOKUP($I107&amp;$J107&amp;Q$1,Pesos!$A:$I,9,FALSE)))</f>
        <v>0.89999999999999991</v>
      </c>
      <c r="AJ107" s="80">
        <f>IF(R107="","",IF(R107="SIM",VLOOKUP($I107&amp;$J107&amp;R$1,Pesos!$A:$I,7,FALSE),VLOOKUP($I107&amp;$J107&amp;R$1,Pesos!$A:$I,9,FALSE)))</f>
        <v>0.89999999999999991</v>
      </c>
      <c r="AK107" s="80">
        <f>IF(S107="","",IF(S107="SIM",VLOOKUP($I107&amp;$J107&amp;S$1,Pesos!$A:$I,7,FALSE),VLOOKUP($I107&amp;$J107&amp;S$1,Pesos!$A:$I,9,FALSE)))</f>
        <v>0.89999999999999991</v>
      </c>
      <c r="AL107" s="80">
        <f t="shared" si="25"/>
        <v>5.4</v>
      </c>
      <c r="AM107" s="80">
        <f>IF(T107="","",IF(T107="SIM",VLOOKUP($I107&amp;$J107&amp;T$1,Pesos!$A:$I,7,FALSE),VLOOKUP($I107&amp;$J107&amp;T$1,Pesos!$A:$I,9,FALSE)))</f>
        <v>0.89999999999999991</v>
      </c>
      <c r="AN107" s="80">
        <f>IF(U107="","",IF(U107="SIM",VLOOKUP($I107&amp;$J107&amp;U$1,Pesos!$A:$I,7,FALSE),VLOOKUP($I107&amp;$J107&amp;U$1,Pesos!$A:$I,9,FALSE)))</f>
        <v>0.92500000000000004</v>
      </c>
      <c r="AO107" s="80">
        <f>IF(V107="","",IF(V107="SIM",VLOOKUP($I107&amp;$J107&amp;V$1,Pesos!$A:$I,7,FALSE),VLOOKUP($I107&amp;$J107&amp;V$1,Pesos!$A:$I,9,FALSE)))</f>
        <v>0.92500000000000004</v>
      </c>
      <c r="AP107" s="80">
        <f>IF(W107="","",IF(W107="SIM",VLOOKUP($I107&amp;$J107&amp;W$1,Pesos!$A:$I,7,FALSE),VLOOKUP($I107&amp;$J107&amp;W$1,Pesos!$A:$I,9,FALSE)))</f>
        <v>-4.4999999999999998E-2</v>
      </c>
      <c r="AQ107" s="80">
        <f>IF(X107="","",IF(X107="SIM",VLOOKUP($I107&amp;$J107&amp;X$1,Pesos!$A:$I,7,FALSE),VLOOKUP($I107&amp;$J107&amp;X$1,Pesos!$A:$I,9,FALSE)))</f>
        <v>0.95</v>
      </c>
      <c r="AR107" s="80" t="str">
        <f>IF(Y107="","",IF(Y107="SIM",VLOOKUP($I107&amp;$J107&amp;Y$1,Pesos!$A:$I,7,FALSE),VLOOKUP($I107&amp;$J107&amp;Y$1,Pesos!$A:$I,9,FALSE)))</f>
        <v/>
      </c>
      <c r="AS107" s="81">
        <f>IFERROR(Z107*VLOOKUP(J107,'BD Campos'!$Y$1:$Z$12,2,FALSE),"0")</f>
        <v>9.0549999999999997</v>
      </c>
    </row>
    <row r="108" spans="1:45" x14ac:dyDescent="0.35">
      <c r="A108" s="68" t="str">
        <f t="shared" si="17"/>
        <v>Jan202511235MotoristaTRANSFERÊNCIA</v>
      </c>
      <c r="B108" s="69" t="str">
        <f t="shared" si="21"/>
        <v>Jan2025112351TRANSFERÊNCIAPADRÃO</v>
      </c>
      <c r="C108" s="70">
        <v>1</v>
      </c>
      <c r="D108" s="71">
        <v>45674.352428472223</v>
      </c>
      <c r="E108" s="112" t="s">
        <v>74</v>
      </c>
      <c r="F108" s="72">
        <v>11235</v>
      </c>
      <c r="G108" s="69" t="s">
        <v>1440</v>
      </c>
      <c r="H108" s="73">
        <v>1</v>
      </c>
      <c r="I108" s="69" t="s">
        <v>147</v>
      </c>
      <c r="J108" s="69" t="s">
        <v>122</v>
      </c>
      <c r="K108" s="69" t="s">
        <v>106</v>
      </c>
      <c r="L108" s="74">
        <v>30776810</v>
      </c>
      <c r="M108" s="75">
        <v>2.0949074074074073E-3</v>
      </c>
      <c r="N108" s="76"/>
      <c r="O108" s="76"/>
      <c r="P108" s="76"/>
      <c r="Q108" s="76"/>
      <c r="R108" s="76"/>
      <c r="S108" s="76"/>
      <c r="T108" s="76"/>
      <c r="U108" s="76"/>
      <c r="V108" s="76"/>
      <c r="W108" s="76"/>
      <c r="X108" s="76"/>
      <c r="Y108" s="76"/>
      <c r="Z108" s="77">
        <f t="shared" si="2"/>
        <v>0</v>
      </c>
      <c r="AA108" s="78" t="s">
        <v>1468</v>
      </c>
      <c r="AB108" s="78" t="s">
        <v>1469</v>
      </c>
      <c r="AC108" s="72" t="s">
        <v>47</v>
      </c>
      <c r="AE108" s="79" t="str">
        <f t="shared" si="24"/>
        <v>Jan11235</v>
      </c>
      <c r="AF108" s="80" t="str">
        <f>IF(N108="","",IF(N108="SIM",VLOOKUP($I108&amp;$J108&amp;N$1,Pesos!$A:$I,7,FALSE),VLOOKUP($I108&amp;$J108&amp;N$1,Pesos!$A:$I,9,FALSE)))</f>
        <v/>
      </c>
      <c r="AG108" s="80" t="str">
        <f>IF(O108="","",IF(O108="SIM",VLOOKUP($I108&amp;$J108&amp;O$1,Pesos!$A:$I,7,FALSE),VLOOKUP($I108&amp;$J108&amp;O$1,Pesos!$A:$I,9,FALSE)))</f>
        <v/>
      </c>
      <c r="AH108" s="80" t="str">
        <f>IF(P108="","",IF(P108="SIM",VLOOKUP($I108&amp;$J108&amp;P$1,Pesos!$A:$I,7,FALSE),VLOOKUP($I108&amp;$J108&amp;P$1,Pesos!$A:$I,9,FALSE)))</f>
        <v/>
      </c>
      <c r="AI108" s="80" t="str">
        <f>IF(Q108="","",IF(Q108="SIM",VLOOKUP($I108&amp;$J108&amp;Q$1,Pesos!$A:$I,7,FALSE),VLOOKUP($I108&amp;$J108&amp;Q$1,Pesos!$A:$I,9,FALSE)))</f>
        <v/>
      </c>
      <c r="AJ108" s="80" t="str">
        <f>IF(R108="","",IF(R108="SIM",VLOOKUP($I108&amp;$J108&amp;R$1,Pesos!$A:$I,7,FALSE),VLOOKUP($I108&amp;$J108&amp;R$1,Pesos!$A:$I,9,FALSE)))</f>
        <v/>
      </c>
      <c r="AK108" s="80" t="str">
        <f>IF(S108="","",IF(S108="SIM",VLOOKUP($I108&amp;$J108&amp;S$1,Pesos!$A:$I,7,FALSE),VLOOKUP($I108&amp;$J108&amp;S$1,Pesos!$A:$I,9,FALSE)))</f>
        <v/>
      </c>
      <c r="AL108" s="80">
        <f t="shared" si="25"/>
        <v>0</v>
      </c>
      <c r="AM108" s="80" t="str">
        <f>IF(T108="","",IF(T108="SIM",VLOOKUP($I108&amp;$J108&amp;T$1,Pesos!$A:$I,7,FALSE),VLOOKUP($I108&amp;$J108&amp;T$1,Pesos!$A:$I,9,FALSE)))</f>
        <v/>
      </c>
      <c r="AN108" s="80" t="str">
        <f>IF(U108="","",IF(U108="SIM",VLOOKUP($I108&amp;$J108&amp;U$1,Pesos!$A:$I,7,FALSE),VLOOKUP($I108&amp;$J108&amp;U$1,Pesos!$A:$I,9,FALSE)))</f>
        <v/>
      </c>
      <c r="AO108" s="80" t="str">
        <f>IF(V108="","",IF(V108="SIM",VLOOKUP($I108&amp;$J108&amp;V$1,Pesos!$A:$I,7,FALSE),VLOOKUP($I108&amp;$J108&amp;V$1,Pesos!$A:$I,9,FALSE)))</f>
        <v/>
      </c>
      <c r="AP108" s="80" t="str">
        <f>IF(W108="","",IF(W108="SIM",VLOOKUP($I108&amp;$J108&amp;W$1,Pesos!$A:$I,7,FALSE),VLOOKUP($I108&amp;$J108&amp;W$1,Pesos!$A:$I,9,FALSE)))</f>
        <v/>
      </c>
      <c r="AQ108" s="80" t="str">
        <f>IF(X108="","",IF(X108="SIM",VLOOKUP($I108&amp;$J108&amp;X$1,Pesos!$A:$I,7,FALSE),VLOOKUP($I108&amp;$J108&amp;X$1,Pesos!$A:$I,9,FALSE)))</f>
        <v/>
      </c>
      <c r="AR108" s="80" t="str">
        <f>IF(Y108="","",IF(Y108="SIM",VLOOKUP($I108&amp;$J108&amp;Y$1,Pesos!$A:$I,7,FALSE),VLOOKUP($I108&amp;$J108&amp;Y$1,Pesos!$A:$I,9,FALSE)))</f>
        <v/>
      </c>
      <c r="AS108" s="81">
        <f>IFERROR(Z108*VLOOKUP(J108,'BD Campos'!$Y$1:$Z$12,2,FALSE),"0")</f>
        <v>0</v>
      </c>
    </row>
    <row r="109" spans="1:45" x14ac:dyDescent="0.35">
      <c r="A109" s="68" t="str">
        <f t="shared" si="17"/>
        <v>Jan202511090ClienteTRANSFERÊNCIA</v>
      </c>
      <c r="B109" s="69" t="str">
        <f t="shared" si="21"/>
        <v>Jan2025110901TRANSFERÊNCIAPADRÃO</v>
      </c>
      <c r="C109" s="70">
        <v>1</v>
      </c>
      <c r="D109" s="71">
        <v>45674.358544328701</v>
      </c>
      <c r="E109" s="112" t="s">
        <v>74</v>
      </c>
      <c r="F109" s="72">
        <v>11090</v>
      </c>
      <c r="G109" s="69" t="s">
        <v>419</v>
      </c>
      <c r="H109" s="73">
        <v>1</v>
      </c>
      <c r="I109" s="69" t="s">
        <v>123</v>
      </c>
      <c r="J109" s="69" t="s">
        <v>124</v>
      </c>
      <c r="K109" s="69" t="s">
        <v>106</v>
      </c>
      <c r="L109" s="74">
        <v>1780247</v>
      </c>
      <c r="M109" s="75">
        <v>3.9004629629629632E-3</v>
      </c>
      <c r="N109" s="76" t="s">
        <v>79</v>
      </c>
      <c r="O109" s="76" t="s">
        <v>79</v>
      </c>
      <c r="P109" s="76" t="s">
        <v>79</v>
      </c>
      <c r="Q109" s="76" t="s">
        <v>79</v>
      </c>
      <c r="R109" s="76" t="s">
        <v>79</v>
      </c>
      <c r="S109" s="76" t="s">
        <v>83</v>
      </c>
      <c r="T109" s="76" t="s">
        <v>79</v>
      </c>
      <c r="U109" s="76" t="s">
        <v>79</v>
      </c>
      <c r="V109" s="76" t="s">
        <v>83</v>
      </c>
      <c r="W109" s="76" t="s">
        <v>83</v>
      </c>
      <c r="X109" s="76" t="s">
        <v>83</v>
      </c>
      <c r="Y109" s="76"/>
      <c r="Z109" s="77">
        <f t="shared" si="2"/>
        <v>6.1675000000000004</v>
      </c>
      <c r="AA109" s="78" t="s">
        <v>1471</v>
      </c>
      <c r="AB109" s="78" t="s">
        <v>1470</v>
      </c>
      <c r="AC109" s="72" t="s">
        <v>47</v>
      </c>
      <c r="AE109" s="79" t="str">
        <f t="shared" si="24"/>
        <v>Jan11090</v>
      </c>
      <c r="AF109" s="80">
        <f>IF(N109="","",IF(N109="SIM",VLOOKUP($I109&amp;$J109&amp;N$1,Pesos!$A:$I,7,FALSE),VLOOKUP($I109&amp;$J109&amp;N$1,Pesos!$A:$I,9,FALSE)))</f>
        <v>0.89999999999999991</v>
      </c>
      <c r="AG109" s="80">
        <f>IF(O109="","",IF(O109="SIM",VLOOKUP($I109&amp;$J109&amp;O$1,Pesos!$A:$I,7,FALSE),VLOOKUP($I109&amp;$J109&amp;O$1,Pesos!$A:$I,9,FALSE)))</f>
        <v>0.89999999999999991</v>
      </c>
      <c r="AH109" s="80">
        <f>IF(P109="","",IF(P109="SIM",VLOOKUP($I109&amp;$J109&amp;P$1,Pesos!$A:$I,7,FALSE),VLOOKUP($I109&amp;$J109&amp;P$1,Pesos!$A:$I,9,FALSE)))</f>
        <v>0.89999999999999991</v>
      </c>
      <c r="AI109" s="80">
        <f>IF(Q109="","",IF(Q109="SIM",VLOOKUP($I109&amp;$J109&amp;Q$1,Pesos!$A:$I,7,FALSE),VLOOKUP($I109&amp;$J109&amp;Q$1,Pesos!$A:$I,9,FALSE)))</f>
        <v>0.89999999999999991</v>
      </c>
      <c r="AJ109" s="80">
        <f>IF(R109="","",IF(R109="SIM",VLOOKUP($I109&amp;$J109&amp;R$1,Pesos!$A:$I,7,FALSE),VLOOKUP($I109&amp;$J109&amp;R$1,Pesos!$A:$I,9,FALSE)))</f>
        <v>0.89999999999999991</v>
      </c>
      <c r="AK109" s="80">
        <f>IF(S109="","",IF(S109="SIM",VLOOKUP($I109&amp;$J109&amp;S$1,Pesos!$A:$I,7,FALSE),VLOOKUP($I109&amp;$J109&amp;S$1,Pesos!$A:$I,9,FALSE)))</f>
        <v>-4.4999999999999998E-2</v>
      </c>
      <c r="AL109" s="80">
        <f t="shared" si="25"/>
        <v>4.4550000000000001</v>
      </c>
      <c r="AM109" s="80">
        <f>IF(T109="","",IF(T109="SIM",VLOOKUP($I109&amp;$J109&amp;T$1,Pesos!$A:$I,7,FALSE),VLOOKUP($I109&amp;$J109&amp;T$1,Pesos!$A:$I,9,FALSE)))</f>
        <v>0.89999999999999991</v>
      </c>
      <c r="AN109" s="80">
        <f>IF(U109="","",IF(U109="SIM",VLOOKUP($I109&amp;$J109&amp;U$1,Pesos!$A:$I,7,FALSE),VLOOKUP($I109&amp;$J109&amp;U$1,Pesos!$A:$I,9,FALSE)))</f>
        <v>0.95</v>
      </c>
      <c r="AO109" s="80">
        <f>IF(V109="","",IF(V109="SIM",VLOOKUP($I109&amp;$J109&amp;V$1,Pesos!$A:$I,7,FALSE),VLOOKUP($I109&amp;$J109&amp;V$1,Pesos!$A:$I,9,FALSE)))</f>
        <v>-4.7500000000000001E-2</v>
      </c>
      <c r="AP109" s="80">
        <f>IF(W109="","",IF(W109="SIM",VLOOKUP($I109&amp;$J109&amp;W$1,Pesos!$A:$I,7,FALSE),VLOOKUP($I109&amp;$J109&amp;W$1,Pesos!$A:$I,9,FALSE)))</f>
        <v>-4.4999999999999998E-2</v>
      </c>
      <c r="AQ109" s="80">
        <f>IF(X109="","",IF(X109="SIM",VLOOKUP($I109&amp;$J109&amp;X$1,Pesos!$A:$I,7,FALSE),VLOOKUP($I109&amp;$J109&amp;X$1,Pesos!$A:$I,9,FALSE)))</f>
        <v>-4.4999999999999998E-2</v>
      </c>
      <c r="AR109" s="80" t="str">
        <f>IF(Y109="","",IF(Y109="SIM",VLOOKUP($I109&amp;$J109&amp;Y$1,Pesos!$A:$I,7,FALSE),VLOOKUP($I109&amp;$J109&amp;Y$1,Pesos!$A:$I,9,FALSE)))</f>
        <v/>
      </c>
      <c r="AS109" s="81">
        <f>IFERROR(Z109*VLOOKUP(J109,'BD Campos'!$Y$1:$Z$12,2,FALSE),"0")</f>
        <v>6.1675000000000004</v>
      </c>
    </row>
    <row r="110" spans="1:45" x14ac:dyDescent="0.35">
      <c r="A110" s="68" t="str">
        <f t="shared" si="17"/>
        <v>Jan202511093MotoristaTRANSFERÊNCIA</v>
      </c>
      <c r="B110" s="69" t="str">
        <f t="shared" si="21"/>
        <v>Jan2025110931TRANSFERÊNCIAPADRÃO</v>
      </c>
      <c r="C110" s="70">
        <v>1</v>
      </c>
      <c r="D110" s="71">
        <v>45674.362747685183</v>
      </c>
      <c r="E110" s="112" t="s">
        <v>74</v>
      </c>
      <c r="F110" s="72">
        <v>11093</v>
      </c>
      <c r="G110" s="69" t="s">
        <v>420</v>
      </c>
      <c r="H110" s="73">
        <v>1</v>
      </c>
      <c r="I110" s="69" t="s">
        <v>147</v>
      </c>
      <c r="J110" s="69" t="s">
        <v>122</v>
      </c>
      <c r="K110" s="69" t="s">
        <v>106</v>
      </c>
      <c r="L110" s="74">
        <v>30855432</v>
      </c>
      <c r="M110" s="75">
        <v>1.9907407407407408E-3</v>
      </c>
      <c r="N110" s="76" t="s">
        <v>79</v>
      </c>
      <c r="O110" s="76" t="s">
        <v>79</v>
      </c>
      <c r="P110" s="76" t="s">
        <v>79</v>
      </c>
      <c r="Q110" s="76" t="s">
        <v>79</v>
      </c>
      <c r="R110" s="76" t="s">
        <v>79</v>
      </c>
      <c r="S110" s="76" t="s">
        <v>79</v>
      </c>
      <c r="T110" s="76" t="s">
        <v>79</v>
      </c>
      <c r="U110" s="76" t="s">
        <v>79</v>
      </c>
      <c r="V110" s="76"/>
      <c r="W110" s="76"/>
      <c r="X110" s="76"/>
      <c r="Y110" s="76"/>
      <c r="Z110" s="77">
        <f t="shared" si="2"/>
        <v>10</v>
      </c>
      <c r="AA110" s="78"/>
      <c r="AB110" s="78" t="s">
        <v>1472</v>
      </c>
      <c r="AC110" s="72" t="s">
        <v>47</v>
      </c>
      <c r="AE110" s="79" t="str">
        <f t="shared" si="24"/>
        <v>Jan11093</v>
      </c>
      <c r="AF110" s="80">
        <f>IF(N110="","",IF(N110="SIM",VLOOKUP($I110&amp;$J110&amp;N$1,Pesos!$A:$I,7,FALSE),VLOOKUP($I110&amp;$J110&amp;N$1,Pesos!$A:$I,9,FALSE)))</f>
        <v>1.1000000000000001</v>
      </c>
      <c r="AG110" s="80">
        <f>IF(O110="","",IF(O110="SIM",VLOOKUP($I110&amp;$J110&amp;O$1,Pesos!$A:$I,7,FALSE),VLOOKUP($I110&amp;$J110&amp;O$1,Pesos!$A:$I,9,FALSE)))</f>
        <v>1.1000000000000001</v>
      </c>
      <c r="AH110" s="80">
        <f>IF(P110="","",IF(P110="SIM",VLOOKUP($I110&amp;$J110&amp;P$1,Pesos!$A:$I,7,FALSE),VLOOKUP($I110&amp;$J110&amp;P$1,Pesos!$A:$I,9,FALSE)))</f>
        <v>1.1000000000000001</v>
      </c>
      <c r="AI110" s="80">
        <f>IF(Q110="","",IF(Q110="SIM",VLOOKUP($I110&amp;$J110&amp;Q$1,Pesos!$A:$I,7,FALSE),VLOOKUP($I110&amp;$J110&amp;Q$1,Pesos!$A:$I,9,FALSE)))</f>
        <v>1.1000000000000001</v>
      </c>
      <c r="AJ110" s="80">
        <f>IF(R110="","",IF(R110="SIM",VLOOKUP($I110&amp;$J110&amp;R$1,Pesos!$A:$I,7,FALSE),VLOOKUP($I110&amp;$J110&amp;R$1,Pesos!$A:$I,9,FALSE)))</f>
        <v>1.1000000000000001</v>
      </c>
      <c r="AK110" s="80">
        <f>IF(S110="","",IF(S110="SIM",VLOOKUP($I110&amp;$J110&amp;S$1,Pesos!$A:$I,7,FALSE),VLOOKUP($I110&amp;$J110&amp;S$1,Pesos!$A:$I,9,FALSE)))</f>
        <v>1.6</v>
      </c>
      <c r="AL110" s="80">
        <f t="shared" si="25"/>
        <v>7.1</v>
      </c>
      <c r="AM110" s="80">
        <f>IF(T110="","",IF(T110="SIM",VLOOKUP($I110&amp;$J110&amp;T$1,Pesos!$A:$I,7,FALSE),VLOOKUP($I110&amp;$J110&amp;T$1,Pesos!$A:$I,9,FALSE)))</f>
        <v>1.2</v>
      </c>
      <c r="AN110" s="80">
        <f>IF(U110="","",IF(U110="SIM",VLOOKUP($I110&amp;$J110&amp;U$1,Pesos!$A:$I,7,FALSE),VLOOKUP($I110&amp;$J110&amp;U$1,Pesos!$A:$I,9,FALSE)))</f>
        <v>1.7000000000000002</v>
      </c>
      <c r="AO110" s="80" t="str">
        <f>IF(V110="","",IF(V110="SIM",VLOOKUP($I110&amp;$J110&amp;V$1,Pesos!$A:$I,7,FALSE),VLOOKUP($I110&amp;$J110&amp;V$1,Pesos!$A:$I,9,FALSE)))</f>
        <v/>
      </c>
      <c r="AP110" s="80" t="str">
        <f>IF(W110="","",IF(W110="SIM",VLOOKUP($I110&amp;$J110&amp;W$1,Pesos!$A:$I,7,FALSE),VLOOKUP($I110&amp;$J110&amp;W$1,Pesos!$A:$I,9,FALSE)))</f>
        <v/>
      </c>
      <c r="AQ110" s="80" t="str">
        <f>IF(X110="","",IF(X110="SIM",VLOOKUP($I110&amp;$J110&amp;X$1,Pesos!$A:$I,7,FALSE),VLOOKUP($I110&amp;$J110&amp;X$1,Pesos!$A:$I,9,FALSE)))</f>
        <v/>
      </c>
      <c r="AR110" s="80" t="str">
        <f>IF(Y110="","",IF(Y110="SIM",VLOOKUP($I110&amp;$J110&amp;Y$1,Pesos!$A:$I,7,FALSE),VLOOKUP($I110&amp;$J110&amp;Y$1,Pesos!$A:$I,9,FALSE)))</f>
        <v/>
      </c>
      <c r="AS110" s="81">
        <f>IFERROR(Z110*VLOOKUP(J110,'BD Campos'!$Y$1:$Z$12,2,FALSE),"0")</f>
        <v>10</v>
      </c>
    </row>
    <row r="111" spans="1:45" x14ac:dyDescent="0.35">
      <c r="A111" s="68" t="str">
        <f t="shared" si="17"/>
        <v>Jan202511242MotoristaTRANSFERÊNCIA</v>
      </c>
      <c r="B111" s="69" t="str">
        <f t="shared" si="21"/>
        <v>Jan2025112421TRANSFERÊNCIAPADRÃO</v>
      </c>
      <c r="C111" s="70">
        <v>1</v>
      </c>
      <c r="D111" s="71">
        <v>45674.370551851855</v>
      </c>
      <c r="E111" s="112" t="s">
        <v>74</v>
      </c>
      <c r="F111" s="72">
        <v>11242</v>
      </c>
      <c r="G111" s="69" t="s">
        <v>1473</v>
      </c>
      <c r="H111" s="73">
        <v>1</v>
      </c>
      <c r="I111" s="69" t="s">
        <v>121</v>
      </c>
      <c r="J111" s="69" t="s">
        <v>122</v>
      </c>
      <c r="K111" s="69" t="s">
        <v>106</v>
      </c>
      <c r="L111" s="74">
        <v>30858746</v>
      </c>
      <c r="M111" s="75">
        <v>1.8055555555555557E-3</v>
      </c>
      <c r="N111" s="76"/>
      <c r="O111" s="76"/>
      <c r="P111" s="76"/>
      <c r="Q111" s="76"/>
      <c r="R111" s="76"/>
      <c r="S111" s="76"/>
      <c r="T111" s="76"/>
      <c r="U111" s="76"/>
      <c r="V111" s="76"/>
      <c r="W111" s="76"/>
      <c r="X111" s="76"/>
      <c r="Y111" s="76"/>
      <c r="Z111" s="77">
        <f t="shared" si="2"/>
        <v>0</v>
      </c>
      <c r="AA111" s="78" t="s">
        <v>1475</v>
      </c>
      <c r="AB111" s="78" t="s">
        <v>1474</v>
      </c>
      <c r="AC111" s="72" t="s">
        <v>47</v>
      </c>
      <c r="AE111" s="79" t="str">
        <f t="shared" si="24"/>
        <v>Jan11242</v>
      </c>
      <c r="AF111" s="80" t="str">
        <f>IF(N111="","",IF(N111="SIM",VLOOKUP($I111&amp;$J111&amp;N$1,Pesos!$A:$I,7,FALSE),VLOOKUP($I111&amp;$J111&amp;N$1,Pesos!$A:$I,9,FALSE)))</f>
        <v/>
      </c>
      <c r="AG111" s="80" t="str">
        <f>IF(O111="","",IF(O111="SIM",VLOOKUP($I111&amp;$J111&amp;O$1,Pesos!$A:$I,7,FALSE),VLOOKUP($I111&amp;$J111&amp;O$1,Pesos!$A:$I,9,FALSE)))</f>
        <v/>
      </c>
      <c r="AH111" s="80" t="str">
        <f>IF(P111="","",IF(P111="SIM",VLOOKUP($I111&amp;$J111&amp;P$1,Pesos!$A:$I,7,FALSE),VLOOKUP($I111&amp;$J111&amp;P$1,Pesos!$A:$I,9,FALSE)))</f>
        <v/>
      </c>
      <c r="AI111" s="80" t="str">
        <f>IF(Q111="","",IF(Q111="SIM",VLOOKUP($I111&amp;$J111&amp;Q$1,Pesos!$A:$I,7,FALSE),VLOOKUP($I111&amp;$J111&amp;Q$1,Pesos!$A:$I,9,FALSE)))</f>
        <v/>
      </c>
      <c r="AJ111" s="80" t="str">
        <f>IF(R111="","",IF(R111="SIM",VLOOKUP($I111&amp;$J111&amp;R$1,Pesos!$A:$I,7,FALSE),VLOOKUP($I111&amp;$J111&amp;R$1,Pesos!$A:$I,9,FALSE)))</f>
        <v/>
      </c>
      <c r="AK111" s="80" t="str">
        <f>IF(S111="","",IF(S111="SIM",VLOOKUP($I111&amp;$J111&amp;S$1,Pesos!$A:$I,7,FALSE),VLOOKUP($I111&amp;$J111&amp;S$1,Pesos!$A:$I,9,FALSE)))</f>
        <v/>
      </c>
      <c r="AL111" s="80">
        <f t="shared" si="25"/>
        <v>0</v>
      </c>
      <c r="AM111" s="80" t="str">
        <f>IF(T111="","",IF(T111="SIM",VLOOKUP($I111&amp;$J111&amp;T$1,Pesos!$A:$I,7,FALSE),VLOOKUP($I111&amp;$J111&amp;T$1,Pesos!$A:$I,9,FALSE)))</f>
        <v/>
      </c>
      <c r="AN111" s="80" t="str">
        <f>IF(U111="","",IF(U111="SIM",VLOOKUP($I111&amp;$J111&amp;U$1,Pesos!$A:$I,7,FALSE),VLOOKUP($I111&amp;$J111&amp;U$1,Pesos!$A:$I,9,FALSE)))</f>
        <v/>
      </c>
      <c r="AO111" s="80" t="str">
        <f>IF(V111="","",IF(V111="SIM",VLOOKUP($I111&amp;$J111&amp;V$1,Pesos!$A:$I,7,FALSE),VLOOKUP($I111&amp;$J111&amp;V$1,Pesos!$A:$I,9,FALSE)))</f>
        <v/>
      </c>
      <c r="AP111" s="80" t="str">
        <f>IF(W111="","",IF(W111="SIM",VLOOKUP($I111&amp;$J111&amp;W$1,Pesos!$A:$I,7,FALSE),VLOOKUP($I111&amp;$J111&amp;W$1,Pesos!$A:$I,9,FALSE)))</f>
        <v/>
      </c>
      <c r="AQ111" s="80" t="str">
        <f>IF(X111="","",IF(X111="SIM",VLOOKUP($I111&amp;$J111&amp;X$1,Pesos!$A:$I,7,FALSE),VLOOKUP($I111&amp;$J111&amp;X$1,Pesos!$A:$I,9,FALSE)))</f>
        <v/>
      </c>
      <c r="AR111" s="80" t="str">
        <f>IF(Y111="","",IF(Y111="SIM",VLOOKUP($I111&amp;$J111&amp;Y$1,Pesos!$A:$I,7,FALSE),VLOOKUP($I111&amp;$J111&amp;Y$1,Pesos!$A:$I,9,FALSE)))</f>
        <v/>
      </c>
      <c r="AS111" s="81">
        <f>IFERROR(Z111*VLOOKUP(J111,'BD Campos'!$Y$1:$Z$12,2,FALSE),"0")</f>
        <v>0</v>
      </c>
    </row>
    <row r="112" spans="1:45" x14ac:dyDescent="0.35">
      <c r="A112" s="68" t="str">
        <f t="shared" si="17"/>
        <v>Jan202511242ReceptivaTRANSFERÊNCIA</v>
      </c>
      <c r="B112" s="69" t="str">
        <f t="shared" si="21"/>
        <v>Jan2025112425TRANSFERÊNCIAPADRÃO</v>
      </c>
      <c r="C112" s="70">
        <v>1</v>
      </c>
      <c r="D112" s="71">
        <v>45674.374790393522</v>
      </c>
      <c r="E112" s="112" t="s">
        <v>74</v>
      </c>
      <c r="F112" s="72">
        <v>11242</v>
      </c>
      <c r="G112" s="69" t="s">
        <v>1473</v>
      </c>
      <c r="H112" s="73">
        <v>5</v>
      </c>
      <c r="I112" s="69" t="s">
        <v>6</v>
      </c>
      <c r="J112" s="69" t="s">
        <v>98</v>
      </c>
      <c r="K112" s="69" t="s">
        <v>106</v>
      </c>
      <c r="L112" s="74"/>
      <c r="M112" s="75">
        <v>1.1458333333333333E-3</v>
      </c>
      <c r="N112" s="76" t="s">
        <v>83</v>
      </c>
      <c r="O112" s="76" t="s">
        <v>83</v>
      </c>
      <c r="P112" s="76" t="s">
        <v>79</v>
      </c>
      <c r="Q112" s="76" t="s">
        <v>83</v>
      </c>
      <c r="R112" s="76" t="s">
        <v>79</v>
      </c>
      <c r="S112" s="76" t="s">
        <v>79</v>
      </c>
      <c r="T112" s="76" t="s">
        <v>79</v>
      </c>
      <c r="U112" s="76" t="s">
        <v>79</v>
      </c>
      <c r="V112" s="76" t="s">
        <v>79</v>
      </c>
      <c r="W112" s="76" t="s">
        <v>79</v>
      </c>
      <c r="X112" s="76" t="s">
        <v>79</v>
      </c>
      <c r="Y112" s="76" t="s">
        <v>79</v>
      </c>
      <c r="Z112" s="77">
        <f t="shared" si="2"/>
        <v>7.4799999999999986</v>
      </c>
      <c r="AA112" s="78"/>
      <c r="AB112" s="78"/>
      <c r="AC112" s="72" t="s">
        <v>47</v>
      </c>
      <c r="AE112" s="79" t="str">
        <f t="shared" si="24"/>
        <v>Jan11242</v>
      </c>
      <c r="AF112" s="80">
        <f>IF(N112="","",IF(N112="SIM",VLOOKUP($I112&amp;$J112&amp;N$1,Pesos!$A:$I,7,FALSE),VLOOKUP($I112&amp;$J112&amp;N$1,Pesos!$A:$I,9,FALSE)))</f>
        <v>-4.0000000000000008E-2</v>
      </c>
      <c r="AG112" s="80">
        <f>IF(O112="","",IF(O112="SIM",VLOOKUP($I112&amp;$J112&amp;O$1,Pesos!$A:$I,7,FALSE),VLOOKUP($I112&amp;$J112&amp;O$1,Pesos!$A:$I,9,FALSE)))</f>
        <v>-4.0000000000000008E-2</v>
      </c>
      <c r="AH112" s="80">
        <f>IF(P112="","",IF(P112="SIM",VLOOKUP($I112&amp;$J112&amp;P$1,Pesos!$A:$I,7,FALSE),VLOOKUP($I112&amp;$J112&amp;P$1,Pesos!$A:$I,9,FALSE)))</f>
        <v>1.2</v>
      </c>
      <c r="AI112" s="80">
        <f>IF(Q112="","",IF(Q112="SIM",VLOOKUP($I112&amp;$J112&amp;Q$1,Pesos!$A:$I,7,FALSE),VLOOKUP($I112&amp;$J112&amp;Q$1,Pesos!$A:$I,9,FALSE)))</f>
        <v>-4.0000000000000008E-2</v>
      </c>
      <c r="AJ112" s="80">
        <f>IF(R112="","",IF(R112="SIM",VLOOKUP($I112&amp;$J112&amp;R$1,Pesos!$A:$I,7,FALSE),VLOOKUP($I112&amp;$J112&amp;R$1,Pesos!$A:$I,9,FALSE)))</f>
        <v>0.8</v>
      </c>
      <c r="AK112" s="80">
        <f>IF(S112="","",IF(S112="SIM",VLOOKUP($I112&amp;$J112&amp;S$1,Pesos!$A:$I,7,FALSE),VLOOKUP($I112&amp;$J112&amp;S$1,Pesos!$A:$I,9,FALSE)))</f>
        <v>0.8</v>
      </c>
      <c r="AL112" s="80">
        <f t="shared" si="25"/>
        <v>2.6799999999999997</v>
      </c>
      <c r="AM112" s="80">
        <f>IF(T112="","",IF(T112="SIM",VLOOKUP($I112&amp;$J112&amp;T$1,Pesos!$A:$I,7,FALSE),VLOOKUP($I112&amp;$J112&amp;T$1,Pesos!$A:$I,9,FALSE)))</f>
        <v>0.8</v>
      </c>
      <c r="AN112" s="80">
        <f>IF(U112="","",IF(U112="SIM",VLOOKUP($I112&amp;$J112&amp;U$1,Pesos!$A:$I,7,FALSE),VLOOKUP($I112&amp;$J112&amp;U$1,Pesos!$A:$I,9,FALSE)))</f>
        <v>0.8</v>
      </c>
      <c r="AO112" s="80">
        <f>IF(V112="","",IF(V112="SIM",VLOOKUP($I112&amp;$J112&amp;V$1,Pesos!$A:$I,7,FALSE),VLOOKUP($I112&amp;$J112&amp;V$1,Pesos!$A:$I,9,FALSE)))</f>
        <v>0.8</v>
      </c>
      <c r="AP112" s="80">
        <f>IF(W112="","",IF(W112="SIM",VLOOKUP($I112&amp;$J112&amp;W$1,Pesos!$A:$I,7,FALSE),VLOOKUP($I112&amp;$J112&amp;W$1,Pesos!$A:$I,9,FALSE)))</f>
        <v>0.8</v>
      </c>
      <c r="AQ112" s="80">
        <f>IF(X112="","",IF(X112="SIM",VLOOKUP($I112&amp;$J112&amp;X$1,Pesos!$A:$I,7,FALSE),VLOOKUP($I112&amp;$J112&amp;X$1,Pesos!$A:$I,9,FALSE)))</f>
        <v>0.8</v>
      </c>
      <c r="AR112" s="80">
        <f>IF(Y112="","",IF(Y112="SIM",VLOOKUP($I112&amp;$J112&amp;Y$1,Pesos!$A:$I,7,FALSE),VLOOKUP($I112&amp;$J112&amp;Y$1,Pesos!$A:$I,9,FALSE)))</f>
        <v>0.8</v>
      </c>
      <c r="AS112" s="81">
        <f>IFERROR(Z112*VLOOKUP(J112,'BD Campos'!$Y$1:$Z$12,2,FALSE),"0")</f>
        <v>7.4799999999999986</v>
      </c>
    </row>
    <row r="113" spans="1:45" x14ac:dyDescent="0.35">
      <c r="A113" s="68" t="str">
        <f t="shared" si="17"/>
        <v>Jan202511030MotoristaTRANSFERÊNCIA</v>
      </c>
      <c r="B113" s="69" t="str">
        <f t="shared" si="21"/>
        <v>Jan2025110301TRANSFERÊNCIAPADRÃO</v>
      </c>
      <c r="C113" s="70">
        <v>1</v>
      </c>
      <c r="D113" s="71">
        <v>45674.381018171298</v>
      </c>
      <c r="E113" s="112" t="s">
        <v>74</v>
      </c>
      <c r="F113" s="72">
        <v>11030</v>
      </c>
      <c r="G113" s="69" t="s">
        <v>343</v>
      </c>
      <c r="H113" s="73">
        <v>1</v>
      </c>
      <c r="I113" s="69" t="s">
        <v>123</v>
      </c>
      <c r="J113" s="69" t="s">
        <v>122</v>
      </c>
      <c r="K113" s="69" t="s">
        <v>106</v>
      </c>
      <c r="L113" s="74">
        <v>30802641</v>
      </c>
      <c r="M113" s="75">
        <v>2.2106481481481478E-3</v>
      </c>
      <c r="N113" s="76" t="s">
        <v>79</v>
      </c>
      <c r="O113" s="76" t="s">
        <v>79</v>
      </c>
      <c r="P113" s="76" t="s">
        <v>79</v>
      </c>
      <c r="Q113" s="76" t="s">
        <v>79</v>
      </c>
      <c r="R113" s="76" t="s">
        <v>79</v>
      </c>
      <c r="S113" s="76" t="s">
        <v>83</v>
      </c>
      <c r="T113" s="76" t="s">
        <v>79</v>
      </c>
      <c r="U113" s="76" t="s">
        <v>79</v>
      </c>
      <c r="V113" s="76" t="s">
        <v>79</v>
      </c>
      <c r="W113" s="76" t="s">
        <v>79</v>
      </c>
      <c r="X113" s="76"/>
      <c r="Y113" s="76"/>
      <c r="Z113" s="77">
        <f t="shared" si="2"/>
        <v>8.9499999999999993</v>
      </c>
      <c r="AA113" s="78" t="s">
        <v>1477</v>
      </c>
      <c r="AB113" s="78" t="s">
        <v>1476</v>
      </c>
      <c r="AC113" s="72" t="s">
        <v>47</v>
      </c>
      <c r="AE113" s="79" t="str">
        <f t="shared" si="24"/>
        <v>Jan11030</v>
      </c>
      <c r="AF113" s="80">
        <f>IF(N113="","",IF(N113="SIM",VLOOKUP($I113&amp;$J113&amp;N$1,Pesos!$A:$I,7,FALSE),VLOOKUP($I113&amp;$J113&amp;N$1,Pesos!$A:$I,9,FALSE)))</f>
        <v>1</v>
      </c>
      <c r="AG113" s="80">
        <f>IF(O113="","",IF(O113="SIM",VLOOKUP($I113&amp;$J113&amp;O$1,Pesos!$A:$I,7,FALSE),VLOOKUP($I113&amp;$J113&amp;O$1,Pesos!$A:$I,9,FALSE)))</f>
        <v>1</v>
      </c>
      <c r="AH113" s="80">
        <f>IF(P113="","",IF(P113="SIM",VLOOKUP($I113&amp;$J113&amp;P$1,Pesos!$A:$I,7,FALSE),VLOOKUP($I113&amp;$J113&amp;P$1,Pesos!$A:$I,9,FALSE)))</f>
        <v>1</v>
      </c>
      <c r="AI113" s="80">
        <f>IF(Q113="","",IF(Q113="SIM",VLOOKUP($I113&amp;$J113&amp;Q$1,Pesos!$A:$I,7,FALSE),VLOOKUP($I113&amp;$J113&amp;Q$1,Pesos!$A:$I,9,FALSE)))</f>
        <v>1</v>
      </c>
      <c r="AJ113" s="80">
        <f>IF(R113="","",IF(R113="SIM",VLOOKUP($I113&amp;$J113&amp;R$1,Pesos!$A:$I,7,FALSE),VLOOKUP($I113&amp;$J113&amp;R$1,Pesos!$A:$I,9,FALSE)))</f>
        <v>1</v>
      </c>
      <c r="AK113" s="80">
        <f>IF(S113="","",IF(S113="SIM",VLOOKUP($I113&amp;$J113&amp;S$1,Pesos!$A:$I,7,FALSE),VLOOKUP($I113&amp;$J113&amp;S$1,Pesos!$A:$I,9,FALSE)))</f>
        <v>-0.05</v>
      </c>
      <c r="AL113" s="80">
        <f t="shared" si="25"/>
        <v>4.95</v>
      </c>
      <c r="AM113" s="80">
        <f>IF(T113="","",IF(T113="SIM",VLOOKUP($I113&amp;$J113&amp;T$1,Pesos!$A:$I,7,FALSE),VLOOKUP($I113&amp;$J113&amp;T$1,Pesos!$A:$I,9,FALSE)))</f>
        <v>1</v>
      </c>
      <c r="AN113" s="80">
        <f>IF(U113="","",IF(U113="SIM",VLOOKUP($I113&amp;$J113&amp;U$1,Pesos!$A:$I,7,FALSE),VLOOKUP($I113&amp;$J113&amp;U$1,Pesos!$A:$I,9,FALSE)))</f>
        <v>1</v>
      </c>
      <c r="AO113" s="80">
        <f>IF(V113="","",IF(V113="SIM",VLOOKUP($I113&amp;$J113&amp;V$1,Pesos!$A:$I,7,FALSE),VLOOKUP($I113&amp;$J113&amp;V$1,Pesos!$A:$I,9,FALSE)))</f>
        <v>1</v>
      </c>
      <c r="AP113" s="80">
        <f>IF(W113="","",IF(W113="SIM",VLOOKUP($I113&amp;$J113&amp;W$1,Pesos!$A:$I,7,FALSE),VLOOKUP($I113&amp;$J113&amp;W$1,Pesos!$A:$I,9,FALSE)))</f>
        <v>1</v>
      </c>
      <c r="AQ113" s="80" t="str">
        <f>IF(X113="","",IF(X113="SIM",VLOOKUP($I113&amp;$J113&amp;X$1,Pesos!$A:$I,7,FALSE),VLOOKUP($I113&amp;$J113&amp;X$1,Pesos!$A:$I,9,FALSE)))</f>
        <v/>
      </c>
      <c r="AR113" s="80" t="str">
        <f>IF(Y113="","",IF(Y113="SIM",VLOOKUP($I113&amp;$J113&amp;Y$1,Pesos!$A:$I,7,FALSE),VLOOKUP($I113&amp;$J113&amp;Y$1,Pesos!$A:$I,9,FALSE)))</f>
        <v/>
      </c>
      <c r="AS113" s="81">
        <f>IFERROR(Z113*VLOOKUP(J113,'BD Campos'!$Y$1:$Z$12,2,FALSE),"0")</f>
        <v>8.9499999999999993</v>
      </c>
    </row>
    <row r="114" spans="1:45" x14ac:dyDescent="0.35">
      <c r="A114" s="68" t="str">
        <f t="shared" si="17"/>
        <v>Jan202511201MotoristaTRANSFERÊNCIA</v>
      </c>
      <c r="B114" s="69" t="str">
        <f t="shared" si="21"/>
        <v>Jan2025112011TRANSFERÊNCIAPADRÃO</v>
      </c>
      <c r="C114" s="70">
        <v>1</v>
      </c>
      <c r="D114" s="71">
        <v>45674.388280671294</v>
      </c>
      <c r="E114" s="112" t="s">
        <v>74</v>
      </c>
      <c r="F114" s="72">
        <v>11201</v>
      </c>
      <c r="G114" s="69" t="s">
        <v>1385</v>
      </c>
      <c r="H114" s="73">
        <v>1</v>
      </c>
      <c r="I114" s="69" t="s">
        <v>147</v>
      </c>
      <c r="J114" s="69" t="s">
        <v>122</v>
      </c>
      <c r="K114" s="69" t="s">
        <v>106</v>
      </c>
      <c r="L114" s="74">
        <v>30895159</v>
      </c>
      <c r="M114" s="75">
        <v>1.6319444444444445E-3</v>
      </c>
      <c r="N114" s="76" t="s">
        <v>79</v>
      </c>
      <c r="O114" s="76" t="s">
        <v>79</v>
      </c>
      <c r="P114" s="76" t="s">
        <v>79</v>
      </c>
      <c r="Q114" s="76" t="s">
        <v>79</v>
      </c>
      <c r="R114" s="76" t="s">
        <v>79</v>
      </c>
      <c r="S114" s="76" t="s">
        <v>79</v>
      </c>
      <c r="T114" s="76" t="s">
        <v>79</v>
      </c>
      <c r="U114" s="76" t="s">
        <v>79</v>
      </c>
      <c r="V114" s="76"/>
      <c r="W114" s="76"/>
      <c r="X114" s="76"/>
      <c r="Y114" s="76"/>
      <c r="Z114" s="77">
        <f t="shared" si="2"/>
        <v>10</v>
      </c>
      <c r="AA114" s="78"/>
      <c r="AB114" s="78" t="s">
        <v>1478</v>
      </c>
      <c r="AC114" s="72" t="s">
        <v>47</v>
      </c>
      <c r="AE114" s="79" t="str">
        <f t="shared" si="24"/>
        <v>Jan11201</v>
      </c>
      <c r="AF114" s="80">
        <f>IF(N114="","",IF(N114="SIM",VLOOKUP($I114&amp;$J114&amp;N$1,Pesos!$A:$I,7,FALSE),VLOOKUP($I114&amp;$J114&amp;N$1,Pesos!$A:$I,9,FALSE)))</f>
        <v>1.1000000000000001</v>
      </c>
      <c r="AG114" s="80">
        <f>IF(O114="","",IF(O114="SIM",VLOOKUP($I114&amp;$J114&amp;O$1,Pesos!$A:$I,7,FALSE),VLOOKUP($I114&amp;$J114&amp;O$1,Pesos!$A:$I,9,FALSE)))</f>
        <v>1.1000000000000001</v>
      </c>
      <c r="AH114" s="80">
        <f>IF(P114="","",IF(P114="SIM",VLOOKUP($I114&amp;$J114&amp;P$1,Pesos!$A:$I,7,FALSE),VLOOKUP($I114&amp;$J114&amp;P$1,Pesos!$A:$I,9,FALSE)))</f>
        <v>1.1000000000000001</v>
      </c>
      <c r="AI114" s="80">
        <f>IF(Q114="","",IF(Q114="SIM",VLOOKUP($I114&amp;$J114&amp;Q$1,Pesos!$A:$I,7,FALSE),VLOOKUP($I114&amp;$J114&amp;Q$1,Pesos!$A:$I,9,FALSE)))</f>
        <v>1.1000000000000001</v>
      </c>
      <c r="AJ114" s="80">
        <f>IF(R114="","",IF(R114="SIM",VLOOKUP($I114&amp;$J114&amp;R$1,Pesos!$A:$I,7,FALSE),VLOOKUP($I114&amp;$J114&amp;R$1,Pesos!$A:$I,9,FALSE)))</f>
        <v>1.1000000000000001</v>
      </c>
      <c r="AK114" s="80">
        <f>IF(S114="","",IF(S114="SIM",VLOOKUP($I114&amp;$J114&amp;S$1,Pesos!$A:$I,7,FALSE),VLOOKUP($I114&amp;$J114&amp;S$1,Pesos!$A:$I,9,FALSE)))</f>
        <v>1.6</v>
      </c>
      <c r="AL114" s="80">
        <f t="shared" si="25"/>
        <v>7.1</v>
      </c>
      <c r="AM114" s="80">
        <f>IF(T114="","",IF(T114="SIM",VLOOKUP($I114&amp;$J114&amp;T$1,Pesos!$A:$I,7,FALSE),VLOOKUP($I114&amp;$J114&amp;T$1,Pesos!$A:$I,9,FALSE)))</f>
        <v>1.2</v>
      </c>
      <c r="AN114" s="80">
        <f>IF(U114="","",IF(U114="SIM",VLOOKUP($I114&amp;$J114&amp;U$1,Pesos!$A:$I,7,FALSE),VLOOKUP($I114&amp;$J114&amp;U$1,Pesos!$A:$I,9,FALSE)))</f>
        <v>1.7000000000000002</v>
      </c>
      <c r="AO114" s="80" t="str">
        <f>IF(V114="","",IF(V114="SIM",VLOOKUP($I114&amp;$J114&amp;V$1,Pesos!$A:$I,7,FALSE),VLOOKUP($I114&amp;$J114&amp;V$1,Pesos!$A:$I,9,FALSE)))</f>
        <v/>
      </c>
      <c r="AP114" s="80" t="str">
        <f>IF(W114="","",IF(W114="SIM",VLOOKUP($I114&amp;$J114&amp;W$1,Pesos!$A:$I,7,FALSE),VLOOKUP($I114&amp;$J114&amp;W$1,Pesos!$A:$I,9,FALSE)))</f>
        <v/>
      </c>
      <c r="AQ114" s="80" t="str">
        <f>IF(X114="","",IF(X114="SIM",VLOOKUP($I114&amp;$J114&amp;X$1,Pesos!$A:$I,7,FALSE),VLOOKUP($I114&amp;$J114&amp;X$1,Pesos!$A:$I,9,FALSE)))</f>
        <v/>
      </c>
      <c r="AR114" s="80" t="str">
        <f>IF(Y114="","",IF(Y114="SIM",VLOOKUP($I114&amp;$J114&amp;Y$1,Pesos!$A:$I,7,FALSE),VLOOKUP($I114&amp;$J114&amp;Y$1,Pesos!$A:$I,9,FALSE)))</f>
        <v/>
      </c>
      <c r="AS114" s="81">
        <f>IFERROR(Z114*VLOOKUP(J114,'BD Campos'!$Y$1:$Z$12,2,FALSE),"0")</f>
        <v>10</v>
      </c>
    </row>
    <row r="115" spans="1:45" x14ac:dyDescent="0.35">
      <c r="A115" s="68" t="str">
        <f t="shared" si="17"/>
        <v>Jan202511155MotoristaTRANSFERÊNCIA</v>
      </c>
      <c r="B115" s="69" t="str">
        <f t="shared" si="21"/>
        <v>Jan2025111551TRANSFERÊNCIAPADRÃO</v>
      </c>
      <c r="C115" s="70">
        <v>1</v>
      </c>
      <c r="D115" s="71">
        <v>45674.402506018516</v>
      </c>
      <c r="E115" s="112" t="s">
        <v>74</v>
      </c>
      <c r="F115" s="72">
        <v>11155</v>
      </c>
      <c r="G115" s="69" t="s">
        <v>449</v>
      </c>
      <c r="H115" s="73">
        <v>1</v>
      </c>
      <c r="I115" s="69" t="s">
        <v>126</v>
      </c>
      <c r="J115" s="69" t="s">
        <v>122</v>
      </c>
      <c r="K115" s="69" t="s">
        <v>106</v>
      </c>
      <c r="L115" s="74">
        <v>30856285</v>
      </c>
      <c r="M115" s="75">
        <v>6.6435185185185182E-3</v>
      </c>
      <c r="N115" s="76" t="s">
        <v>79</v>
      </c>
      <c r="O115" s="76" t="s">
        <v>79</v>
      </c>
      <c r="P115" s="76" t="s">
        <v>79</v>
      </c>
      <c r="Q115" s="76" t="s">
        <v>79</v>
      </c>
      <c r="R115" s="76" t="s">
        <v>79</v>
      </c>
      <c r="S115" s="76" t="s">
        <v>79</v>
      </c>
      <c r="T115" s="76" t="s">
        <v>79</v>
      </c>
      <c r="U115" s="76" t="s">
        <v>79</v>
      </c>
      <c r="V115" s="76" t="s">
        <v>79</v>
      </c>
      <c r="W115" s="76" t="s">
        <v>79</v>
      </c>
      <c r="X115" s="76" t="s">
        <v>79</v>
      </c>
      <c r="Y115" s="76" t="s">
        <v>79</v>
      </c>
      <c r="Z115" s="77">
        <f t="shared" si="2"/>
        <v>10</v>
      </c>
      <c r="AA115" s="78"/>
      <c r="AB115" s="78" t="s">
        <v>1479</v>
      </c>
      <c r="AC115" s="72" t="s">
        <v>47</v>
      </c>
      <c r="AE115" s="79" t="str">
        <f t="shared" si="24"/>
        <v>Jan11155</v>
      </c>
      <c r="AF115" s="80">
        <f>IF(N115="","",IF(N115="SIM",VLOOKUP($I115&amp;$J115&amp;N$1,Pesos!$A:$I,7,FALSE),VLOOKUP($I115&amp;$J115&amp;N$1,Pesos!$A:$I,9,FALSE)))</f>
        <v>0.8</v>
      </c>
      <c r="AG115" s="80">
        <f>IF(O115="","",IF(O115="SIM",VLOOKUP($I115&amp;$J115&amp;O$1,Pesos!$A:$I,7,FALSE),VLOOKUP($I115&amp;$J115&amp;O$1,Pesos!$A:$I,9,FALSE)))</f>
        <v>0.8</v>
      </c>
      <c r="AH115" s="80">
        <f>IF(P115="","",IF(P115="SIM",VLOOKUP($I115&amp;$J115&amp;P$1,Pesos!$A:$I,7,FALSE),VLOOKUP($I115&amp;$J115&amp;P$1,Pesos!$A:$I,9,FALSE)))</f>
        <v>0.8</v>
      </c>
      <c r="AI115" s="80">
        <f>IF(Q115="","",IF(Q115="SIM",VLOOKUP($I115&amp;$J115&amp;Q$1,Pesos!$A:$I,7,FALSE),VLOOKUP($I115&amp;$J115&amp;Q$1,Pesos!$A:$I,9,FALSE)))</f>
        <v>0.8</v>
      </c>
      <c r="AJ115" s="80">
        <f>IF(R115="","",IF(R115="SIM",VLOOKUP($I115&amp;$J115&amp;R$1,Pesos!$A:$I,7,FALSE),VLOOKUP($I115&amp;$J115&amp;R$1,Pesos!$A:$I,9,FALSE)))</f>
        <v>0.8</v>
      </c>
      <c r="AK115" s="80">
        <f>IF(S115="","",IF(S115="SIM",VLOOKUP($I115&amp;$J115&amp;S$1,Pesos!$A:$I,7,FALSE),VLOOKUP($I115&amp;$J115&amp;S$1,Pesos!$A:$I,9,FALSE)))</f>
        <v>0.8</v>
      </c>
      <c r="AL115" s="80">
        <f t="shared" si="25"/>
        <v>4.8</v>
      </c>
      <c r="AM115" s="80">
        <f>IF(T115="","",IF(T115="SIM",VLOOKUP($I115&amp;$J115&amp;T$1,Pesos!$A:$I,7,FALSE),VLOOKUP($I115&amp;$J115&amp;T$1,Pesos!$A:$I,9,FALSE)))</f>
        <v>0.8</v>
      </c>
      <c r="AN115" s="80">
        <f>IF(U115="","",IF(U115="SIM",VLOOKUP($I115&amp;$J115&amp;U$1,Pesos!$A:$I,7,FALSE),VLOOKUP($I115&amp;$J115&amp;U$1,Pesos!$A:$I,9,FALSE)))</f>
        <v>0.8</v>
      </c>
      <c r="AO115" s="80">
        <f>IF(V115="","",IF(V115="SIM",VLOOKUP($I115&amp;$J115&amp;V$1,Pesos!$A:$I,7,FALSE),VLOOKUP($I115&amp;$J115&amp;V$1,Pesos!$A:$I,9,FALSE)))</f>
        <v>0.8</v>
      </c>
      <c r="AP115" s="80">
        <f>IF(W115="","",IF(W115="SIM",VLOOKUP($I115&amp;$J115&amp;W$1,Pesos!$A:$I,7,FALSE),VLOOKUP($I115&amp;$J115&amp;W$1,Pesos!$A:$I,9,FALSE)))</f>
        <v>0.8</v>
      </c>
      <c r="AQ115" s="80">
        <f>IF(X115="","",IF(X115="SIM",VLOOKUP($I115&amp;$J115&amp;X$1,Pesos!$A:$I,7,FALSE),VLOOKUP($I115&amp;$J115&amp;X$1,Pesos!$A:$I,9,FALSE)))</f>
        <v>1</v>
      </c>
      <c r="AR115" s="80">
        <f>IF(Y115="","",IF(Y115="SIM",VLOOKUP($I115&amp;$J115&amp;Y$1,Pesos!$A:$I,7,FALSE),VLOOKUP($I115&amp;$J115&amp;Y$1,Pesos!$A:$I,9,FALSE)))</f>
        <v>1</v>
      </c>
      <c r="AS115" s="81">
        <f>IFERROR(Z115*VLOOKUP(J115,'BD Campos'!$Y$1:$Z$12,2,FALSE),"0")</f>
        <v>10</v>
      </c>
    </row>
    <row r="116" spans="1:45" x14ac:dyDescent="0.35">
      <c r="A116" s="68" t="str">
        <f t="shared" si="17"/>
        <v>Jan20254186MotoristaTRANSFERÊNCIA</v>
      </c>
      <c r="B116" s="69" t="str">
        <f t="shared" si="21"/>
        <v>Jan202541861TRANSFERÊNCIAPADRÃO</v>
      </c>
      <c r="C116" s="70">
        <v>1</v>
      </c>
      <c r="D116" s="71">
        <v>45674.432362962965</v>
      </c>
      <c r="E116" s="112" t="s">
        <v>74</v>
      </c>
      <c r="F116" s="72">
        <v>4186</v>
      </c>
      <c r="G116" s="69" t="s">
        <v>229</v>
      </c>
      <c r="H116" s="73">
        <v>1</v>
      </c>
      <c r="I116" s="69" t="s">
        <v>123</v>
      </c>
      <c r="J116" s="69" t="s">
        <v>122</v>
      </c>
      <c r="K116" s="69" t="s">
        <v>106</v>
      </c>
      <c r="L116" s="74">
        <v>30790963</v>
      </c>
      <c r="M116" s="75">
        <v>3.3564814814814811E-3</v>
      </c>
      <c r="N116" s="76" t="s">
        <v>79</v>
      </c>
      <c r="O116" s="76" t="s">
        <v>79</v>
      </c>
      <c r="P116" s="76" t="s">
        <v>79</v>
      </c>
      <c r="Q116" s="76" t="s">
        <v>79</v>
      </c>
      <c r="R116" s="76" t="s">
        <v>79</v>
      </c>
      <c r="S116" s="76" t="s">
        <v>79</v>
      </c>
      <c r="T116" s="76" t="s">
        <v>79</v>
      </c>
      <c r="U116" s="76" t="s">
        <v>79</v>
      </c>
      <c r="V116" s="76" t="s">
        <v>79</v>
      </c>
      <c r="W116" s="76" t="s">
        <v>79</v>
      </c>
      <c r="X116" s="76"/>
      <c r="Y116" s="76"/>
      <c r="Z116" s="77">
        <f t="shared" si="2"/>
        <v>10</v>
      </c>
      <c r="AA116" s="78"/>
      <c r="AB116" s="78" t="s">
        <v>1480</v>
      </c>
      <c r="AC116" s="72" t="s">
        <v>47</v>
      </c>
      <c r="AE116" s="79" t="str">
        <f t="shared" si="24"/>
        <v>Jan4186</v>
      </c>
      <c r="AF116" s="80">
        <f>IF(N116="","",IF(N116="SIM",VLOOKUP($I116&amp;$J116&amp;N$1,Pesos!$A:$I,7,FALSE),VLOOKUP($I116&amp;$J116&amp;N$1,Pesos!$A:$I,9,FALSE)))</f>
        <v>1</v>
      </c>
      <c r="AG116" s="80">
        <f>IF(O116="","",IF(O116="SIM",VLOOKUP($I116&amp;$J116&amp;O$1,Pesos!$A:$I,7,FALSE),VLOOKUP($I116&amp;$J116&amp;O$1,Pesos!$A:$I,9,FALSE)))</f>
        <v>1</v>
      </c>
      <c r="AH116" s="80">
        <f>IF(P116="","",IF(P116="SIM",VLOOKUP($I116&amp;$J116&amp;P$1,Pesos!$A:$I,7,FALSE),VLOOKUP($I116&amp;$J116&amp;P$1,Pesos!$A:$I,9,FALSE)))</f>
        <v>1</v>
      </c>
      <c r="AI116" s="80">
        <f>IF(Q116="","",IF(Q116="SIM",VLOOKUP($I116&amp;$J116&amp;Q$1,Pesos!$A:$I,7,FALSE),VLOOKUP($I116&amp;$J116&amp;Q$1,Pesos!$A:$I,9,FALSE)))</f>
        <v>1</v>
      </c>
      <c r="AJ116" s="80">
        <f>IF(R116="","",IF(R116="SIM",VLOOKUP($I116&amp;$J116&amp;R$1,Pesos!$A:$I,7,FALSE),VLOOKUP($I116&amp;$J116&amp;R$1,Pesos!$A:$I,9,FALSE)))</f>
        <v>1</v>
      </c>
      <c r="AK116" s="80">
        <f>IF(S116="","",IF(S116="SIM",VLOOKUP($I116&amp;$J116&amp;S$1,Pesos!$A:$I,7,FALSE),VLOOKUP($I116&amp;$J116&amp;S$1,Pesos!$A:$I,9,FALSE)))</f>
        <v>1</v>
      </c>
      <c r="AL116" s="80">
        <f t="shared" si="25"/>
        <v>6</v>
      </c>
      <c r="AM116" s="80">
        <f>IF(T116="","",IF(T116="SIM",VLOOKUP($I116&amp;$J116&amp;T$1,Pesos!$A:$I,7,FALSE),VLOOKUP($I116&amp;$J116&amp;T$1,Pesos!$A:$I,9,FALSE)))</f>
        <v>1</v>
      </c>
      <c r="AN116" s="80">
        <f>IF(U116="","",IF(U116="SIM",VLOOKUP($I116&amp;$J116&amp;U$1,Pesos!$A:$I,7,FALSE),VLOOKUP($I116&amp;$J116&amp;U$1,Pesos!$A:$I,9,FALSE)))</f>
        <v>1</v>
      </c>
      <c r="AO116" s="80">
        <f>IF(V116="","",IF(V116="SIM",VLOOKUP($I116&amp;$J116&amp;V$1,Pesos!$A:$I,7,FALSE),VLOOKUP($I116&amp;$J116&amp;V$1,Pesos!$A:$I,9,FALSE)))</f>
        <v>1</v>
      </c>
      <c r="AP116" s="80">
        <f>IF(W116="","",IF(W116="SIM",VLOOKUP($I116&amp;$J116&amp;W$1,Pesos!$A:$I,7,FALSE),VLOOKUP($I116&amp;$J116&amp;W$1,Pesos!$A:$I,9,FALSE)))</f>
        <v>1</v>
      </c>
      <c r="AQ116" s="80" t="str">
        <f>IF(X116="","",IF(X116="SIM",VLOOKUP($I116&amp;$J116&amp;X$1,Pesos!$A:$I,7,FALSE),VLOOKUP($I116&amp;$J116&amp;X$1,Pesos!$A:$I,9,FALSE)))</f>
        <v/>
      </c>
      <c r="AR116" s="80" t="str">
        <f>IF(Y116="","",IF(Y116="SIM",VLOOKUP($I116&amp;$J116&amp;Y$1,Pesos!$A:$I,7,FALSE),VLOOKUP($I116&amp;$J116&amp;Y$1,Pesos!$A:$I,9,FALSE)))</f>
        <v/>
      </c>
      <c r="AS116" s="81">
        <f>IFERROR(Z116*VLOOKUP(J116,'BD Campos'!$Y$1:$Z$12,2,FALSE),"0")</f>
        <v>10</v>
      </c>
    </row>
    <row r="117" spans="1:45" x14ac:dyDescent="0.35">
      <c r="A117" s="68" t="str">
        <f t="shared" si="17"/>
        <v>Jan20254199MotoristaTRANSFERÊNCIA</v>
      </c>
      <c r="B117" s="69" t="str">
        <f t="shared" si="21"/>
        <v>Jan202541991TRANSFERÊNCIAPADRÃO</v>
      </c>
      <c r="C117" s="70">
        <v>1</v>
      </c>
      <c r="D117" s="71">
        <v>45674.435113310188</v>
      </c>
      <c r="E117" s="112" t="s">
        <v>74</v>
      </c>
      <c r="F117" s="72">
        <v>4199</v>
      </c>
      <c r="G117" s="69" t="s">
        <v>346</v>
      </c>
      <c r="H117" s="73">
        <v>1</v>
      </c>
      <c r="I117" s="69" t="s">
        <v>121</v>
      </c>
      <c r="J117" s="69" t="s">
        <v>122</v>
      </c>
      <c r="K117" s="69" t="s">
        <v>106</v>
      </c>
      <c r="L117" s="74">
        <v>30791221</v>
      </c>
      <c r="M117" s="75">
        <v>1.1689814814814816E-3</v>
      </c>
      <c r="N117" s="76" t="s">
        <v>79</v>
      </c>
      <c r="O117" s="76" t="s">
        <v>79</v>
      </c>
      <c r="P117" s="76" t="s">
        <v>79</v>
      </c>
      <c r="Q117" s="76" t="s">
        <v>79</v>
      </c>
      <c r="R117" s="76" t="s">
        <v>79</v>
      </c>
      <c r="S117" s="76" t="s">
        <v>79</v>
      </c>
      <c r="T117" s="76" t="s">
        <v>79</v>
      </c>
      <c r="U117" s="76" t="s">
        <v>79</v>
      </c>
      <c r="V117" s="76" t="s">
        <v>79</v>
      </c>
      <c r="W117" s="76" t="s">
        <v>79</v>
      </c>
      <c r="X117" s="76" t="s">
        <v>79</v>
      </c>
      <c r="Y117" s="76"/>
      <c r="Z117" s="77">
        <f t="shared" si="2"/>
        <v>10</v>
      </c>
      <c r="AA117" s="78"/>
      <c r="AB117" s="78" t="s">
        <v>1481</v>
      </c>
      <c r="AC117" s="72" t="s">
        <v>47</v>
      </c>
      <c r="AE117" s="79" t="str">
        <f t="shared" si="24"/>
        <v>Jan4199</v>
      </c>
      <c r="AF117" s="80">
        <f>IF(N117="","",IF(N117="SIM",VLOOKUP($I117&amp;$J117&amp;N$1,Pesos!$A:$I,7,FALSE),VLOOKUP($I117&amp;$J117&amp;N$1,Pesos!$A:$I,9,FALSE)))</f>
        <v>0.89999999999999991</v>
      </c>
      <c r="AG117" s="80">
        <f>IF(O117="","",IF(O117="SIM",VLOOKUP($I117&amp;$J117&amp;O$1,Pesos!$A:$I,7,FALSE),VLOOKUP($I117&amp;$J117&amp;O$1,Pesos!$A:$I,9,FALSE)))</f>
        <v>0.89999999999999991</v>
      </c>
      <c r="AH117" s="80">
        <f>IF(P117="","",IF(P117="SIM",VLOOKUP($I117&amp;$J117&amp;P$1,Pesos!$A:$I,7,FALSE),VLOOKUP($I117&amp;$J117&amp;P$1,Pesos!$A:$I,9,FALSE)))</f>
        <v>0.89999999999999991</v>
      </c>
      <c r="AI117" s="80">
        <f>IF(Q117="","",IF(Q117="SIM",VLOOKUP($I117&amp;$J117&amp;Q$1,Pesos!$A:$I,7,FALSE),VLOOKUP($I117&amp;$J117&amp;Q$1,Pesos!$A:$I,9,FALSE)))</f>
        <v>0.89999999999999991</v>
      </c>
      <c r="AJ117" s="80">
        <f>IF(R117="","",IF(R117="SIM",VLOOKUP($I117&amp;$J117&amp;R$1,Pesos!$A:$I,7,FALSE),VLOOKUP($I117&amp;$J117&amp;R$1,Pesos!$A:$I,9,FALSE)))</f>
        <v>0.89999999999999991</v>
      </c>
      <c r="AK117" s="80">
        <f>IF(S117="","",IF(S117="SIM",VLOOKUP($I117&amp;$J117&amp;S$1,Pesos!$A:$I,7,FALSE),VLOOKUP($I117&amp;$J117&amp;S$1,Pesos!$A:$I,9,FALSE)))</f>
        <v>0.89999999999999991</v>
      </c>
      <c r="AL117" s="80">
        <f t="shared" si="25"/>
        <v>5.4</v>
      </c>
      <c r="AM117" s="80">
        <f>IF(T117="","",IF(T117="SIM",VLOOKUP($I117&amp;$J117&amp;T$1,Pesos!$A:$I,7,FALSE),VLOOKUP($I117&amp;$J117&amp;T$1,Pesos!$A:$I,9,FALSE)))</f>
        <v>0.89999999999999991</v>
      </c>
      <c r="AN117" s="80">
        <f>IF(U117="","",IF(U117="SIM",VLOOKUP($I117&amp;$J117&amp;U$1,Pesos!$A:$I,7,FALSE),VLOOKUP($I117&amp;$J117&amp;U$1,Pesos!$A:$I,9,FALSE)))</f>
        <v>0.92500000000000004</v>
      </c>
      <c r="AO117" s="80">
        <f>IF(V117="","",IF(V117="SIM",VLOOKUP($I117&amp;$J117&amp;V$1,Pesos!$A:$I,7,FALSE),VLOOKUP($I117&amp;$J117&amp;V$1,Pesos!$A:$I,9,FALSE)))</f>
        <v>0.92500000000000004</v>
      </c>
      <c r="AP117" s="80">
        <f>IF(W117="","",IF(W117="SIM",VLOOKUP($I117&amp;$J117&amp;W$1,Pesos!$A:$I,7,FALSE),VLOOKUP($I117&amp;$J117&amp;W$1,Pesos!$A:$I,9,FALSE)))</f>
        <v>0.89999999999999991</v>
      </c>
      <c r="AQ117" s="80">
        <f>IF(X117="","",IF(X117="SIM",VLOOKUP($I117&amp;$J117&amp;X$1,Pesos!$A:$I,7,FALSE),VLOOKUP($I117&amp;$J117&amp;X$1,Pesos!$A:$I,9,FALSE)))</f>
        <v>0.95</v>
      </c>
      <c r="AR117" s="80" t="str">
        <f>IF(Y117="","",IF(Y117="SIM",VLOOKUP($I117&amp;$J117&amp;Y$1,Pesos!$A:$I,7,FALSE),VLOOKUP($I117&amp;$J117&amp;Y$1,Pesos!$A:$I,9,FALSE)))</f>
        <v/>
      </c>
      <c r="AS117" s="81">
        <f>IFERROR(Z117*VLOOKUP(J117,'BD Campos'!$Y$1:$Z$12,2,FALSE),"0")</f>
        <v>10</v>
      </c>
    </row>
    <row r="118" spans="1:45" x14ac:dyDescent="0.35">
      <c r="A118" s="68" t="str">
        <f t="shared" si="17"/>
        <v>Jan20254208MotoristaTRANSFERÊNCIA</v>
      </c>
      <c r="B118" s="69" t="str">
        <f t="shared" si="21"/>
        <v>Jan202542081TRANSFERÊNCIAPADRÃO</v>
      </c>
      <c r="C118" s="70">
        <v>1</v>
      </c>
      <c r="D118" s="71">
        <v>45674.44076435185</v>
      </c>
      <c r="E118" s="112" t="s">
        <v>74</v>
      </c>
      <c r="F118" s="72">
        <v>4208</v>
      </c>
      <c r="G118" s="69" t="s">
        <v>1482</v>
      </c>
      <c r="H118" s="73">
        <v>1</v>
      </c>
      <c r="I118" s="69" t="s">
        <v>126</v>
      </c>
      <c r="J118" s="69" t="s">
        <v>122</v>
      </c>
      <c r="K118" s="69" t="s">
        <v>106</v>
      </c>
      <c r="L118" s="74">
        <v>30804330</v>
      </c>
      <c r="M118" s="75">
        <v>2.6620370370370374E-3</v>
      </c>
      <c r="N118" s="76" t="s">
        <v>79</v>
      </c>
      <c r="O118" s="76" t="s">
        <v>79</v>
      </c>
      <c r="P118" s="76" t="s">
        <v>79</v>
      </c>
      <c r="Q118" s="76" t="s">
        <v>79</v>
      </c>
      <c r="R118" s="76" t="s">
        <v>79</v>
      </c>
      <c r="S118" s="76" t="s">
        <v>79</v>
      </c>
      <c r="T118" s="76" t="s">
        <v>79</v>
      </c>
      <c r="U118" s="76" t="s">
        <v>79</v>
      </c>
      <c r="V118" s="76" t="s">
        <v>79</v>
      </c>
      <c r="W118" s="76" t="s">
        <v>79</v>
      </c>
      <c r="X118" s="76" t="s">
        <v>79</v>
      </c>
      <c r="Y118" s="76" t="s">
        <v>79</v>
      </c>
      <c r="Z118" s="77">
        <f t="shared" si="2"/>
        <v>10</v>
      </c>
      <c r="AA118" s="78"/>
      <c r="AB118" s="78" t="s">
        <v>1483</v>
      </c>
      <c r="AC118" s="72" t="s">
        <v>47</v>
      </c>
      <c r="AE118" s="79" t="str">
        <f t="shared" si="24"/>
        <v>Jan4208</v>
      </c>
      <c r="AF118" s="80">
        <f>IF(N118="","",IF(N118="SIM",VLOOKUP($I118&amp;$J118&amp;N$1,Pesos!$A:$I,7,FALSE),VLOOKUP($I118&amp;$J118&amp;N$1,Pesos!$A:$I,9,FALSE)))</f>
        <v>0.8</v>
      </c>
      <c r="AG118" s="80">
        <f>IF(O118="","",IF(O118="SIM",VLOOKUP($I118&amp;$J118&amp;O$1,Pesos!$A:$I,7,FALSE),VLOOKUP($I118&amp;$J118&amp;O$1,Pesos!$A:$I,9,FALSE)))</f>
        <v>0.8</v>
      </c>
      <c r="AH118" s="80">
        <f>IF(P118="","",IF(P118="SIM",VLOOKUP($I118&amp;$J118&amp;P$1,Pesos!$A:$I,7,FALSE),VLOOKUP($I118&amp;$J118&amp;P$1,Pesos!$A:$I,9,FALSE)))</f>
        <v>0.8</v>
      </c>
      <c r="AI118" s="80">
        <f>IF(Q118="","",IF(Q118="SIM",VLOOKUP($I118&amp;$J118&amp;Q$1,Pesos!$A:$I,7,FALSE),VLOOKUP($I118&amp;$J118&amp;Q$1,Pesos!$A:$I,9,FALSE)))</f>
        <v>0.8</v>
      </c>
      <c r="AJ118" s="80">
        <f>IF(R118="","",IF(R118="SIM",VLOOKUP($I118&amp;$J118&amp;R$1,Pesos!$A:$I,7,FALSE),VLOOKUP($I118&amp;$J118&amp;R$1,Pesos!$A:$I,9,FALSE)))</f>
        <v>0.8</v>
      </c>
      <c r="AK118" s="80">
        <f>IF(S118="","",IF(S118="SIM",VLOOKUP($I118&amp;$J118&amp;S$1,Pesos!$A:$I,7,FALSE),VLOOKUP($I118&amp;$J118&amp;S$1,Pesos!$A:$I,9,FALSE)))</f>
        <v>0.8</v>
      </c>
      <c r="AL118" s="80">
        <f t="shared" si="25"/>
        <v>4.8</v>
      </c>
      <c r="AM118" s="80">
        <f>IF(T118="","",IF(T118="SIM",VLOOKUP($I118&amp;$J118&amp;T$1,Pesos!$A:$I,7,FALSE),VLOOKUP($I118&amp;$J118&amp;T$1,Pesos!$A:$I,9,FALSE)))</f>
        <v>0.8</v>
      </c>
      <c r="AN118" s="80">
        <f>IF(U118="","",IF(U118="SIM",VLOOKUP($I118&amp;$J118&amp;U$1,Pesos!$A:$I,7,FALSE),VLOOKUP($I118&amp;$J118&amp;U$1,Pesos!$A:$I,9,FALSE)))</f>
        <v>0.8</v>
      </c>
      <c r="AO118" s="80">
        <f>IF(V118="","",IF(V118="SIM",VLOOKUP($I118&amp;$J118&amp;V$1,Pesos!$A:$I,7,FALSE),VLOOKUP($I118&amp;$J118&amp;V$1,Pesos!$A:$I,9,FALSE)))</f>
        <v>0.8</v>
      </c>
      <c r="AP118" s="80">
        <f>IF(W118="","",IF(W118="SIM",VLOOKUP($I118&amp;$J118&amp;W$1,Pesos!$A:$I,7,FALSE),VLOOKUP($I118&amp;$J118&amp;W$1,Pesos!$A:$I,9,FALSE)))</f>
        <v>0.8</v>
      </c>
      <c r="AQ118" s="80">
        <f>IF(X118="","",IF(X118="SIM",VLOOKUP($I118&amp;$J118&amp;X$1,Pesos!$A:$I,7,FALSE),VLOOKUP($I118&amp;$J118&amp;X$1,Pesos!$A:$I,9,FALSE)))</f>
        <v>1</v>
      </c>
      <c r="AR118" s="80">
        <f>IF(Y118="","",IF(Y118="SIM",VLOOKUP($I118&amp;$J118&amp;Y$1,Pesos!$A:$I,7,FALSE),VLOOKUP($I118&amp;$J118&amp;Y$1,Pesos!$A:$I,9,FALSE)))</f>
        <v>1</v>
      </c>
      <c r="AS118" s="81">
        <f>IFERROR(Z118*VLOOKUP(J118,'BD Campos'!$Y$1:$Z$12,2,FALSE),"0")</f>
        <v>10</v>
      </c>
    </row>
    <row r="119" spans="1:45" x14ac:dyDescent="0.35">
      <c r="A119" s="68" t="str">
        <f t="shared" si="17"/>
        <v>Jan20254155MotoristaTRANSFERÊNCIA</v>
      </c>
      <c r="B119" s="69" t="str">
        <f t="shared" si="21"/>
        <v>Jan202541551TRANSFERÊNCIAPADRÃO</v>
      </c>
      <c r="C119" s="70">
        <v>1</v>
      </c>
      <c r="D119" s="71">
        <v>45674.44405046296</v>
      </c>
      <c r="E119" s="112" t="s">
        <v>74</v>
      </c>
      <c r="F119" s="72">
        <v>4155</v>
      </c>
      <c r="G119" s="69" t="s">
        <v>347</v>
      </c>
      <c r="H119" s="73">
        <v>1</v>
      </c>
      <c r="I119" s="69" t="s">
        <v>123</v>
      </c>
      <c r="J119" s="69" t="s">
        <v>122</v>
      </c>
      <c r="K119" s="69" t="s">
        <v>106</v>
      </c>
      <c r="L119" s="74">
        <v>13747349</v>
      </c>
      <c r="M119" s="75">
        <v>1.1805555555555556E-3</v>
      </c>
      <c r="N119" s="76"/>
      <c r="O119" s="76"/>
      <c r="P119" s="76"/>
      <c r="Q119" s="76"/>
      <c r="R119" s="76"/>
      <c r="S119" s="76"/>
      <c r="T119" s="76"/>
      <c r="U119" s="76"/>
      <c r="V119" s="76"/>
      <c r="W119" s="76"/>
      <c r="X119" s="76"/>
      <c r="Y119" s="76"/>
      <c r="Z119" s="77">
        <f t="shared" si="2"/>
        <v>0</v>
      </c>
      <c r="AA119" s="78" t="s">
        <v>1485</v>
      </c>
      <c r="AB119" s="78" t="s">
        <v>1484</v>
      </c>
      <c r="AC119" s="72" t="s">
        <v>47</v>
      </c>
      <c r="AE119" s="79" t="str">
        <f t="shared" si="24"/>
        <v>Jan4155</v>
      </c>
      <c r="AF119" s="80" t="str">
        <f>IF(N119="","",IF(N119="SIM",VLOOKUP($I119&amp;$J119&amp;N$1,Pesos!$A:$I,7,FALSE),VLOOKUP($I119&amp;$J119&amp;N$1,Pesos!$A:$I,9,FALSE)))</f>
        <v/>
      </c>
      <c r="AG119" s="80" t="str">
        <f>IF(O119="","",IF(O119="SIM",VLOOKUP($I119&amp;$J119&amp;O$1,Pesos!$A:$I,7,FALSE),VLOOKUP($I119&amp;$J119&amp;O$1,Pesos!$A:$I,9,FALSE)))</f>
        <v/>
      </c>
      <c r="AH119" s="80" t="str">
        <f>IF(P119="","",IF(P119="SIM",VLOOKUP($I119&amp;$J119&amp;P$1,Pesos!$A:$I,7,FALSE),VLOOKUP($I119&amp;$J119&amp;P$1,Pesos!$A:$I,9,FALSE)))</f>
        <v/>
      </c>
      <c r="AI119" s="80" t="str">
        <f>IF(Q119="","",IF(Q119="SIM",VLOOKUP($I119&amp;$J119&amp;Q$1,Pesos!$A:$I,7,FALSE),VLOOKUP($I119&amp;$J119&amp;Q$1,Pesos!$A:$I,9,FALSE)))</f>
        <v/>
      </c>
      <c r="AJ119" s="80" t="str">
        <f>IF(R119="","",IF(R119="SIM",VLOOKUP($I119&amp;$J119&amp;R$1,Pesos!$A:$I,7,FALSE),VLOOKUP($I119&amp;$J119&amp;R$1,Pesos!$A:$I,9,FALSE)))</f>
        <v/>
      </c>
      <c r="AK119" s="80" t="str">
        <f>IF(S119="","",IF(S119="SIM",VLOOKUP($I119&amp;$J119&amp;S$1,Pesos!$A:$I,7,FALSE),VLOOKUP($I119&amp;$J119&amp;S$1,Pesos!$A:$I,9,FALSE)))</f>
        <v/>
      </c>
      <c r="AL119" s="80">
        <f t="shared" si="25"/>
        <v>0</v>
      </c>
      <c r="AM119" s="80" t="str">
        <f>IF(T119="","",IF(T119="SIM",VLOOKUP($I119&amp;$J119&amp;T$1,Pesos!$A:$I,7,FALSE),VLOOKUP($I119&amp;$J119&amp;T$1,Pesos!$A:$I,9,FALSE)))</f>
        <v/>
      </c>
      <c r="AN119" s="80" t="str">
        <f>IF(U119="","",IF(U119="SIM",VLOOKUP($I119&amp;$J119&amp;U$1,Pesos!$A:$I,7,FALSE),VLOOKUP($I119&amp;$J119&amp;U$1,Pesos!$A:$I,9,FALSE)))</f>
        <v/>
      </c>
      <c r="AO119" s="80" t="str">
        <f>IF(V119="","",IF(V119="SIM",VLOOKUP($I119&amp;$J119&amp;V$1,Pesos!$A:$I,7,FALSE),VLOOKUP($I119&amp;$J119&amp;V$1,Pesos!$A:$I,9,FALSE)))</f>
        <v/>
      </c>
      <c r="AP119" s="80" t="str">
        <f>IF(W119="","",IF(W119="SIM",VLOOKUP($I119&amp;$J119&amp;W$1,Pesos!$A:$I,7,FALSE),VLOOKUP($I119&amp;$J119&amp;W$1,Pesos!$A:$I,9,FALSE)))</f>
        <v/>
      </c>
      <c r="AQ119" s="80" t="str">
        <f>IF(X119="","",IF(X119="SIM",VLOOKUP($I119&amp;$J119&amp;X$1,Pesos!$A:$I,7,FALSE),VLOOKUP($I119&amp;$J119&amp;X$1,Pesos!$A:$I,9,FALSE)))</f>
        <v/>
      </c>
      <c r="AR119" s="80" t="str">
        <f>IF(Y119="","",IF(Y119="SIM",VLOOKUP($I119&amp;$J119&amp;Y$1,Pesos!$A:$I,7,FALSE),VLOOKUP($I119&amp;$J119&amp;Y$1,Pesos!$A:$I,9,FALSE)))</f>
        <v/>
      </c>
      <c r="AS119" s="81">
        <f>IFERROR(Z119*VLOOKUP(J119,'BD Campos'!$Y$1:$Z$12,2,FALSE),"0")</f>
        <v>0</v>
      </c>
    </row>
    <row r="120" spans="1:45" x14ac:dyDescent="0.35">
      <c r="A120" s="68" t="str">
        <f t="shared" si="17"/>
        <v>Jan20254206Ponto de ApoioTRANSFERÊNCIA</v>
      </c>
      <c r="B120" s="69" t="str">
        <f t="shared" si="21"/>
        <v>Jan202542061TRANSFERÊNCIAPADRÃO</v>
      </c>
      <c r="C120" s="70">
        <v>1</v>
      </c>
      <c r="D120" s="71">
        <v>45674.45083483796</v>
      </c>
      <c r="E120" s="112" t="s">
        <v>74</v>
      </c>
      <c r="F120" s="72">
        <v>4206</v>
      </c>
      <c r="G120" s="69" t="s">
        <v>1364</v>
      </c>
      <c r="H120" s="73">
        <v>1</v>
      </c>
      <c r="I120" s="69" t="s">
        <v>123</v>
      </c>
      <c r="J120" s="69" t="s">
        <v>125</v>
      </c>
      <c r="K120" s="69" t="s">
        <v>106</v>
      </c>
      <c r="L120" s="74">
        <v>30851924</v>
      </c>
      <c r="M120" s="75">
        <v>1.9907407407407408E-3</v>
      </c>
      <c r="N120" s="76" t="s">
        <v>79</v>
      </c>
      <c r="O120" s="76" t="s">
        <v>79</v>
      </c>
      <c r="P120" s="76" t="s">
        <v>79</v>
      </c>
      <c r="Q120" s="76" t="s">
        <v>79</v>
      </c>
      <c r="R120" s="76" t="s">
        <v>79</v>
      </c>
      <c r="S120" s="76" t="s">
        <v>83</v>
      </c>
      <c r="T120" s="76" t="s">
        <v>83</v>
      </c>
      <c r="U120" s="76" t="s">
        <v>83</v>
      </c>
      <c r="V120" s="76" t="s">
        <v>83</v>
      </c>
      <c r="W120" s="76" t="s">
        <v>83</v>
      </c>
      <c r="X120" s="76"/>
      <c r="Y120" s="76"/>
      <c r="Z120" s="77">
        <f t="shared" si="2"/>
        <v>4.7500000000000009</v>
      </c>
      <c r="AA120" s="78"/>
      <c r="AB120" s="78" t="s">
        <v>1486</v>
      </c>
      <c r="AC120" s="72" t="s">
        <v>47</v>
      </c>
      <c r="AE120" s="79" t="str">
        <f t="shared" si="24"/>
        <v>Jan4206</v>
      </c>
      <c r="AF120" s="80">
        <f>IF(N120="","",IF(N120="SIM",VLOOKUP($I120&amp;$J120&amp;N$1,Pesos!$A:$I,7,FALSE),VLOOKUP($I120&amp;$J120&amp;N$1,Pesos!$A:$I,9,FALSE)))</f>
        <v>1</v>
      </c>
      <c r="AG120" s="80">
        <f>IF(O120="","",IF(O120="SIM",VLOOKUP($I120&amp;$J120&amp;O$1,Pesos!$A:$I,7,FALSE),VLOOKUP($I120&amp;$J120&amp;O$1,Pesos!$A:$I,9,FALSE)))</f>
        <v>1</v>
      </c>
      <c r="AH120" s="80">
        <f>IF(P120="","",IF(P120="SIM",VLOOKUP($I120&amp;$J120&amp;P$1,Pesos!$A:$I,7,FALSE),VLOOKUP($I120&amp;$J120&amp;P$1,Pesos!$A:$I,9,FALSE)))</f>
        <v>1</v>
      </c>
      <c r="AI120" s="80">
        <f>IF(Q120="","",IF(Q120="SIM",VLOOKUP($I120&amp;$J120&amp;Q$1,Pesos!$A:$I,7,FALSE),VLOOKUP($I120&amp;$J120&amp;Q$1,Pesos!$A:$I,9,FALSE)))</f>
        <v>1</v>
      </c>
      <c r="AJ120" s="80">
        <f>IF(R120="","",IF(R120="SIM",VLOOKUP($I120&amp;$J120&amp;R$1,Pesos!$A:$I,7,FALSE),VLOOKUP($I120&amp;$J120&amp;R$1,Pesos!$A:$I,9,FALSE)))</f>
        <v>1</v>
      </c>
      <c r="AK120" s="80">
        <f>IF(S120="","",IF(S120="SIM",VLOOKUP($I120&amp;$J120&amp;S$1,Pesos!$A:$I,7,FALSE),VLOOKUP($I120&amp;$J120&amp;S$1,Pesos!$A:$I,9,FALSE)))</f>
        <v>-0.05</v>
      </c>
      <c r="AL120" s="80">
        <f t="shared" si="25"/>
        <v>4.95</v>
      </c>
      <c r="AM120" s="80">
        <f>IF(T120="","",IF(T120="SIM",VLOOKUP($I120&amp;$J120&amp;T$1,Pesos!$A:$I,7,FALSE),VLOOKUP($I120&amp;$J120&amp;T$1,Pesos!$A:$I,9,FALSE)))</f>
        <v>-0.05</v>
      </c>
      <c r="AN120" s="80">
        <f>IF(U120="","",IF(U120="SIM",VLOOKUP($I120&amp;$J120&amp;U$1,Pesos!$A:$I,7,FALSE),VLOOKUP($I120&amp;$J120&amp;U$1,Pesos!$A:$I,9,FALSE)))</f>
        <v>-0.05</v>
      </c>
      <c r="AO120" s="80">
        <f>IF(V120="","",IF(V120="SIM",VLOOKUP($I120&amp;$J120&amp;V$1,Pesos!$A:$I,7,FALSE),VLOOKUP($I120&amp;$J120&amp;V$1,Pesos!$A:$I,9,FALSE)))</f>
        <v>-0.05</v>
      </c>
      <c r="AP120" s="80">
        <f>IF(W120="","",IF(W120="SIM",VLOOKUP($I120&amp;$J120&amp;W$1,Pesos!$A:$I,7,FALSE),VLOOKUP($I120&amp;$J120&amp;W$1,Pesos!$A:$I,9,FALSE)))</f>
        <v>-0.05</v>
      </c>
      <c r="AQ120" s="80" t="str">
        <f>IF(X120="","",IF(X120="SIM",VLOOKUP($I120&amp;$J120&amp;X$1,Pesos!$A:$I,7,FALSE),VLOOKUP($I120&amp;$J120&amp;X$1,Pesos!$A:$I,9,FALSE)))</f>
        <v/>
      </c>
      <c r="AR120" s="80" t="str">
        <f>IF(Y120="","",IF(Y120="SIM",VLOOKUP($I120&amp;$J120&amp;Y$1,Pesos!$A:$I,7,FALSE),VLOOKUP($I120&amp;$J120&amp;Y$1,Pesos!$A:$I,9,FALSE)))</f>
        <v/>
      </c>
      <c r="AS120" s="81">
        <f>IFERROR(Z120*VLOOKUP(J120,'BD Campos'!$Y$1:$Z$12,2,FALSE),"0")</f>
        <v>4.7500000000000009</v>
      </c>
    </row>
    <row r="121" spans="1:45" x14ac:dyDescent="0.35">
      <c r="A121" s="68" t="str">
        <f t="shared" si="17"/>
        <v>Jan20254203MotoristaTRANSFERÊNCIA</v>
      </c>
      <c r="B121" s="69" t="str">
        <f t="shared" si="21"/>
        <v>Jan202542031TRANSFERÊNCIAPADRÃO</v>
      </c>
      <c r="C121" s="70">
        <v>1</v>
      </c>
      <c r="D121" s="71">
        <v>45674.457714814816</v>
      </c>
      <c r="E121" s="112" t="s">
        <v>74</v>
      </c>
      <c r="F121" s="72">
        <v>4203</v>
      </c>
      <c r="G121" s="69" t="s">
        <v>409</v>
      </c>
      <c r="H121" s="73">
        <v>1</v>
      </c>
      <c r="I121" s="69" t="s">
        <v>147</v>
      </c>
      <c r="J121" s="69" t="s">
        <v>122</v>
      </c>
      <c r="K121" s="69" t="s">
        <v>106</v>
      </c>
      <c r="L121" s="74">
        <v>13747269</v>
      </c>
      <c r="M121" s="75">
        <v>8.2175925925925917E-4</v>
      </c>
      <c r="N121" s="76" t="s">
        <v>79</v>
      </c>
      <c r="O121" s="76" t="s">
        <v>79</v>
      </c>
      <c r="P121" s="76" t="s">
        <v>79</v>
      </c>
      <c r="Q121" s="76" t="s">
        <v>79</v>
      </c>
      <c r="R121" s="76" t="s">
        <v>79</v>
      </c>
      <c r="S121" s="76" t="s">
        <v>79</v>
      </c>
      <c r="T121" s="76" t="s">
        <v>79</v>
      </c>
      <c r="U121" s="76" t="s">
        <v>79</v>
      </c>
      <c r="V121" s="76"/>
      <c r="W121" s="76"/>
      <c r="X121" s="76"/>
      <c r="Y121" s="76"/>
      <c r="Z121" s="77">
        <f t="shared" si="2"/>
        <v>10</v>
      </c>
      <c r="AA121" s="78"/>
      <c r="AB121" s="78" t="s">
        <v>1487</v>
      </c>
      <c r="AC121" s="72" t="s">
        <v>47</v>
      </c>
      <c r="AE121" s="79" t="str">
        <f t="shared" si="24"/>
        <v>Jan4203</v>
      </c>
      <c r="AF121" s="80">
        <f>IF(N121="","",IF(N121="SIM",VLOOKUP($I121&amp;$J121&amp;N$1,Pesos!$A:$I,7,FALSE),VLOOKUP($I121&amp;$J121&amp;N$1,Pesos!$A:$I,9,FALSE)))</f>
        <v>1.1000000000000001</v>
      </c>
      <c r="AG121" s="80">
        <f>IF(O121="","",IF(O121="SIM",VLOOKUP($I121&amp;$J121&amp;O$1,Pesos!$A:$I,7,FALSE),VLOOKUP($I121&amp;$J121&amp;O$1,Pesos!$A:$I,9,FALSE)))</f>
        <v>1.1000000000000001</v>
      </c>
      <c r="AH121" s="80">
        <f>IF(P121="","",IF(P121="SIM",VLOOKUP($I121&amp;$J121&amp;P$1,Pesos!$A:$I,7,FALSE),VLOOKUP($I121&amp;$J121&amp;P$1,Pesos!$A:$I,9,FALSE)))</f>
        <v>1.1000000000000001</v>
      </c>
      <c r="AI121" s="80">
        <f>IF(Q121="","",IF(Q121="SIM",VLOOKUP($I121&amp;$J121&amp;Q$1,Pesos!$A:$I,7,FALSE),VLOOKUP($I121&amp;$J121&amp;Q$1,Pesos!$A:$I,9,FALSE)))</f>
        <v>1.1000000000000001</v>
      </c>
      <c r="AJ121" s="80">
        <f>IF(R121="","",IF(R121="SIM",VLOOKUP($I121&amp;$J121&amp;R$1,Pesos!$A:$I,7,FALSE),VLOOKUP($I121&amp;$J121&amp;R$1,Pesos!$A:$I,9,FALSE)))</f>
        <v>1.1000000000000001</v>
      </c>
      <c r="AK121" s="80">
        <f>IF(S121="","",IF(S121="SIM",VLOOKUP($I121&amp;$J121&amp;S$1,Pesos!$A:$I,7,FALSE),VLOOKUP($I121&amp;$J121&amp;S$1,Pesos!$A:$I,9,FALSE)))</f>
        <v>1.6</v>
      </c>
      <c r="AL121" s="80">
        <f t="shared" si="25"/>
        <v>7.1</v>
      </c>
      <c r="AM121" s="80">
        <f>IF(T121="","",IF(T121="SIM",VLOOKUP($I121&amp;$J121&amp;T$1,Pesos!$A:$I,7,FALSE),VLOOKUP($I121&amp;$J121&amp;T$1,Pesos!$A:$I,9,FALSE)))</f>
        <v>1.2</v>
      </c>
      <c r="AN121" s="80">
        <f>IF(U121="","",IF(U121="SIM",VLOOKUP($I121&amp;$J121&amp;U$1,Pesos!$A:$I,7,FALSE),VLOOKUP($I121&amp;$J121&amp;U$1,Pesos!$A:$I,9,FALSE)))</f>
        <v>1.7000000000000002</v>
      </c>
      <c r="AO121" s="80" t="str">
        <f>IF(V121="","",IF(V121="SIM",VLOOKUP($I121&amp;$J121&amp;V$1,Pesos!$A:$I,7,FALSE),VLOOKUP($I121&amp;$J121&amp;V$1,Pesos!$A:$I,9,FALSE)))</f>
        <v/>
      </c>
      <c r="AP121" s="80" t="str">
        <f>IF(W121="","",IF(W121="SIM",VLOOKUP($I121&amp;$J121&amp;W$1,Pesos!$A:$I,7,FALSE),VLOOKUP($I121&amp;$J121&amp;W$1,Pesos!$A:$I,9,FALSE)))</f>
        <v/>
      </c>
      <c r="AQ121" s="80" t="str">
        <f>IF(X121="","",IF(X121="SIM",VLOOKUP($I121&amp;$J121&amp;X$1,Pesos!$A:$I,7,FALSE),VLOOKUP($I121&amp;$J121&amp;X$1,Pesos!$A:$I,9,FALSE)))</f>
        <v/>
      </c>
      <c r="AR121" s="80" t="str">
        <f>IF(Y121="","",IF(Y121="SIM",VLOOKUP($I121&amp;$J121&amp;Y$1,Pesos!$A:$I,7,FALSE),VLOOKUP($I121&amp;$J121&amp;Y$1,Pesos!$A:$I,9,FALSE)))</f>
        <v/>
      </c>
      <c r="AS121" s="81">
        <f>IFERROR(Z121*VLOOKUP(J121,'BD Campos'!$Y$1:$Z$12,2,FALSE),"0")</f>
        <v>10</v>
      </c>
    </row>
    <row r="122" spans="1:45" x14ac:dyDescent="0.35">
      <c r="A122" s="68" t="str">
        <f t="shared" si="17"/>
        <v>Jan20254176MotoristaTRANSFERÊNCIA</v>
      </c>
      <c r="B122" s="69" t="str">
        <f t="shared" si="21"/>
        <v>Jan202541761TRANSFERÊNCIAPADRÃO</v>
      </c>
      <c r="C122" s="70">
        <v>1</v>
      </c>
      <c r="D122" s="71">
        <v>45674.460384837963</v>
      </c>
      <c r="E122" s="112" t="s">
        <v>74</v>
      </c>
      <c r="F122" s="72">
        <v>4176</v>
      </c>
      <c r="G122" s="69" t="s">
        <v>230</v>
      </c>
      <c r="H122" s="73">
        <v>1</v>
      </c>
      <c r="I122" s="69" t="s">
        <v>121</v>
      </c>
      <c r="J122" s="69" t="s">
        <v>122</v>
      </c>
      <c r="K122" s="69" t="s">
        <v>106</v>
      </c>
      <c r="L122" s="74">
        <v>30883326</v>
      </c>
      <c r="M122" s="75">
        <v>6.9444444444444447E-4</v>
      </c>
      <c r="N122" s="76" t="s">
        <v>79</v>
      </c>
      <c r="O122" s="76" t="s">
        <v>79</v>
      </c>
      <c r="P122" s="76" t="s">
        <v>79</v>
      </c>
      <c r="Q122" s="76" t="s">
        <v>79</v>
      </c>
      <c r="R122" s="76" t="s">
        <v>79</v>
      </c>
      <c r="S122" s="76" t="s">
        <v>83</v>
      </c>
      <c r="T122" s="76" t="s">
        <v>79</v>
      </c>
      <c r="U122" s="76" t="s">
        <v>79</v>
      </c>
      <c r="V122" s="76" t="s">
        <v>83</v>
      </c>
      <c r="W122" s="76" t="s">
        <v>83</v>
      </c>
      <c r="X122" s="76" t="s">
        <v>83</v>
      </c>
      <c r="Y122" s="76"/>
      <c r="Z122" s="77">
        <f t="shared" si="2"/>
        <v>6.1412500000000003</v>
      </c>
      <c r="AA122" s="78"/>
      <c r="AB122" s="78" t="s">
        <v>1488</v>
      </c>
      <c r="AC122" s="72" t="s">
        <v>47</v>
      </c>
      <c r="AE122" s="79" t="str">
        <f t="shared" si="24"/>
        <v>Jan4176</v>
      </c>
      <c r="AF122" s="80">
        <f>IF(N122="","",IF(N122="SIM",VLOOKUP($I122&amp;$J122&amp;N$1,Pesos!$A:$I,7,FALSE),VLOOKUP($I122&amp;$J122&amp;N$1,Pesos!$A:$I,9,FALSE)))</f>
        <v>0.89999999999999991</v>
      </c>
      <c r="AG122" s="80">
        <f>IF(O122="","",IF(O122="SIM",VLOOKUP($I122&amp;$J122&amp;O$1,Pesos!$A:$I,7,FALSE),VLOOKUP($I122&amp;$J122&amp;O$1,Pesos!$A:$I,9,FALSE)))</f>
        <v>0.89999999999999991</v>
      </c>
      <c r="AH122" s="80">
        <f>IF(P122="","",IF(P122="SIM",VLOOKUP($I122&amp;$J122&amp;P$1,Pesos!$A:$I,7,FALSE),VLOOKUP($I122&amp;$J122&amp;P$1,Pesos!$A:$I,9,FALSE)))</f>
        <v>0.89999999999999991</v>
      </c>
      <c r="AI122" s="80">
        <f>IF(Q122="","",IF(Q122="SIM",VLOOKUP($I122&amp;$J122&amp;Q$1,Pesos!$A:$I,7,FALSE),VLOOKUP($I122&amp;$J122&amp;Q$1,Pesos!$A:$I,9,FALSE)))</f>
        <v>0.89999999999999991</v>
      </c>
      <c r="AJ122" s="80">
        <f>IF(R122="","",IF(R122="SIM",VLOOKUP($I122&amp;$J122&amp;R$1,Pesos!$A:$I,7,FALSE),VLOOKUP($I122&amp;$J122&amp;R$1,Pesos!$A:$I,9,FALSE)))</f>
        <v>0.89999999999999991</v>
      </c>
      <c r="AK122" s="80">
        <f>IF(S122="","",IF(S122="SIM",VLOOKUP($I122&amp;$J122&amp;S$1,Pesos!$A:$I,7,FALSE),VLOOKUP($I122&amp;$J122&amp;S$1,Pesos!$A:$I,9,FALSE)))</f>
        <v>-4.4999999999999998E-2</v>
      </c>
      <c r="AL122" s="80">
        <f t="shared" si="25"/>
        <v>4.4550000000000001</v>
      </c>
      <c r="AM122" s="80">
        <f>IF(T122="","",IF(T122="SIM",VLOOKUP($I122&amp;$J122&amp;T$1,Pesos!$A:$I,7,FALSE),VLOOKUP($I122&amp;$J122&amp;T$1,Pesos!$A:$I,9,FALSE)))</f>
        <v>0.89999999999999991</v>
      </c>
      <c r="AN122" s="80">
        <f>IF(U122="","",IF(U122="SIM",VLOOKUP($I122&amp;$J122&amp;U$1,Pesos!$A:$I,7,FALSE),VLOOKUP($I122&amp;$J122&amp;U$1,Pesos!$A:$I,9,FALSE)))</f>
        <v>0.92500000000000004</v>
      </c>
      <c r="AO122" s="80">
        <f>IF(V122="","",IF(V122="SIM",VLOOKUP($I122&amp;$J122&amp;V$1,Pesos!$A:$I,7,FALSE),VLOOKUP($I122&amp;$J122&amp;V$1,Pesos!$A:$I,9,FALSE)))</f>
        <v>-4.6250000000000006E-2</v>
      </c>
      <c r="AP122" s="80">
        <f>IF(W122="","",IF(W122="SIM",VLOOKUP($I122&amp;$J122&amp;W$1,Pesos!$A:$I,7,FALSE),VLOOKUP($I122&amp;$J122&amp;W$1,Pesos!$A:$I,9,FALSE)))</f>
        <v>-4.4999999999999998E-2</v>
      </c>
      <c r="AQ122" s="80">
        <f>IF(X122="","",IF(X122="SIM",VLOOKUP($I122&amp;$J122&amp;X$1,Pesos!$A:$I,7,FALSE),VLOOKUP($I122&amp;$J122&amp;X$1,Pesos!$A:$I,9,FALSE)))</f>
        <v>-4.7500000000000001E-2</v>
      </c>
      <c r="AR122" s="80" t="str">
        <f>IF(Y122="","",IF(Y122="SIM",VLOOKUP($I122&amp;$J122&amp;Y$1,Pesos!$A:$I,7,FALSE),VLOOKUP($I122&amp;$J122&amp;Y$1,Pesos!$A:$I,9,FALSE)))</f>
        <v/>
      </c>
      <c r="AS122" s="81">
        <f>IFERROR(Z122*VLOOKUP(J122,'BD Campos'!$Y$1:$Z$12,2,FALSE),"0")</f>
        <v>6.1412500000000003</v>
      </c>
    </row>
    <row r="123" spans="1:45" x14ac:dyDescent="0.35">
      <c r="A123" s="68" t="str">
        <f t="shared" si="17"/>
        <v>Jan20254207MotoristaTRANSFERÊNCIA</v>
      </c>
      <c r="B123" s="69" t="str">
        <f t="shared" si="21"/>
        <v>Jan202542071TRANSFERÊNCIAPADRÃO</v>
      </c>
      <c r="C123" s="70">
        <v>1</v>
      </c>
      <c r="D123" s="71">
        <v>45674.463073263891</v>
      </c>
      <c r="E123" s="112" t="s">
        <v>74</v>
      </c>
      <c r="F123" s="72">
        <v>4207</v>
      </c>
      <c r="G123" s="69" t="s">
        <v>1098</v>
      </c>
      <c r="H123" s="73">
        <v>1</v>
      </c>
      <c r="I123" s="69" t="s">
        <v>123</v>
      </c>
      <c r="J123" s="69" t="s">
        <v>122</v>
      </c>
      <c r="K123" s="69" t="s">
        <v>106</v>
      </c>
      <c r="L123" s="74">
        <v>30841911</v>
      </c>
      <c r="M123" s="75">
        <v>1.1111111111111111E-3</v>
      </c>
      <c r="N123" s="76" t="s">
        <v>79</v>
      </c>
      <c r="O123" s="76" t="s">
        <v>79</v>
      </c>
      <c r="P123" s="76" t="s">
        <v>79</v>
      </c>
      <c r="Q123" s="76" t="s">
        <v>79</v>
      </c>
      <c r="R123" s="76" t="s">
        <v>79</v>
      </c>
      <c r="S123" s="76" t="s">
        <v>83</v>
      </c>
      <c r="T123" s="76" t="s">
        <v>79</v>
      </c>
      <c r="U123" s="76" t="s">
        <v>83</v>
      </c>
      <c r="V123" s="76" t="s">
        <v>79</v>
      </c>
      <c r="W123" s="76" t="s">
        <v>83</v>
      </c>
      <c r="X123" s="76"/>
      <c r="Y123" s="76"/>
      <c r="Z123" s="77">
        <f t="shared" si="2"/>
        <v>6.8500000000000005</v>
      </c>
      <c r="AA123" s="78"/>
      <c r="AB123" s="78" t="s">
        <v>1489</v>
      </c>
      <c r="AC123" s="72" t="s">
        <v>47</v>
      </c>
      <c r="AE123" s="79" t="str">
        <f t="shared" si="24"/>
        <v>Jan4207</v>
      </c>
      <c r="AF123" s="80">
        <f>IF(N123="","",IF(N123="SIM",VLOOKUP($I123&amp;$J123&amp;N$1,Pesos!$A:$I,7,FALSE),VLOOKUP($I123&amp;$J123&amp;N$1,Pesos!$A:$I,9,FALSE)))</f>
        <v>1</v>
      </c>
      <c r="AG123" s="80">
        <f>IF(O123="","",IF(O123="SIM",VLOOKUP($I123&amp;$J123&amp;O$1,Pesos!$A:$I,7,FALSE),VLOOKUP($I123&amp;$J123&amp;O$1,Pesos!$A:$I,9,FALSE)))</f>
        <v>1</v>
      </c>
      <c r="AH123" s="80">
        <f>IF(P123="","",IF(P123="SIM",VLOOKUP($I123&amp;$J123&amp;P$1,Pesos!$A:$I,7,FALSE),VLOOKUP($I123&amp;$J123&amp;P$1,Pesos!$A:$I,9,FALSE)))</f>
        <v>1</v>
      </c>
      <c r="AI123" s="80">
        <f>IF(Q123="","",IF(Q123="SIM",VLOOKUP($I123&amp;$J123&amp;Q$1,Pesos!$A:$I,7,FALSE),VLOOKUP($I123&amp;$J123&amp;Q$1,Pesos!$A:$I,9,FALSE)))</f>
        <v>1</v>
      </c>
      <c r="AJ123" s="80">
        <f>IF(R123="","",IF(R123="SIM",VLOOKUP($I123&amp;$J123&amp;R$1,Pesos!$A:$I,7,FALSE),VLOOKUP($I123&amp;$J123&amp;R$1,Pesos!$A:$I,9,FALSE)))</f>
        <v>1</v>
      </c>
      <c r="AK123" s="80">
        <f>IF(S123="","",IF(S123="SIM",VLOOKUP($I123&amp;$J123&amp;S$1,Pesos!$A:$I,7,FALSE),VLOOKUP($I123&amp;$J123&amp;S$1,Pesos!$A:$I,9,FALSE)))</f>
        <v>-0.05</v>
      </c>
      <c r="AL123" s="80">
        <f t="shared" si="25"/>
        <v>4.95</v>
      </c>
      <c r="AM123" s="80">
        <f>IF(T123="","",IF(T123="SIM",VLOOKUP($I123&amp;$J123&amp;T$1,Pesos!$A:$I,7,FALSE),VLOOKUP($I123&amp;$J123&amp;T$1,Pesos!$A:$I,9,FALSE)))</f>
        <v>1</v>
      </c>
      <c r="AN123" s="80">
        <f>IF(U123="","",IF(U123="SIM",VLOOKUP($I123&amp;$J123&amp;U$1,Pesos!$A:$I,7,FALSE),VLOOKUP($I123&amp;$J123&amp;U$1,Pesos!$A:$I,9,FALSE)))</f>
        <v>-0.05</v>
      </c>
      <c r="AO123" s="80">
        <f>IF(V123="","",IF(V123="SIM",VLOOKUP($I123&amp;$J123&amp;V$1,Pesos!$A:$I,7,FALSE),VLOOKUP($I123&amp;$J123&amp;V$1,Pesos!$A:$I,9,FALSE)))</f>
        <v>1</v>
      </c>
      <c r="AP123" s="80">
        <f>IF(W123="","",IF(W123="SIM",VLOOKUP($I123&amp;$J123&amp;W$1,Pesos!$A:$I,7,FALSE),VLOOKUP($I123&amp;$J123&amp;W$1,Pesos!$A:$I,9,FALSE)))</f>
        <v>-0.05</v>
      </c>
      <c r="AQ123" s="80" t="str">
        <f>IF(X123="","",IF(X123="SIM",VLOOKUP($I123&amp;$J123&amp;X$1,Pesos!$A:$I,7,FALSE),VLOOKUP($I123&amp;$J123&amp;X$1,Pesos!$A:$I,9,FALSE)))</f>
        <v/>
      </c>
      <c r="AR123" s="80" t="str">
        <f>IF(Y123="","",IF(Y123="SIM",VLOOKUP($I123&amp;$J123&amp;Y$1,Pesos!$A:$I,7,FALSE),VLOOKUP($I123&amp;$J123&amp;Y$1,Pesos!$A:$I,9,FALSE)))</f>
        <v/>
      </c>
      <c r="AS123" s="81">
        <f>IFERROR(Z123*VLOOKUP(J123,'BD Campos'!$Y$1:$Z$12,2,FALSE),"0")</f>
        <v>6.8500000000000005</v>
      </c>
    </row>
    <row r="124" spans="1:45" x14ac:dyDescent="0.35">
      <c r="A124" s="68" t="str">
        <f t="shared" si="17"/>
        <v>Jan20254210MotoristaTRANSFERÊNCIA</v>
      </c>
      <c r="B124" s="69" t="str">
        <f t="shared" si="21"/>
        <v>Jan202542101TRANSFERÊNCIAPADRÃO</v>
      </c>
      <c r="C124" s="70">
        <v>1</v>
      </c>
      <c r="D124" s="71">
        <v>45674.466499884256</v>
      </c>
      <c r="E124" s="112" t="s">
        <v>74</v>
      </c>
      <c r="F124" s="72">
        <v>4210</v>
      </c>
      <c r="G124" s="69" t="s">
        <v>1493</v>
      </c>
      <c r="H124" s="73">
        <v>1</v>
      </c>
      <c r="I124" s="69" t="s">
        <v>121</v>
      </c>
      <c r="J124" s="69" t="s">
        <v>122</v>
      </c>
      <c r="K124" s="69" t="s">
        <v>106</v>
      </c>
      <c r="L124" s="74">
        <v>30796832</v>
      </c>
      <c r="M124" s="75">
        <v>1.0185185185185186E-3</v>
      </c>
      <c r="N124" s="76"/>
      <c r="O124" s="76"/>
      <c r="P124" s="76"/>
      <c r="Q124" s="76"/>
      <c r="R124" s="76"/>
      <c r="S124" s="76"/>
      <c r="T124" s="76"/>
      <c r="U124" s="76"/>
      <c r="V124" s="76"/>
      <c r="W124" s="76"/>
      <c r="X124" s="76"/>
      <c r="Y124" s="76"/>
      <c r="Z124" s="77">
        <f t="shared" si="2"/>
        <v>0</v>
      </c>
      <c r="AA124" s="78" t="s">
        <v>1491</v>
      </c>
      <c r="AB124" s="78" t="s">
        <v>1490</v>
      </c>
      <c r="AC124" s="72" t="s">
        <v>47</v>
      </c>
      <c r="AE124" s="79" t="str">
        <f t="shared" si="24"/>
        <v>Jan4210</v>
      </c>
      <c r="AF124" s="80" t="str">
        <f>IF(N124="","",IF(N124="SIM",VLOOKUP($I124&amp;$J124&amp;N$1,Pesos!$A:$I,7,FALSE),VLOOKUP($I124&amp;$J124&amp;N$1,Pesos!$A:$I,9,FALSE)))</f>
        <v/>
      </c>
      <c r="AG124" s="80" t="str">
        <f>IF(O124="","",IF(O124="SIM",VLOOKUP($I124&amp;$J124&amp;O$1,Pesos!$A:$I,7,FALSE),VLOOKUP($I124&amp;$J124&amp;O$1,Pesos!$A:$I,9,FALSE)))</f>
        <v/>
      </c>
      <c r="AH124" s="80" t="str">
        <f>IF(P124="","",IF(P124="SIM",VLOOKUP($I124&amp;$J124&amp;P$1,Pesos!$A:$I,7,FALSE),VLOOKUP($I124&amp;$J124&amp;P$1,Pesos!$A:$I,9,FALSE)))</f>
        <v/>
      </c>
      <c r="AI124" s="80" t="str">
        <f>IF(Q124="","",IF(Q124="SIM",VLOOKUP($I124&amp;$J124&amp;Q$1,Pesos!$A:$I,7,FALSE),VLOOKUP($I124&amp;$J124&amp;Q$1,Pesos!$A:$I,9,FALSE)))</f>
        <v/>
      </c>
      <c r="AJ124" s="80" t="str">
        <f>IF(R124="","",IF(R124="SIM",VLOOKUP($I124&amp;$J124&amp;R$1,Pesos!$A:$I,7,FALSE),VLOOKUP($I124&amp;$J124&amp;R$1,Pesos!$A:$I,9,FALSE)))</f>
        <v/>
      </c>
      <c r="AK124" s="80" t="str">
        <f>IF(S124="","",IF(S124="SIM",VLOOKUP($I124&amp;$J124&amp;S$1,Pesos!$A:$I,7,FALSE),VLOOKUP($I124&amp;$J124&amp;S$1,Pesos!$A:$I,9,FALSE)))</f>
        <v/>
      </c>
      <c r="AL124" s="80">
        <f t="shared" si="25"/>
        <v>0</v>
      </c>
      <c r="AM124" s="80" t="str">
        <f>IF(T124="","",IF(T124="SIM",VLOOKUP($I124&amp;$J124&amp;T$1,Pesos!$A:$I,7,FALSE),VLOOKUP($I124&amp;$J124&amp;T$1,Pesos!$A:$I,9,FALSE)))</f>
        <v/>
      </c>
      <c r="AN124" s="80" t="str">
        <f>IF(U124="","",IF(U124="SIM",VLOOKUP($I124&amp;$J124&amp;U$1,Pesos!$A:$I,7,FALSE),VLOOKUP($I124&amp;$J124&amp;U$1,Pesos!$A:$I,9,FALSE)))</f>
        <v/>
      </c>
      <c r="AO124" s="80" t="str">
        <f>IF(V124="","",IF(V124="SIM",VLOOKUP($I124&amp;$J124&amp;V$1,Pesos!$A:$I,7,FALSE),VLOOKUP($I124&amp;$J124&amp;V$1,Pesos!$A:$I,9,FALSE)))</f>
        <v/>
      </c>
      <c r="AP124" s="80" t="str">
        <f>IF(W124="","",IF(W124="SIM",VLOOKUP($I124&amp;$J124&amp;W$1,Pesos!$A:$I,7,FALSE),VLOOKUP($I124&amp;$J124&amp;W$1,Pesos!$A:$I,9,FALSE)))</f>
        <v/>
      </c>
      <c r="AQ124" s="80" t="str">
        <f>IF(X124="","",IF(X124="SIM",VLOOKUP($I124&amp;$J124&amp;X$1,Pesos!$A:$I,7,FALSE),VLOOKUP($I124&amp;$J124&amp;X$1,Pesos!$A:$I,9,FALSE)))</f>
        <v/>
      </c>
      <c r="AR124" s="80" t="str">
        <f>IF(Y124="","",IF(Y124="SIM",VLOOKUP($I124&amp;$J124&amp;Y$1,Pesos!$A:$I,7,FALSE),VLOOKUP($I124&amp;$J124&amp;Y$1,Pesos!$A:$I,9,FALSE)))</f>
        <v/>
      </c>
      <c r="AS124" s="81">
        <f>IFERROR(Z124*VLOOKUP(J124,'BD Campos'!$Y$1:$Z$12,2,FALSE),"0")</f>
        <v>0</v>
      </c>
    </row>
    <row r="125" spans="1:45" x14ac:dyDescent="0.35">
      <c r="A125" s="68" t="str">
        <f t="shared" si="17"/>
        <v>Jan20254186ReceptivaTRANSFERÊNCIA</v>
      </c>
      <c r="B125" s="69" t="str">
        <f t="shared" si="21"/>
        <v>Jan202541865TRANSFERÊNCIAPADRÃO</v>
      </c>
      <c r="C125" s="70">
        <v>1</v>
      </c>
      <c r="D125" s="71">
        <v>45674.502997685187</v>
      </c>
      <c r="E125" s="112" t="s">
        <v>74</v>
      </c>
      <c r="F125" s="72">
        <v>4186</v>
      </c>
      <c r="G125" s="69" t="s">
        <v>229</v>
      </c>
      <c r="H125" s="73">
        <v>5</v>
      </c>
      <c r="I125" s="69" t="s">
        <v>6</v>
      </c>
      <c r="J125" s="69" t="s">
        <v>98</v>
      </c>
      <c r="K125" s="69" t="s">
        <v>106</v>
      </c>
      <c r="L125" s="74"/>
      <c r="M125" s="75">
        <v>8.6805555555555551E-4</v>
      </c>
      <c r="N125" s="76" t="s">
        <v>79</v>
      </c>
      <c r="O125" s="76" t="s">
        <v>79</v>
      </c>
      <c r="P125" s="76" t="s">
        <v>79</v>
      </c>
      <c r="Q125" s="76" t="s">
        <v>79</v>
      </c>
      <c r="R125" s="76" t="s">
        <v>79</v>
      </c>
      <c r="S125" s="76" t="s">
        <v>79</v>
      </c>
      <c r="T125" s="76" t="s">
        <v>79</v>
      </c>
      <c r="U125" s="76" t="s">
        <v>79</v>
      </c>
      <c r="V125" s="76" t="s">
        <v>79</v>
      </c>
      <c r="W125" s="76" t="s">
        <v>79</v>
      </c>
      <c r="X125" s="76" t="s">
        <v>79</v>
      </c>
      <c r="Y125" s="76" t="s">
        <v>79</v>
      </c>
      <c r="Z125" s="77">
        <f t="shared" si="2"/>
        <v>10</v>
      </c>
      <c r="AA125" s="78"/>
      <c r="AB125" s="78"/>
      <c r="AC125" s="72" t="s">
        <v>47</v>
      </c>
      <c r="AE125" s="79" t="str">
        <f t="shared" si="24"/>
        <v>Jan4186</v>
      </c>
      <c r="AF125" s="80">
        <f>IF(N125="","",IF(N125="SIM",VLOOKUP($I125&amp;$J125&amp;N$1,Pesos!$A:$I,7,FALSE),VLOOKUP($I125&amp;$J125&amp;N$1,Pesos!$A:$I,9,FALSE)))</f>
        <v>0.8</v>
      </c>
      <c r="AG125" s="80">
        <f>IF(O125="","",IF(O125="SIM",VLOOKUP($I125&amp;$J125&amp;O$1,Pesos!$A:$I,7,FALSE),VLOOKUP($I125&amp;$J125&amp;O$1,Pesos!$A:$I,9,FALSE)))</f>
        <v>0.8</v>
      </c>
      <c r="AH125" s="80">
        <f>IF(P125="","",IF(P125="SIM",VLOOKUP($I125&amp;$J125&amp;P$1,Pesos!$A:$I,7,FALSE),VLOOKUP($I125&amp;$J125&amp;P$1,Pesos!$A:$I,9,FALSE)))</f>
        <v>1.2</v>
      </c>
      <c r="AI125" s="80">
        <f>IF(Q125="","",IF(Q125="SIM",VLOOKUP($I125&amp;$J125&amp;Q$1,Pesos!$A:$I,7,FALSE),VLOOKUP($I125&amp;$J125&amp;Q$1,Pesos!$A:$I,9,FALSE)))</f>
        <v>0.8</v>
      </c>
      <c r="AJ125" s="80">
        <f>IF(R125="","",IF(R125="SIM",VLOOKUP($I125&amp;$J125&amp;R$1,Pesos!$A:$I,7,FALSE),VLOOKUP($I125&amp;$J125&amp;R$1,Pesos!$A:$I,9,FALSE)))</f>
        <v>0.8</v>
      </c>
      <c r="AK125" s="80">
        <f>IF(S125="","",IF(S125="SIM",VLOOKUP($I125&amp;$J125&amp;S$1,Pesos!$A:$I,7,FALSE),VLOOKUP($I125&amp;$J125&amp;S$1,Pesos!$A:$I,9,FALSE)))</f>
        <v>0.8</v>
      </c>
      <c r="AL125" s="80">
        <f t="shared" si="25"/>
        <v>5.1999999999999993</v>
      </c>
      <c r="AM125" s="80">
        <f>IF(T125="","",IF(T125="SIM",VLOOKUP($I125&amp;$J125&amp;T$1,Pesos!$A:$I,7,FALSE),VLOOKUP($I125&amp;$J125&amp;T$1,Pesos!$A:$I,9,FALSE)))</f>
        <v>0.8</v>
      </c>
      <c r="AN125" s="80">
        <f>IF(U125="","",IF(U125="SIM",VLOOKUP($I125&amp;$J125&amp;U$1,Pesos!$A:$I,7,FALSE),VLOOKUP($I125&amp;$J125&amp;U$1,Pesos!$A:$I,9,FALSE)))</f>
        <v>0.8</v>
      </c>
      <c r="AO125" s="80">
        <f>IF(V125="","",IF(V125="SIM",VLOOKUP($I125&amp;$J125&amp;V$1,Pesos!$A:$I,7,FALSE),VLOOKUP($I125&amp;$J125&amp;V$1,Pesos!$A:$I,9,FALSE)))</f>
        <v>0.8</v>
      </c>
      <c r="AP125" s="80">
        <f>IF(W125="","",IF(W125="SIM",VLOOKUP($I125&amp;$J125&amp;W$1,Pesos!$A:$I,7,FALSE),VLOOKUP($I125&amp;$J125&amp;W$1,Pesos!$A:$I,9,FALSE)))</f>
        <v>0.8</v>
      </c>
      <c r="AQ125" s="80">
        <f>IF(X125="","",IF(X125="SIM",VLOOKUP($I125&amp;$J125&amp;X$1,Pesos!$A:$I,7,FALSE),VLOOKUP($I125&amp;$J125&amp;X$1,Pesos!$A:$I,9,FALSE)))</f>
        <v>0.8</v>
      </c>
      <c r="AR125" s="80">
        <f>IF(Y125="","",IF(Y125="SIM",VLOOKUP($I125&amp;$J125&amp;Y$1,Pesos!$A:$I,7,FALSE),VLOOKUP($I125&amp;$J125&amp;Y$1,Pesos!$A:$I,9,FALSE)))</f>
        <v>0.8</v>
      </c>
      <c r="AS125" s="81">
        <f>IFERROR(Z125*VLOOKUP(J125,'BD Campos'!$Y$1:$Z$12,2,FALSE),"0")</f>
        <v>10</v>
      </c>
    </row>
    <row r="126" spans="1:45" x14ac:dyDescent="0.35">
      <c r="A126" s="68" t="str">
        <f t="shared" si="17"/>
        <v>Jan20254199ReceptivaTRANSFERÊNCIA</v>
      </c>
      <c r="B126" s="69" t="str">
        <f t="shared" si="21"/>
        <v>Jan202541995TRANSFERÊNCIAPADRÃO</v>
      </c>
      <c r="C126" s="70">
        <v>1</v>
      </c>
      <c r="D126" s="71">
        <v>45674.505745023147</v>
      </c>
      <c r="E126" s="112" t="s">
        <v>74</v>
      </c>
      <c r="F126" s="72">
        <v>4199</v>
      </c>
      <c r="G126" s="69" t="s">
        <v>346</v>
      </c>
      <c r="H126" s="73">
        <v>5</v>
      </c>
      <c r="I126" s="69" t="s">
        <v>6</v>
      </c>
      <c r="J126" s="69" t="s">
        <v>98</v>
      </c>
      <c r="K126" s="69" t="s">
        <v>106</v>
      </c>
      <c r="L126" s="74"/>
      <c r="M126" s="75">
        <v>8.3333333333333339E-4</v>
      </c>
      <c r="N126" s="76" t="s">
        <v>79</v>
      </c>
      <c r="O126" s="76" t="s">
        <v>79</v>
      </c>
      <c r="P126" s="76" t="s">
        <v>79</v>
      </c>
      <c r="Q126" s="76" t="s">
        <v>79</v>
      </c>
      <c r="R126" s="76" t="s">
        <v>79</v>
      </c>
      <c r="S126" s="76" t="s">
        <v>79</v>
      </c>
      <c r="T126" s="76" t="s">
        <v>79</v>
      </c>
      <c r="U126" s="76" t="s">
        <v>79</v>
      </c>
      <c r="V126" s="76" t="s">
        <v>79</v>
      </c>
      <c r="W126" s="76" t="s">
        <v>83</v>
      </c>
      <c r="X126" s="76" t="s">
        <v>79</v>
      </c>
      <c r="Y126" s="76" t="s">
        <v>79</v>
      </c>
      <c r="Z126" s="77">
        <f t="shared" si="2"/>
        <v>9.16</v>
      </c>
      <c r="AA126" s="78"/>
      <c r="AB126" s="78"/>
      <c r="AC126" s="72" t="s">
        <v>47</v>
      </c>
      <c r="AE126" s="79" t="str">
        <f t="shared" si="24"/>
        <v>Jan4199</v>
      </c>
      <c r="AF126" s="80">
        <f>IF(N126="","",IF(N126="SIM",VLOOKUP($I126&amp;$J126&amp;N$1,Pesos!$A:$I,7,FALSE),VLOOKUP($I126&amp;$J126&amp;N$1,Pesos!$A:$I,9,FALSE)))</f>
        <v>0.8</v>
      </c>
      <c r="AG126" s="80">
        <f>IF(O126="","",IF(O126="SIM",VLOOKUP($I126&amp;$J126&amp;O$1,Pesos!$A:$I,7,FALSE),VLOOKUP($I126&amp;$J126&amp;O$1,Pesos!$A:$I,9,FALSE)))</f>
        <v>0.8</v>
      </c>
      <c r="AH126" s="80">
        <f>IF(P126="","",IF(P126="SIM",VLOOKUP($I126&amp;$J126&amp;P$1,Pesos!$A:$I,7,FALSE),VLOOKUP($I126&amp;$J126&amp;P$1,Pesos!$A:$I,9,FALSE)))</f>
        <v>1.2</v>
      </c>
      <c r="AI126" s="80">
        <f>IF(Q126="","",IF(Q126="SIM",VLOOKUP($I126&amp;$J126&amp;Q$1,Pesos!$A:$I,7,FALSE),VLOOKUP($I126&amp;$J126&amp;Q$1,Pesos!$A:$I,9,FALSE)))</f>
        <v>0.8</v>
      </c>
      <c r="AJ126" s="80">
        <f>IF(R126="","",IF(R126="SIM",VLOOKUP($I126&amp;$J126&amp;R$1,Pesos!$A:$I,7,FALSE),VLOOKUP($I126&amp;$J126&amp;R$1,Pesos!$A:$I,9,FALSE)))</f>
        <v>0.8</v>
      </c>
      <c r="AK126" s="80">
        <f>IF(S126="","",IF(S126="SIM",VLOOKUP($I126&amp;$J126&amp;S$1,Pesos!$A:$I,7,FALSE),VLOOKUP($I126&amp;$J126&amp;S$1,Pesos!$A:$I,9,FALSE)))</f>
        <v>0.8</v>
      </c>
      <c r="AL126" s="80">
        <f t="shared" si="25"/>
        <v>5.1999999999999993</v>
      </c>
      <c r="AM126" s="80">
        <f>IF(T126="","",IF(T126="SIM",VLOOKUP($I126&amp;$J126&amp;T$1,Pesos!$A:$I,7,FALSE),VLOOKUP($I126&amp;$J126&amp;T$1,Pesos!$A:$I,9,FALSE)))</f>
        <v>0.8</v>
      </c>
      <c r="AN126" s="80">
        <f>IF(U126="","",IF(U126="SIM",VLOOKUP($I126&amp;$J126&amp;U$1,Pesos!$A:$I,7,FALSE),VLOOKUP($I126&amp;$J126&amp;U$1,Pesos!$A:$I,9,FALSE)))</f>
        <v>0.8</v>
      </c>
      <c r="AO126" s="80">
        <f>IF(V126="","",IF(V126="SIM",VLOOKUP($I126&amp;$J126&amp;V$1,Pesos!$A:$I,7,FALSE),VLOOKUP($I126&amp;$J126&amp;V$1,Pesos!$A:$I,9,FALSE)))</f>
        <v>0.8</v>
      </c>
      <c r="AP126" s="80">
        <f>IF(W126="","",IF(W126="SIM",VLOOKUP($I126&amp;$J126&amp;W$1,Pesos!$A:$I,7,FALSE),VLOOKUP($I126&amp;$J126&amp;W$1,Pesos!$A:$I,9,FALSE)))</f>
        <v>-4.0000000000000008E-2</v>
      </c>
      <c r="AQ126" s="80">
        <f>IF(X126="","",IF(X126="SIM",VLOOKUP($I126&amp;$J126&amp;X$1,Pesos!$A:$I,7,FALSE),VLOOKUP($I126&amp;$J126&amp;X$1,Pesos!$A:$I,9,FALSE)))</f>
        <v>0.8</v>
      </c>
      <c r="AR126" s="80">
        <f>IF(Y126="","",IF(Y126="SIM",VLOOKUP($I126&amp;$J126&amp;Y$1,Pesos!$A:$I,7,FALSE),VLOOKUP($I126&amp;$J126&amp;Y$1,Pesos!$A:$I,9,FALSE)))</f>
        <v>0.8</v>
      </c>
      <c r="AS126" s="81">
        <f>IFERROR(Z126*VLOOKUP(J126,'BD Campos'!$Y$1:$Z$12,2,FALSE),"0")</f>
        <v>9.16</v>
      </c>
    </row>
    <row r="127" spans="1:45" x14ac:dyDescent="0.35">
      <c r="A127" s="68" t="str">
        <f t="shared" si="17"/>
        <v>Jan20254208ReceptivaTRANSFERÊNCIA</v>
      </c>
      <c r="B127" s="69" t="str">
        <f t="shared" si="21"/>
        <v>Jan202542085TRANSFERÊNCIAPADRÃO</v>
      </c>
      <c r="C127" s="70">
        <v>1</v>
      </c>
      <c r="D127" s="71">
        <v>45674.508967013891</v>
      </c>
      <c r="E127" s="112" t="s">
        <v>74</v>
      </c>
      <c r="F127" s="72">
        <v>4208</v>
      </c>
      <c r="G127" s="69" t="s">
        <v>1482</v>
      </c>
      <c r="H127" s="73">
        <v>5</v>
      </c>
      <c r="I127" s="69" t="s">
        <v>6</v>
      </c>
      <c r="J127" s="69" t="s">
        <v>98</v>
      </c>
      <c r="K127" s="69" t="s">
        <v>106</v>
      </c>
      <c r="L127" s="74"/>
      <c r="M127" s="75">
        <v>1.0879629629629629E-3</v>
      </c>
      <c r="N127" s="76" t="s">
        <v>79</v>
      </c>
      <c r="O127" s="76" t="s">
        <v>83</v>
      </c>
      <c r="P127" s="76" t="s">
        <v>79</v>
      </c>
      <c r="Q127" s="76" t="s">
        <v>79</v>
      </c>
      <c r="R127" s="76" t="s">
        <v>79</v>
      </c>
      <c r="S127" s="76" t="s">
        <v>79</v>
      </c>
      <c r="T127" s="76" t="s">
        <v>79</v>
      </c>
      <c r="U127" s="76" t="s">
        <v>79</v>
      </c>
      <c r="V127" s="76" t="s">
        <v>79</v>
      </c>
      <c r="W127" s="76" t="s">
        <v>79</v>
      </c>
      <c r="X127" s="76" t="s">
        <v>79</v>
      </c>
      <c r="Y127" s="76" t="s">
        <v>79</v>
      </c>
      <c r="Z127" s="77">
        <f t="shared" si="2"/>
        <v>9.16</v>
      </c>
      <c r="AA127" s="78"/>
      <c r="AB127" s="78"/>
      <c r="AC127" s="72" t="s">
        <v>47</v>
      </c>
      <c r="AE127" s="79" t="str">
        <f t="shared" si="24"/>
        <v>Jan4208</v>
      </c>
      <c r="AF127" s="80">
        <f>IF(N127="","",IF(N127="SIM",VLOOKUP($I127&amp;$J127&amp;N$1,Pesos!$A:$I,7,FALSE),VLOOKUP($I127&amp;$J127&amp;N$1,Pesos!$A:$I,9,FALSE)))</f>
        <v>0.8</v>
      </c>
      <c r="AG127" s="80">
        <f>IF(O127="","",IF(O127="SIM",VLOOKUP($I127&amp;$J127&amp;O$1,Pesos!$A:$I,7,FALSE),VLOOKUP($I127&amp;$J127&amp;O$1,Pesos!$A:$I,9,FALSE)))</f>
        <v>-4.0000000000000008E-2</v>
      </c>
      <c r="AH127" s="80">
        <f>IF(P127="","",IF(P127="SIM",VLOOKUP($I127&amp;$J127&amp;P$1,Pesos!$A:$I,7,FALSE),VLOOKUP($I127&amp;$J127&amp;P$1,Pesos!$A:$I,9,FALSE)))</f>
        <v>1.2</v>
      </c>
      <c r="AI127" s="80">
        <f>IF(Q127="","",IF(Q127="SIM",VLOOKUP($I127&amp;$J127&amp;Q$1,Pesos!$A:$I,7,FALSE),VLOOKUP($I127&amp;$J127&amp;Q$1,Pesos!$A:$I,9,FALSE)))</f>
        <v>0.8</v>
      </c>
      <c r="AJ127" s="80">
        <f>IF(R127="","",IF(R127="SIM",VLOOKUP($I127&amp;$J127&amp;R$1,Pesos!$A:$I,7,FALSE),VLOOKUP($I127&amp;$J127&amp;R$1,Pesos!$A:$I,9,FALSE)))</f>
        <v>0.8</v>
      </c>
      <c r="AK127" s="80">
        <f>IF(S127="","",IF(S127="SIM",VLOOKUP($I127&amp;$J127&amp;S$1,Pesos!$A:$I,7,FALSE),VLOOKUP($I127&amp;$J127&amp;S$1,Pesos!$A:$I,9,FALSE)))</f>
        <v>0.8</v>
      </c>
      <c r="AL127" s="80">
        <f t="shared" si="25"/>
        <v>4.3599999999999994</v>
      </c>
      <c r="AM127" s="80">
        <f>IF(T127="","",IF(T127="SIM",VLOOKUP($I127&amp;$J127&amp;T$1,Pesos!$A:$I,7,FALSE),VLOOKUP($I127&amp;$J127&amp;T$1,Pesos!$A:$I,9,FALSE)))</f>
        <v>0.8</v>
      </c>
      <c r="AN127" s="80">
        <f>IF(U127="","",IF(U127="SIM",VLOOKUP($I127&amp;$J127&amp;U$1,Pesos!$A:$I,7,FALSE),VLOOKUP($I127&amp;$J127&amp;U$1,Pesos!$A:$I,9,FALSE)))</f>
        <v>0.8</v>
      </c>
      <c r="AO127" s="80">
        <f>IF(V127="","",IF(V127="SIM",VLOOKUP($I127&amp;$J127&amp;V$1,Pesos!$A:$I,7,FALSE),VLOOKUP($I127&amp;$J127&amp;V$1,Pesos!$A:$I,9,FALSE)))</f>
        <v>0.8</v>
      </c>
      <c r="AP127" s="80">
        <f>IF(W127="","",IF(W127="SIM",VLOOKUP($I127&amp;$J127&amp;W$1,Pesos!$A:$I,7,FALSE),VLOOKUP($I127&amp;$J127&amp;W$1,Pesos!$A:$I,9,FALSE)))</f>
        <v>0.8</v>
      </c>
      <c r="AQ127" s="80">
        <f>IF(X127="","",IF(X127="SIM",VLOOKUP($I127&amp;$J127&amp;X$1,Pesos!$A:$I,7,FALSE),VLOOKUP($I127&amp;$J127&amp;X$1,Pesos!$A:$I,9,FALSE)))</f>
        <v>0.8</v>
      </c>
      <c r="AR127" s="80">
        <f>IF(Y127="","",IF(Y127="SIM",VLOOKUP($I127&amp;$J127&amp;Y$1,Pesos!$A:$I,7,FALSE),VLOOKUP($I127&amp;$J127&amp;Y$1,Pesos!$A:$I,9,FALSE)))</f>
        <v>0.8</v>
      </c>
      <c r="AS127" s="81">
        <f>IFERROR(Z127*VLOOKUP(J127,'BD Campos'!$Y$1:$Z$12,2,FALSE),"0")</f>
        <v>9.16</v>
      </c>
    </row>
    <row r="128" spans="1:45" x14ac:dyDescent="0.35">
      <c r="A128" s="68" t="str">
        <f t="shared" si="17"/>
        <v>Jan20254189ReceptivaTRANSFERÊNCIA</v>
      </c>
      <c r="B128" s="69" t="str">
        <f t="shared" si="21"/>
        <v>Jan202541895TRANSFERÊNCIAPADRÃO</v>
      </c>
      <c r="C128" s="70">
        <v>1</v>
      </c>
      <c r="D128" s="71">
        <v>45674.514347222219</v>
      </c>
      <c r="E128" s="112" t="s">
        <v>74</v>
      </c>
      <c r="F128" s="72">
        <v>4189</v>
      </c>
      <c r="G128" s="69" t="s">
        <v>234</v>
      </c>
      <c r="H128" s="73">
        <v>5</v>
      </c>
      <c r="I128" s="69" t="s">
        <v>6</v>
      </c>
      <c r="J128" s="69" t="s">
        <v>98</v>
      </c>
      <c r="K128" s="69" t="s">
        <v>106</v>
      </c>
      <c r="L128" s="74"/>
      <c r="M128" s="75">
        <v>1.5972222222222221E-3</v>
      </c>
      <c r="N128" s="76" t="s">
        <v>79</v>
      </c>
      <c r="O128" s="76" t="s">
        <v>83</v>
      </c>
      <c r="P128" s="76" t="s">
        <v>79</v>
      </c>
      <c r="Q128" s="76" t="s">
        <v>79</v>
      </c>
      <c r="R128" s="76" t="s">
        <v>79</v>
      </c>
      <c r="S128" s="76" t="s">
        <v>79</v>
      </c>
      <c r="T128" s="76" t="s">
        <v>79</v>
      </c>
      <c r="U128" s="76" t="s">
        <v>79</v>
      </c>
      <c r="V128" s="76" t="s">
        <v>79</v>
      </c>
      <c r="W128" s="76" t="s">
        <v>79</v>
      </c>
      <c r="X128" s="76" t="s">
        <v>79</v>
      </c>
      <c r="Y128" s="76" t="s">
        <v>79</v>
      </c>
      <c r="Z128" s="77">
        <f t="shared" si="2"/>
        <v>9.16</v>
      </c>
      <c r="AA128" s="78"/>
      <c r="AB128" s="78"/>
      <c r="AC128" s="72" t="s">
        <v>47</v>
      </c>
      <c r="AE128" s="79" t="str">
        <f t="shared" si="24"/>
        <v>Jan4189</v>
      </c>
      <c r="AF128" s="80">
        <f>IF(N128="","",IF(N128="SIM",VLOOKUP($I128&amp;$J128&amp;N$1,Pesos!$A:$I,7,FALSE),VLOOKUP($I128&amp;$J128&amp;N$1,Pesos!$A:$I,9,FALSE)))</f>
        <v>0.8</v>
      </c>
      <c r="AG128" s="80">
        <f>IF(O128="","",IF(O128="SIM",VLOOKUP($I128&amp;$J128&amp;O$1,Pesos!$A:$I,7,FALSE),VLOOKUP($I128&amp;$J128&amp;O$1,Pesos!$A:$I,9,FALSE)))</f>
        <v>-4.0000000000000008E-2</v>
      </c>
      <c r="AH128" s="80">
        <f>IF(P128="","",IF(P128="SIM",VLOOKUP($I128&amp;$J128&amp;P$1,Pesos!$A:$I,7,FALSE),VLOOKUP($I128&amp;$J128&amp;P$1,Pesos!$A:$I,9,FALSE)))</f>
        <v>1.2</v>
      </c>
      <c r="AI128" s="80">
        <f>IF(Q128="","",IF(Q128="SIM",VLOOKUP($I128&amp;$J128&amp;Q$1,Pesos!$A:$I,7,FALSE),VLOOKUP($I128&amp;$J128&amp;Q$1,Pesos!$A:$I,9,FALSE)))</f>
        <v>0.8</v>
      </c>
      <c r="AJ128" s="80">
        <f>IF(R128="","",IF(R128="SIM",VLOOKUP($I128&amp;$J128&amp;R$1,Pesos!$A:$I,7,FALSE),VLOOKUP($I128&amp;$J128&amp;R$1,Pesos!$A:$I,9,FALSE)))</f>
        <v>0.8</v>
      </c>
      <c r="AK128" s="80">
        <f>IF(S128="","",IF(S128="SIM",VLOOKUP($I128&amp;$J128&amp;S$1,Pesos!$A:$I,7,FALSE),VLOOKUP($I128&amp;$J128&amp;S$1,Pesos!$A:$I,9,FALSE)))</f>
        <v>0.8</v>
      </c>
      <c r="AL128" s="80">
        <f t="shared" si="25"/>
        <v>4.3599999999999994</v>
      </c>
      <c r="AM128" s="80">
        <f>IF(T128="","",IF(T128="SIM",VLOOKUP($I128&amp;$J128&amp;T$1,Pesos!$A:$I,7,FALSE),VLOOKUP($I128&amp;$J128&amp;T$1,Pesos!$A:$I,9,FALSE)))</f>
        <v>0.8</v>
      </c>
      <c r="AN128" s="80">
        <f>IF(U128="","",IF(U128="SIM",VLOOKUP($I128&amp;$J128&amp;U$1,Pesos!$A:$I,7,FALSE),VLOOKUP($I128&amp;$J128&amp;U$1,Pesos!$A:$I,9,FALSE)))</f>
        <v>0.8</v>
      </c>
      <c r="AO128" s="80">
        <f>IF(V128="","",IF(V128="SIM",VLOOKUP($I128&amp;$J128&amp;V$1,Pesos!$A:$I,7,FALSE),VLOOKUP($I128&amp;$J128&amp;V$1,Pesos!$A:$I,9,FALSE)))</f>
        <v>0.8</v>
      </c>
      <c r="AP128" s="80">
        <f>IF(W128="","",IF(W128="SIM",VLOOKUP($I128&amp;$J128&amp;W$1,Pesos!$A:$I,7,FALSE),VLOOKUP($I128&amp;$J128&amp;W$1,Pesos!$A:$I,9,FALSE)))</f>
        <v>0.8</v>
      </c>
      <c r="AQ128" s="80">
        <f>IF(X128="","",IF(X128="SIM",VLOOKUP($I128&amp;$J128&amp;X$1,Pesos!$A:$I,7,FALSE),VLOOKUP($I128&amp;$J128&amp;X$1,Pesos!$A:$I,9,FALSE)))</f>
        <v>0.8</v>
      </c>
      <c r="AR128" s="80">
        <f>IF(Y128="","",IF(Y128="SIM",VLOOKUP($I128&amp;$J128&amp;Y$1,Pesos!$A:$I,7,FALSE),VLOOKUP($I128&amp;$J128&amp;Y$1,Pesos!$A:$I,9,FALSE)))</f>
        <v>0.8</v>
      </c>
      <c r="AS128" s="81">
        <f>IFERROR(Z128*VLOOKUP(J128,'BD Campos'!$Y$1:$Z$12,2,FALSE),"0")</f>
        <v>9.16</v>
      </c>
    </row>
    <row r="129" spans="1:45" x14ac:dyDescent="0.35">
      <c r="A129" s="68" t="str">
        <f t="shared" ref="A129:A192" si="26">E129&amp;YEAR(D129)&amp;F129&amp;J129&amp;K129&amp;""</f>
        <v>Jan20254155ReceptivaTRANSFERÊNCIA</v>
      </c>
      <c r="B129" s="69" t="str">
        <f t="shared" si="21"/>
        <v>Jan202541555TRANSFERÊNCIAPADRÃO</v>
      </c>
      <c r="C129" s="70">
        <v>1</v>
      </c>
      <c r="D129" s="71">
        <v>45674.517681481484</v>
      </c>
      <c r="E129" s="112" t="s">
        <v>74</v>
      </c>
      <c r="F129" s="72">
        <v>4155</v>
      </c>
      <c r="G129" s="69" t="s">
        <v>347</v>
      </c>
      <c r="H129" s="73">
        <v>5</v>
      </c>
      <c r="I129" s="69" t="s">
        <v>6</v>
      </c>
      <c r="J129" s="69" t="s">
        <v>98</v>
      </c>
      <c r="K129" s="69" t="s">
        <v>106</v>
      </c>
      <c r="L129" s="74"/>
      <c r="M129" s="75">
        <v>7.5231481481481471E-4</v>
      </c>
      <c r="N129" s="76" t="s">
        <v>79</v>
      </c>
      <c r="O129" s="76" t="s">
        <v>83</v>
      </c>
      <c r="P129" s="76" t="s">
        <v>79</v>
      </c>
      <c r="Q129" s="76" t="s">
        <v>79</v>
      </c>
      <c r="R129" s="76" t="s">
        <v>79</v>
      </c>
      <c r="S129" s="76" t="s">
        <v>79</v>
      </c>
      <c r="T129" s="76" t="s">
        <v>83</v>
      </c>
      <c r="U129" s="76" t="s">
        <v>79</v>
      </c>
      <c r="V129" s="76" t="s">
        <v>79</v>
      </c>
      <c r="W129" s="76" t="s">
        <v>79</v>
      </c>
      <c r="X129" s="76" t="s">
        <v>79</v>
      </c>
      <c r="Y129" s="76" t="s">
        <v>79</v>
      </c>
      <c r="Z129" s="77">
        <f t="shared" si="2"/>
        <v>8.3199999999999985</v>
      </c>
      <c r="AA129" s="78"/>
      <c r="AB129" s="78"/>
      <c r="AC129" s="72" t="s">
        <v>47</v>
      </c>
      <c r="AE129" s="79" t="str">
        <f t="shared" si="24"/>
        <v>Jan4155</v>
      </c>
      <c r="AF129" s="80">
        <f>IF(N129="","",IF(N129="SIM",VLOOKUP($I129&amp;$J129&amp;N$1,Pesos!$A:$I,7,FALSE),VLOOKUP($I129&amp;$J129&amp;N$1,Pesos!$A:$I,9,FALSE)))</f>
        <v>0.8</v>
      </c>
      <c r="AG129" s="80">
        <f>IF(O129="","",IF(O129="SIM",VLOOKUP($I129&amp;$J129&amp;O$1,Pesos!$A:$I,7,FALSE),VLOOKUP($I129&amp;$J129&amp;O$1,Pesos!$A:$I,9,FALSE)))</f>
        <v>-4.0000000000000008E-2</v>
      </c>
      <c r="AH129" s="80">
        <f>IF(P129="","",IF(P129="SIM",VLOOKUP($I129&amp;$J129&amp;P$1,Pesos!$A:$I,7,FALSE),VLOOKUP($I129&amp;$J129&amp;P$1,Pesos!$A:$I,9,FALSE)))</f>
        <v>1.2</v>
      </c>
      <c r="AI129" s="80">
        <f>IF(Q129="","",IF(Q129="SIM",VLOOKUP($I129&amp;$J129&amp;Q$1,Pesos!$A:$I,7,FALSE),VLOOKUP($I129&amp;$J129&amp;Q$1,Pesos!$A:$I,9,FALSE)))</f>
        <v>0.8</v>
      </c>
      <c r="AJ129" s="80">
        <f>IF(R129="","",IF(R129="SIM",VLOOKUP($I129&amp;$J129&amp;R$1,Pesos!$A:$I,7,FALSE),VLOOKUP($I129&amp;$J129&amp;R$1,Pesos!$A:$I,9,FALSE)))</f>
        <v>0.8</v>
      </c>
      <c r="AK129" s="80">
        <f>IF(S129="","",IF(S129="SIM",VLOOKUP($I129&amp;$J129&amp;S$1,Pesos!$A:$I,7,FALSE),VLOOKUP($I129&amp;$J129&amp;S$1,Pesos!$A:$I,9,FALSE)))</f>
        <v>0.8</v>
      </c>
      <c r="AL129" s="80">
        <f t="shared" si="25"/>
        <v>4.3599999999999994</v>
      </c>
      <c r="AM129" s="80">
        <f>IF(T129="","",IF(T129="SIM",VLOOKUP($I129&amp;$J129&amp;T$1,Pesos!$A:$I,7,FALSE),VLOOKUP($I129&amp;$J129&amp;T$1,Pesos!$A:$I,9,FALSE)))</f>
        <v>-4.0000000000000008E-2</v>
      </c>
      <c r="AN129" s="80">
        <f>IF(U129="","",IF(U129="SIM",VLOOKUP($I129&amp;$J129&amp;U$1,Pesos!$A:$I,7,FALSE),VLOOKUP($I129&amp;$J129&amp;U$1,Pesos!$A:$I,9,FALSE)))</f>
        <v>0.8</v>
      </c>
      <c r="AO129" s="80">
        <f>IF(V129="","",IF(V129="SIM",VLOOKUP($I129&amp;$J129&amp;V$1,Pesos!$A:$I,7,FALSE),VLOOKUP($I129&amp;$J129&amp;V$1,Pesos!$A:$I,9,FALSE)))</f>
        <v>0.8</v>
      </c>
      <c r="AP129" s="80">
        <f>IF(W129="","",IF(W129="SIM",VLOOKUP($I129&amp;$J129&amp;W$1,Pesos!$A:$I,7,FALSE),VLOOKUP($I129&amp;$J129&amp;W$1,Pesos!$A:$I,9,FALSE)))</f>
        <v>0.8</v>
      </c>
      <c r="AQ129" s="80">
        <f>IF(X129="","",IF(X129="SIM",VLOOKUP($I129&amp;$J129&amp;X$1,Pesos!$A:$I,7,FALSE),VLOOKUP($I129&amp;$J129&amp;X$1,Pesos!$A:$I,9,FALSE)))</f>
        <v>0.8</v>
      </c>
      <c r="AR129" s="80">
        <f>IF(Y129="","",IF(Y129="SIM",VLOOKUP($I129&amp;$J129&amp;Y$1,Pesos!$A:$I,7,FALSE),VLOOKUP($I129&amp;$J129&amp;Y$1,Pesos!$A:$I,9,FALSE)))</f>
        <v>0.8</v>
      </c>
      <c r="AS129" s="81">
        <f>IFERROR(Z129*VLOOKUP(J129,'BD Campos'!$Y$1:$Z$12,2,FALSE),"0")</f>
        <v>8.3199999999999985</v>
      </c>
    </row>
    <row r="130" spans="1:45" x14ac:dyDescent="0.35">
      <c r="A130" s="68" t="str">
        <f t="shared" si="26"/>
        <v>Jan20254206ReceptivaTRANSFERÊNCIA</v>
      </c>
      <c r="B130" s="69" t="str">
        <f t="shared" si="21"/>
        <v>Jan202542065TRANSFERÊNCIAPADRÃO</v>
      </c>
      <c r="C130" s="70">
        <v>1</v>
      </c>
      <c r="D130" s="71">
        <v>45674.588376504631</v>
      </c>
      <c r="E130" s="112" t="s">
        <v>74</v>
      </c>
      <c r="F130" s="72">
        <v>4206</v>
      </c>
      <c r="G130" s="69" t="s">
        <v>1364</v>
      </c>
      <c r="H130" s="73">
        <v>5</v>
      </c>
      <c r="I130" s="69" t="s">
        <v>6</v>
      </c>
      <c r="J130" s="69" t="s">
        <v>98</v>
      </c>
      <c r="K130" s="69" t="s">
        <v>106</v>
      </c>
      <c r="L130" s="74"/>
      <c r="M130" s="75">
        <v>1.3310185185185185E-3</v>
      </c>
      <c r="N130" s="76" t="s">
        <v>79</v>
      </c>
      <c r="O130" s="76" t="s">
        <v>79</v>
      </c>
      <c r="P130" s="76" t="s">
        <v>79</v>
      </c>
      <c r="Q130" s="76" t="s">
        <v>79</v>
      </c>
      <c r="R130" s="76" t="s">
        <v>79</v>
      </c>
      <c r="S130" s="76" t="s">
        <v>79</v>
      </c>
      <c r="T130" s="76" t="s">
        <v>79</v>
      </c>
      <c r="U130" s="76" t="s">
        <v>79</v>
      </c>
      <c r="V130" s="76" t="s">
        <v>79</v>
      </c>
      <c r="W130" s="76" t="s">
        <v>79</v>
      </c>
      <c r="X130" s="76" t="s">
        <v>79</v>
      </c>
      <c r="Y130" s="76" t="s">
        <v>79</v>
      </c>
      <c r="Z130" s="77">
        <f t="shared" si="2"/>
        <v>10</v>
      </c>
      <c r="AA130" s="78"/>
      <c r="AB130" s="78"/>
      <c r="AC130" s="72" t="s">
        <v>47</v>
      </c>
      <c r="AE130" s="79" t="str">
        <f t="shared" si="24"/>
        <v>Jan4206</v>
      </c>
      <c r="AF130" s="80">
        <f>IF(N130="","",IF(N130="SIM",VLOOKUP($I130&amp;$J130&amp;N$1,Pesos!$A:$I,7,FALSE),VLOOKUP($I130&amp;$J130&amp;N$1,Pesos!$A:$I,9,FALSE)))</f>
        <v>0.8</v>
      </c>
      <c r="AG130" s="80">
        <f>IF(O130="","",IF(O130="SIM",VLOOKUP($I130&amp;$J130&amp;O$1,Pesos!$A:$I,7,FALSE),VLOOKUP($I130&amp;$J130&amp;O$1,Pesos!$A:$I,9,FALSE)))</f>
        <v>0.8</v>
      </c>
      <c r="AH130" s="80">
        <f>IF(P130="","",IF(P130="SIM",VLOOKUP($I130&amp;$J130&amp;P$1,Pesos!$A:$I,7,FALSE),VLOOKUP($I130&amp;$J130&amp;P$1,Pesos!$A:$I,9,FALSE)))</f>
        <v>1.2</v>
      </c>
      <c r="AI130" s="80">
        <f>IF(Q130="","",IF(Q130="SIM",VLOOKUP($I130&amp;$J130&amp;Q$1,Pesos!$A:$I,7,FALSE),VLOOKUP($I130&amp;$J130&amp;Q$1,Pesos!$A:$I,9,FALSE)))</f>
        <v>0.8</v>
      </c>
      <c r="AJ130" s="80">
        <f>IF(R130="","",IF(R130="SIM",VLOOKUP($I130&amp;$J130&amp;R$1,Pesos!$A:$I,7,FALSE),VLOOKUP($I130&amp;$J130&amp;R$1,Pesos!$A:$I,9,FALSE)))</f>
        <v>0.8</v>
      </c>
      <c r="AK130" s="80">
        <f>IF(S130="","",IF(S130="SIM",VLOOKUP($I130&amp;$J130&amp;S$1,Pesos!$A:$I,7,FALSE),VLOOKUP($I130&amp;$J130&amp;S$1,Pesos!$A:$I,9,FALSE)))</f>
        <v>0.8</v>
      </c>
      <c r="AL130" s="80">
        <f t="shared" si="25"/>
        <v>5.1999999999999993</v>
      </c>
      <c r="AM130" s="80">
        <f>IF(T130="","",IF(T130="SIM",VLOOKUP($I130&amp;$J130&amp;T$1,Pesos!$A:$I,7,FALSE),VLOOKUP($I130&amp;$J130&amp;T$1,Pesos!$A:$I,9,FALSE)))</f>
        <v>0.8</v>
      </c>
      <c r="AN130" s="80">
        <f>IF(U130="","",IF(U130="SIM",VLOOKUP($I130&amp;$J130&amp;U$1,Pesos!$A:$I,7,FALSE),VLOOKUP($I130&amp;$J130&amp;U$1,Pesos!$A:$I,9,FALSE)))</f>
        <v>0.8</v>
      </c>
      <c r="AO130" s="80">
        <f>IF(V130="","",IF(V130="SIM",VLOOKUP($I130&amp;$J130&amp;V$1,Pesos!$A:$I,7,FALSE),VLOOKUP($I130&amp;$J130&amp;V$1,Pesos!$A:$I,9,FALSE)))</f>
        <v>0.8</v>
      </c>
      <c r="AP130" s="80">
        <f>IF(W130="","",IF(W130="SIM",VLOOKUP($I130&amp;$J130&amp;W$1,Pesos!$A:$I,7,FALSE),VLOOKUP($I130&amp;$J130&amp;W$1,Pesos!$A:$I,9,FALSE)))</f>
        <v>0.8</v>
      </c>
      <c r="AQ130" s="80">
        <f>IF(X130="","",IF(X130="SIM",VLOOKUP($I130&amp;$J130&amp;X$1,Pesos!$A:$I,7,FALSE),VLOOKUP($I130&amp;$J130&amp;X$1,Pesos!$A:$I,9,FALSE)))</f>
        <v>0.8</v>
      </c>
      <c r="AR130" s="80">
        <f>IF(Y130="","",IF(Y130="SIM",VLOOKUP($I130&amp;$J130&amp;Y$1,Pesos!$A:$I,7,FALSE),VLOOKUP($I130&amp;$J130&amp;Y$1,Pesos!$A:$I,9,FALSE)))</f>
        <v>0.8</v>
      </c>
      <c r="AS130" s="81">
        <f>IFERROR(Z130*VLOOKUP(J130,'BD Campos'!$Y$1:$Z$12,2,FALSE),"0")</f>
        <v>10</v>
      </c>
    </row>
    <row r="131" spans="1:45" x14ac:dyDescent="0.35">
      <c r="A131" s="68" t="str">
        <f t="shared" si="26"/>
        <v>Jan20254159ReceptivaTRANSFERÊNCIA</v>
      </c>
      <c r="B131" s="69" t="str">
        <f t="shared" si="21"/>
        <v>Jan202541595TRANSFERÊNCIAPADRÃO</v>
      </c>
      <c r="C131" s="70">
        <v>1</v>
      </c>
      <c r="D131" s="71">
        <v>45674.590546874999</v>
      </c>
      <c r="E131" s="112" t="s">
        <v>74</v>
      </c>
      <c r="F131" s="72">
        <v>4159</v>
      </c>
      <c r="G131" s="69" t="s">
        <v>231</v>
      </c>
      <c r="H131" s="73">
        <v>5</v>
      </c>
      <c r="I131" s="69" t="s">
        <v>6</v>
      </c>
      <c r="J131" s="69" t="s">
        <v>98</v>
      </c>
      <c r="K131" s="69" t="s">
        <v>106</v>
      </c>
      <c r="L131" s="74"/>
      <c r="M131" s="75">
        <v>1.0185185185185186E-3</v>
      </c>
      <c r="N131" s="76" t="s">
        <v>79</v>
      </c>
      <c r="O131" s="76" t="s">
        <v>79</v>
      </c>
      <c r="P131" s="76" t="s">
        <v>79</v>
      </c>
      <c r="Q131" s="76" t="s">
        <v>79</v>
      </c>
      <c r="R131" s="76" t="s">
        <v>79</v>
      </c>
      <c r="S131" s="76" t="s">
        <v>79</v>
      </c>
      <c r="T131" s="76" t="s">
        <v>79</v>
      </c>
      <c r="U131" s="76" t="s">
        <v>79</v>
      </c>
      <c r="V131" s="76" t="s">
        <v>79</v>
      </c>
      <c r="W131" s="76" t="s">
        <v>79</v>
      </c>
      <c r="X131" s="76" t="s">
        <v>79</v>
      </c>
      <c r="Y131" s="76" t="s">
        <v>79</v>
      </c>
      <c r="Z131" s="77">
        <f t="shared" si="2"/>
        <v>10</v>
      </c>
      <c r="AA131" s="78"/>
      <c r="AB131" s="78"/>
      <c r="AC131" s="72" t="s">
        <v>47</v>
      </c>
      <c r="AE131" s="79" t="str">
        <f t="shared" si="24"/>
        <v>Jan4159</v>
      </c>
      <c r="AF131" s="80">
        <f>IF(N131="","",IF(N131="SIM",VLOOKUP($I131&amp;$J131&amp;N$1,Pesos!$A:$I,7,FALSE),VLOOKUP($I131&amp;$J131&amp;N$1,Pesos!$A:$I,9,FALSE)))</f>
        <v>0.8</v>
      </c>
      <c r="AG131" s="80">
        <f>IF(O131="","",IF(O131="SIM",VLOOKUP($I131&amp;$J131&amp;O$1,Pesos!$A:$I,7,FALSE),VLOOKUP($I131&amp;$J131&amp;O$1,Pesos!$A:$I,9,FALSE)))</f>
        <v>0.8</v>
      </c>
      <c r="AH131" s="80">
        <f>IF(P131="","",IF(P131="SIM",VLOOKUP($I131&amp;$J131&amp;P$1,Pesos!$A:$I,7,FALSE),VLOOKUP($I131&amp;$J131&amp;P$1,Pesos!$A:$I,9,FALSE)))</f>
        <v>1.2</v>
      </c>
      <c r="AI131" s="80">
        <f>IF(Q131="","",IF(Q131="SIM",VLOOKUP($I131&amp;$J131&amp;Q$1,Pesos!$A:$I,7,FALSE),VLOOKUP($I131&amp;$J131&amp;Q$1,Pesos!$A:$I,9,FALSE)))</f>
        <v>0.8</v>
      </c>
      <c r="AJ131" s="80">
        <f>IF(R131="","",IF(R131="SIM",VLOOKUP($I131&amp;$J131&amp;R$1,Pesos!$A:$I,7,FALSE),VLOOKUP($I131&amp;$J131&amp;R$1,Pesos!$A:$I,9,FALSE)))</f>
        <v>0.8</v>
      </c>
      <c r="AK131" s="80">
        <f>IF(S131="","",IF(S131="SIM",VLOOKUP($I131&amp;$J131&amp;S$1,Pesos!$A:$I,7,FALSE),VLOOKUP($I131&amp;$J131&amp;S$1,Pesos!$A:$I,9,FALSE)))</f>
        <v>0.8</v>
      </c>
      <c r="AL131" s="80">
        <f t="shared" si="25"/>
        <v>5.1999999999999993</v>
      </c>
      <c r="AM131" s="80">
        <f>IF(T131="","",IF(T131="SIM",VLOOKUP($I131&amp;$J131&amp;T$1,Pesos!$A:$I,7,FALSE),VLOOKUP($I131&amp;$J131&amp;T$1,Pesos!$A:$I,9,FALSE)))</f>
        <v>0.8</v>
      </c>
      <c r="AN131" s="80">
        <f>IF(U131="","",IF(U131="SIM",VLOOKUP($I131&amp;$J131&amp;U$1,Pesos!$A:$I,7,FALSE),VLOOKUP($I131&amp;$J131&amp;U$1,Pesos!$A:$I,9,FALSE)))</f>
        <v>0.8</v>
      </c>
      <c r="AO131" s="80">
        <f>IF(V131="","",IF(V131="SIM",VLOOKUP($I131&amp;$J131&amp;V$1,Pesos!$A:$I,7,FALSE),VLOOKUP($I131&amp;$J131&amp;V$1,Pesos!$A:$I,9,FALSE)))</f>
        <v>0.8</v>
      </c>
      <c r="AP131" s="80">
        <f>IF(W131="","",IF(W131="SIM",VLOOKUP($I131&amp;$J131&amp;W$1,Pesos!$A:$I,7,FALSE),VLOOKUP($I131&amp;$J131&amp;W$1,Pesos!$A:$I,9,FALSE)))</f>
        <v>0.8</v>
      </c>
      <c r="AQ131" s="80">
        <f>IF(X131="","",IF(X131="SIM",VLOOKUP($I131&amp;$J131&amp;X$1,Pesos!$A:$I,7,FALSE),VLOOKUP($I131&amp;$J131&amp;X$1,Pesos!$A:$I,9,FALSE)))</f>
        <v>0.8</v>
      </c>
      <c r="AR131" s="80">
        <f>IF(Y131="","",IF(Y131="SIM",VLOOKUP($I131&amp;$J131&amp;Y$1,Pesos!$A:$I,7,FALSE),VLOOKUP($I131&amp;$J131&amp;Y$1,Pesos!$A:$I,9,FALSE)))</f>
        <v>0.8</v>
      </c>
      <c r="AS131" s="81">
        <f>IFERROR(Z131*VLOOKUP(J131,'BD Campos'!$Y$1:$Z$12,2,FALSE),"0")</f>
        <v>10</v>
      </c>
    </row>
    <row r="132" spans="1:45" x14ac:dyDescent="0.35">
      <c r="A132" s="68" t="str">
        <f t="shared" si="26"/>
        <v>Jan20254203ReceptivaTRANSFERÊNCIA</v>
      </c>
      <c r="B132" s="69" t="str">
        <f t="shared" si="21"/>
        <v>Jan202542035TRANSFERÊNCIAPADRÃO</v>
      </c>
      <c r="C132" s="70">
        <v>1</v>
      </c>
      <c r="D132" s="71">
        <v>45674.591838657405</v>
      </c>
      <c r="E132" s="112" t="s">
        <v>74</v>
      </c>
      <c r="F132" s="72">
        <v>4203</v>
      </c>
      <c r="G132" s="69" t="s">
        <v>409</v>
      </c>
      <c r="H132" s="73">
        <v>5</v>
      </c>
      <c r="I132" s="69" t="s">
        <v>6</v>
      </c>
      <c r="J132" s="69" t="s">
        <v>98</v>
      </c>
      <c r="K132" s="69" t="s">
        <v>106</v>
      </c>
      <c r="L132" s="74"/>
      <c r="M132" s="75">
        <v>8.2175925925925917E-4</v>
      </c>
      <c r="N132" s="76" t="s">
        <v>79</v>
      </c>
      <c r="O132" s="76" t="s">
        <v>83</v>
      </c>
      <c r="P132" s="76" t="s">
        <v>79</v>
      </c>
      <c r="Q132" s="76" t="s">
        <v>79</v>
      </c>
      <c r="R132" s="76" t="s">
        <v>79</v>
      </c>
      <c r="S132" s="76" t="s">
        <v>79</v>
      </c>
      <c r="T132" s="76" t="s">
        <v>79</v>
      </c>
      <c r="U132" s="76" t="s">
        <v>79</v>
      </c>
      <c r="V132" s="76" t="s">
        <v>79</v>
      </c>
      <c r="W132" s="76" t="s">
        <v>79</v>
      </c>
      <c r="X132" s="76" t="s">
        <v>79</v>
      </c>
      <c r="Y132" s="76" t="s">
        <v>79</v>
      </c>
      <c r="Z132" s="77">
        <f t="shared" si="2"/>
        <v>9.16</v>
      </c>
      <c r="AA132" s="78"/>
      <c r="AB132" s="78"/>
      <c r="AC132" s="72" t="s">
        <v>47</v>
      </c>
      <c r="AE132" s="79" t="str">
        <f t="shared" si="24"/>
        <v>Jan4203</v>
      </c>
      <c r="AF132" s="80">
        <f>IF(N132="","",IF(N132="SIM",VLOOKUP($I132&amp;$J132&amp;N$1,Pesos!$A:$I,7,FALSE),VLOOKUP($I132&amp;$J132&amp;N$1,Pesos!$A:$I,9,FALSE)))</f>
        <v>0.8</v>
      </c>
      <c r="AG132" s="80">
        <f>IF(O132="","",IF(O132="SIM",VLOOKUP($I132&amp;$J132&amp;O$1,Pesos!$A:$I,7,FALSE),VLOOKUP($I132&amp;$J132&amp;O$1,Pesos!$A:$I,9,FALSE)))</f>
        <v>-4.0000000000000008E-2</v>
      </c>
      <c r="AH132" s="80">
        <f>IF(P132="","",IF(P132="SIM",VLOOKUP($I132&amp;$J132&amp;P$1,Pesos!$A:$I,7,FALSE),VLOOKUP($I132&amp;$J132&amp;P$1,Pesos!$A:$I,9,FALSE)))</f>
        <v>1.2</v>
      </c>
      <c r="AI132" s="80">
        <f>IF(Q132="","",IF(Q132="SIM",VLOOKUP($I132&amp;$J132&amp;Q$1,Pesos!$A:$I,7,FALSE),VLOOKUP($I132&amp;$J132&amp;Q$1,Pesos!$A:$I,9,FALSE)))</f>
        <v>0.8</v>
      </c>
      <c r="AJ132" s="80">
        <f>IF(R132="","",IF(R132="SIM",VLOOKUP($I132&amp;$J132&amp;R$1,Pesos!$A:$I,7,FALSE),VLOOKUP($I132&amp;$J132&amp;R$1,Pesos!$A:$I,9,FALSE)))</f>
        <v>0.8</v>
      </c>
      <c r="AK132" s="80">
        <f>IF(S132="","",IF(S132="SIM",VLOOKUP($I132&amp;$J132&amp;S$1,Pesos!$A:$I,7,FALSE),VLOOKUP($I132&amp;$J132&amp;S$1,Pesos!$A:$I,9,FALSE)))</f>
        <v>0.8</v>
      </c>
      <c r="AL132" s="80">
        <f t="shared" si="25"/>
        <v>4.3599999999999994</v>
      </c>
      <c r="AM132" s="80">
        <f>IF(T132="","",IF(T132="SIM",VLOOKUP($I132&amp;$J132&amp;T$1,Pesos!$A:$I,7,FALSE),VLOOKUP($I132&amp;$J132&amp;T$1,Pesos!$A:$I,9,FALSE)))</f>
        <v>0.8</v>
      </c>
      <c r="AN132" s="80">
        <f>IF(U132="","",IF(U132="SIM",VLOOKUP($I132&amp;$J132&amp;U$1,Pesos!$A:$I,7,FALSE),VLOOKUP($I132&amp;$J132&amp;U$1,Pesos!$A:$I,9,FALSE)))</f>
        <v>0.8</v>
      </c>
      <c r="AO132" s="80">
        <f>IF(V132="","",IF(V132="SIM",VLOOKUP($I132&amp;$J132&amp;V$1,Pesos!$A:$I,7,FALSE),VLOOKUP($I132&amp;$J132&amp;V$1,Pesos!$A:$I,9,FALSE)))</f>
        <v>0.8</v>
      </c>
      <c r="AP132" s="80">
        <f>IF(W132="","",IF(W132="SIM",VLOOKUP($I132&amp;$J132&amp;W$1,Pesos!$A:$I,7,FALSE),VLOOKUP($I132&amp;$J132&amp;W$1,Pesos!$A:$I,9,FALSE)))</f>
        <v>0.8</v>
      </c>
      <c r="AQ132" s="80">
        <f>IF(X132="","",IF(X132="SIM",VLOOKUP($I132&amp;$J132&amp;X$1,Pesos!$A:$I,7,FALSE),VLOOKUP($I132&amp;$J132&amp;X$1,Pesos!$A:$I,9,FALSE)))</f>
        <v>0.8</v>
      </c>
      <c r="AR132" s="80">
        <f>IF(Y132="","",IF(Y132="SIM",VLOOKUP($I132&amp;$J132&amp;Y$1,Pesos!$A:$I,7,FALSE),VLOOKUP($I132&amp;$J132&amp;Y$1,Pesos!$A:$I,9,FALSE)))</f>
        <v>0.8</v>
      </c>
      <c r="AS132" s="81">
        <f>IFERROR(Z132*VLOOKUP(J132,'BD Campos'!$Y$1:$Z$12,2,FALSE),"0")</f>
        <v>9.16</v>
      </c>
    </row>
    <row r="133" spans="1:45" x14ac:dyDescent="0.35">
      <c r="A133" s="68" t="str">
        <f t="shared" si="26"/>
        <v>Jan20254176ReceptivaTRANSFERÊNCIA</v>
      </c>
      <c r="B133" s="69" t="str">
        <f t="shared" si="21"/>
        <v>Jan202541765TRANSFERÊNCIAPADRÃO</v>
      </c>
      <c r="C133" s="70">
        <v>1</v>
      </c>
      <c r="D133" s="71">
        <v>45674.593013194448</v>
      </c>
      <c r="E133" s="112" t="s">
        <v>74</v>
      </c>
      <c r="F133" s="72">
        <v>4176</v>
      </c>
      <c r="G133" s="69" t="s">
        <v>230</v>
      </c>
      <c r="H133" s="73">
        <v>5</v>
      </c>
      <c r="I133" s="69" t="s">
        <v>6</v>
      </c>
      <c r="J133" s="69" t="s">
        <v>98</v>
      </c>
      <c r="K133" s="69" t="s">
        <v>106</v>
      </c>
      <c r="L133" s="74"/>
      <c r="M133" s="75">
        <v>9.8379629629629642E-4</v>
      </c>
      <c r="N133" s="76"/>
      <c r="O133" s="76"/>
      <c r="P133" s="76"/>
      <c r="Q133" s="76"/>
      <c r="R133" s="76"/>
      <c r="S133" s="76"/>
      <c r="T133" s="76"/>
      <c r="U133" s="76"/>
      <c r="V133" s="76"/>
      <c r="W133" s="76"/>
      <c r="X133" s="76"/>
      <c r="Y133" s="76"/>
      <c r="Z133" s="77">
        <f t="shared" si="2"/>
        <v>0</v>
      </c>
      <c r="AA133" s="78" t="s">
        <v>1494</v>
      </c>
      <c r="AB133" s="78"/>
      <c r="AC133" s="72" t="s">
        <v>47</v>
      </c>
      <c r="AE133" s="79" t="str">
        <f t="shared" si="24"/>
        <v>Jan4176</v>
      </c>
      <c r="AF133" s="80" t="str">
        <f>IF(N133="","",IF(N133="SIM",VLOOKUP($I133&amp;$J133&amp;N$1,Pesos!$A:$I,7,FALSE),VLOOKUP($I133&amp;$J133&amp;N$1,Pesos!$A:$I,9,FALSE)))</f>
        <v/>
      </c>
      <c r="AG133" s="80" t="str">
        <f>IF(O133="","",IF(O133="SIM",VLOOKUP($I133&amp;$J133&amp;O$1,Pesos!$A:$I,7,FALSE),VLOOKUP($I133&amp;$J133&amp;O$1,Pesos!$A:$I,9,FALSE)))</f>
        <v/>
      </c>
      <c r="AH133" s="80" t="str">
        <f>IF(P133="","",IF(P133="SIM",VLOOKUP($I133&amp;$J133&amp;P$1,Pesos!$A:$I,7,FALSE),VLOOKUP($I133&amp;$J133&amp;P$1,Pesos!$A:$I,9,FALSE)))</f>
        <v/>
      </c>
      <c r="AI133" s="80" t="str">
        <f>IF(Q133="","",IF(Q133="SIM",VLOOKUP($I133&amp;$J133&amp;Q$1,Pesos!$A:$I,7,FALSE),VLOOKUP($I133&amp;$J133&amp;Q$1,Pesos!$A:$I,9,FALSE)))</f>
        <v/>
      </c>
      <c r="AJ133" s="80" t="str">
        <f>IF(R133="","",IF(R133="SIM",VLOOKUP($I133&amp;$J133&amp;R$1,Pesos!$A:$I,7,FALSE),VLOOKUP($I133&amp;$J133&amp;R$1,Pesos!$A:$I,9,FALSE)))</f>
        <v/>
      </c>
      <c r="AK133" s="80" t="str">
        <f>IF(S133="","",IF(S133="SIM",VLOOKUP($I133&amp;$J133&amp;S$1,Pesos!$A:$I,7,FALSE),VLOOKUP($I133&amp;$J133&amp;S$1,Pesos!$A:$I,9,FALSE)))</f>
        <v/>
      </c>
      <c r="AL133" s="80">
        <f t="shared" si="25"/>
        <v>0</v>
      </c>
      <c r="AM133" s="80" t="str">
        <f>IF(T133="","",IF(T133="SIM",VLOOKUP($I133&amp;$J133&amp;T$1,Pesos!$A:$I,7,FALSE),VLOOKUP($I133&amp;$J133&amp;T$1,Pesos!$A:$I,9,FALSE)))</f>
        <v/>
      </c>
      <c r="AN133" s="80" t="str">
        <f>IF(U133="","",IF(U133="SIM",VLOOKUP($I133&amp;$J133&amp;U$1,Pesos!$A:$I,7,FALSE),VLOOKUP($I133&amp;$J133&amp;U$1,Pesos!$A:$I,9,FALSE)))</f>
        <v/>
      </c>
      <c r="AO133" s="80" t="str">
        <f>IF(V133="","",IF(V133="SIM",VLOOKUP($I133&amp;$J133&amp;V$1,Pesos!$A:$I,7,FALSE),VLOOKUP($I133&amp;$J133&amp;V$1,Pesos!$A:$I,9,FALSE)))</f>
        <v/>
      </c>
      <c r="AP133" s="80" t="str">
        <f>IF(W133="","",IF(W133="SIM",VLOOKUP($I133&amp;$J133&amp;W$1,Pesos!$A:$I,7,FALSE),VLOOKUP($I133&amp;$J133&amp;W$1,Pesos!$A:$I,9,FALSE)))</f>
        <v/>
      </c>
      <c r="AQ133" s="80" t="str">
        <f>IF(X133="","",IF(X133="SIM",VLOOKUP($I133&amp;$J133&amp;X$1,Pesos!$A:$I,7,FALSE),VLOOKUP($I133&amp;$J133&amp;X$1,Pesos!$A:$I,9,FALSE)))</f>
        <v/>
      </c>
      <c r="AR133" s="80" t="str">
        <f>IF(Y133="","",IF(Y133="SIM",VLOOKUP($I133&amp;$J133&amp;Y$1,Pesos!$A:$I,7,FALSE),VLOOKUP($I133&amp;$J133&amp;Y$1,Pesos!$A:$I,9,FALSE)))</f>
        <v/>
      </c>
      <c r="AS133" s="81">
        <f>IFERROR(Z133*VLOOKUP(J133,'BD Campos'!$Y$1:$Z$12,2,FALSE),"0")</f>
        <v>0</v>
      </c>
    </row>
    <row r="134" spans="1:45" x14ac:dyDescent="0.35">
      <c r="A134" s="68" t="str">
        <f t="shared" si="26"/>
        <v>Jan20254207ReceptivaTRANSFERÊNCIA</v>
      </c>
      <c r="B134" s="69" t="str">
        <f t="shared" si="21"/>
        <v>Jan202542075TRANSFERÊNCIAPADRÃO</v>
      </c>
      <c r="C134" s="70">
        <v>1</v>
      </c>
      <c r="D134" s="71">
        <v>45674.597156134259</v>
      </c>
      <c r="E134" s="112" t="s">
        <v>74</v>
      </c>
      <c r="F134" s="72">
        <v>4207</v>
      </c>
      <c r="G134" s="69" t="s">
        <v>1098</v>
      </c>
      <c r="H134" s="73">
        <v>5</v>
      </c>
      <c r="I134" s="69" t="s">
        <v>6</v>
      </c>
      <c r="J134" s="69" t="s">
        <v>98</v>
      </c>
      <c r="K134" s="69" t="s">
        <v>106</v>
      </c>
      <c r="L134" s="74"/>
      <c r="M134" s="75">
        <v>1.3541666666666667E-3</v>
      </c>
      <c r="N134" s="76" t="s">
        <v>79</v>
      </c>
      <c r="O134" s="76" t="s">
        <v>83</v>
      </c>
      <c r="P134" s="76" t="s">
        <v>79</v>
      </c>
      <c r="Q134" s="76" t="s">
        <v>79</v>
      </c>
      <c r="R134" s="76" t="s">
        <v>79</v>
      </c>
      <c r="S134" s="76" t="s">
        <v>79</v>
      </c>
      <c r="T134" s="76" t="s">
        <v>79</v>
      </c>
      <c r="U134" s="76" t="s">
        <v>79</v>
      </c>
      <c r="V134" s="76" t="s">
        <v>79</v>
      </c>
      <c r="W134" s="76" t="s">
        <v>79</v>
      </c>
      <c r="X134" s="76" t="s">
        <v>79</v>
      </c>
      <c r="Y134" s="76" t="s">
        <v>79</v>
      </c>
      <c r="Z134" s="77">
        <f t="shared" si="2"/>
        <v>9.16</v>
      </c>
      <c r="AA134" s="78"/>
      <c r="AB134" s="78"/>
      <c r="AC134" s="72" t="s">
        <v>47</v>
      </c>
      <c r="AE134" s="79" t="str">
        <f t="shared" si="24"/>
        <v>Jan4207</v>
      </c>
      <c r="AF134" s="80">
        <f>IF(N134="","",IF(N134="SIM",VLOOKUP($I134&amp;$J134&amp;N$1,Pesos!$A:$I,7,FALSE),VLOOKUP($I134&amp;$J134&amp;N$1,Pesos!$A:$I,9,FALSE)))</f>
        <v>0.8</v>
      </c>
      <c r="AG134" s="80">
        <f>IF(O134="","",IF(O134="SIM",VLOOKUP($I134&amp;$J134&amp;O$1,Pesos!$A:$I,7,FALSE),VLOOKUP($I134&amp;$J134&amp;O$1,Pesos!$A:$I,9,FALSE)))</f>
        <v>-4.0000000000000008E-2</v>
      </c>
      <c r="AH134" s="80">
        <f>IF(P134="","",IF(P134="SIM",VLOOKUP($I134&amp;$J134&amp;P$1,Pesos!$A:$I,7,FALSE),VLOOKUP($I134&amp;$J134&amp;P$1,Pesos!$A:$I,9,FALSE)))</f>
        <v>1.2</v>
      </c>
      <c r="AI134" s="80">
        <f>IF(Q134="","",IF(Q134="SIM",VLOOKUP($I134&amp;$J134&amp;Q$1,Pesos!$A:$I,7,FALSE),VLOOKUP($I134&amp;$J134&amp;Q$1,Pesos!$A:$I,9,FALSE)))</f>
        <v>0.8</v>
      </c>
      <c r="AJ134" s="80">
        <f>IF(R134="","",IF(R134="SIM",VLOOKUP($I134&amp;$J134&amp;R$1,Pesos!$A:$I,7,FALSE),VLOOKUP($I134&amp;$J134&amp;R$1,Pesos!$A:$I,9,FALSE)))</f>
        <v>0.8</v>
      </c>
      <c r="AK134" s="80">
        <f>IF(S134="","",IF(S134="SIM",VLOOKUP($I134&amp;$J134&amp;S$1,Pesos!$A:$I,7,FALSE),VLOOKUP($I134&amp;$J134&amp;S$1,Pesos!$A:$I,9,FALSE)))</f>
        <v>0.8</v>
      </c>
      <c r="AL134" s="80">
        <f t="shared" si="25"/>
        <v>4.3599999999999994</v>
      </c>
      <c r="AM134" s="80">
        <f>IF(T134="","",IF(T134="SIM",VLOOKUP($I134&amp;$J134&amp;T$1,Pesos!$A:$I,7,FALSE),VLOOKUP($I134&amp;$J134&amp;T$1,Pesos!$A:$I,9,FALSE)))</f>
        <v>0.8</v>
      </c>
      <c r="AN134" s="80">
        <f>IF(U134="","",IF(U134="SIM",VLOOKUP($I134&amp;$J134&amp;U$1,Pesos!$A:$I,7,FALSE),VLOOKUP($I134&amp;$J134&amp;U$1,Pesos!$A:$I,9,FALSE)))</f>
        <v>0.8</v>
      </c>
      <c r="AO134" s="80">
        <f>IF(V134="","",IF(V134="SIM",VLOOKUP($I134&amp;$J134&amp;V$1,Pesos!$A:$I,7,FALSE),VLOOKUP($I134&amp;$J134&amp;V$1,Pesos!$A:$I,9,FALSE)))</f>
        <v>0.8</v>
      </c>
      <c r="AP134" s="80">
        <f>IF(W134="","",IF(W134="SIM",VLOOKUP($I134&amp;$J134&amp;W$1,Pesos!$A:$I,7,FALSE),VLOOKUP($I134&amp;$J134&amp;W$1,Pesos!$A:$I,9,FALSE)))</f>
        <v>0.8</v>
      </c>
      <c r="AQ134" s="80">
        <f>IF(X134="","",IF(X134="SIM",VLOOKUP($I134&amp;$J134&amp;X$1,Pesos!$A:$I,7,FALSE),VLOOKUP($I134&amp;$J134&amp;X$1,Pesos!$A:$I,9,FALSE)))</f>
        <v>0.8</v>
      </c>
      <c r="AR134" s="80">
        <f>IF(Y134="","",IF(Y134="SIM",VLOOKUP($I134&amp;$J134&amp;Y$1,Pesos!$A:$I,7,FALSE),VLOOKUP($I134&amp;$J134&amp;Y$1,Pesos!$A:$I,9,FALSE)))</f>
        <v>0.8</v>
      </c>
      <c r="AS134" s="81">
        <f>IFERROR(Z134*VLOOKUP(J134,'BD Campos'!$Y$1:$Z$12,2,FALSE),"0")</f>
        <v>9.16</v>
      </c>
    </row>
    <row r="135" spans="1:45" x14ac:dyDescent="0.35">
      <c r="A135" s="68" t="str">
        <f t="shared" si="26"/>
        <v>Jan20254210ReceptivaTRANSFERÊNCIA</v>
      </c>
      <c r="B135" s="69" t="str">
        <f t="shared" si="21"/>
        <v>Jan202542105TRANSFERÊNCIAPADRÃO</v>
      </c>
      <c r="C135" s="70">
        <v>1</v>
      </c>
      <c r="D135" s="71">
        <v>45674.600080555552</v>
      </c>
      <c r="E135" s="112" t="s">
        <v>74</v>
      </c>
      <c r="F135" s="72">
        <v>4210</v>
      </c>
      <c r="G135" s="69" t="s">
        <v>1493</v>
      </c>
      <c r="H135" s="73">
        <v>5</v>
      </c>
      <c r="I135" s="69" t="s">
        <v>6</v>
      </c>
      <c r="J135" s="69" t="s">
        <v>98</v>
      </c>
      <c r="K135" s="69" t="s">
        <v>106</v>
      </c>
      <c r="L135" s="74"/>
      <c r="M135" s="75">
        <v>1.0069444444444444E-3</v>
      </c>
      <c r="N135" s="76" t="s">
        <v>79</v>
      </c>
      <c r="O135" s="76" t="s">
        <v>83</v>
      </c>
      <c r="P135" s="76" t="s">
        <v>79</v>
      </c>
      <c r="Q135" s="76" t="s">
        <v>79</v>
      </c>
      <c r="R135" s="76" t="s">
        <v>79</v>
      </c>
      <c r="S135" s="76" t="s">
        <v>79</v>
      </c>
      <c r="T135" s="76" t="s">
        <v>79</v>
      </c>
      <c r="U135" s="76" t="s">
        <v>79</v>
      </c>
      <c r="V135" s="76" t="s">
        <v>79</v>
      </c>
      <c r="W135" s="76" t="s">
        <v>79</v>
      </c>
      <c r="X135" s="76" t="s">
        <v>79</v>
      </c>
      <c r="Y135" s="76" t="s">
        <v>79</v>
      </c>
      <c r="Z135" s="77">
        <f t="shared" si="2"/>
        <v>9.16</v>
      </c>
      <c r="AA135" s="78"/>
      <c r="AB135" s="78"/>
      <c r="AC135" s="72" t="s">
        <v>47</v>
      </c>
      <c r="AE135" s="79" t="str">
        <f t="shared" si="24"/>
        <v>Jan4210</v>
      </c>
      <c r="AF135" s="80">
        <f>IF(N135="","",IF(N135="SIM",VLOOKUP($I135&amp;$J135&amp;N$1,Pesos!$A:$I,7,FALSE),VLOOKUP($I135&amp;$J135&amp;N$1,Pesos!$A:$I,9,FALSE)))</f>
        <v>0.8</v>
      </c>
      <c r="AG135" s="80">
        <f>IF(O135="","",IF(O135="SIM",VLOOKUP($I135&amp;$J135&amp;O$1,Pesos!$A:$I,7,FALSE),VLOOKUP($I135&amp;$J135&amp;O$1,Pesos!$A:$I,9,FALSE)))</f>
        <v>-4.0000000000000008E-2</v>
      </c>
      <c r="AH135" s="80">
        <f>IF(P135="","",IF(P135="SIM",VLOOKUP($I135&amp;$J135&amp;P$1,Pesos!$A:$I,7,FALSE),VLOOKUP($I135&amp;$J135&amp;P$1,Pesos!$A:$I,9,FALSE)))</f>
        <v>1.2</v>
      </c>
      <c r="AI135" s="80">
        <f>IF(Q135="","",IF(Q135="SIM",VLOOKUP($I135&amp;$J135&amp;Q$1,Pesos!$A:$I,7,FALSE),VLOOKUP($I135&amp;$J135&amp;Q$1,Pesos!$A:$I,9,FALSE)))</f>
        <v>0.8</v>
      </c>
      <c r="AJ135" s="80">
        <f>IF(R135="","",IF(R135="SIM",VLOOKUP($I135&amp;$J135&amp;R$1,Pesos!$A:$I,7,FALSE),VLOOKUP($I135&amp;$J135&amp;R$1,Pesos!$A:$I,9,FALSE)))</f>
        <v>0.8</v>
      </c>
      <c r="AK135" s="80">
        <f>IF(S135="","",IF(S135="SIM",VLOOKUP($I135&amp;$J135&amp;S$1,Pesos!$A:$I,7,FALSE),VLOOKUP($I135&amp;$J135&amp;S$1,Pesos!$A:$I,9,FALSE)))</f>
        <v>0.8</v>
      </c>
      <c r="AL135" s="80">
        <f t="shared" si="25"/>
        <v>4.3599999999999994</v>
      </c>
      <c r="AM135" s="80">
        <f>IF(T135="","",IF(T135="SIM",VLOOKUP($I135&amp;$J135&amp;T$1,Pesos!$A:$I,7,FALSE),VLOOKUP($I135&amp;$J135&amp;T$1,Pesos!$A:$I,9,FALSE)))</f>
        <v>0.8</v>
      </c>
      <c r="AN135" s="80">
        <f>IF(U135="","",IF(U135="SIM",VLOOKUP($I135&amp;$J135&amp;U$1,Pesos!$A:$I,7,FALSE),VLOOKUP($I135&amp;$J135&amp;U$1,Pesos!$A:$I,9,FALSE)))</f>
        <v>0.8</v>
      </c>
      <c r="AO135" s="80">
        <f>IF(V135="","",IF(V135="SIM",VLOOKUP($I135&amp;$J135&amp;V$1,Pesos!$A:$I,7,FALSE),VLOOKUP($I135&amp;$J135&amp;V$1,Pesos!$A:$I,9,FALSE)))</f>
        <v>0.8</v>
      </c>
      <c r="AP135" s="80">
        <f>IF(W135="","",IF(W135="SIM",VLOOKUP($I135&amp;$J135&amp;W$1,Pesos!$A:$I,7,FALSE),VLOOKUP($I135&amp;$J135&amp;W$1,Pesos!$A:$I,9,FALSE)))</f>
        <v>0.8</v>
      </c>
      <c r="AQ135" s="80">
        <f>IF(X135="","",IF(X135="SIM",VLOOKUP($I135&amp;$J135&amp;X$1,Pesos!$A:$I,7,FALSE),VLOOKUP($I135&amp;$J135&amp;X$1,Pesos!$A:$I,9,FALSE)))</f>
        <v>0.8</v>
      </c>
      <c r="AR135" s="80">
        <f>IF(Y135="","",IF(Y135="SIM",VLOOKUP($I135&amp;$J135&amp;Y$1,Pesos!$A:$I,7,FALSE),VLOOKUP($I135&amp;$J135&amp;Y$1,Pesos!$A:$I,9,FALSE)))</f>
        <v>0.8</v>
      </c>
      <c r="AS135" s="81">
        <f>IFERROR(Z135*VLOOKUP(J135,'BD Campos'!$Y$1:$Z$12,2,FALSE),"0")</f>
        <v>9.16</v>
      </c>
    </row>
    <row r="136" spans="1:45" x14ac:dyDescent="0.35">
      <c r="A136" s="68" t="str">
        <f t="shared" si="26"/>
        <v>Jan20254204ReceptivaTRANSFERÊNCIA</v>
      </c>
      <c r="B136" s="69" t="str">
        <f t="shared" si="21"/>
        <v>Jan202542045TRANSFERÊNCIAPADRÃO</v>
      </c>
      <c r="C136" s="70">
        <v>1</v>
      </c>
      <c r="D136" s="71">
        <v>45674.603327083336</v>
      </c>
      <c r="E136" s="112" t="s">
        <v>74</v>
      </c>
      <c r="F136" s="72">
        <v>4204</v>
      </c>
      <c r="G136" s="69" t="s">
        <v>1492</v>
      </c>
      <c r="H136" s="73">
        <v>5</v>
      </c>
      <c r="I136" s="69" t="s">
        <v>6</v>
      </c>
      <c r="J136" s="69" t="s">
        <v>98</v>
      </c>
      <c r="K136" s="69" t="s">
        <v>106</v>
      </c>
      <c r="L136" s="74"/>
      <c r="M136" s="75">
        <v>1.0648148148148147E-3</v>
      </c>
      <c r="N136" s="76" t="s">
        <v>79</v>
      </c>
      <c r="O136" s="76" t="s">
        <v>79</v>
      </c>
      <c r="P136" s="76" t="s">
        <v>79</v>
      </c>
      <c r="Q136" s="76" t="s">
        <v>79</v>
      </c>
      <c r="R136" s="76" t="s">
        <v>79</v>
      </c>
      <c r="S136" s="76" t="s">
        <v>79</v>
      </c>
      <c r="T136" s="76" t="s">
        <v>79</v>
      </c>
      <c r="U136" s="76" t="s">
        <v>79</v>
      </c>
      <c r="V136" s="76" t="s">
        <v>79</v>
      </c>
      <c r="W136" s="76" t="s">
        <v>79</v>
      </c>
      <c r="X136" s="76" t="s">
        <v>79</v>
      </c>
      <c r="Y136" s="76" t="s">
        <v>79</v>
      </c>
      <c r="Z136" s="77">
        <f t="shared" si="2"/>
        <v>10</v>
      </c>
      <c r="AA136" s="78"/>
      <c r="AB136" s="78"/>
      <c r="AC136" s="72" t="s">
        <v>47</v>
      </c>
      <c r="AE136" s="79" t="str">
        <f t="shared" si="24"/>
        <v>Jan4204</v>
      </c>
      <c r="AF136" s="80">
        <f>IF(N136="","",IF(N136="SIM",VLOOKUP($I136&amp;$J136&amp;N$1,Pesos!$A:$I,7,FALSE),VLOOKUP($I136&amp;$J136&amp;N$1,Pesos!$A:$I,9,FALSE)))</f>
        <v>0.8</v>
      </c>
      <c r="AG136" s="80">
        <f>IF(O136="","",IF(O136="SIM",VLOOKUP($I136&amp;$J136&amp;O$1,Pesos!$A:$I,7,FALSE),VLOOKUP($I136&amp;$J136&amp;O$1,Pesos!$A:$I,9,FALSE)))</f>
        <v>0.8</v>
      </c>
      <c r="AH136" s="80">
        <f>IF(P136="","",IF(P136="SIM",VLOOKUP($I136&amp;$J136&amp;P$1,Pesos!$A:$I,7,FALSE),VLOOKUP($I136&amp;$J136&amp;P$1,Pesos!$A:$I,9,FALSE)))</f>
        <v>1.2</v>
      </c>
      <c r="AI136" s="80">
        <f>IF(Q136="","",IF(Q136="SIM",VLOOKUP($I136&amp;$J136&amp;Q$1,Pesos!$A:$I,7,FALSE),VLOOKUP($I136&amp;$J136&amp;Q$1,Pesos!$A:$I,9,FALSE)))</f>
        <v>0.8</v>
      </c>
      <c r="AJ136" s="80">
        <f>IF(R136="","",IF(R136="SIM",VLOOKUP($I136&amp;$J136&amp;R$1,Pesos!$A:$I,7,FALSE),VLOOKUP($I136&amp;$J136&amp;R$1,Pesos!$A:$I,9,FALSE)))</f>
        <v>0.8</v>
      </c>
      <c r="AK136" s="80">
        <f>IF(S136="","",IF(S136="SIM",VLOOKUP($I136&amp;$J136&amp;S$1,Pesos!$A:$I,7,FALSE),VLOOKUP($I136&amp;$J136&amp;S$1,Pesos!$A:$I,9,FALSE)))</f>
        <v>0.8</v>
      </c>
      <c r="AL136" s="80">
        <f t="shared" si="25"/>
        <v>5.1999999999999993</v>
      </c>
      <c r="AM136" s="80">
        <f>IF(T136="","",IF(T136="SIM",VLOOKUP($I136&amp;$J136&amp;T$1,Pesos!$A:$I,7,FALSE),VLOOKUP($I136&amp;$J136&amp;T$1,Pesos!$A:$I,9,FALSE)))</f>
        <v>0.8</v>
      </c>
      <c r="AN136" s="80">
        <f>IF(U136="","",IF(U136="SIM",VLOOKUP($I136&amp;$J136&amp;U$1,Pesos!$A:$I,7,FALSE),VLOOKUP($I136&amp;$J136&amp;U$1,Pesos!$A:$I,9,FALSE)))</f>
        <v>0.8</v>
      </c>
      <c r="AO136" s="80">
        <f>IF(V136="","",IF(V136="SIM",VLOOKUP($I136&amp;$J136&amp;V$1,Pesos!$A:$I,7,FALSE),VLOOKUP($I136&amp;$J136&amp;V$1,Pesos!$A:$I,9,FALSE)))</f>
        <v>0.8</v>
      </c>
      <c r="AP136" s="80">
        <f>IF(W136="","",IF(W136="SIM",VLOOKUP($I136&amp;$J136&amp;W$1,Pesos!$A:$I,7,FALSE),VLOOKUP($I136&amp;$J136&amp;W$1,Pesos!$A:$I,9,FALSE)))</f>
        <v>0.8</v>
      </c>
      <c r="AQ136" s="80">
        <f>IF(X136="","",IF(X136="SIM",VLOOKUP($I136&amp;$J136&amp;X$1,Pesos!$A:$I,7,FALSE),VLOOKUP($I136&amp;$J136&amp;X$1,Pesos!$A:$I,9,FALSE)))</f>
        <v>0.8</v>
      </c>
      <c r="AR136" s="80">
        <f>IF(Y136="","",IF(Y136="SIM",VLOOKUP($I136&amp;$J136&amp;Y$1,Pesos!$A:$I,7,FALSE),VLOOKUP($I136&amp;$J136&amp;Y$1,Pesos!$A:$I,9,FALSE)))</f>
        <v>0.8</v>
      </c>
      <c r="AS136" s="81">
        <f>IFERROR(Z136*VLOOKUP(J136,'BD Campos'!$Y$1:$Z$12,2,FALSE),"0")</f>
        <v>10</v>
      </c>
    </row>
    <row r="137" spans="1:45" x14ac:dyDescent="0.35">
      <c r="A137" s="68" t="str">
        <f t="shared" si="26"/>
        <v>Jan202511178MotoristaTRANSFERÊNCIA</v>
      </c>
      <c r="B137" s="69" t="str">
        <f t="shared" si="21"/>
        <v>Jan2025111781TRANSFERÊNCIAPADRÃO</v>
      </c>
      <c r="C137" s="70">
        <v>1</v>
      </c>
      <c r="D137" s="71">
        <v>45674.610853472223</v>
      </c>
      <c r="E137" s="112" t="s">
        <v>74</v>
      </c>
      <c r="F137" s="72">
        <v>11178</v>
      </c>
      <c r="G137" s="69" t="s">
        <v>1393</v>
      </c>
      <c r="H137" s="73">
        <v>1</v>
      </c>
      <c r="I137" s="69" t="s">
        <v>126</v>
      </c>
      <c r="J137" s="69" t="s">
        <v>122</v>
      </c>
      <c r="K137" s="69" t="s">
        <v>106</v>
      </c>
      <c r="L137" s="74">
        <v>30816479</v>
      </c>
      <c r="M137" s="75">
        <v>1.3310185185185185E-3</v>
      </c>
      <c r="N137" s="76" t="s">
        <v>79</v>
      </c>
      <c r="O137" s="76" t="s">
        <v>79</v>
      </c>
      <c r="P137" s="76" t="s">
        <v>79</v>
      </c>
      <c r="Q137" s="76" t="s">
        <v>79</v>
      </c>
      <c r="R137" s="76" t="s">
        <v>79</v>
      </c>
      <c r="S137" s="76" t="s">
        <v>79</v>
      </c>
      <c r="T137" s="76" t="s">
        <v>79</v>
      </c>
      <c r="U137" s="76" t="s">
        <v>79</v>
      </c>
      <c r="V137" s="76" t="s">
        <v>79</v>
      </c>
      <c r="W137" s="76" t="s">
        <v>79</v>
      </c>
      <c r="X137" s="76" t="s">
        <v>79</v>
      </c>
      <c r="Y137" s="76" t="s">
        <v>83</v>
      </c>
      <c r="Z137" s="77">
        <f t="shared" si="2"/>
        <v>8.9499999999999993</v>
      </c>
      <c r="AA137" s="78"/>
      <c r="AB137" s="78" t="s">
        <v>1496</v>
      </c>
      <c r="AC137" s="72" t="s">
        <v>47</v>
      </c>
      <c r="AE137" s="79" t="str">
        <f t="shared" si="24"/>
        <v>Jan11178</v>
      </c>
      <c r="AF137" s="80">
        <f>IF(N137="","",IF(N137="SIM",VLOOKUP($I137&amp;$J137&amp;N$1,Pesos!$A:$I,7,FALSE),VLOOKUP($I137&amp;$J137&amp;N$1,Pesos!$A:$I,9,FALSE)))</f>
        <v>0.8</v>
      </c>
      <c r="AG137" s="80">
        <f>IF(O137="","",IF(O137="SIM",VLOOKUP($I137&amp;$J137&amp;O$1,Pesos!$A:$I,7,FALSE),VLOOKUP($I137&amp;$J137&amp;O$1,Pesos!$A:$I,9,FALSE)))</f>
        <v>0.8</v>
      </c>
      <c r="AH137" s="80">
        <f>IF(P137="","",IF(P137="SIM",VLOOKUP($I137&amp;$J137&amp;P$1,Pesos!$A:$I,7,FALSE),VLOOKUP($I137&amp;$J137&amp;P$1,Pesos!$A:$I,9,FALSE)))</f>
        <v>0.8</v>
      </c>
      <c r="AI137" s="80">
        <f>IF(Q137="","",IF(Q137="SIM",VLOOKUP($I137&amp;$J137&amp;Q$1,Pesos!$A:$I,7,FALSE),VLOOKUP($I137&amp;$J137&amp;Q$1,Pesos!$A:$I,9,FALSE)))</f>
        <v>0.8</v>
      </c>
      <c r="AJ137" s="80">
        <f>IF(R137="","",IF(R137="SIM",VLOOKUP($I137&amp;$J137&amp;R$1,Pesos!$A:$I,7,FALSE),VLOOKUP($I137&amp;$J137&amp;R$1,Pesos!$A:$I,9,FALSE)))</f>
        <v>0.8</v>
      </c>
      <c r="AK137" s="80">
        <f>IF(S137="","",IF(S137="SIM",VLOOKUP($I137&amp;$J137&amp;S$1,Pesos!$A:$I,7,FALSE),VLOOKUP($I137&amp;$J137&amp;S$1,Pesos!$A:$I,9,FALSE)))</f>
        <v>0.8</v>
      </c>
      <c r="AL137" s="80">
        <f t="shared" si="25"/>
        <v>4.8</v>
      </c>
      <c r="AM137" s="80">
        <f>IF(T137="","",IF(T137="SIM",VLOOKUP($I137&amp;$J137&amp;T$1,Pesos!$A:$I,7,FALSE),VLOOKUP($I137&amp;$J137&amp;T$1,Pesos!$A:$I,9,FALSE)))</f>
        <v>0.8</v>
      </c>
      <c r="AN137" s="80">
        <f>IF(U137="","",IF(U137="SIM",VLOOKUP($I137&amp;$J137&amp;U$1,Pesos!$A:$I,7,FALSE),VLOOKUP($I137&amp;$J137&amp;U$1,Pesos!$A:$I,9,FALSE)))</f>
        <v>0.8</v>
      </c>
      <c r="AO137" s="80">
        <f>IF(V137="","",IF(V137="SIM",VLOOKUP($I137&amp;$J137&amp;V$1,Pesos!$A:$I,7,FALSE),VLOOKUP($I137&amp;$J137&amp;V$1,Pesos!$A:$I,9,FALSE)))</f>
        <v>0.8</v>
      </c>
      <c r="AP137" s="80">
        <f>IF(W137="","",IF(W137="SIM",VLOOKUP($I137&amp;$J137&amp;W$1,Pesos!$A:$I,7,FALSE),VLOOKUP($I137&amp;$J137&amp;W$1,Pesos!$A:$I,9,FALSE)))</f>
        <v>0.8</v>
      </c>
      <c r="AQ137" s="80">
        <f>IF(X137="","",IF(X137="SIM",VLOOKUP($I137&amp;$J137&amp;X$1,Pesos!$A:$I,7,FALSE),VLOOKUP($I137&amp;$J137&amp;X$1,Pesos!$A:$I,9,FALSE)))</f>
        <v>1</v>
      </c>
      <c r="AR137" s="80">
        <f>IF(Y137="","",IF(Y137="SIM",VLOOKUP($I137&amp;$J137&amp;Y$1,Pesos!$A:$I,7,FALSE),VLOOKUP($I137&amp;$J137&amp;Y$1,Pesos!$A:$I,9,FALSE)))</f>
        <v>-0.05</v>
      </c>
      <c r="AS137" s="81">
        <f>IFERROR(Z137*VLOOKUP(J137,'BD Campos'!$Y$1:$Z$12,2,FALSE),"0")</f>
        <v>8.9499999999999993</v>
      </c>
    </row>
    <row r="138" spans="1:45" x14ac:dyDescent="0.35">
      <c r="A138" s="68" t="str">
        <f t="shared" si="26"/>
        <v>Jan202511178ReceptivaTRANSFERÊNCIA</v>
      </c>
      <c r="B138" s="69" t="str">
        <f t="shared" si="21"/>
        <v>Jan2025111785TRANSFERÊNCIAPADRÃO</v>
      </c>
      <c r="C138" s="70">
        <v>1</v>
      </c>
      <c r="D138" s="71">
        <v>45674.612365277775</v>
      </c>
      <c r="E138" s="112" t="s">
        <v>74</v>
      </c>
      <c r="F138" s="72">
        <v>11178</v>
      </c>
      <c r="G138" s="69" t="s">
        <v>1393</v>
      </c>
      <c r="H138" s="73">
        <v>5</v>
      </c>
      <c r="I138" s="69" t="s">
        <v>6</v>
      </c>
      <c r="J138" s="69" t="s">
        <v>98</v>
      </c>
      <c r="K138" s="69" t="s">
        <v>106</v>
      </c>
      <c r="L138" s="74"/>
      <c r="M138" s="75">
        <v>8.449074074074075E-4</v>
      </c>
      <c r="N138" s="76" t="s">
        <v>79</v>
      </c>
      <c r="O138" s="76" t="s">
        <v>79</v>
      </c>
      <c r="P138" s="76" t="s">
        <v>79</v>
      </c>
      <c r="Q138" s="76" t="s">
        <v>79</v>
      </c>
      <c r="R138" s="76" t="s">
        <v>79</v>
      </c>
      <c r="S138" s="76" t="s">
        <v>79</v>
      </c>
      <c r="T138" s="76" t="s">
        <v>79</v>
      </c>
      <c r="U138" s="76" t="s">
        <v>79</v>
      </c>
      <c r="V138" s="76" t="s">
        <v>79</v>
      </c>
      <c r="W138" s="76" t="s">
        <v>79</v>
      </c>
      <c r="X138" s="76" t="s">
        <v>79</v>
      </c>
      <c r="Y138" s="76" t="s">
        <v>79</v>
      </c>
      <c r="Z138" s="77">
        <f t="shared" si="2"/>
        <v>10</v>
      </c>
      <c r="AA138" s="78"/>
      <c r="AB138" s="78"/>
      <c r="AC138" s="72" t="s">
        <v>47</v>
      </c>
      <c r="AE138" s="79" t="str">
        <f t="shared" si="24"/>
        <v>Jan11178</v>
      </c>
      <c r="AF138" s="80">
        <f>IF(N138="","",IF(N138="SIM",VLOOKUP($I138&amp;$J138&amp;N$1,Pesos!$A:$I,7,FALSE),VLOOKUP($I138&amp;$J138&amp;N$1,Pesos!$A:$I,9,FALSE)))</f>
        <v>0.8</v>
      </c>
      <c r="AG138" s="80">
        <f>IF(O138="","",IF(O138="SIM",VLOOKUP($I138&amp;$J138&amp;O$1,Pesos!$A:$I,7,FALSE),VLOOKUP($I138&amp;$J138&amp;O$1,Pesos!$A:$I,9,FALSE)))</f>
        <v>0.8</v>
      </c>
      <c r="AH138" s="80">
        <f>IF(P138="","",IF(P138="SIM",VLOOKUP($I138&amp;$J138&amp;P$1,Pesos!$A:$I,7,FALSE),VLOOKUP($I138&amp;$J138&amp;P$1,Pesos!$A:$I,9,FALSE)))</f>
        <v>1.2</v>
      </c>
      <c r="AI138" s="80">
        <f>IF(Q138="","",IF(Q138="SIM",VLOOKUP($I138&amp;$J138&amp;Q$1,Pesos!$A:$I,7,FALSE),VLOOKUP($I138&amp;$J138&amp;Q$1,Pesos!$A:$I,9,FALSE)))</f>
        <v>0.8</v>
      </c>
      <c r="AJ138" s="80">
        <f>IF(R138="","",IF(R138="SIM",VLOOKUP($I138&amp;$J138&amp;R$1,Pesos!$A:$I,7,FALSE),VLOOKUP($I138&amp;$J138&amp;R$1,Pesos!$A:$I,9,FALSE)))</f>
        <v>0.8</v>
      </c>
      <c r="AK138" s="80">
        <f>IF(S138="","",IF(S138="SIM",VLOOKUP($I138&amp;$J138&amp;S$1,Pesos!$A:$I,7,FALSE),VLOOKUP($I138&amp;$J138&amp;S$1,Pesos!$A:$I,9,FALSE)))</f>
        <v>0.8</v>
      </c>
      <c r="AL138" s="80">
        <f t="shared" si="25"/>
        <v>5.1999999999999993</v>
      </c>
      <c r="AM138" s="80">
        <f>IF(T138="","",IF(T138="SIM",VLOOKUP($I138&amp;$J138&amp;T$1,Pesos!$A:$I,7,FALSE),VLOOKUP($I138&amp;$J138&amp;T$1,Pesos!$A:$I,9,FALSE)))</f>
        <v>0.8</v>
      </c>
      <c r="AN138" s="80">
        <f>IF(U138="","",IF(U138="SIM",VLOOKUP($I138&amp;$J138&amp;U$1,Pesos!$A:$I,7,FALSE),VLOOKUP($I138&amp;$J138&amp;U$1,Pesos!$A:$I,9,FALSE)))</f>
        <v>0.8</v>
      </c>
      <c r="AO138" s="80">
        <f>IF(V138="","",IF(V138="SIM",VLOOKUP($I138&amp;$J138&amp;V$1,Pesos!$A:$I,7,FALSE),VLOOKUP($I138&amp;$J138&amp;V$1,Pesos!$A:$I,9,FALSE)))</f>
        <v>0.8</v>
      </c>
      <c r="AP138" s="80">
        <f>IF(W138="","",IF(W138="SIM",VLOOKUP($I138&amp;$J138&amp;W$1,Pesos!$A:$I,7,FALSE),VLOOKUP($I138&amp;$J138&amp;W$1,Pesos!$A:$I,9,FALSE)))</f>
        <v>0.8</v>
      </c>
      <c r="AQ138" s="80">
        <f>IF(X138="","",IF(X138="SIM",VLOOKUP($I138&amp;$J138&amp;X$1,Pesos!$A:$I,7,FALSE),VLOOKUP($I138&amp;$J138&amp;X$1,Pesos!$A:$I,9,FALSE)))</f>
        <v>0.8</v>
      </c>
      <c r="AR138" s="80">
        <f>IF(Y138="","",IF(Y138="SIM",VLOOKUP($I138&amp;$J138&amp;Y$1,Pesos!$A:$I,7,FALSE),VLOOKUP($I138&amp;$J138&amp;Y$1,Pesos!$A:$I,9,FALSE)))</f>
        <v>0.8</v>
      </c>
      <c r="AS138" s="81">
        <f>IFERROR(Z138*VLOOKUP(J138,'BD Campos'!$Y$1:$Z$12,2,FALSE),"0")</f>
        <v>10</v>
      </c>
    </row>
    <row r="139" spans="1:45" x14ac:dyDescent="0.35">
      <c r="A139" s="68" t="str">
        <f t="shared" si="26"/>
        <v>Jan202510984ReceptivaTRANSFERÊNCIA</v>
      </c>
      <c r="B139" s="69" t="str">
        <f t="shared" si="21"/>
        <v>Jan2025109845TRANSFERÊNCIAPADRÃO</v>
      </c>
      <c r="C139" s="70">
        <v>1</v>
      </c>
      <c r="D139" s="71">
        <v>45674.614261458337</v>
      </c>
      <c r="E139" s="112" t="s">
        <v>74</v>
      </c>
      <c r="F139" s="72">
        <v>10984</v>
      </c>
      <c r="G139" s="69" t="s">
        <v>161</v>
      </c>
      <c r="H139" s="73">
        <v>5</v>
      </c>
      <c r="I139" s="69" t="s">
        <v>6</v>
      </c>
      <c r="J139" s="69" t="s">
        <v>98</v>
      </c>
      <c r="K139" s="69" t="s">
        <v>106</v>
      </c>
      <c r="L139" s="74"/>
      <c r="M139" s="75">
        <v>7.175925925925927E-4</v>
      </c>
      <c r="N139" s="76" t="s">
        <v>79</v>
      </c>
      <c r="O139" s="76" t="s">
        <v>79</v>
      </c>
      <c r="P139" s="76" t="s">
        <v>79</v>
      </c>
      <c r="Q139" s="76" t="s">
        <v>79</v>
      </c>
      <c r="R139" s="76" t="s">
        <v>79</v>
      </c>
      <c r="S139" s="76" t="s">
        <v>79</v>
      </c>
      <c r="T139" s="76" t="s">
        <v>79</v>
      </c>
      <c r="U139" s="76" t="s">
        <v>79</v>
      </c>
      <c r="V139" s="76" t="s">
        <v>79</v>
      </c>
      <c r="W139" s="76" t="s">
        <v>79</v>
      </c>
      <c r="X139" s="76" t="s">
        <v>79</v>
      </c>
      <c r="Y139" s="76" t="s">
        <v>79</v>
      </c>
      <c r="Z139" s="77">
        <f t="shared" si="2"/>
        <v>10</v>
      </c>
      <c r="AA139" s="78"/>
      <c r="AB139" s="78"/>
      <c r="AC139" s="72" t="s">
        <v>47</v>
      </c>
      <c r="AE139" s="79" t="str">
        <f t="shared" si="24"/>
        <v>Jan10984</v>
      </c>
      <c r="AF139" s="80">
        <f>IF(N139="","",IF(N139="SIM",VLOOKUP($I139&amp;$J139&amp;N$1,Pesos!$A:$I,7,FALSE),VLOOKUP($I139&amp;$J139&amp;N$1,Pesos!$A:$I,9,FALSE)))</f>
        <v>0.8</v>
      </c>
      <c r="AG139" s="80">
        <f>IF(O139="","",IF(O139="SIM",VLOOKUP($I139&amp;$J139&amp;O$1,Pesos!$A:$I,7,FALSE),VLOOKUP($I139&amp;$J139&amp;O$1,Pesos!$A:$I,9,FALSE)))</f>
        <v>0.8</v>
      </c>
      <c r="AH139" s="80">
        <f>IF(P139="","",IF(P139="SIM",VLOOKUP($I139&amp;$J139&amp;P$1,Pesos!$A:$I,7,FALSE),VLOOKUP($I139&amp;$J139&amp;P$1,Pesos!$A:$I,9,FALSE)))</f>
        <v>1.2</v>
      </c>
      <c r="AI139" s="80">
        <f>IF(Q139="","",IF(Q139="SIM",VLOOKUP($I139&amp;$J139&amp;Q$1,Pesos!$A:$I,7,FALSE),VLOOKUP($I139&amp;$J139&amp;Q$1,Pesos!$A:$I,9,FALSE)))</f>
        <v>0.8</v>
      </c>
      <c r="AJ139" s="80">
        <f>IF(R139="","",IF(R139="SIM",VLOOKUP($I139&amp;$J139&amp;R$1,Pesos!$A:$I,7,FALSE),VLOOKUP($I139&amp;$J139&amp;R$1,Pesos!$A:$I,9,FALSE)))</f>
        <v>0.8</v>
      </c>
      <c r="AK139" s="80">
        <f>IF(S139="","",IF(S139="SIM",VLOOKUP($I139&amp;$J139&amp;S$1,Pesos!$A:$I,7,FALSE),VLOOKUP($I139&amp;$J139&amp;S$1,Pesos!$A:$I,9,FALSE)))</f>
        <v>0.8</v>
      </c>
      <c r="AL139" s="80">
        <f t="shared" si="25"/>
        <v>5.1999999999999993</v>
      </c>
      <c r="AM139" s="80">
        <f>IF(T139="","",IF(T139="SIM",VLOOKUP($I139&amp;$J139&amp;T$1,Pesos!$A:$I,7,FALSE),VLOOKUP($I139&amp;$J139&amp;T$1,Pesos!$A:$I,9,FALSE)))</f>
        <v>0.8</v>
      </c>
      <c r="AN139" s="80">
        <f>IF(U139="","",IF(U139="SIM",VLOOKUP($I139&amp;$J139&amp;U$1,Pesos!$A:$I,7,FALSE),VLOOKUP($I139&amp;$J139&amp;U$1,Pesos!$A:$I,9,FALSE)))</f>
        <v>0.8</v>
      </c>
      <c r="AO139" s="80">
        <f>IF(V139="","",IF(V139="SIM",VLOOKUP($I139&amp;$J139&amp;V$1,Pesos!$A:$I,7,FALSE),VLOOKUP($I139&amp;$J139&amp;V$1,Pesos!$A:$I,9,FALSE)))</f>
        <v>0.8</v>
      </c>
      <c r="AP139" s="80">
        <f>IF(W139="","",IF(W139="SIM",VLOOKUP($I139&amp;$J139&amp;W$1,Pesos!$A:$I,7,FALSE),VLOOKUP($I139&amp;$J139&amp;W$1,Pesos!$A:$I,9,FALSE)))</f>
        <v>0.8</v>
      </c>
      <c r="AQ139" s="80">
        <f>IF(X139="","",IF(X139="SIM",VLOOKUP($I139&amp;$J139&amp;X$1,Pesos!$A:$I,7,FALSE),VLOOKUP($I139&amp;$J139&amp;X$1,Pesos!$A:$I,9,FALSE)))</f>
        <v>0.8</v>
      </c>
      <c r="AR139" s="80">
        <f>IF(Y139="","",IF(Y139="SIM",VLOOKUP($I139&amp;$J139&amp;Y$1,Pesos!$A:$I,7,FALSE),VLOOKUP($I139&amp;$J139&amp;Y$1,Pesos!$A:$I,9,FALSE)))</f>
        <v>0.8</v>
      </c>
      <c r="AS139" s="81">
        <f>IFERROR(Z139*VLOOKUP(J139,'BD Campos'!$Y$1:$Z$12,2,FALSE),"0")</f>
        <v>10</v>
      </c>
    </row>
    <row r="140" spans="1:45" x14ac:dyDescent="0.35">
      <c r="A140" s="68" t="str">
        <f t="shared" si="26"/>
        <v>Jan202511233ReceptivaTRANSFERÊNCIA</v>
      </c>
      <c r="B140" s="69" t="str">
        <f t="shared" si="21"/>
        <v>Jan2025112335TRANSFERÊNCIAPADRÃO</v>
      </c>
      <c r="C140" s="70">
        <v>1</v>
      </c>
      <c r="D140" s="71">
        <v>45674.617774074075</v>
      </c>
      <c r="E140" s="112" t="s">
        <v>74</v>
      </c>
      <c r="F140" s="72">
        <v>11233</v>
      </c>
      <c r="G140" s="69" t="s">
        <v>1497</v>
      </c>
      <c r="H140" s="73">
        <v>5</v>
      </c>
      <c r="I140" s="69" t="s">
        <v>6</v>
      </c>
      <c r="J140" s="69" t="s">
        <v>98</v>
      </c>
      <c r="K140" s="69" t="s">
        <v>106</v>
      </c>
      <c r="L140" s="74"/>
      <c r="M140" s="75">
        <v>1.3541666666666667E-3</v>
      </c>
      <c r="N140" s="76" t="s">
        <v>79</v>
      </c>
      <c r="O140" s="76" t="s">
        <v>83</v>
      </c>
      <c r="P140" s="76" t="s">
        <v>79</v>
      </c>
      <c r="Q140" s="76" t="s">
        <v>79</v>
      </c>
      <c r="R140" s="76" t="s">
        <v>79</v>
      </c>
      <c r="S140" s="76" t="s">
        <v>79</v>
      </c>
      <c r="T140" s="76" t="s">
        <v>79</v>
      </c>
      <c r="U140" s="76" t="s">
        <v>79</v>
      </c>
      <c r="V140" s="76" t="s">
        <v>79</v>
      </c>
      <c r="W140" s="76" t="s">
        <v>79</v>
      </c>
      <c r="X140" s="76" t="s">
        <v>79</v>
      </c>
      <c r="Y140" s="76" t="s">
        <v>79</v>
      </c>
      <c r="Z140" s="77">
        <f t="shared" si="2"/>
        <v>9.16</v>
      </c>
      <c r="AA140" s="78"/>
      <c r="AB140" s="78"/>
      <c r="AC140" s="72" t="s">
        <v>47</v>
      </c>
      <c r="AE140" s="79" t="str">
        <f t="shared" si="24"/>
        <v>Jan11233</v>
      </c>
      <c r="AF140" s="80">
        <f>IF(N140="","",IF(N140="SIM",VLOOKUP($I140&amp;$J140&amp;N$1,Pesos!$A:$I,7,FALSE),VLOOKUP($I140&amp;$J140&amp;N$1,Pesos!$A:$I,9,FALSE)))</f>
        <v>0.8</v>
      </c>
      <c r="AG140" s="80">
        <f>IF(O140="","",IF(O140="SIM",VLOOKUP($I140&amp;$J140&amp;O$1,Pesos!$A:$I,7,FALSE),VLOOKUP($I140&amp;$J140&amp;O$1,Pesos!$A:$I,9,FALSE)))</f>
        <v>-4.0000000000000008E-2</v>
      </c>
      <c r="AH140" s="80">
        <f>IF(P140="","",IF(P140="SIM",VLOOKUP($I140&amp;$J140&amp;P$1,Pesos!$A:$I,7,FALSE),VLOOKUP($I140&amp;$J140&amp;P$1,Pesos!$A:$I,9,FALSE)))</f>
        <v>1.2</v>
      </c>
      <c r="AI140" s="80">
        <f>IF(Q140="","",IF(Q140="SIM",VLOOKUP($I140&amp;$J140&amp;Q$1,Pesos!$A:$I,7,FALSE),VLOOKUP($I140&amp;$J140&amp;Q$1,Pesos!$A:$I,9,FALSE)))</f>
        <v>0.8</v>
      </c>
      <c r="AJ140" s="80">
        <f>IF(R140="","",IF(R140="SIM",VLOOKUP($I140&amp;$J140&amp;R$1,Pesos!$A:$I,7,FALSE),VLOOKUP($I140&amp;$J140&amp;R$1,Pesos!$A:$I,9,FALSE)))</f>
        <v>0.8</v>
      </c>
      <c r="AK140" s="80">
        <f>IF(S140="","",IF(S140="SIM",VLOOKUP($I140&amp;$J140&amp;S$1,Pesos!$A:$I,7,FALSE),VLOOKUP($I140&amp;$J140&amp;S$1,Pesos!$A:$I,9,FALSE)))</f>
        <v>0.8</v>
      </c>
      <c r="AL140" s="80">
        <f t="shared" si="25"/>
        <v>4.3599999999999994</v>
      </c>
      <c r="AM140" s="80">
        <f>IF(T140="","",IF(T140="SIM",VLOOKUP($I140&amp;$J140&amp;T$1,Pesos!$A:$I,7,FALSE),VLOOKUP($I140&amp;$J140&amp;T$1,Pesos!$A:$I,9,FALSE)))</f>
        <v>0.8</v>
      </c>
      <c r="AN140" s="80">
        <f>IF(U140="","",IF(U140="SIM",VLOOKUP($I140&amp;$J140&amp;U$1,Pesos!$A:$I,7,FALSE),VLOOKUP($I140&amp;$J140&amp;U$1,Pesos!$A:$I,9,FALSE)))</f>
        <v>0.8</v>
      </c>
      <c r="AO140" s="80">
        <f>IF(V140="","",IF(V140="SIM",VLOOKUP($I140&amp;$J140&amp;V$1,Pesos!$A:$I,7,FALSE),VLOOKUP($I140&amp;$J140&amp;V$1,Pesos!$A:$I,9,FALSE)))</f>
        <v>0.8</v>
      </c>
      <c r="AP140" s="80">
        <f>IF(W140="","",IF(W140="SIM",VLOOKUP($I140&amp;$J140&amp;W$1,Pesos!$A:$I,7,FALSE),VLOOKUP($I140&amp;$J140&amp;W$1,Pesos!$A:$I,9,FALSE)))</f>
        <v>0.8</v>
      </c>
      <c r="AQ140" s="80">
        <f>IF(X140="","",IF(X140="SIM",VLOOKUP($I140&amp;$J140&amp;X$1,Pesos!$A:$I,7,FALSE),VLOOKUP($I140&amp;$J140&amp;X$1,Pesos!$A:$I,9,FALSE)))</f>
        <v>0.8</v>
      </c>
      <c r="AR140" s="80">
        <f>IF(Y140="","",IF(Y140="SIM",VLOOKUP($I140&amp;$J140&amp;Y$1,Pesos!$A:$I,7,FALSE),VLOOKUP($I140&amp;$J140&amp;Y$1,Pesos!$A:$I,9,FALSE)))</f>
        <v>0.8</v>
      </c>
      <c r="AS140" s="81">
        <f>IFERROR(Z140*VLOOKUP(J140,'BD Campos'!$Y$1:$Z$12,2,FALSE),"0")</f>
        <v>9.16</v>
      </c>
    </row>
    <row r="141" spans="1:45" x14ac:dyDescent="0.35">
      <c r="A141" s="68" t="str">
        <f t="shared" si="26"/>
        <v>Jan202511184MotoristaTRANSFERÊNCIA</v>
      </c>
      <c r="B141" s="69" t="str">
        <f t="shared" ref="B141:B204" si="27">E141&amp;YEAR(D141)&amp;F141&amp;H141&amp;K141&amp;AC141</f>
        <v>Jan2025111841TRANSFERÊNCIAPADRÃO</v>
      </c>
      <c r="C141" s="70">
        <v>1</v>
      </c>
      <c r="D141" s="71">
        <v>45674.624852777779</v>
      </c>
      <c r="E141" s="112" t="s">
        <v>74</v>
      </c>
      <c r="F141" s="72">
        <v>11184</v>
      </c>
      <c r="G141" s="69" t="s">
        <v>1394</v>
      </c>
      <c r="H141" s="73">
        <v>1</v>
      </c>
      <c r="I141" s="69" t="s">
        <v>121</v>
      </c>
      <c r="J141" s="69" t="s">
        <v>122</v>
      </c>
      <c r="K141" s="69" t="s">
        <v>106</v>
      </c>
      <c r="L141" s="74">
        <v>30850842</v>
      </c>
      <c r="M141" s="75">
        <v>1.0185185185185186E-3</v>
      </c>
      <c r="N141" s="76" t="s">
        <v>79</v>
      </c>
      <c r="O141" s="76" t="s">
        <v>83</v>
      </c>
      <c r="P141" s="76" t="s">
        <v>79</v>
      </c>
      <c r="Q141" s="76" t="s">
        <v>79</v>
      </c>
      <c r="R141" s="76" t="s">
        <v>79</v>
      </c>
      <c r="S141" s="76" t="s">
        <v>83</v>
      </c>
      <c r="T141" s="76" t="s">
        <v>79</v>
      </c>
      <c r="U141" s="76" t="s">
        <v>83</v>
      </c>
      <c r="V141" s="76" t="s">
        <v>83</v>
      </c>
      <c r="W141" s="76" t="s">
        <v>83</v>
      </c>
      <c r="X141" s="76" t="s">
        <v>83</v>
      </c>
      <c r="Y141" s="76"/>
      <c r="Z141" s="77">
        <f t="shared" si="2"/>
        <v>4.2250000000000005</v>
      </c>
      <c r="AA141" s="78"/>
      <c r="AB141" s="78" t="s">
        <v>1498</v>
      </c>
      <c r="AC141" s="72" t="s">
        <v>47</v>
      </c>
      <c r="AE141" s="79" t="str">
        <f t="shared" si="24"/>
        <v>Jan11184</v>
      </c>
      <c r="AF141" s="80">
        <f>IF(N141="","",IF(N141="SIM",VLOOKUP($I141&amp;$J141&amp;N$1,Pesos!$A:$I,7,FALSE),VLOOKUP($I141&amp;$J141&amp;N$1,Pesos!$A:$I,9,FALSE)))</f>
        <v>0.89999999999999991</v>
      </c>
      <c r="AG141" s="80">
        <f>IF(O141="","",IF(O141="SIM",VLOOKUP($I141&amp;$J141&amp;O$1,Pesos!$A:$I,7,FALSE),VLOOKUP($I141&amp;$J141&amp;O$1,Pesos!$A:$I,9,FALSE)))</f>
        <v>-4.4999999999999998E-2</v>
      </c>
      <c r="AH141" s="80">
        <f>IF(P141="","",IF(P141="SIM",VLOOKUP($I141&amp;$J141&amp;P$1,Pesos!$A:$I,7,FALSE),VLOOKUP($I141&amp;$J141&amp;P$1,Pesos!$A:$I,9,FALSE)))</f>
        <v>0.89999999999999991</v>
      </c>
      <c r="AI141" s="80">
        <f>IF(Q141="","",IF(Q141="SIM",VLOOKUP($I141&amp;$J141&amp;Q$1,Pesos!$A:$I,7,FALSE),VLOOKUP($I141&amp;$J141&amp;Q$1,Pesos!$A:$I,9,FALSE)))</f>
        <v>0.89999999999999991</v>
      </c>
      <c r="AJ141" s="80">
        <f>IF(R141="","",IF(R141="SIM",VLOOKUP($I141&amp;$J141&amp;R$1,Pesos!$A:$I,7,FALSE),VLOOKUP($I141&amp;$J141&amp;R$1,Pesos!$A:$I,9,FALSE)))</f>
        <v>0.89999999999999991</v>
      </c>
      <c r="AK141" s="80">
        <f>IF(S141="","",IF(S141="SIM",VLOOKUP($I141&amp;$J141&amp;S$1,Pesos!$A:$I,7,FALSE),VLOOKUP($I141&amp;$J141&amp;S$1,Pesos!$A:$I,9,FALSE)))</f>
        <v>-4.4999999999999998E-2</v>
      </c>
      <c r="AL141" s="80">
        <f t="shared" si="25"/>
        <v>3.51</v>
      </c>
      <c r="AM141" s="80">
        <f>IF(T141="","",IF(T141="SIM",VLOOKUP($I141&amp;$J141&amp;T$1,Pesos!$A:$I,7,FALSE),VLOOKUP($I141&amp;$J141&amp;T$1,Pesos!$A:$I,9,FALSE)))</f>
        <v>0.89999999999999991</v>
      </c>
      <c r="AN141" s="80">
        <f>IF(U141="","",IF(U141="SIM",VLOOKUP($I141&amp;$J141&amp;U$1,Pesos!$A:$I,7,FALSE),VLOOKUP($I141&amp;$J141&amp;U$1,Pesos!$A:$I,9,FALSE)))</f>
        <v>-4.6250000000000006E-2</v>
      </c>
      <c r="AO141" s="80">
        <f>IF(V141="","",IF(V141="SIM",VLOOKUP($I141&amp;$J141&amp;V$1,Pesos!$A:$I,7,FALSE),VLOOKUP($I141&amp;$J141&amp;V$1,Pesos!$A:$I,9,FALSE)))</f>
        <v>-4.6250000000000006E-2</v>
      </c>
      <c r="AP141" s="80">
        <f>IF(W141="","",IF(W141="SIM",VLOOKUP($I141&amp;$J141&amp;W$1,Pesos!$A:$I,7,FALSE),VLOOKUP($I141&amp;$J141&amp;W$1,Pesos!$A:$I,9,FALSE)))</f>
        <v>-4.4999999999999998E-2</v>
      </c>
      <c r="AQ141" s="80">
        <f>IF(X141="","",IF(X141="SIM",VLOOKUP($I141&amp;$J141&amp;X$1,Pesos!$A:$I,7,FALSE),VLOOKUP($I141&amp;$J141&amp;X$1,Pesos!$A:$I,9,FALSE)))</f>
        <v>-4.7500000000000001E-2</v>
      </c>
      <c r="AR141" s="80" t="str">
        <f>IF(Y141="","",IF(Y141="SIM",VLOOKUP($I141&amp;$J141&amp;Y$1,Pesos!$A:$I,7,FALSE),VLOOKUP($I141&amp;$J141&amp;Y$1,Pesos!$A:$I,9,FALSE)))</f>
        <v/>
      </c>
      <c r="AS141" s="81">
        <f>IFERROR(Z141*VLOOKUP(J141,'BD Campos'!$Y$1:$Z$12,2,FALSE),"0")</f>
        <v>4.2250000000000005</v>
      </c>
    </row>
    <row r="142" spans="1:45" x14ac:dyDescent="0.35">
      <c r="A142" s="68" t="str">
        <f t="shared" si="26"/>
        <v>Jan202511184ReceptivaTRANSFERÊNCIA</v>
      </c>
      <c r="B142" s="69" t="str">
        <f t="shared" si="27"/>
        <v>Jan2025111845TRANSFERÊNCIAPADRÃO</v>
      </c>
      <c r="C142" s="70">
        <v>1</v>
      </c>
      <c r="D142" s="71">
        <v>45674.626664236108</v>
      </c>
      <c r="E142" s="112" t="s">
        <v>74</v>
      </c>
      <c r="F142" s="72">
        <v>11184</v>
      </c>
      <c r="G142" s="69" t="s">
        <v>1394</v>
      </c>
      <c r="H142" s="73">
        <v>5</v>
      </c>
      <c r="I142" s="69" t="s">
        <v>6</v>
      </c>
      <c r="J142" s="69" t="s">
        <v>98</v>
      </c>
      <c r="K142" s="69" t="s">
        <v>106</v>
      </c>
      <c r="L142" s="74"/>
      <c r="M142" s="75">
        <v>9.2592592592592585E-4</v>
      </c>
      <c r="N142" s="76" t="s">
        <v>79</v>
      </c>
      <c r="O142" s="76" t="s">
        <v>83</v>
      </c>
      <c r="P142" s="76" t="s">
        <v>79</v>
      </c>
      <c r="Q142" s="76" t="s">
        <v>79</v>
      </c>
      <c r="R142" s="76" t="s">
        <v>79</v>
      </c>
      <c r="S142" s="76" t="s">
        <v>79</v>
      </c>
      <c r="T142" s="76" t="s">
        <v>79</v>
      </c>
      <c r="U142" s="76" t="s">
        <v>79</v>
      </c>
      <c r="V142" s="76" t="s">
        <v>79</v>
      </c>
      <c r="W142" s="76" t="s">
        <v>79</v>
      </c>
      <c r="X142" s="76" t="s">
        <v>79</v>
      </c>
      <c r="Y142" s="76" t="s">
        <v>79</v>
      </c>
      <c r="Z142" s="77">
        <f t="shared" si="2"/>
        <v>9.16</v>
      </c>
      <c r="AA142" s="78"/>
      <c r="AB142" s="78"/>
      <c r="AC142" s="72" t="s">
        <v>47</v>
      </c>
      <c r="AE142" s="79" t="str">
        <f t="shared" si="24"/>
        <v>Jan11184</v>
      </c>
      <c r="AF142" s="80">
        <f>IF(N142="","",IF(N142="SIM",VLOOKUP($I142&amp;$J142&amp;N$1,Pesos!$A:$I,7,FALSE),VLOOKUP($I142&amp;$J142&amp;N$1,Pesos!$A:$I,9,FALSE)))</f>
        <v>0.8</v>
      </c>
      <c r="AG142" s="80">
        <f>IF(O142="","",IF(O142="SIM",VLOOKUP($I142&amp;$J142&amp;O$1,Pesos!$A:$I,7,FALSE),VLOOKUP($I142&amp;$J142&amp;O$1,Pesos!$A:$I,9,FALSE)))</f>
        <v>-4.0000000000000008E-2</v>
      </c>
      <c r="AH142" s="80">
        <f>IF(P142="","",IF(P142="SIM",VLOOKUP($I142&amp;$J142&amp;P$1,Pesos!$A:$I,7,FALSE),VLOOKUP($I142&amp;$J142&amp;P$1,Pesos!$A:$I,9,FALSE)))</f>
        <v>1.2</v>
      </c>
      <c r="AI142" s="80">
        <f>IF(Q142="","",IF(Q142="SIM",VLOOKUP($I142&amp;$J142&amp;Q$1,Pesos!$A:$I,7,FALSE),VLOOKUP($I142&amp;$J142&amp;Q$1,Pesos!$A:$I,9,FALSE)))</f>
        <v>0.8</v>
      </c>
      <c r="AJ142" s="80">
        <f>IF(R142="","",IF(R142="SIM",VLOOKUP($I142&amp;$J142&amp;R$1,Pesos!$A:$I,7,FALSE),VLOOKUP($I142&amp;$J142&amp;R$1,Pesos!$A:$I,9,FALSE)))</f>
        <v>0.8</v>
      </c>
      <c r="AK142" s="80">
        <f>IF(S142="","",IF(S142="SIM",VLOOKUP($I142&amp;$J142&amp;S$1,Pesos!$A:$I,7,FALSE),VLOOKUP($I142&amp;$J142&amp;S$1,Pesos!$A:$I,9,FALSE)))</f>
        <v>0.8</v>
      </c>
      <c r="AL142" s="80">
        <f t="shared" si="25"/>
        <v>4.3599999999999994</v>
      </c>
      <c r="AM142" s="80">
        <f>IF(T142="","",IF(T142="SIM",VLOOKUP($I142&amp;$J142&amp;T$1,Pesos!$A:$I,7,FALSE),VLOOKUP($I142&amp;$J142&amp;T$1,Pesos!$A:$I,9,FALSE)))</f>
        <v>0.8</v>
      </c>
      <c r="AN142" s="80">
        <f>IF(U142="","",IF(U142="SIM",VLOOKUP($I142&amp;$J142&amp;U$1,Pesos!$A:$I,7,FALSE),VLOOKUP($I142&amp;$J142&amp;U$1,Pesos!$A:$I,9,FALSE)))</f>
        <v>0.8</v>
      </c>
      <c r="AO142" s="80">
        <f>IF(V142="","",IF(V142="SIM",VLOOKUP($I142&amp;$J142&amp;V$1,Pesos!$A:$I,7,FALSE),VLOOKUP($I142&amp;$J142&amp;V$1,Pesos!$A:$I,9,FALSE)))</f>
        <v>0.8</v>
      </c>
      <c r="AP142" s="80">
        <f>IF(W142="","",IF(W142="SIM",VLOOKUP($I142&amp;$J142&amp;W$1,Pesos!$A:$I,7,FALSE),VLOOKUP($I142&amp;$J142&amp;W$1,Pesos!$A:$I,9,FALSE)))</f>
        <v>0.8</v>
      </c>
      <c r="AQ142" s="80">
        <f>IF(X142="","",IF(X142="SIM",VLOOKUP($I142&amp;$J142&amp;X$1,Pesos!$A:$I,7,FALSE),VLOOKUP($I142&amp;$J142&amp;X$1,Pesos!$A:$I,9,FALSE)))</f>
        <v>0.8</v>
      </c>
      <c r="AR142" s="80">
        <f>IF(Y142="","",IF(Y142="SIM",VLOOKUP($I142&amp;$J142&amp;Y$1,Pesos!$A:$I,7,FALSE),VLOOKUP($I142&amp;$J142&amp;Y$1,Pesos!$A:$I,9,FALSE)))</f>
        <v>0.8</v>
      </c>
      <c r="AS142" s="81">
        <f>IFERROR(Z142*VLOOKUP(J142,'BD Campos'!$Y$1:$Z$12,2,FALSE),"0")</f>
        <v>9.16</v>
      </c>
    </row>
    <row r="143" spans="1:45" x14ac:dyDescent="0.35">
      <c r="A143" s="68" t="str">
        <f t="shared" si="26"/>
        <v>Jan202511200ReceptivaTRANSFERÊNCIA</v>
      </c>
      <c r="B143" s="69" t="str">
        <f t="shared" si="27"/>
        <v>Jan2025112005TRANSFERÊNCIAPADRÃO</v>
      </c>
      <c r="C143" s="70">
        <v>1</v>
      </c>
      <c r="D143" s="71">
        <v>45674.62917951389</v>
      </c>
      <c r="E143" s="112" t="s">
        <v>74</v>
      </c>
      <c r="F143" s="72">
        <v>11200</v>
      </c>
      <c r="G143" s="69" t="s">
        <v>1395</v>
      </c>
      <c r="H143" s="73">
        <v>5</v>
      </c>
      <c r="I143" s="69" t="s">
        <v>6</v>
      </c>
      <c r="J143" s="69" t="s">
        <v>98</v>
      </c>
      <c r="K143" s="69" t="s">
        <v>106</v>
      </c>
      <c r="L143" s="74"/>
      <c r="M143" s="75">
        <v>1.1111111111111111E-3</v>
      </c>
      <c r="N143" s="76" t="s">
        <v>79</v>
      </c>
      <c r="O143" s="76" t="s">
        <v>79</v>
      </c>
      <c r="P143" s="76" t="s">
        <v>79</v>
      </c>
      <c r="Q143" s="76" t="s">
        <v>79</v>
      </c>
      <c r="R143" s="76" t="s">
        <v>79</v>
      </c>
      <c r="S143" s="76" t="s">
        <v>79</v>
      </c>
      <c r="T143" s="76" t="s">
        <v>79</v>
      </c>
      <c r="U143" s="76" t="s">
        <v>79</v>
      </c>
      <c r="V143" s="76" t="s">
        <v>79</v>
      </c>
      <c r="W143" s="76" t="s">
        <v>79</v>
      </c>
      <c r="X143" s="76" t="s">
        <v>79</v>
      </c>
      <c r="Y143" s="76" t="s">
        <v>79</v>
      </c>
      <c r="Z143" s="77">
        <f t="shared" si="2"/>
        <v>10</v>
      </c>
      <c r="AA143" s="78"/>
      <c r="AB143" s="78"/>
      <c r="AC143" s="72" t="s">
        <v>47</v>
      </c>
      <c r="AE143" s="79" t="str">
        <f t="shared" si="24"/>
        <v>Jan11200</v>
      </c>
      <c r="AF143" s="80">
        <f>IF(N143="","",IF(N143="SIM",VLOOKUP($I143&amp;$J143&amp;N$1,Pesos!$A:$I,7,FALSE),VLOOKUP($I143&amp;$J143&amp;N$1,Pesos!$A:$I,9,FALSE)))</f>
        <v>0.8</v>
      </c>
      <c r="AG143" s="80">
        <f>IF(O143="","",IF(O143="SIM",VLOOKUP($I143&amp;$J143&amp;O$1,Pesos!$A:$I,7,FALSE),VLOOKUP($I143&amp;$J143&amp;O$1,Pesos!$A:$I,9,FALSE)))</f>
        <v>0.8</v>
      </c>
      <c r="AH143" s="80">
        <f>IF(P143="","",IF(P143="SIM",VLOOKUP($I143&amp;$J143&amp;P$1,Pesos!$A:$I,7,FALSE),VLOOKUP($I143&amp;$J143&amp;P$1,Pesos!$A:$I,9,FALSE)))</f>
        <v>1.2</v>
      </c>
      <c r="AI143" s="80">
        <f>IF(Q143="","",IF(Q143="SIM",VLOOKUP($I143&amp;$J143&amp;Q$1,Pesos!$A:$I,7,FALSE),VLOOKUP($I143&amp;$J143&amp;Q$1,Pesos!$A:$I,9,FALSE)))</f>
        <v>0.8</v>
      </c>
      <c r="AJ143" s="80">
        <f>IF(R143="","",IF(R143="SIM",VLOOKUP($I143&amp;$J143&amp;R$1,Pesos!$A:$I,7,FALSE),VLOOKUP($I143&amp;$J143&amp;R$1,Pesos!$A:$I,9,FALSE)))</f>
        <v>0.8</v>
      </c>
      <c r="AK143" s="80">
        <f>IF(S143="","",IF(S143="SIM",VLOOKUP($I143&amp;$J143&amp;S$1,Pesos!$A:$I,7,FALSE),VLOOKUP($I143&amp;$J143&amp;S$1,Pesos!$A:$I,9,FALSE)))</f>
        <v>0.8</v>
      </c>
      <c r="AL143" s="80">
        <f t="shared" si="25"/>
        <v>5.1999999999999993</v>
      </c>
      <c r="AM143" s="80">
        <f>IF(T143="","",IF(T143="SIM",VLOOKUP($I143&amp;$J143&amp;T$1,Pesos!$A:$I,7,FALSE),VLOOKUP($I143&amp;$J143&amp;T$1,Pesos!$A:$I,9,FALSE)))</f>
        <v>0.8</v>
      </c>
      <c r="AN143" s="80">
        <f>IF(U143="","",IF(U143="SIM",VLOOKUP($I143&amp;$J143&amp;U$1,Pesos!$A:$I,7,FALSE),VLOOKUP($I143&amp;$J143&amp;U$1,Pesos!$A:$I,9,FALSE)))</f>
        <v>0.8</v>
      </c>
      <c r="AO143" s="80">
        <f>IF(V143="","",IF(V143="SIM",VLOOKUP($I143&amp;$J143&amp;V$1,Pesos!$A:$I,7,FALSE),VLOOKUP($I143&amp;$J143&amp;V$1,Pesos!$A:$I,9,FALSE)))</f>
        <v>0.8</v>
      </c>
      <c r="AP143" s="80">
        <f>IF(W143="","",IF(W143="SIM",VLOOKUP($I143&amp;$J143&amp;W$1,Pesos!$A:$I,7,FALSE),VLOOKUP($I143&amp;$J143&amp;W$1,Pesos!$A:$I,9,FALSE)))</f>
        <v>0.8</v>
      </c>
      <c r="AQ143" s="80">
        <f>IF(X143="","",IF(X143="SIM",VLOOKUP($I143&amp;$J143&amp;X$1,Pesos!$A:$I,7,FALSE),VLOOKUP($I143&amp;$J143&amp;X$1,Pesos!$A:$I,9,FALSE)))</f>
        <v>0.8</v>
      </c>
      <c r="AR143" s="80">
        <f>IF(Y143="","",IF(Y143="SIM",VLOOKUP($I143&amp;$J143&amp;Y$1,Pesos!$A:$I,7,FALSE),VLOOKUP($I143&amp;$J143&amp;Y$1,Pesos!$A:$I,9,FALSE)))</f>
        <v>0.8</v>
      </c>
      <c r="AS143" s="81">
        <f>IFERROR(Z143*VLOOKUP(J143,'BD Campos'!$Y$1:$Z$12,2,FALSE),"0")</f>
        <v>10</v>
      </c>
    </row>
    <row r="144" spans="1:45" x14ac:dyDescent="0.35">
      <c r="A144" s="68" t="str">
        <f t="shared" si="26"/>
        <v>Jan202511050ReceptivaTRANSFERÊNCIA</v>
      </c>
      <c r="B144" s="69" t="str">
        <f t="shared" si="27"/>
        <v>Jan2025110505TRANSFERÊNCIAPADRÃO</v>
      </c>
      <c r="C144" s="70">
        <v>1</v>
      </c>
      <c r="D144" s="71">
        <v>45674.637216550924</v>
      </c>
      <c r="E144" s="112" t="s">
        <v>74</v>
      </c>
      <c r="F144" s="72">
        <v>11050</v>
      </c>
      <c r="G144" s="69" t="s">
        <v>379</v>
      </c>
      <c r="H144" s="73">
        <v>5</v>
      </c>
      <c r="I144" s="69" t="s">
        <v>6</v>
      </c>
      <c r="J144" s="69" t="s">
        <v>98</v>
      </c>
      <c r="K144" s="69" t="s">
        <v>106</v>
      </c>
      <c r="L144" s="74"/>
      <c r="M144" s="75">
        <v>7.8703703703703705E-4</v>
      </c>
      <c r="N144" s="76" t="s">
        <v>79</v>
      </c>
      <c r="O144" s="76" t="s">
        <v>79</v>
      </c>
      <c r="P144" s="76" t="s">
        <v>79</v>
      </c>
      <c r="Q144" s="76" t="s">
        <v>79</v>
      </c>
      <c r="R144" s="76" t="s">
        <v>79</v>
      </c>
      <c r="S144" s="76" t="s">
        <v>79</v>
      </c>
      <c r="T144" s="76" t="s">
        <v>79</v>
      </c>
      <c r="U144" s="76" t="s">
        <v>79</v>
      </c>
      <c r="V144" s="76" t="s">
        <v>79</v>
      </c>
      <c r="W144" s="76" t="s">
        <v>79</v>
      </c>
      <c r="X144" s="76" t="s">
        <v>79</v>
      </c>
      <c r="Y144" s="76" t="s">
        <v>79</v>
      </c>
      <c r="Z144" s="77">
        <f t="shared" si="2"/>
        <v>10</v>
      </c>
      <c r="AA144" s="78"/>
      <c r="AB144" s="78"/>
      <c r="AC144" s="72" t="s">
        <v>47</v>
      </c>
      <c r="AE144" s="79" t="str">
        <f t="shared" si="24"/>
        <v>Jan11050</v>
      </c>
      <c r="AF144" s="80">
        <f>IF(N144="","",IF(N144="SIM",VLOOKUP($I144&amp;$J144&amp;N$1,Pesos!$A:$I,7,FALSE),VLOOKUP($I144&amp;$J144&amp;N$1,Pesos!$A:$I,9,FALSE)))</f>
        <v>0.8</v>
      </c>
      <c r="AG144" s="80">
        <f>IF(O144="","",IF(O144="SIM",VLOOKUP($I144&amp;$J144&amp;O$1,Pesos!$A:$I,7,FALSE),VLOOKUP($I144&amp;$J144&amp;O$1,Pesos!$A:$I,9,FALSE)))</f>
        <v>0.8</v>
      </c>
      <c r="AH144" s="80">
        <f>IF(P144="","",IF(P144="SIM",VLOOKUP($I144&amp;$J144&amp;P$1,Pesos!$A:$I,7,FALSE),VLOOKUP($I144&amp;$J144&amp;P$1,Pesos!$A:$I,9,FALSE)))</f>
        <v>1.2</v>
      </c>
      <c r="AI144" s="80">
        <f>IF(Q144="","",IF(Q144="SIM",VLOOKUP($I144&amp;$J144&amp;Q$1,Pesos!$A:$I,7,FALSE),VLOOKUP($I144&amp;$J144&amp;Q$1,Pesos!$A:$I,9,FALSE)))</f>
        <v>0.8</v>
      </c>
      <c r="AJ144" s="80">
        <f>IF(R144="","",IF(R144="SIM",VLOOKUP($I144&amp;$J144&amp;R$1,Pesos!$A:$I,7,FALSE),VLOOKUP($I144&amp;$J144&amp;R$1,Pesos!$A:$I,9,FALSE)))</f>
        <v>0.8</v>
      </c>
      <c r="AK144" s="80">
        <f>IF(S144="","",IF(S144="SIM",VLOOKUP($I144&amp;$J144&amp;S$1,Pesos!$A:$I,7,FALSE),VLOOKUP($I144&amp;$J144&amp;S$1,Pesos!$A:$I,9,FALSE)))</f>
        <v>0.8</v>
      </c>
      <c r="AL144" s="80">
        <f t="shared" si="25"/>
        <v>5.1999999999999993</v>
      </c>
      <c r="AM144" s="80">
        <f>IF(T144="","",IF(T144="SIM",VLOOKUP($I144&amp;$J144&amp;T$1,Pesos!$A:$I,7,FALSE),VLOOKUP($I144&amp;$J144&amp;T$1,Pesos!$A:$I,9,FALSE)))</f>
        <v>0.8</v>
      </c>
      <c r="AN144" s="80">
        <f>IF(U144="","",IF(U144="SIM",VLOOKUP($I144&amp;$J144&amp;U$1,Pesos!$A:$I,7,FALSE),VLOOKUP($I144&amp;$J144&amp;U$1,Pesos!$A:$I,9,FALSE)))</f>
        <v>0.8</v>
      </c>
      <c r="AO144" s="80">
        <f>IF(V144="","",IF(V144="SIM",VLOOKUP($I144&amp;$J144&amp;V$1,Pesos!$A:$I,7,FALSE),VLOOKUP($I144&amp;$J144&amp;V$1,Pesos!$A:$I,9,FALSE)))</f>
        <v>0.8</v>
      </c>
      <c r="AP144" s="80">
        <f>IF(W144="","",IF(W144="SIM",VLOOKUP($I144&amp;$J144&amp;W$1,Pesos!$A:$I,7,FALSE),VLOOKUP($I144&amp;$J144&amp;W$1,Pesos!$A:$I,9,FALSE)))</f>
        <v>0.8</v>
      </c>
      <c r="AQ144" s="80">
        <f>IF(X144="","",IF(X144="SIM",VLOOKUP($I144&amp;$J144&amp;X$1,Pesos!$A:$I,7,FALSE),VLOOKUP($I144&amp;$J144&amp;X$1,Pesos!$A:$I,9,FALSE)))</f>
        <v>0.8</v>
      </c>
      <c r="AR144" s="80">
        <f>IF(Y144="","",IF(Y144="SIM",VLOOKUP($I144&amp;$J144&amp;Y$1,Pesos!$A:$I,7,FALSE),VLOOKUP($I144&amp;$J144&amp;Y$1,Pesos!$A:$I,9,FALSE)))</f>
        <v>0.8</v>
      </c>
      <c r="AS144" s="81">
        <f>IFERROR(Z144*VLOOKUP(J144,'BD Campos'!$Y$1:$Z$12,2,FALSE),"0")</f>
        <v>10</v>
      </c>
    </row>
    <row r="145" spans="1:45" x14ac:dyDescent="0.35">
      <c r="A145" s="68" t="str">
        <f t="shared" si="26"/>
        <v>Jan202511185ReceptivaTRANSFERÊNCIA</v>
      </c>
      <c r="B145" s="69" t="str">
        <f t="shared" si="27"/>
        <v>Jan2025111855TRANSFERÊNCIAPADRÃO</v>
      </c>
      <c r="C145" s="70">
        <v>1</v>
      </c>
      <c r="D145" s="71">
        <v>45674.639688425923</v>
      </c>
      <c r="E145" s="112" t="s">
        <v>74</v>
      </c>
      <c r="F145" s="72">
        <v>11185</v>
      </c>
      <c r="G145" s="69" t="s">
        <v>1396</v>
      </c>
      <c r="H145" s="73">
        <v>5</v>
      </c>
      <c r="I145" s="69" t="s">
        <v>6</v>
      </c>
      <c r="J145" s="69" t="s">
        <v>98</v>
      </c>
      <c r="K145" s="69" t="s">
        <v>106</v>
      </c>
      <c r="L145" s="74"/>
      <c r="M145" s="75">
        <v>1.3425925925925925E-3</v>
      </c>
      <c r="N145" s="76" t="s">
        <v>79</v>
      </c>
      <c r="O145" s="76" t="s">
        <v>79</v>
      </c>
      <c r="P145" s="76" t="s">
        <v>79</v>
      </c>
      <c r="Q145" s="76" t="s">
        <v>79</v>
      </c>
      <c r="R145" s="76" t="s">
        <v>79</v>
      </c>
      <c r="S145" s="76" t="s">
        <v>79</v>
      </c>
      <c r="T145" s="76" t="s">
        <v>79</v>
      </c>
      <c r="U145" s="76" t="s">
        <v>79</v>
      </c>
      <c r="V145" s="76" t="s">
        <v>79</v>
      </c>
      <c r="W145" s="76" t="s">
        <v>79</v>
      </c>
      <c r="X145" s="76" t="s">
        <v>79</v>
      </c>
      <c r="Y145" s="76" t="s">
        <v>79</v>
      </c>
      <c r="Z145" s="77">
        <f t="shared" si="2"/>
        <v>10</v>
      </c>
      <c r="AA145" s="78"/>
      <c r="AB145" s="78"/>
      <c r="AC145" s="72" t="s">
        <v>47</v>
      </c>
      <c r="AE145" s="79" t="str">
        <f t="shared" si="24"/>
        <v>Jan11185</v>
      </c>
      <c r="AF145" s="80">
        <f>IF(N145="","",IF(N145="SIM",VLOOKUP($I145&amp;$J145&amp;N$1,Pesos!$A:$I,7,FALSE),VLOOKUP($I145&amp;$J145&amp;N$1,Pesos!$A:$I,9,FALSE)))</f>
        <v>0.8</v>
      </c>
      <c r="AG145" s="80">
        <f>IF(O145="","",IF(O145="SIM",VLOOKUP($I145&amp;$J145&amp;O$1,Pesos!$A:$I,7,FALSE),VLOOKUP($I145&amp;$J145&amp;O$1,Pesos!$A:$I,9,FALSE)))</f>
        <v>0.8</v>
      </c>
      <c r="AH145" s="80">
        <f>IF(P145="","",IF(P145="SIM",VLOOKUP($I145&amp;$J145&amp;P$1,Pesos!$A:$I,7,FALSE),VLOOKUP($I145&amp;$J145&amp;P$1,Pesos!$A:$I,9,FALSE)))</f>
        <v>1.2</v>
      </c>
      <c r="AI145" s="80">
        <f>IF(Q145="","",IF(Q145="SIM",VLOOKUP($I145&amp;$J145&amp;Q$1,Pesos!$A:$I,7,FALSE),VLOOKUP($I145&amp;$J145&amp;Q$1,Pesos!$A:$I,9,FALSE)))</f>
        <v>0.8</v>
      </c>
      <c r="AJ145" s="80">
        <f>IF(R145="","",IF(R145="SIM",VLOOKUP($I145&amp;$J145&amp;R$1,Pesos!$A:$I,7,FALSE),VLOOKUP($I145&amp;$J145&amp;R$1,Pesos!$A:$I,9,FALSE)))</f>
        <v>0.8</v>
      </c>
      <c r="AK145" s="80">
        <f>IF(S145="","",IF(S145="SIM",VLOOKUP($I145&amp;$J145&amp;S$1,Pesos!$A:$I,7,FALSE),VLOOKUP($I145&amp;$J145&amp;S$1,Pesos!$A:$I,9,FALSE)))</f>
        <v>0.8</v>
      </c>
      <c r="AL145" s="80">
        <f t="shared" si="25"/>
        <v>5.1999999999999993</v>
      </c>
      <c r="AM145" s="80">
        <f>IF(T145="","",IF(T145="SIM",VLOOKUP($I145&amp;$J145&amp;T$1,Pesos!$A:$I,7,FALSE),VLOOKUP($I145&amp;$J145&amp;T$1,Pesos!$A:$I,9,FALSE)))</f>
        <v>0.8</v>
      </c>
      <c r="AN145" s="80">
        <f>IF(U145="","",IF(U145="SIM",VLOOKUP($I145&amp;$J145&amp;U$1,Pesos!$A:$I,7,FALSE),VLOOKUP($I145&amp;$J145&amp;U$1,Pesos!$A:$I,9,FALSE)))</f>
        <v>0.8</v>
      </c>
      <c r="AO145" s="80">
        <f>IF(V145="","",IF(V145="SIM",VLOOKUP($I145&amp;$J145&amp;V$1,Pesos!$A:$I,7,FALSE),VLOOKUP($I145&amp;$J145&amp;V$1,Pesos!$A:$I,9,FALSE)))</f>
        <v>0.8</v>
      </c>
      <c r="AP145" s="80">
        <f>IF(W145="","",IF(W145="SIM",VLOOKUP($I145&amp;$J145&amp;W$1,Pesos!$A:$I,7,FALSE),VLOOKUP($I145&amp;$J145&amp;W$1,Pesos!$A:$I,9,FALSE)))</f>
        <v>0.8</v>
      </c>
      <c r="AQ145" s="80">
        <f>IF(X145="","",IF(X145="SIM",VLOOKUP($I145&amp;$J145&amp;X$1,Pesos!$A:$I,7,FALSE),VLOOKUP($I145&amp;$J145&amp;X$1,Pesos!$A:$I,9,FALSE)))</f>
        <v>0.8</v>
      </c>
      <c r="AR145" s="80">
        <f>IF(Y145="","",IF(Y145="SIM",VLOOKUP($I145&amp;$J145&amp;Y$1,Pesos!$A:$I,7,FALSE),VLOOKUP($I145&amp;$J145&amp;Y$1,Pesos!$A:$I,9,FALSE)))</f>
        <v>0.8</v>
      </c>
      <c r="AS145" s="81">
        <f>IFERROR(Z145*VLOOKUP(J145,'BD Campos'!$Y$1:$Z$12,2,FALSE),"0")</f>
        <v>10</v>
      </c>
    </row>
    <row r="146" spans="1:45" x14ac:dyDescent="0.35">
      <c r="A146" s="68" t="str">
        <f t="shared" si="26"/>
        <v>Jan202511185MotoristaTRANSFERÊNCIA</v>
      </c>
      <c r="B146" s="69" t="str">
        <f t="shared" si="27"/>
        <v>Jan2025111851TRANSFERÊNCIAPADRÃO</v>
      </c>
      <c r="C146" s="70">
        <v>1</v>
      </c>
      <c r="D146" s="71">
        <v>45674.644091666669</v>
      </c>
      <c r="E146" s="112" t="s">
        <v>74</v>
      </c>
      <c r="F146" s="72">
        <v>11185</v>
      </c>
      <c r="G146" s="69" t="s">
        <v>1396</v>
      </c>
      <c r="H146" s="73">
        <v>1</v>
      </c>
      <c r="I146" s="69" t="s">
        <v>126</v>
      </c>
      <c r="J146" s="69" t="s">
        <v>122</v>
      </c>
      <c r="K146" s="69" t="s">
        <v>106</v>
      </c>
      <c r="L146" s="74">
        <v>30871248</v>
      </c>
      <c r="M146" s="75">
        <v>2.4652777777777776E-3</v>
      </c>
      <c r="N146" s="76" t="s">
        <v>79</v>
      </c>
      <c r="O146" s="76" t="s">
        <v>79</v>
      </c>
      <c r="P146" s="76" t="s">
        <v>79</v>
      </c>
      <c r="Q146" s="76" t="s">
        <v>79</v>
      </c>
      <c r="R146" s="76" t="s">
        <v>79</v>
      </c>
      <c r="S146" s="76" t="s">
        <v>79</v>
      </c>
      <c r="T146" s="76" t="s">
        <v>79</v>
      </c>
      <c r="U146" s="76" t="s">
        <v>79</v>
      </c>
      <c r="V146" s="76" t="s">
        <v>79</v>
      </c>
      <c r="W146" s="76" t="s">
        <v>79</v>
      </c>
      <c r="X146" s="76" t="s">
        <v>79</v>
      </c>
      <c r="Y146" s="76" t="s">
        <v>79</v>
      </c>
      <c r="Z146" s="77">
        <f t="shared" si="2"/>
        <v>10</v>
      </c>
      <c r="AA146" s="78"/>
      <c r="AB146" s="78" t="s">
        <v>1499</v>
      </c>
      <c r="AC146" s="72" t="s">
        <v>47</v>
      </c>
      <c r="AE146" s="79" t="str">
        <f t="shared" si="24"/>
        <v>Jan11185</v>
      </c>
      <c r="AF146" s="80">
        <f>IF(N146="","",IF(N146="SIM",VLOOKUP($I146&amp;$J146&amp;N$1,Pesos!$A:$I,7,FALSE),VLOOKUP($I146&amp;$J146&amp;N$1,Pesos!$A:$I,9,FALSE)))</f>
        <v>0.8</v>
      </c>
      <c r="AG146" s="80">
        <f>IF(O146="","",IF(O146="SIM",VLOOKUP($I146&amp;$J146&amp;O$1,Pesos!$A:$I,7,FALSE),VLOOKUP($I146&amp;$J146&amp;O$1,Pesos!$A:$I,9,FALSE)))</f>
        <v>0.8</v>
      </c>
      <c r="AH146" s="80">
        <f>IF(P146="","",IF(P146="SIM",VLOOKUP($I146&amp;$J146&amp;P$1,Pesos!$A:$I,7,FALSE),VLOOKUP($I146&amp;$J146&amp;P$1,Pesos!$A:$I,9,FALSE)))</f>
        <v>0.8</v>
      </c>
      <c r="AI146" s="80">
        <f>IF(Q146="","",IF(Q146="SIM",VLOOKUP($I146&amp;$J146&amp;Q$1,Pesos!$A:$I,7,FALSE),VLOOKUP($I146&amp;$J146&amp;Q$1,Pesos!$A:$I,9,FALSE)))</f>
        <v>0.8</v>
      </c>
      <c r="AJ146" s="80">
        <f>IF(R146="","",IF(R146="SIM",VLOOKUP($I146&amp;$J146&amp;R$1,Pesos!$A:$I,7,FALSE),VLOOKUP($I146&amp;$J146&amp;R$1,Pesos!$A:$I,9,FALSE)))</f>
        <v>0.8</v>
      </c>
      <c r="AK146" s="80">
        <f>IF(S146="","",IF(S146="SIM",VLOOKUP($I146&amp;$J146&amp;S$1,Pesos!$A:$I,7,FALSE),VLOOKUP($I146&amp;$J146&amp;S$1,Pesos!$A:$I,9,FALSE)))</f>
        <v>0.8</v>
      </c>
      <c r="AL146" s="80">
        <f t="shared" si="25"/>
        <v>4.8</v>
      </c>
      <c r="AM146" s="80">
        <f>IF(T146="","",IF(T146="SIM",VLOOKUP($I146&amp;$J146&amp;T$1,Pesos!$A:$I,7,FALSE),VLOOKUP($I146&amp;$J146&amp;T$1,Pesos!$A:$I,9,FALSE)))</f>
        <v>0.8</v>
      </c>
      <c r="AN146" s="80">
        <f>IF(U146="","",IF(U146="SIM",VLOOKUP($I146&amp;$J146&amp;U$1,Pesos!$A:$I,7,FALSE),VLOOKUP($I146&amp;$J146&amp;U$1,Pesos!$A:$I,9,FALSE)))</f>
        <v>0.8</v>
      </c>
      <c r="AO146" s="80">
        <f>IF(V146="","",IF(V146="SIM",VLOOKUP($I146&amp;$J146&amp;V$1,Pesos!$A:$I,7,FALSE),VLOOKUP($I146&amp;$J146&amp;V$1,Pesos!$A:$I,9,FALSE)))</f>
        <v>0.8</v>
      </c>
      <c r="AP146" s="80">
        <f>IF(W146="","",IF(W146="SIM",VLOOKUP($I146&amp;$J146&amp;W$1,Pesos!$A:$I,7,FALSE),VLOOKUP($I146&amp;$J146&amp;W$1,Pesos!$A:$I,9,FALSE)))</f>
        <v>0.8</v>
      </c>
      <c r="AQ146" s="80">
        <f>IF(X146="","",IF(X146="SIM",VLOOKUP($I146&amp;$J146&amp;X$1,Pesos!$A:$I,7,FALSE),VLOOKUP($I146&amp;$J146&amp;X$1,Pesos!$A:$I,9,FALSE)))</f>
        <v>1</v>
      </c>
      <c r="AR146" s="80">
        <f>IF(Y146="","",IF(Y146="SIM",VLOOKUP($I146&amp;$J146&amp;Y$1,Pesos!$A:$I,7,FALSE),VLOOKUP($I146&amp;$J146&amp;Y$1,Pesos!$A:$I,9,FALSE)))</f>
        <v>1</v>
      </c>
      <c r="AS146" s="81">
        <f>IFERROR(Z146*VLOOKUP(J146,'BD Campos'!$Y$1:$Z$12,2,FALSE),"0")</f>
        <v>10</v>
      </c>
    </row>
    <row r="147" spans="1:45" x14ac:dyDescent="0.35">
      <c r="A147" s="68" t="str">
        <f t="shared" si="26"/>
        <v>Jan202511237ClienteTRANSFERÊNCIA</v>
      </c>
      <c r="B147" s="69" t="str">
        <f t="shared" si="27"/>
        <v>Jan2025112371TRANSFERÊNCIAPADRÃO</v>
      </c>
      <c r="C147" s="70">
        <v>1</v>
      </c>
      <c r="D147" s="71">
        <v>45674.66113576389</v>
      </c>
      <c r="E147" s="112" t="s">
        <v>74</v>
      </c>
      <c r="F147" s="72">
        <v>11237</v>
      </c>
      <c r="G147" s="69" t="s">
        <v>1500</v>
      </c>
      <c r="H147" s="73">
        <v>1</v>
      </c>
      <c r="I147" s="69" t="s">
        <v>126</v>
      </c>
      <c r="J147" s="69" t="s">
        <v>124</v>
      </c>
      <c r="K147" s="69" t="s">
        <v>106</v>
      </c>
      <c r="L147" s="74">
        <v>30812369</v>
      </c>
      <c r="M147" s="75">
        <v>1.9328703703703704E-3</v>
      </c>
      <c r="N147" s="76" t="s">
        <v>79</v>
      </c>
      <c r="O147" s="76" t="s">
        <v>79</v>
      </c>
      <c r="P147" s="76" t="s">
        <v>79</v>
      </c>
      <c r="Q147" s="76" t="s">
        <v>79</v>
      </c>
      <c r="R147" s="76" t="s">
        <v>79</v>
      </c>
      <c r="S147" s="76" t="s">
        <v>79</v>
      </c>
      <c r="T147" s="76" t="s">
        <v>79</v>
      </c>
      <c r="U147" s="76" t="s">
        <v>79</v>
      </c>
      <c r="V147" s="76" t="s">
        <v>83</v>
      </c>
      <c r="W147" s="76" t="s">
        <v>83</v>
      </c>
      <c r="X147" s="76"/>
      <c r="Y147" s="76"/>
      <c r="Z147" s="77">
        <f t="shared" si="2"/>
        <v>7.9</v>
      </c>
      <c r="AA147" s="78"/>
      <c r="AB147" s="78" t="s">
        <v>1501</v>
      </c>
      <c r="AC147" s="72" t="s">
        <v>47</v>
      </c>
      <c r="AE147" s="79" t="str">
        <f t="shared" si="24"/>
        <v>Jan11237</v>
      </c>
      <c r="AF147" s="80">
        <f>IF(N147="","",IF(N147="SIM",VLOOKUP($I147&amp;$J147&amp;N$1,Pesos!$A:$I,7,FALSE),VLOOKUP($I147&amp;$J147&amp;N$1,Pesos!$A:$I,9,FALSE)))</f>
        <v>1</v>
      </c>
      <c r="AG147" s="80">
        <f>IF(O147="","",IF(O147="SIM",VLOOKUP($I147&amp;$J147&amp;O$1,Pesos!$A:$I,7,FALSE),VLOOKUP($I147&amp;$J147&amp;O$1,Pesos!$A:$I,9,FALSE)))</f>
        <v>1</v>
      </c>
      <c r="AH147" s="80">
        <f>IF(P147="","",IF(P147="SIM",VLOOKUP($I147&amp;$J147&amp;P$1,Pesos!$A:$I,7,FALSE),VLOOKUP($I147&amp;$J147&amp;P$1,Pesos!$A:$I,9,FALSE)))</f>
        <v>1</v>
      </c>
      <c r="AI147" s="80">
        <f>IF(Q147="","",IF(Q147="SIM",VLOOKUP($I147&amp;$J147&amp;Q$1,Pesos!$A:$I,7,FALSE),VLOOKUP($I147&amp;$J147&amp;Q$1,Pesos!$A:$I,9,FALSE)))</f>
        <v>1</v>
      </c>
      <c r="AJ147" s="80">
        <f>IF(R147="","",IF(R147="SIM",VLOOKUP($I147&amp;$J147&amp;R$1,Pesos!$A:$I,7,FALSE),VLOOKUP($I147&amp;$J147&amp;R$1,Pesos!$A:$I,9,FALSE)))</f>
        <v>1</v>
      </c>
      <c r="AK147" s="80">
        <f>IF(S147="","",IF(S147="SIM",VLOOKUP($I147&amp;$J147&amp;S$1,Pesos!$A:$I,7,FALSE),VLOOKUP($I147&amp;$J147&amp;S$1,Pesos!$A:$I,9,FALSE)))</f>
        <v>1</v>
      </c>
      <c r="AL147" s="80">
        <f t="shared" si="25"/>
        <v>6</v>
      </c>
      <c r="AM147" s="80">
        <f>IF(T147="","",IF(T147="SIM",VLOOKUP($I147&amp;$J147&amp;T$1,Pesos!$A:$I,7,FALSE),VLOOKUP($I147&amp;$J147&amp;T$1,Pesos!$A:$I,9,FALSE)))</f>
        <v>1</v>
      </c>
      <c r="AN147" s="80">
        <f>IF(U147="","",IF(U147="SIM",VLOOKUP($I147&amp;$J147&amp;U$1,Pesos!$A:$I,7,FALSE),VLOOKUP($I147&amp;$J147&amp;U$1,Pesos!$A:$I,9,FALSE)))</f>
        <v>1</v>
      </c>
      <c r="AO147" s="80">
        <f>IF(V147="","",IF(V147="SIM",VLOOKUP($I147&amp;$J147&amp;V$1,Pesos!$A:$I,7,FALSE),VLOOKUP($I147&amp;$J147&amp;V$1,Pesos!$A:$I,9,FALSE)))</f>
        <v>-0.05</v>
      </c>
      <c r="AP147" s="80">
        <f>IF(W147="","",IF(W147="SIM",VLOOKUP($I147&amp;$J147&amp;W$1,Pesos!$A:$I,7,FALSE),VLOOKUP($I147&amp;$J147&amp;W$1,Pesos!$A:$I,9,FALSE)))</f>
        <v>-0.05</v>
      </c>
      <c r="AQ147" s="80" t="str">
        <f>IF(X147="","",IF(X147="SIM",VLOOKUP($I147&amp;$J147&amp;X$1,Pesos!$A:$I,7,FALSE),VLOOKUP($I147&amp;$J147&amp;X$1,Pesos!$A:$I,9,FALSE)))</f>
        <v/>
      </c>
      <c r="AR147" s="80" t="str">
        <f>IF(Y147="","",IF(Y147="SIM",VLOOKUP($I147&amp;$J147&amp;Y$1,Pesos!$A:$I,7,FALSE),VLOOKUP($I147&amp;$J147&amp;Y$1,Pesos!$A:$I,9,FALSE)))</f>
        <v/>
      </c>
      <c r="AS147" s="81">
        <f>IFERROR(Z147*VLOOKUP(J147,'BD Campos'!$Y$1:$Z$12,2,FALSE),"0")</f>
        <v>7.9</v>
      </c>
    </row>
    <row r="148" spans="1:45" x14ac:dyDescent="0.35">
      <c r="A148" s="68" t="str">
        <f t="shared" si="26"/>
        <v>Jan202511237ReceptivaTRANSFERÊNCIA</v>
      </c>
      <c r="B148" s="69" t="str">
        <f t="shared" si="27"/>
        <v>Jan2025112375TRANSFERÊNCIAPADRÃO</v>
      </c>
      <c r="C148" s="70">
        <v>1</v>
      </c>
      <c r="D148" s="71">
        <v>45674.663793865744</v>
      </c>
      <c r="E148" s="112" t="s">
        <v>74</v>
      </c>
      <c r="F148" s="72">
        <v>11237</v>
      </c>
      <c r="G148" s="69" t="s">
        <v>1500</v>
      </c>
      <c r="H148" s="73">
        <v>5</v>
      </c>
      <c r="I148" s="69" t="s">
        <v>6</v>
      </c>
      <c r="J148" s="69" t="s">
        <v>98</v>
      </c>
      <c r="K148" s="69" t="s">
        <v>106</v>
      </c>
      <c r="L148" s="74"/>
      <c r="M148" s="75">
        <v>1.6087962962962963E-3</v>
      </c>
      <c r="N148" s="76" t="s">
        <v>79</v>
      </c>
      <c r="O148" s="76" t="s">
        <v>79</v>
      </c>
      <c r="P148" s="76" t="s">
        <v>79</v>
      </c>
      <c r="Q148" s="76" t="s">
        <v>79</v>
      </c>
      <c r="R148" s="76" t="s">
        <v>79</v>
      </c>
      <c r="S148" s="76" t="s">
        <v>79</v>
      </c>
      <c r="T148" s="76" t="s">
        <v>79</v>
      </c>
      <c r="U148" s="76" t="s">
        <v>79</v>
      </c>
      <c r="V148" s="76" t="s">
        <v>79</v>
      </c>
      <c r="W148" s="76" t="s">
        <v>79</v>
      </c>
      <c r="X148" s="76" t="s">
        <v>79</v>
      </c>
      <c r="Y148" s="76" t="s">
        <v>79</v>
      </c>
      <c r="Z148" s="77">
        <f t="shared" si="2"/>
        <v>10</v>
      </c>
      <c r="AA148" s="78"/>
      <c r="AB148" s="78"/>
      <c r="AC148" s="72" t="s">
        <v>47</v>
      </c>
      <c r="AE148" s="79" t="str">
        <f t="shared" si="24"/>
        <v>Jan11237</v>
      </c>
      <c r="AF148" s="80">
        <f>IF(N148="","",IF(N148="SIM",VLOOKUP($I148&amp;$J148&amp;N$1,Pesos!$A:$I,7,FALSE),VLOOKUP($I148&amp;$J148&amp;N$1,Pesos!$A:$I,9,FALSE)))</f>
        <v>0.8</v>
      </c>
      <c r="AG148" s="80">
        <f>IF(O148="","",IF(O148="SIM",VLOOKUP($I148&amp;$J148&amp;O$1,Pesos!$A:$I,7,FALSE),VLOOKUP($I148&amp;$J148&amp;O$1,Pesos!$A:$I,9,FALSE)))</f>
        <v>0.8</v>
      </c>
      <c r="AH148" s="80">
        <f>IF(P148="","",IF(P148="SIM",VLOOKUP($I148&amp;$J148&amp;P$1,Pesos!$A:$I,7,FALSE),VLOOKUP($I148&amp;$J148&amp;P$1,Pesos!$A:$I,9,FALSE)))</f>
        <v>1.2</v>
      </c>
      <c r="AI148" s="80">
        <f>IF(Q148="","",IF(Q148="SIM",VLOOKUP($I148&amp;$J148&amp;Q$1,Pesos!$A:$I,7,FALSE),VLOOKUP($I148&amp;$J148&amp;Q$1,Pesos!$A:$I,9,FALSE)))</f>
        <v>0.8</v>
      </c>
      <c r="AJ148" s="80">
        <f>IF(R148="","",IF(R148="SIM",VLOOKUP($I148&amp;$J148&amp;R$1,Pesos!$A:$I,7,FALSE),VLOOKUP($I148&amp;$J148&amp;R$1,Pesos!$A:$I,9,FALSE)))</f>
        <v>0.8</v>
      </c>
      <c r="AK148" s="80">
        <f>IF(S148="","",IF(S148="SIM",VLOOKUP($I148&amp;$J148&amp;S$1,Pesos!$A:$I,7,FALSE),VLOOKUP($I148&amp;$J148&amp;S$1,Pesos!$A:$I,9,FALSE)))</f>
        <v>0.8</v>
      </c>
      <c r="AL148" s="80">
        <f t="shared" si="25"/>
        <v>5.1999999999999993</v>
      </c>
      <c r="AM148" s="80">
        <f>IF(T148="","",IF(T148="SIM",VLOOKUP($I148&amp;$J148&amp;T$1,Pesos!$A:$I,7,FALSE),VLOOKUP($I148&amp;$J148&amp;T$1,Pesos!$A:$I,9,FALSE)))</f>
        <v>0.8</v>
      </c>
      <c r="AN148" s="80">
        <f>IF(U148="","",IF(U148="SIM",VLOOKUP($I148&amp;$J148&amp;U$1,Pesos!$A:$I,7,FALSE),VLOOKUP($I148&amp;$J148&amp;U$1,Pesos!$A:$I,9,FALSE)))</f>
        <v>0.8</v>
      </c>
      <c r="AO148" s="80">
        <f>IF(V148="","",IF(V148="SIM",VLOOKUP($I148&amp;$J148&amp;V$1,Pesos!$A:$I,7,FALSE),VLOOKUP($I148&amp;$J148&amp;V$1,Pesos!$A:$I,9,FALSE)))</f>
        <v>0.8</v>
      </c>
      <c r="AP148" s="80">
        <f>IF(W148="","",IF(W148="SIM",VLOOKUP($I148&amp;$J148&amp;W$1,Pesos!$A:$I,7,FALSE),VLOOKUP($I148&amp;$J148&amp;W$1,Pesos!$A:$I,9,FALSE)))</f>
        <v>0.8</v>
      </c>
      <c r="AQ148" s="80">
        <f>IF(X148="","",IF(X148="SIM",VLOOKUP($I148&amp;$J148&amp;X$1,Pesos!$A:$I,7,FALSE),VLOOKUP($I148&amp;$J148&amp;X$1,Pesos!$A:$I,9,FALSE)))</f>
        <v>0.8</v>
      </c>
      <c r="AR148" s="80">
        <f>IF(Y148="","",IF(Y148="SIM",VLOOKUP($I148&amp;$J148&amp;Y$1,Pesos!$A:$I,7,FALSE),VLOOKUP($I148&amp;$J148&amp;Y$1,Pesos!$A:$I,9,FALSE)))</f>
        <v>0.8</v>
      </c>
      <c r="AS148" s="81">
        <f>IFERROR(Z148*VLOOKUP(J148,'BD Campos'!$Y$1:$Z$12,2,FALSE),"0")</f>
        <v>10</v>
      </c>
    </row>
    <row r="149" spans="1:45" x14ac:dyDescent="0.35">
      <c r="A149" s="68" t="str">
        <f t="shared" si="26"/>
        <v>Jan202511082ReceptivaTRANSFERÊNCIA</v>
      </c>
      <c r="B149" s="69" t="str">
        <f t="shared" si="27"/>
        <v>Jan2025110825TRANSFERÊNCIAPADRÃO</v>
      </c>
      <c r="C149" s="70">
        <v>1</v>
      </c>
      <c r="D149" s="71">
        <v>45674.666334953705</v>
      </c>
      <c r="E149" s="112" t="s">
        <v>74</v>
      </c>
      <c r="F149" s="72">
        <v>11082</v>
      </c>
      <c r="G149" s="69" t="s">
        <v>405</v>
      </c>
      <c r="H149" s="73">
        <v>5</v>
      </c>
      <c r="I149" s="69" t="s">
        <v>6</v>
      </c>
      <c r="J149" s="69" t="s">
        <v>98</v>
      </c>
      <c r="K149" s="69" t="s">
        <v>106</v>
      </c>
      <c r="L149" s="74"/>
      <c r="M149" s="75">
        <v>1.0648148148148147E-3</v>
      </c>
      <c r="N149" s="76" t="s">
        <v>79</v>
      </c>
      <c r="O149" s="76" t="s">
        <v>79</v>
      </c>
      <c r="P149" s="76" t="s">
        <v>79</v>
      </c>
      <c r="Q149" s="76" t="s">
        <v>79</v>
      </c>
      <c r="R149" s="76" t="s">
        <v>79</v>
      </c>
      <c r="S149" s="76" t="s">
        <v>79</v>
      </c>
      <c r="T149" s="76" t="s">
        <v>79</v>
      </c>
      <c r="U149" s="76" t="s">
        <v>79</v>
      </c>
      <c r="V149" s="76" t="s">
        <v>79</v>
      </c>
      <c r="W149" s="76" t="s">
        <v>79</v>
      </c>
      <c r="X149" s="76" t="s">
        <v>79</v>
      </c>
      <c r="Y149" s="76" t="s">
        <v>79</v>
      </c>
      <c r="Z149" s="77">
        <f t="shared" si="2"/>
        <v>10</v>
      </c>
      <c r="AA149" s="78"/>
      <c r="AB149" s="78"/>
      <c r="AC149" s="72" t="s">
        <v>47</v>
      </c>
      <c r="AE149" s="79" t="str">
        <f t="shared" si="24"/>
        <v>Jan11082</v>
      </c>
      <c r="AF149" s="80">
        <f>IF(N149="","",IF(N149="SIM",VLOOKUP($I149&amp;$J149&amp;N$1,Pesos!$A:$I,7,FALSE),VLOOKUP($I149&amp;$J149&amp;N$1,Pesos!$A:$I,9,FALSE)))</f>
        <v>0.8</v>
      </c>
      <c r="AG149" s="80">
        <f>IF(O149="","",IF(O149="SIM",VLOOKUP($I149&amp;$J149&amp;O$1,Pesos!$A:$I,7,FALSE),VLOOKUP($I149&amp;$J149&amp;O$1,Pesos!$A:$I,9,FALSE)))</f>
        <v>0.8</v>
      </c>
      <c r="AH149" s="80">
        <f>IF(P149="","",IF(P149="SIM",VLOOKUP($I149&amp;$J149&amp;P$1,Pesos!$A:$I,7,FALSE),VLOOKUP($I149&amp;$J149&amp;P$1,Pesos!$A:$I,9,FALSE)))</f>
        <v>1.2</v>
      </c>
      <c r="AI149" s="80">
        <f>IF(Q149="","",IF(Q149="SIM",VLOOKUP($I149&amp;$J149&amp;Q$1,Pesos!$A:$I,7,FALSE),VLOOKUP($I149&amp;$J149&amp;Q$1,Pesos!$A:$I,9,FALSE)))</f>
        <v>0.8</v>
      </c>
      <c r="AJ149" s="80">
        <f>IF(R149="","",IF(R149="SIM",VLOOKUP($I149&amp;$J149&amp;R$1,Pesos!$A:$I,7,FALSE),VLOOKUP($I149&amp;$J149&amp;R$1,Pesos!$A:$I,9,FALSE)))</f>
        <v>0.8</v>
      </c>
      <c r="AK149" s="80">
        <f>IF(S149="","",IF(S149="SIM",VLOOKUP($I149&amp;$J149&amp;S$1,Pesos!$A:$I,7,FALSE),VLOOKUP($I149&amp;$J149&amp;S$1,Pesos!$A:$I,9,FALSE)))</f>
        <v>0.8</v>
      </c>
      <c r="AL149" s="80">
        <f t="shared" si="25"/>
        <v>5.1999999999999993</v>
      </c>
      <c r="AM149" s="80">
        <f>IF(T149="","",IF(T149="SIM",VLOOKUP($I149&amp;$J149&amp;T$1,Pesos!$A:$I,7,FALSE),VLOOKUP($I149&amp;$J149&amp;T$1,Pesos!$A:$I,9,FALSE)))</f>
        <v>0.8</v>
      </c>
      <c r="AN149" s="80">
        <f>IF(U149="","",IF(U149="SIM",VLOOKUP($I149&amp;$J149&amp;U$1,Pesos!$A:$I,7,FALSE),VLOOKUP($I149&amp;$J149&amp;U$1,Pesos!$A:$I,9,FALSE)))</f>
        <v>0.8</v>
      </c>
      <c r="AO149" s="80">
        <f>IF(V149="","",IF(V149="SIM",VLOOKUP($I149&amp;$J149&amp;V$1,Pesos!$A:$I,7,FALSE),VLOOKUP($I149&amp;$J149&amp;V$1,Pesos!$A:$I,9,FALSE)))</f>
        <v>0.8</v>
      </c>
      <c r="AP149" s="80">
        <f>IF(W149="","",IF(W149="SIM",VLOOKUP($I149&amp;$J149&amp;W$1,Pesos!$A:$I,7,FALSE),VLOOKUP($I149&amp;$J149&amp;W$1,Pesos!$A:$I,9,FALSE)))</f>
        <v>0.8</v>
      </c>
      <c r="AQ149" s="80">
        <f>IF(X149="","",IF(X149="SIM",VLOOKUP($I149&amp;$J149&amp;X$1,Pesos!$A:$I,7,FALSE),VLOOKUP($I149&amp;$J149&amp;X$1,Pesos!$A:$I,9,FALSE)))</f>
        <v>0.8</v>
      </c>
      <c r="AR149" s="80">
        <f>IF(Y149="","",IF(Y149="SIM",VLOOKUP($I149&amp;$J149&amp;Y$1,Pesos!$A:$I,7,FALSE),VLOOKUP($I149&amp;$J149&amp;Y$1,Pesos!$A:$I,9,FALSE)))</f>
        <v>0.8</v>
      </c>
      <c r="AS149" s="81">
        <f>IFERROR(Z149*VLOOKUP(J149,'BD Campos'!$Y$1:$Z$12,2,FALSE),"0")</f>
        <v>10</v>
      </c>
    </row>
    <row r="150" spans="1:45" x14ac:dyDescent="0.35">
      <c r="A150" s="68" t="str">
        <f t="shared" si="26"/>
        <v>Jan202511082MotoristaTRANSFERÊNCIA</v>
      </c>
      <c r="B150" s="69" t="str">
        <f t="shared" si="27"/>
        <v>Jan2025110821TRANSFERÊNCIAPADRÃO</v>
      </c>
      <c r="C150" s="70">
        <v>1</v>
      </c>
      <c r="D150" s="71">
        <v>45674.672686111109</v>
      </c>
      <c r="E150" s="112" t="s">
        <v>74</v>
      </c>
      <c r="F150" s="72">
        <v>11082</v>
      </c>
      <c r="G150" s="69" t="s">
        <v>405</v>
      </c>
      <c r="H150" s="73">
        <v>1</v>
      </c>
      <c r="I150" s="69" t="s">
        <v>147</v>
      </c>
      <c r="J150" s="69" t="s">
        <v>122</v>
      </c>
      <c r="K150" s="69" t="s">
        <v>106</v>
      </c>
      <c r="L150" s="74">
        <v>30812037</v>
      </c>
      <c r="M150" s="75">
        <v>1.1458333333333333E-3</v>
      </c>
      <c r="N150" s="76" t="s">
        <v>79</v>
      </c>
      <c r="O150" s="76" t="s">
        <v>79</v>
      </c>
      <c r="P150" s="76" t="s">
        <v>79</v>
      </c>
      <c r="Q150" s="76" t="s">
        <v>79</v>
      </c>
      <c r="R150" s="76" t="s">
        <v>79</v>
      </c>
      <c r="S150" s="76" t="s">
        <v>79</v>
      </c>
      <c r="T150" s="76" t="s">
        <v>79</v>
      </c>
      <c r="U150" s="76" t="s">
        <v>79</v>
      </c>
      <c r="V150" s="76"/>
      <c r="W150" s="76"/>
      <c r="X150" s="76"/>
      <c r="Y150" s="76"/>
      <c r="Z150" s="77">
        <f t="shared" si="2"/>
        <v>10</v>
      </c>
      <c r="AA150" s="78"/>
      <c r="AB150" s="78" t="s">
        <v>1502</v>
      </c>
      <c r="AC150" s="72" t="s">
        <v>47</v>
      </c>
      <c r="AE150" s="79" t="str">
        <f t="shared" si="24"/>
        <v>Jan11082</v>
      </c>
      <c r="AF150" s="80">
        <f>IF(N150="","",IF(N150="SIM",VLOOKUP($I150&amp;$J150&amp;N$1,Pesos!$A:$I,7,FALSE),VLOOKUP($I150&amp;$J150&amp;N$1,Pesos!$A:$I,9,FALSE)))</f>
        <v>1.1000000000000001</v>
      </c>
      <c r="AG150" s="80">
        <f>IF(O150="","",IF(O150="SIM",VLOOKUP($I150&amp;$J150&amp;O$1,Pesos!$A:$I,7,FALSE),VLOOKUP($I150&amp;$J150&amp;O$1,Pesos!$A:$I,9,FALSE)))</f>
        <v>1.1000000000000001</v>
      </c>
      <c r="AH150" s="80">
        <f>IF(P150="","",IF(P150="SIM",VLOOKUP($I150&amp;$J150&amp;P$1,Pesos!$A:$I,7,FALSE),VLOOKUP($I150&amp;$J150&amp;P$1,Pesos!$A:$I,9,FALSE)))</f>
        <v>1.1000000000000001</v>
      </c>
      <c r="AI150" s="80">
        <f>IF(Q150="","",IF(Q150="SIM",VLOOKUP($I150&amp;$J150&amp;Q$1,Pesos!$A:$I,7,FALSE),VLOOKUP($I150&amp;$J150&amp;Q$1,Pesos!$A:$I,9,FALSE)))</f>
        <v>1.1000000000000001</v>
      </c>
      <c r="AJ150" s="80">
        <f>IF(R150="","",IF(R150="SIM",VLOOKUP($I150&amp;$J150&amp;R$1,Pesos!$A:$I,7,FALSE),VLOOKUP($I150&amp;$J150&amp;R$1,Pesos!$A:$I,9,FALSE)))</f>
        <v>1.1000000000000001</v>
      </c>
      <c r="AK150" s="80">
        <f>IF(S150="","",IF(S150="SIM",VLOOKUP($I150&amp;$J150&amp;S$1,Pesos!$A:$I,7,FALSE),VLOOKUP($I150&amp;$J150&amp;S$1,Pesos!$A:$I,9,FALSE)))</f>
        <v>1.6</v>
      </c>
      <c r="AL150" s="80">
        <f t="shared" si="25"/>
        <v>7.1</v>
      </c>
      <c r="AM150" s="80">
        <f>IF(T150="","",IF(T150="SIM",VLOOKUP($I150&amp;$J150&amp;T$1,Pesos!$A:$I,7,FALSE),VLOOKUP($I150&amp;$J150&amp;T$1,Pesos!$A:$I,9,FALSE)))</f>
        <v>1.2</v>
      </c>
      <c r="AN150" s="80">
        <f>IF(U150="","",IF(U150="SIM",VLOOKUP($I150&amp;$J150&amp;U$1,Pesos!$A:$I,7,FALSE),VLOOKUP($I150&amp;$J150&amp;U$1,Pesos!$A:$I,9,FALSE)))</f>
        <v>1.7000000000000002</v>
      </c>
      <c r="AO150" s="80" t="str">
        <f>IF(V150="","",IF(V150="SIM",VLOOKUP($I150&amp;$J150&amp;V$1,Pesos!$A:$I,7,FALSE),VLOOKUP($I150&amp;$J150&amp;V$1,Pesos!$A:$I,9,FALSE)))</f>
        <v/>
      </c>
      <c r="AP150" s="80" t="str">
        <f>IF(W150="","",IF(W150="SIM",VLOOKUP($I150&amp;$J150&amp;W$1,Pesos!$A:$I,7,FALSE),VLOOKUP($I150&amp;$J150&amp;W$1,Pesos!$A:$I,9,FALSE)))</f>
        <v/>
      </c>
      <c r="AQ150" s="80" t="str">
        <f>IF(X150="","",IF(X150="SIM",VLOOKUP($I150&amp;$J150&amp;X$1,Pesos!$A:$I,7,FALSE),VLOOKUP($I150&amp;$J150&amp;X$1,Pesos!$A:$I,9,FALSE)))</f>
        <v/>
      </c>
      <c r="AR150" s="80" t="str">
        <f>IF(Y150="","",IF(Y150="SIM",VLOOKUP($I150&amp;$J150&amp;Y$1,Pesos!$A:$I,7,FALSE),VLOOKUP($I150&amp;$J150&amp;Y$1,Pesos!$A:$I,9,FALSE)))</f>
        <v/>
      </c>
      <c r="AS150" s="81">
        <f>IFERROR(Z150*VLOOKUP(J150,'BD Campos'!$Y$1:$Z$12,2,FALSE),"0")</f>
        <v>10</v>
      </c>
    </row>
    <row r="151" spans="1:45" x14ac:dyDescent="0.35">
      <c r="A151" s="68" t="str">
        <f t="shared" si="26"/>
        <v>Jan202511177MotoristaTRANSFERÊNCIA</v>
      </c>
      <c r="B151" s="69" t="str">
        <f t="shared" si="27"/>
        <v>Jan2025111771TRANSFERÊNCIAPADRÃO</v>
      </c>
      <c r="C151" s="70">
        <v>1</v>
      </c>
      <c r="D151" s="71">
        <v>45674.679431828707</v>
      </c>
      <c r="E151" s="112" t="s">
        <v>74</v>
      </c>
      <c r="F151" s="72">
        <v>11177</v>
      </c>
      <c r="G151" s="69" t="s">
        <v>1397</v>
      </c>
      <c r="H151" s="73">
        <v>1</v>
      </c>
      <c r="I151" s="69" t="s">
        <v>121</v>
      </c>
      <c r="J151" s="69" t="s">
        <v>122</v>
      </c>
      <c r="K151" s="69" t="s">
        <v>106</v>
      </c>
      <c r="L151" s="74">
        <v>30889494</v>
      </c>
      <c r="M151" s="75">
        <v>1.5277777777777779E-3</v>
      </c>
      <c r="N151" s="76" t="s">
        <v>79</v>
      </c>
      <c r="O151" s="76" t="s">
        <v>79</v>
      </c>
      <c r="P151" s="76" t="s">
        <v>79</v>
      </c>
      <c r="Q151" s="76" t="s">
        <v>79</v>
      </c>
      <c r="R151" s="76" t="s">
        <v>79</v>
      </c>
      <c r="S151" s="76" t="s">
        <v>79</v>
      </c>
      <c r="T151" s="76" t="s">
        <v>79</v>
      </c>
      <c r="U151" s="76" t="s">
        <v>79</v>
      </c>
      <c r="V151" s="76" t="s">
        <v>79</v>
      </c>
      <c r="W151" s="76" t="s">
        <v>83</v>
      </c>
      <c r="X151" s="76" t="s">
        <v>79</v>
      </c>
      <c r="Y151" s="76"/>
      <c r="Z151" s="77">
        <f t="shared" si="2"/>
        <v>9.0549999999999997</v>
      </c>
      <c r="AA151" s="78"/>
      <c r="AB151" s="78" t="s">
        <v>1503</v>
      </c>
      <c r="AC151" s="72" t="s">
        <v>47</v>
      </c>
      <c r="AE151" s="79" t="str">
        <f t="shared" si="24"/>
        <v>Jan11177</v>
      </c>
      <c r="AF151" s="80">
        <f>IF(N151="","",IF(N151="SIM",VLOOKUP($I151&amp;$J151&amp;N$1,Pesos!$A:$I,7,FALSE),VLOOKUP($I151&amp;$J151&amp;N$1,Pesos!$A:$I,9,FALSE)))</f>
        <v>0.89999999999999991</v>
      </c>
      <c r="AG151" s="80">
        <f>IF(O151="","",IF(O151="SIM",VLOOKUP($I151&amp;$J151&amp;O$1,Pesos!$A:$I,7,FALSE),VLOOKUP($I151&amp;$J151&amp;O$1,Pesos!$A:$I,9,FALSE)))</f>
        <v>0.89999999999999991</v>
      </c>
      <c r="AH151" s="80">
        <f>IF(P151="","",IF(P151="SIM",VLOOKUP($I151&amp;$J151&amp;P$1,Pesos!$A:$I,7,FALSE),VLOOKUP($I151&amp;$J151&amp;P$1,Pesos!$A:$I,9,FALSE)))</f>
        <v>0.89999999999999991</v>
      </c>
      <c r="AI151" s="80">
        <f>IF(Q151="","",IF(Q151="SIM",VLOOKUP($I151&amp;$J151&amp;Q$1,Pesos!$A:$I,7,FALSE),VLOOKUP($I151&amp;$J151&amp;Q$1,Pesos!$A:$I,9,FALSE)))</f>
        <v>0.89999999999999991</v>
      </c>
      <c r="AJ151" s="80">
        <f>IF(R151="","",IF(R151="SIM",VLOOKUP($I151&amp;$J151&amp;R$1,Pesos!$A:$I,7,FALSE),VLOOKUP($I151&amp;$J151&amp;R$1,Pesos!$A:$I,9,FALSE)))</f>
        <v>0.89999999999999991</v>
      </c>
      <c r="AK151" s="80">
        <f>IF(S151="","",IF(S151="SIM",VLOOKUP($I151&amp;$J151&amp;S$1,Pesos!$A:$I,7,FALSE),VLOOKUP($I151&amp;$J151&amp;S$1,Pesos!$A:$I,9,FALSE)))</f>
        <v>0.89999999999999991</v>
      </c>
      <c r="AL151" s="80">
        <f t="shared" si="25"/>
        <v>5.4</v>
      </c>
      <c r="AM151" s="80">
        <f>IF(T151="","",IF(T151="SIM",VLOOKUP($I151&amp;$J151&amp;T$1,Pesos!$A:$I,7,FALSE),VLOOKUP($I151&amp;$J151&amp;T$1,Pesos!$A:$I,9,FALSE)))</f>
        <v>0.89999999999999991</v>
      </c>
      <c r="AN151" s="80">
        <f>IF(U151="","",IF(U151="SIM",VLOOKUP($I151&amp;$J151&amp;U$1,Pesos!$A:$I,7,FALSE),VLOOKUP($I151&amp;$J151&amp;U$1,Pesos!$A:$I,9,FALSE)))</f>
        <v>0.92500000000000004</v>
      </c>
      <c r="AO151" s="80">
        <f>IF(V151="","",IF(V151="SIM",VLOOKUP($I151&amp;$J151&amp;V$1,Pesos!$A:$I,7,FALSE),VLOOKUP($I151&amp;$J151&amp;V$1,Pesos!$A:$I,9,FALSE)))</f>
        <v>0.92500000000000004</v>
      </c>
      <c r="AP151" s="80">
        <f>IF(W151="","",IF(W151="SIM",VLOOKUP($I151&amp;$J151&amp;W$1,Pesos!$A:$I,7,FALSE),VLOOKUP($I151&amp;$J151&amp;W$1,Pesos!$A:$I,9,FALSE)))</f>
        <v>-4.4999999999999998E-2</v>
      </c>
      <c r="AQ151" s="80">
        <f>IF(X151="","",IF(X151="SIM",VLOOKUP($I151&amp;$J151&amp;X$1,Pesos!$A:$I,7,FALSE),VLOOKUP($I151&amp;$J151&amp;X$1,Pesos!$A:$I,9,FALSE)))</f>
        <v>0.95</v>
      </c>
      <c r="AR151" s="80" t="str">
        <f>IF(Y151="","",IF(Y151="SIM",VLOOKUP($I151&amp;$J151&amp;Y$1,Pesos!$A:$I,7,FALSE),VLOOKUP($I151&amp;$J151&amp;Y$1,Pesos!$A:$I,9,FALSE)))</f>
        <v/>
      </c>
      <c r="AS151" s="81">
        <f>IFERROR(Z151*VLOOKUP(J151,'BD Campos'!$Y$1:$Z$12,2,FALSE),"0")</f>
        <v>9.0549999999999997</v>
      </c>
    </row>
    <row r="152" spans="1:45" x14ac:dyDescent="0.35">
      <c r="A152" s="68" t="str">
        <f t="shared" si="26"/>
        <v>Jan202511177ReceptivaTRANSFERÊNCIA</v>
      </c>
      <c r="B152" s="69" t="str">
        <f t="shared" si="27"/>
        <v>Jan2025111775TRANSFERÊNCIAPADRÃO</v>
      </c>
      <c r="C152" s="70">
        <v>1</v>
      </c>
      <c r="D152" s="71">
        <v>45674.68113877315</v>
      </c>
      <c r="E152" s="112" t="s">
        <v>74</v>
      </c>
      <c r="F152" s="72">
        <v>11177</v>
      </c>
      <c r="G152" s="69" t="s">
        <v>1397</v>
      </c>
      <c r="H152" s="73">
        <v>5</v>
      </c>
      <c r="I152" s="69" t="s">
        <v>6</v>
      </c>
      <c r="J152" s="69" t="s">
        <v>98</v>
      </c>
      <c r="K152" s="69" t="s">
        <v>106</v>
      </c>
      <c r="L152" s="74"/>
      <c r="M152" s="75">
        <v>8.7962962962962962E-4</v>
      </c>
      <c r="N152" s="76" t="s">
        <v>79</v>
      </c>
      <c r="O152" s="76" t="s">
        <v>79</v>
      </c>
      <c r="P152" s="76" t="s">
        <v>79</v>
      </c>
      <c r="Q152" s="76" t="s">
        <v>79</v>
      </c>
      <c r="R152" s="76" t="s">
        <v>79</v>
      </c>
      <c r="S152" s="76" t="s">
        <v>79</v>
      </c>
      <c r="T152" s="76" t="s">
        <v>79</v>
      </c>
      <c r="U152" s="76" t="s">
        <v>79</v>
      </c>
      <c r="V152" s="76" t="s">
        <v>79</v>
      </c>
      <c r="W152" s="76" t="s">
        <v>79</v>
      </c>
      <c r="X152" s="76" t="s">
        <v>79</v>
      </c>
      <c r="Y152" s="76" t="s">
        <v>79</v>
      </c>
      <c r="Z152" s="77">
        <f t="shared" si="2"/>
        <v>10</v>
      </c>
      <c r="AA152" s="78"/>
      <c r="AB152" s="78"/>
      <c r="AC152" s="72" t="s">
        <v>47</v>
      </c>
      <c r="AE152" s="79" t="str">
        <f t="shared" si="24"/>
        <v>Jan11177</v>
      </c>
      <c r="AF152" s="80">
        <f>IF(N152="","",IF(N152="SIM",VLOOKUP($I152&amp;$J152&amp;N$1,Pesos!$A:$I,7,FALSE),VLOOKUP($I152&amp;$J152&amp;N$1,Pesos!$A:$I,9,FALSE)))</f>
        <v>0.8</v>
      </c>
      <c r="AG152" s="80">
        <f>IF(O152="","",IF(O152="SIM",VLOOKUP($I152&amp;$J152&amp;O$1,Pesos!$A:$I,7,FALSE),VLOOKUP($I152&amp;$J152&amp;O$1,Pesos!$A:$I,9,FALSE)))</f>
        <v>0.8</v>
      </c>
      <c r="AH152" s="80">
        <f>IF(P152="","",IF(P152="SIM",VLOOKUP($I152&amp;$J152&amp;P$1,Pesos!$A:$I,7,FALSE),VLOOKUP($I152&amp;$J152&amp;P$1,Pesos!$A:$I,9,FALSE)))</f>
        <v>1.2</v>
      </c>
      <c r="AI152" s="80">
        <f>IF(Q152="","",IF(Q152="SIM",VLOOKUP($I152&amp;$J152&amp;Q$1,Pesos!$A:$I,7,FALSE),VLOOKUP($I152&amp;$J152&amp;Q$1,Pesos!$A:$I,9,FALSE)))</f>
        <v>0.8</v>
      </c>
      <c r="AJ152" s="80">
        <f>IF(R152="","",IF(R152="SIM",VLOOKUP($I152&amp;$J152&amp;R$1,Pesos!$A:$I,7,FALSE),VLOOKUP($I152&amp;$J152&amp;R$1,Pesos!$A:$I,9,FALSE)))</f>
        <v>0.8</v>
      </c>
      <c r="AK152" s="80">
        <f>IF(S152="","",IF(S152="SIM",VLOOKUP($I152&amp;$J152&amp;S$1,Pesos!$A:$I,7,FALSE),VLOOKUP($I152&amp;$J152&amp;S$1,Pesos!$A:$I,9,FALSE)))</f>
        <v>0.8</v>
      </c>
      <c r="AL152" s="80">
        <f t="shared" si="25"/>
        <v>5.1999999999999993</v>
      </c>
      <c r="AM152" s="80">
        <f>IF(T152="","",IF(T152="SIM",VLOOKUP($I152&amp;$J152&amp;T$1,Pesos!$A:$I,7,FALSE),VLOOKUP($I152&amp;$J152&amp;T$1,Pesos!$A:$I,9,FALSE)))</f>
        <v>0.8</v>
      </c>
      <c r="AN152" s="80">
        <f>IF(U152="","",IF(U152="SIM",VLOOKUP($I152&amp;$J152&amp;U$1,Pesos!$A:$I,7,FALSE),VLOOKUP($I152&amp;$J152&amp;U$1,Pesos!$A:$I,9,FALSE)))</f>
        <v>0.8</v>
      </c>
      <c r="AO152" s="80">
        <f>IF(V152="","",IF(V152="SIM",VLOOKUP($I152&amp;$J152&amp;V$1,Pesos!$A:$I,7,FALSE),VLOOKUP($I152&amp;$J152&amp;V$1,Pesos!$A:$I,9,FALSE)))</f>
        <v>0.8</v>
      </c>
      <c r="AP152" s="80">
        <f>IF(W152="","",IF(W152="SIM",VLOOKUP($I152&amp;$J152&amp;W$1,Pesos!$A:$I,7,FALSE),VLOOKUP($I152&amp;$J152&amp;W$1,Pesos!$A:$I,9,FALSE)))</f>
        <v>0.8</v>
      </c>
      <c r="AQ152" s="80">
        <f>IF(X152="","",IF(X152="SIM",VLOOKUP($I152&amp;$J152&amp;X$1,Pesos!$A:$I,7,FALSE),VLOOKUP($I152&amp;$J152&amp;X$1,Pesos!$A:$I,9,FALSE)))</f>
        <v>0.8</v>
      </c>
      <c r="AR152" s="80">
        <f>IF(Y152="","",IF(Y152="SIM",VLOOKUP($I152&amp;$J152&amp;Y$1,Pesos!$A:$I,7,FALSE),VLOOKUP($I152&amp;$J152&amp;Y$1,Pesos!$A:$I,9,FALSE)))</f>
        <v>0.8</v>
      </c>
      <c r="AS152" s="81">
        <f>IFERROR(Z152*VLOOKUP(J152,'BD Campos'!$Y$1:$Z$12,2,FALSE),"0")</f>
        <v>10</v>
      </c>
    </row>
    <row r="153" spans="1:45" x14ac:dyDescent="0.35">
      <c r="A153" s="68" t="str">
        <f t="shared" si="26"/>
        <v>Jan20251697ReceptivaUTI (RJ)</v>
      </c>
      <c r="B153" s="69" t="str">
        <f t="shared" si="27"/>
        <v>Jan202516975UTI (RJ)PADRÃO</v>
      </c>
      <c r="C153" s="70">
        <v>1</v>
      </c>
      <c r="D153" s="71">
        <v>45674.689776736108</v>
      </c>
      <c r="E153" s="112" t="s">
        <v>74</v>
      </c>
      <c r="F153" s="72">
        <v>1697</v>
      </c>
      <c r="G153" s="69" t="s">
        <v>293</v>
      </c>
      <c r="H153" s="73">
        <v>5</v>
      </c>
      <c r="I153" s="69" t="s">
        <v>6</v>
      </c>
      <c r="J153" s="69" t="s">
        <v>98</v>
      </c>
      <c r="K153" s="69" t="s">
        <v>278</v>
      </c>
      <c r="L153" s="74"/>
      <c r="M153" s="75">
        <v>9.6064814814814808E-4</v>
      </c>
      <c r="N153" s="76" t="s">
        <v>79</v>
      </c>
      <c r="O153" s="76" t="s">
        <v>79</v>
      </c>
      <c r="P153" s="76" t="s">
        <v>79</v>
      </c>
      <c r="Q153" s="76" t="s">
        <v>79</v>
      </c>
      <c r="R153" s="76" t="s">
        <v>79</v>
      </c>
      <c r="S153" s="76" t="s">
        <v>79</v>
      </c>
      <c r="T153" s="76" t="s">
        <v>79</v>
      </c>
      <c r="U153" s="76" t="s">
        <v>79</v>
      </c>
      <c r="V153" s="76" t="s">
        <v>79</v>
      </c>
      <c r="W153" s="76" t="s">
        <v>79</v>
      </c>
      <c r="X153" s="76" t="s">
        <v>79</v>
      </c>
      <c r="Y153" s="76" t="s">
        <v>79</v>
      </c>
      <c r="Z153" s="77">
        <f t="shared" si="2"/>
        <v>10</v>
      </c>
      <c r="AA153" s="78"/>
      <c r="AB153" s="78"/>
      <c r="AC153" s="72" t="s">
        <v>47</v>
      </c>
      <c r="AE153" s="79" t="str">
        <f t="shared" si="24"/>
        <v>Jan1697</v>
      </c>
      <c r="AF153" s="80">
        <f>IF(N153="","",IF(N153="SIM",VLOOKUP($I153&amp;$J153&amp;N$1,Pesos!$A:$I,7,FALSE),VLOOKUP($I153&amp;$J153&amp;N$1,Pesos!$A:$I,9,FALSE)))</f>
        <v>0.8</v>
      </c>
      <c r="AG153" s="80">
        <f>IF(O153="","",IF(O153="SIM",VLOOKUP($I153&amp;$J153&amp;O$1,Pesos!$A:$I,7,FALSE),VLOOKUP($I153&amp;$J153&amp;O$1,Pesos!$A:$I,9,FALSE)))</f>
        <v>0.8</v>
      </c>
      <c r="AH153" s="80">
        <f>IF(P153="","",IF(P153="SIM",VLOOKUP($I153&amp;$J153&amp;P$1,Pesos!$A:$I,7,FALSE),VLOOKUP($I153&amp;$J153&amp;P$1,Pesos!$A:$I,9,FALSE)))</f>
        <v>1.2</v>
      </c>
      <c r="AI153" s="80">
        <f>IF(Q153="","",IF(Q153="SIM",VLOOKUP($I153&amp;$J153&amp;Q$1,Pesos!$A:$I,7,FALSE),VLOOKUP($I153&amp;$J153&amp;Q$1,Pesos!$A:$I,9,FALSE)))</f>
        <v>0.8</v>
      </c>
      <c r="AJ153" s="80">
        <f>IF(R153="","",IF(R153="SIM",VLOOKUP($I153&amp;$J153&amp;R$1,Pesos!$A:$I,7,FALSE),VLOOKUP($I153&amp;$J153&amp;R$1,Pesos!$A:$I,9,FALSE)))</f>
        <v>0.8</v>
      </c>
      <c r="AK153" s="80">
        <f>IF(S153="","",IF(S153="SIM",VLOOKUP($I153&amp;$J153&amp;S$1,Pesos!$A:$I,7,FALSE),VLOOKUP($I153&amp;$J153&amp;S$1,Pesos!$A:$I,9,FALSE)))</f>
        <v>0.8</v>
      </c>
      <c r="AL153" s="80">
        <f t="shared" si="25"/>
        <v>5.1999999999999993</v>
      </c>
      <c r="AM153" s="80">
        <f>IF(T153="","",IF(T153="SIM",VLOOKUP($I153&amp;$J153&amp;T$1,Pesos!$A:$I,7,FALSE),VLOOKUP($I153&amp;$J153&amp;T$1,Pesos!$A:$I,9,FALSE)))</f>
        <v>0.8</v>
      </c>
      <c r="AN153" s="80">
        <f>IF(U153="","",IF(U153="SIM",VLOOKUP($I153&amp;$J153&amp;U$1,Pesos!$A:$I,7,FALSE),VLOOKUP($I153&amp;$J153&amp;U$1,Pesos!$A:$I,9,FALSE)))</f>
        <v>0.8</v>
      </c>
      <c r="AO153" s="80">
        <f>IF(V153="","",IF(V153="SIM",VLOOKUP($I153&amp;$J153&amp;V$1,Pesos!$A:$I,7,FALSE),VLOOKUP($I153&amp;$J153&amp;V$1,Pesos!$A:$I,9,FALSE)))</f>
        <v>0.8</v>
      </c>
      <c r="AP153" s="80">
        <f>IF(W153="","",IF(W153="SIM",VLOOKUP($I153&amp;$J153&amp;W$1,Pesos!$A:$I,7,FALSE),VLOOKUP($I153&amp;$J153&amp;W$1,Pesos!$A:$I,9,FALSE)))</f>
        <v>0.8</v>
      </c>
      <c r="AQ153" s="80">
        <f>IF(X153="","",IF(X153="SIM",VLOOKUP($I153&amp;$J153&amp;X$1,Pesos!$A:$I,7,FALSE),VLOOKUP($I153&amp;$J153&amp;X$1,Pesos!$A:$I,9,FALSE)))</f>
        <v>0.8</v>
      </c>
      <c r="AR153" s="80">
        <f>IF(Y153="","",IF(Y153="SIM",VLOOKUP($I153&amp;$J153&amp;Y$1,Pesos!$A:$I,7,FALSE),VLOOKUP($I153&amp;$J153&amp;Y$1,Pesos!$A:$I,9,FALSE)))</f>
        <v>0.8</v>
      </c>
      <c r="AS153" s="81">
        <f>IFERROR(Z153*VLOOKUP(J153,'BD Campos'!$Y$1:$Z$12,2,FALSE),"0")</f>
        <v>10</v>
      </c>
    </row>
    <row r="154" spans="1:45" x14ac:dyDescent="0.35">
      <c r="A154" s="68" t="str">
        <f t="shared" si="26"/>
        <v>Jan202510665ReceptivaUTI</v>
      </c>
      <c r="B154" s="69" t="str">
        <f t="shared" si="27"/>
        <v>Jan2025106655UTIPADRÃO</v>
      </c>
      <c r="C154" s="70">
        <v>1</v>
      </c>
      <c r="D154" s="71">
        <v>45674.691356134259</v>
      </c>
      <c r="E154" s="112" t="s">
        <v>74</v>
      </c>
      <c r="F154" s="72">
        <v>10665</v>
      </c>
      <c r="G154" s="69" t="s">
        <v>295</v>
      </c>
      <c r="H154" s="73">
        <v>5</v>
      </c>
      <c r="I154" s="69" t="s">
        <v>6</v>
      </c>
      <c r="J154" s="69" t="s">
        <v>98</v>
      </c>
      <c r="K154" s="69" t="s">
        <v>131</v>
      </c>
      <c r="L154" s="74"/>
      <c r="M154" s="75">
        <v>7.5231481481481471E-4</v>
      </c>
      <c r="N154" s="76" t="s">
        <v>79</v>
      </c>
      <c r="O154" s="76" t="s">
        <v>79</v>
      </c>
      <c r="P154" s="76" t="s">
        <v>79</v>
      </c>
      <c r="Q154" s="76" t="s">
        <v>79</v>
      </c>
      <c r="R154" s="76" t="s">
        <v>79</v>
      </c>
      <c r="S154" s="76" t="s">
        <v>79</v>
      </c>
      <c r="T154" s="76" t="s">
        <v>83</v>
      </c>
      <c r="U154" s="76" t="s">
        <v>79</v>
      </c>
      <c r="V154" s="76" t="s">
        <v>79</v>
      </c>
      <c r="W154" s="76" t="s">
        <v>79</v>
      </c>
      <c r="X154" s="76" t="s">
        <v>79</v>
      </c>
      <c r="Y154" s="76" t="s">
        <v>79</v>
      </c>
      <c r="Z154" s="77">
        <f t="shared" si="2"/>
        <v>9.16</v>
      </c>
      <c r="AA154" s="78"/>
      <c r="AB154" s="78"/>
      <c r="AC154" s="72" t="s">
        <v>47</v>
      </c>
      <c r="AE154" s="79" t="str">
        <f t="shared" ref="AE154:AE168" si="28">E154&amp;F154</f>
        <v>Jan10665</v>
      </c>
      <c r="AF154" s="80">
        <f>IF(N154="","",IF(N154="SIM",VLOOKUP($I154&amp;$J154&amp;N$1,Pesos!$A:$I,7,FALSE),VLOOKUP($I154&amp;$J154&amp;N$1,Pesos!$A:$I,9,FALSE)))</f>
        <v>0.8</v>
      </c>
      <c r="AG154" s="80">
        <f>IF(O154="","",IF(O154="SIM",VLOOKUP($I154&amp;$J154&amp;O$1,Pesos!$A:$I,7,FALSE),VLOOKUP($I154&amp;$J154&amp;O$1,Pesos!$A:$I,9,FALSE)))</f>
        <v>0.8</v>
      </c>
      <c r="AH154" s="80">
        <f>IF(P154="","",IF(P154="SIM",VLOOKUP($I154&amp;$J154&amp;P$1,Pesos!$A:$I,7,FALSE),VLOOKUP($I154&amp;$J154&amp;P$1,Pesos!$A:$I,9,FALSE)))</f>
        <v>1.2</v>
      </c>
      <c r="AI154" s="80">
        <f>IF(Q154="","",IF(Q154="SIM",VLOOKUP($I154&amp;$J154&amp;Q$1,Pesos!$A:$I,7,FALSE),VLOOKUP($I154&amp;$J154&amp;Q$1,Pesos!$A:$I,9,FALSE)))</f>
        <v>0.8</v>
      </c>
      <c r="AJ154" s="80">
        <f>IF(R154="","",IF(R154="SIM",VLOOKUP($I154&amp;$J154&amp;R$1,Pesos!$A:$I,7,FALSE),VLOOKUP($I154&amp;$J154&amp;R$1,Pesos!$A:$I,9,FALSE)))</f>
        <v>0.8</v>
      </c>
      <c r="AK154" s="80">
        <f>IF(S154="","",IF(S154="SIM",VLOOKUP($I154&amp;$J154&amp;S$1,Pesos!$A:$I,7,FALSE),VLOOKUP($I154&amp;$J154&amp;S$1,Pesos!$A:$I,9,FALSE)))</f>
        <v>0.8</v>
      </c>
      <c r="AL154" s="80">
        <f t="shared" ref="AL154:AL168" si="29">SUM(AF154:AK154)</f>
        <v>5.1999999999999993</v>
      </c>
      <c r="AM154" s="80">
        <f>IF(T154="","",IF(T154="SIM",VLOOKUP($I154&amp;$J154&amp;T$1,Pesos!$A:$I,7,FALSE),VLOOKUP($I154&amp;$J154&amp;T$1,Pesos!$A:$I,9,FALSE)))</f>
        <v>-4.0000000000000008E-2</v>
      </c>
      <c r="AN154" s="80">
        <f>IF(U154="","",IF(U154="SIM",VLOOKUP($I154&amp;$J154&amp;U$1,Pesos!$A:$I,7,FALSE),VLOOKUP($I154&amp;$J154&amp;U$1,Pesos!$A:$I,9,FALSE)))</f>
        <v>0.8</v>
      </c>
      <c r="AO154" s="80">
        <f>IF(V154="","",IF(V154="SIM",VLOOKUP($I154&amp;$J154&amp;V$1,Pesos!$A:$I,7,FALSE),VLOOKUP($I154&amp;$J154&amp;V$1,Pesos!$A:$I,9,FALSE)))</f>
        <v>0.8</v>
      </c>
      <c r="AP154" s="80">
        <f>IF(W154="","",IF(W154="SIM",VLOOKUP($I154&amp;$J154&amp;W$1,Pesos!$A:$I,7,FALSE),VLOOKUP($I154&amp;$J154&amp;W$1,Pesos!$A:$I,9,FALSE)))</f>
        <v>0.8</v>
      </c>
      <c r="AQ154" s="80">
        <f>IF(X154="","",IF(X154="SIM",VLOOKUP($I154&amp;$J154&amp;X$1,Pesos!$A:$I,7,FALSE),VLOOKUP($I154&amp;$J154&amp;X$1,Pesos!$A:$I,9,FALSE)))</f>
        <v>0.8</v>
      </c>
      <c r="AR154" s="80">
        <f>IF(Y154="","",IF(Y154="SIM",VLOOKUP($I154&amp;$J154&amp;Y$1,Pesos!$A:$I,7,FALSE),VLOOKUP($I154&amp;$J154&amp;Y$1,Pesos!$A:$I,9,FALSE)))</f>
        <v>0.8</v>
      </c>
      <c r="AS154" s="81">
        <f>IFERROR(Z154*VLOOKUP(J154,'BD Campos'!$Y$1:$Z$12,2,FALSE),"0")</f>
        <v>9.16</v>
      </c>
    </row>
    <row r="155" spans="1:45" x14ac:dyDescent="0.35">
      <c r="A155" s="68" t="str">
        <f t="shared" si="26"/>
        <v>Jan202510665MotoristaUTI</v>
      </c>
      <c r="B155" s="69" t="str">
        <f t="shared" si="27"/>
        <v>Jan2025106651UTIPADRÃO</v>
      </c>
      <c r="C155" s="70">
        <v>1</v>
      </c>
      <c r="D155" s="71">
        <v>45674.694338541667</v>
      </c>
      <c r="E155" s="112" t="s">
        <v>74</v>
      </c>
      <c r="F155" s="72">
        <v>10665</v>
      </c>
      <c r="G155" s="69" t="s">
        <v>295</v>
      </c>
      <c r="H155" s="73">
        <v>1</v>
      </c>
      <c r="I155" s="69" t="s">
        <v>126</v>
      </c>
      <c r="J155" s="69" t="s">
        <v>122</v>
      </c>
      <c r="K155" s="69" t="s">
        <v>131</v>
      </c>
      <c r="L155" s="74">
        <v>30892172</v>
      </c>
      <c r="M155" s="75">
        <v>1.4351851851851854E-3</v>
      </c>
      <c r="N155" s="76" t="s">
        <v>79</v>
      </c>
      <c r="O155" s="76" t="s">
        <v>79</v>
      </c>
      <c r="P155" s="76" t="s">
        <v>79</v>
      </c>
      <c r="Q155" s="76" t="s">
        <v>79</v>
      </c>
      <c r="R155" s="76" t="s">
        <v>79</v>
      </c>
      <c r="S155" s="76" t="s">
        <v>79</v>
      </c>
      <c r="T155" s="76" t="s">
        <v>79</v>
      </c>
      <c r="U155" s="76" t="s">
        <v>79</v>
      </c>
      <c r="V155" s="76" t="s">
        <v>83</v>
      </c>
      <c r="W155" s="76" t="s">
        <v>79</v>
      </c>
      <c r="X155" s="76" t="s">
        <v>79</v>
      </c>
      <c r="Y155" s="76" t="s">
        <v>79</v>
      </c>
      <c r="Z155" s="77">
        <f t="shared" si="2"/>
        <v>9.16</v>
      </c>
      <c r="AA155" s="78"/>
      <c r="AB155" s="78" t="s">
        <v>1504</v>
      </c>
      <c r="AC155" s="72" t="s">
        <v>47</v>
      </c>
      <c r="AE155" s="79" t="str">
        <f t="shared" si="28"/>
        <v>Jan10665</v>
      </c>
      <c r="AF155" s="80">
        <f>IF(N155="","",IF(N155="SIM",VLOOKUP($I155&amp;$J155&amp;N$1,Pesos!$A:$I,7,FALSE),VLOOKUP($I155&amp;$J155&amp;N$1,Pesos!$A:$I,9,FALSE)))</f>
        <v>0.8</v>
      </c>
      <c r="AG155" s="80">
        <f>IF(O155="","",IF(O155="SIM",VLOOKUP($I155&amp;$J155&amp;O$1,Pesos!$A:$I,7,FALSE),VLOOKUP($I155&amp;$J155&amp;O$1,Pesos!$A:$I,9,FALSE)))</f>
        <v>0.8</v>
      </c>
      <c r="AH155" s="80">
        <f>IF(P155="","",IF(P155="SIM",VLOOKUP($I155&amp;$J155&amp;P$1,Pesos!$A:$I,7,FALSE),VLOOKUP($I155&amp;$J155&amp;P$1,Pesos!$A:$I,9,FALSE)))</f>
        <v>0.8</v>
      </c>
      <c r="AI155" s="80">
        <f>IF(Q155="","",IF(Q155="SIM",VLOOKUP($I155&amp;$J155&amp;Q$1,Pesos!$A:$I,7,FALSE),VLOOKUP($I155&amp;$J155&amp;Q$1,Pesos!$A:$I,9,FALSE)))</f>
        <v>0.8</v>
      </c>
      <c r="AJ155" s="80">
        <f>IF(R155="","",IF(R155="SIM",VLOOKUP($I155&amp;$J155&amp;R$1,Pesos!$A:$I,7,FALSE),VLOOKUP($I155&amp;$J155&amp;R$1,Pesos!$A:$I,9,FALSE)))</f>
        <v>0.8</v>
      </c>
      <c r="AK155" s="80">
        <f>IF(S155="","",IF(S155="SIM",VLOOKUP($I155&amp;$J155&amp;S$1,Pesos!$A:$I,7,FALSE),VLOOKUP($I155&amp;$J155&amp;S$1,Pesos!$A:$I,9,FALSE)))</f>
        <v>0.8</v>
      </c>
      <c r="AL155" s="80">
        <f t="shared" si="29"/>
        <v>4.8</v>
      </c>
      <c r="AM155" s="80">
        <f>IF(T155="","",IF(T155="SIM",VLOOKUP($I155&amp;$J155&amp;T$1,Pesos!$A:$I,7,FALSE),VLOOKUP($I155&amp;$J155&amp;T$1,Pesos!$A:$I,9,FALSE)))</f>
        <v>0.8</v>
      </c>
      <c r="AN155" s="80">
        <f>IF(U155="","",IF(U155="SIM",VLOOKUP($I155&amp;$J155&amp;U$1,Pesos!$A:$I,7,FALSE),VLOOKUP($I155&amp;$J155&amp;U$1,Pesos!$A:$I,9,FALSE)))</f>
        <v>0.8</v>
      </c>
      <c r="AO155" s="80">
        <f>IF(V155="","",IF(V155="SIM",VLOOKUP($I155&amp;$J155&amp;V$1,Pesos!$A:$I,7,FALSE),VLOOKUP($I155&amp;$J155&amp;V$1,Pesos!$A:$I,9,FALSE)))</f>
        <v>-4.0000000000000008E-2</v>
      </c>
      <c r="AP155" s="80">
        <f>IF(W155="","",IF(W155="SIM",VLOOKUP($I155&amp;$J155&amp;W$1,Pesos!$A:$I,7,FALSE),VLOOKUP($I155&amp;$J155&amp;W$1,Pesos!$A:$I,9,FALSE)))</f>
        <v>0.8</v>
      </c>
      <c r="AQ155" s="80">
        <f>IF(X155="","",IF(X155="SIM",VLOOKUP($I155&amp;$J155&amp;X$1,Pesos!$A:$I,7,FALSE),VLOOKUP($I155&amp;$J155&amp;X$1,Pesos!$A:$I,9,FALSE)))</f>
        <v>1</v>
      </c>
      <c r="AR155" s="80">
        <f>IF(Y155="","",IF(Y155="SIM",VLOOKUP($I155&amp;$J155&amp;Y$1,Pesos!$A:$I,7,FALSE),VLOOKUP($I155&amp;$J155&amp;Y$1,Pesos!$A:$I,9,FALSE)))</f>
        <v>1</v>
      </c>
      <c r="AS155" s="81">
        <f>IFERROR(Z155*VLOOKUP(J155,'BD Campos'!$Y$1:$Z$12,2,FALSE),"0")</f>
        <v>9.16</v>
      </c>
    </row>
    <row r="156" spans="1:45" x14ac:dyDescent="0.35">
      <c r="A156" s="68" t="str">
        <f t="shared" si="26"/>
        <v>Jan202510894PoliciaUTI</v>
      </c>
      <c r="B156" s="69" t="str">
        <f t="shared" si="27"/>
        <v>Jan2025108941UTIPADRÃO</v>
      </c>
      <c r="C156" s="70">
        <v>1</v>
      </c>
      <c r="D156" s="71">
        <v>45674.697685069441</v>
      </c>
      <c r="E156" s="112" t="s">
        <v>74</v>
      </c>
      <c r="F156" s="72">
        <v>10894</v>
      </c>
      <c r="G156" s="69" t="s">
        <v>243</v>
      </c>
      <c r="H156" s="73">
        <v>1</v>
      </c>
      <c r="I156" s="69" t="s">
        <v>123</v>
      </c>
      <c r="J156" s="69" t="s">
        <v>146</v>
      </c>
      <c r="K156" s="69" t="s">
        <v>131</v>
      </c>
      <c r="L156" s="74">
        <v>30904077</v>
      </c>
      <c r="M156" s="75">
        <v>2.8240740740740739E-3</v>
      </c>
      <c r="N156" s="76" t="s">
        <v>79</v>
      </c>
      <c r="O156" s="76" t="s">
        <v>79</v>
      </c>
      <c r="P156" s="76" t="s">
        <v>79</v>
      </c>
      <c r="Q156" s="76" t="s">
        <v>79</v>
      </c>
      <c r="R156" s="76" t="s">
        <v>79</v>
      </c>
      <c r="S156" s="76" t="s">
        <v>79</v>
      </c>
      <c r="T156" s="76" t="s">
        <v>79</v>
      </c>
      <c r="U156" s="76" t="s">
        <v>79</v>
      </c>
      <c r="V156" s="76" t="s">
        <v>79</v>
      </c>
      <c r="W156" s="76" t="s">
        <v>79</v>
      </c>
      <c r="X156" s="76" t="s">
        <v>79</v>
      </c>
      <c r="Y156" s="76" t="s">
        <v>79</v>
      </c>
      <c r="Z156" s="77">
        <f t="shared" si="2"/>
        <v>10</v>
      </c>
      <c r="AA156" s="78"/>
      <c r="AB156" s="78" t="s">
        <v>1505</v>
      </c>
      <c r="AC156" s="72" t="s">
        <v>47</v>
      </c>
      <c r="AE156" s="79" t="str">
        <f t="shared" si="28"/>
        <v>Jan10894</v>
      </c>
      <c r="AF156" s="80">
        <f>IF(N156="","",IF(N156="SIM",VLOOKUP($I156&amp;$J156&amp;N$1,Pesos!$A:$I,7,FALSE),VLOOKUP($I156&amp;$J156&amp;N$1,Pesos!$A:$I,9,FALSE)))</f>
        <v>0.8</v>
      </c>
      <c r="AG156" s="80">
        <f>IF(O156="","",IF(O156="SIM",VLOOKUP($I156&amp;$J156&amp;O$1,Pesos!$A:$I,7,FALSE),VLOOKUP($I156&amp;$J156&amp;O$1,Pesos!$A:$I,9,FALSE)))</f>
        <v>0.8</v>
      </c>
      <c r="AH156" s="80">
        <f>IF(P156="","",IF(P156="SIM",VLOOKUP($I156&amp;$J156&amp;P$1,Pesos!$A:$I,7,FALSE),VLOOKUP($I156&amp;$J156&amp;P$1,Pesos!$A:$I,9,FALSE)))</f>
        <v>0.8</v>
      </c>
      <c r="AI156" s="80">
        <f>IF(Q156="","",IF(Q156="SIM",VLOOKUP($I156&amp;$J156&amp;Q$1,Pesos!$A:$I,7,FALSE),VLOOKUP($I156&amp;$J156&amp;Q$1,Pesos!$A:$I,9,FALSE)))</f>
        <v>0.8</v>
      </c>
      <c r="AJ156" s="80">
        <f>IF(R156="","",IF(R156="SIM",VLOOKUP($I156&amp;$J156&amp;R$1,Pesos!$A:$I,7,FALSE),VLOOKUP($I156&amp;$J156&amp;R$1,Pesos!$A:$I,9,FALSE)))</f>
        <v>0.8</v>
      </c>
      <c r="AK156" s="80">
        <f>IF(S156="","",IF(S156="SIM",VLOOKUP($I156&amp;$J156&amp;S$1,Pesos!$A:$I,7,FALSE),VLOOKUP($I156&amp;$J156&amp;S$1,Pesos!$A:$I,9,FALSE)))</f>
        <v>0.8</v>
      </c>
      <c r="AL156" s="80">
        <f t="shared" si="29"/>
        <v>4.8</v>
      </c>
      <c r="AM156" s="80">
        <f>IF(T156="","",IF(T156="SIM",VLOOKUP($I156&amp;$J156&amp;T$1,Pesos!$A:$I,7,FALSE),VLOOKUP($I156&amp;$J156&amp;T$1,Pesos!$A:$I,9,FALSE)))</f>
        <v>0.8</v>
      </c>
      <c r="AN156" s="80">
        <f>IF(U156="","",IF(U156="SIM",VLOOKUP($I156&amp;$J156&amp;U$1,Pesos!$A:$I,7,FALSE),VLOOKUP($I156&amp;$J156&amp;U$1,Pesos!$A:$I,9,FALSE)))</f>
        <v>0.8</v>
      </c>
      <c r="AO156" s="80">
        <f>IF(V156="","",IF(V156="SIM",VLOOKUP($I156&amp;$J156&amp;V$1,Pesos!$A:$I,7,FALSE),VLOOKUP($I156&amp;$J156&amp;V$1,Pesos!$A:$I,9,FALSE)))</f>
        <v>0.8</v>
      </c>
      <c r="AP156" s="80">
        <f>IF(W156="","",IF(W156="SIM",VLOOKUP($I156&amp;$J156&amp;W$1,Pesos!$A:$I,7,FALSE),VLOOKUP($I156&amp;$J156&amp;W$1,Pesos!$A:$I,9,FALSE)))</f>
        <v>0.8</v>
      </c>
      <c r="AQ156" s="80">
        <f>IF(X156="","",IF(X156="SIM",VLOOKUP($I156&amp;$J156&amp;X$1,Pesos!$A:$I,7,FALSE),VLOOKUP($I156&amp;$J156&amp;X$1,Pesos!$A:$I,9,FALSE)))</f>
        <v>1</v>
      </c>
      <c r="AR156" s="80">
        <f>IF(Y156="","",IF(Y156="SIM",VLOOKUP($I156&amp;$J156&amp;Y$1,Pesos!$A:$I,7,FALSE),VLOOKUP($I156&amp;$J156&amp;Y$1,Pesos!$A:$I,9,FALSE)))</f>
        <v>1</v>
      </c>
      <c r="AS156" s="81">
        <f>IFERROR(Z156*VLOOKUP(J156,'BD Campos'!$Y$1:$Z$12,2,FALSE),"0")</f>
        <v>10</v>
      </c>
    </row>
    <row r="157" spans="1:45" x14ac:dyDescent="0.35">
      <c r="A157" s="68" t="str">
        <f t="shared" si="26"/>
        <v>Jan202510894ReceptivaUTI</v>
      </c>
      <c r="B157" s="69" t="str">
        <f t="shared" si="27"/>
        <v>Jan2025108945UTIPADRÃO</v>
      </c>
      <c r="C157" s="70">
        <v>1</v>
      </c>
      <c r="D157" s="71">
        <v>45674.699490277781</v>
      </c>
      <c r="E157" s="112" t="s">
        <v>74</v>
      </c>
      <c r="F157" s="72">
        <v>10894</v>
      </c>
      <c r="G157" s="69" t="s">
        <v>243</v>
      </c>
      <c r="H157" s="73">
        <v>5</v>
      </c>
      <c r="I157" s="69" t="s">
        <v>6</v>
      </c>
      <c r="J157" s="69" t="s">
        <v>98</v>
      </c>
      <c r="K157" s="69" t="s">
        <v>131</v>
      </c>
      <c r="L157" s="74"/>
      <c r="M157" s="75">
        <v>1.0879629629629629E-3</v>
      </c>
      <c r="N157" s="76" t="s">
        <v>79</v>
      </c>
      <c r="O157" s="76" t="s">
        <v>79</v>
      </c>
      <c r="P157" s="76" t="s">
        <v>79</v>
      </c>
      <c r="Q157" s="76" t="s">
        <v>79</v>
      </c>
      <c r="R157" s="76" t="s">
        <v>79</v>
      </c>
      <c r="S157" s="76" t="s">
        <v>79</v>
      </c>
      <c r="T157" s="76" t="s">
        <v>79</v>
      </c>
      <c r="U157" s="76" t="s">
        <v>79</v>
      </c>
      <c r="V157" s="76" t="s">
        <v>79</v>
      </c>
      <c r="W157" s="76" t="s">
        <v>79</v>
      </c>
      <c r="X157" s="76" t="s">
        <v>79</v>
      </c>
      <c r="Y157" s="76" t="s">
        <v>79</v>
      </c>
      <c r="Z157" s="77">
        <f t="shared" si="2"/>
        <v>10</v>
      </c>
      <c r="AA157" s="78"/>
      <c r="AB157" s="78"/>
      <c r="AC157" s="72" t="s">
        <v>47</v>
      </c>
      <c r="AE157" s="79" t="str">
        <f t="shared" si="28"/>
        <v>Jan10894</v>
      </c>
      <c r="AF157" s="80">
        <f>IF(N157="","",IF(N157="SIM",VLOOKUP($I157&amp;$J157&amp;N$1,Pesos!$A:$I,7,FALSE),VLOOKUP($I157&amp;$J157&amp;N$1,Pesos!$A:$I,9,FALSE)))</f>
        <v>0.8</v>
      </c>
      <c r="AG157" s="80">
        <f>IF(O157="","",IF(O157="SIM",VLOOKUP($I157&amp;$J157&amp;O$1,Pesos!$A:$I,7,FALSE),VLOOKUP($I157&amp;$J157&amp;O$1,Pesos!$A:$I,9,FALSE)))</f>
        <v>0.8</v>
      </c>
      <c r="AH157" s="80">
        <f>IF(P157="","",IF(P157="SIM",VLOOKUP($I157&amp;$J157&amp;P$1,Pesos!$A:$I,7,FALSE),VLOOKUP($I157&amp;$J157&amp;P$1,Pesos!$A:$I,9,FALSE)))</f>
        <v>1.2</v>
      </c>
      <c r="AI157" s="80">
        <f>IF(Q157="","",IF(Q157="SIM",VLOOKUP($I157&amp;$J157&amp;Q$1,Pesos!$A:$I,7,FALSE),VLOOKUP($I157&amp;$J157&amp;Q$1,Pesos!$A:$I,9,FALSE)))</f>
        <v>0.8</v>
      </c>
      <c r="AJ157" s="80">
        <f>IF(R157="","",IF(R157="SIM",VLOOKUP($I157&amp;$J157&amp;R$1,Pesos!$A:$I,7,FALSE),VLOOKUP($I157&amp;$J157&amp;R$1,Pesos!$A:$I,9,FALSE)))</f>
        <v>0.8</v>
      </c>
      <c r="AK157" s="80">
        <f>IF(S157="","",IF(S157="SIM",VLOOKUP($I157&amp;$J157&amp;S$1,Pesos!$A:$I,7,FALSE),VLOOKUP($I157&amp;$J157&amp;S$1,Pesos!$A:$I,9,FALSE)))</f>
        <v>0.8</v>
      </c>
      <c r="AL157" s="80">
        <f t="shared" si="29"/>
        <v>5.1999999999999993</v>
      </c>
      <c r="AM157" s="80">
        <f>IF(T157="","",IF(T157="SIM",VLOOKUP($I157&amp;$J157&amp;T$1,Pesos!$A:$I,7,FALSE),VLOOKUP($I157&amp;$J157&amp;T$1,Pesos!$A:$I,9,FALSE)))</f>
        <v>0.8</v>
      </c>
      <c r="AN157" s="80">
        <f>IF(U157="","",IF(U157="SIM",VLOOKUP($I157&amp;$J157&amp;U$1,Pesos!$A:$I,7,FALSE),VLOOKUP($I157&amp;$J157&amp;U$1,Pesos!$A:$I,9,FALSE)))</f>
        <v>0.8</v>
      </c>
      <c r="AO157" s="80">
        <f>IF(V157="","",IF(V157="SIM",VLOOKUP($I157&amp;$J157&amp;V$1,Pesos!$A:$I,7,FALSE),VLOOKUP($I157&amp;$J157&amp;V$1,Pesos!$A:$I,9,FALSE)))</f>
        <v>0.8</v>
      </c>
      <c r="AP157" s="80">
        <f>IF(W157="","",IF(W157="SIM",VLOOKUP($I157&amp;$J157&amp;W$1,Pesos!$A:$I,7,FALSE),VLOOKUP($I157&amp;$J157&amp;W$1,Pesos!$A:$I,9,FALSE)))</f>
        <v>0.8</v>
      </c>
      <c r="AQ157" s="80">
        <f>IF(X157="","",IF(X157="SIM",VLOOKUP($I157&amp;$J157&amp;X$1,Pesos!$A:$I,7,FALSE),VLOOKUP($I157&amp;$J157&amp;X$1,Pesos!$A:$I,9,FALSE)))</f>
        <v>0.8</v>
      </c>
      <c r="AR157" s="80">
        <f>IF(Y157="","",IF(Y157="SIM",VLOOKUP($I157&amp;$J157&amp;Y$1,Pesos!$A:$I,7,FALSE),VLOOKUP($I157&amp;$J157&amp;Y$1,Pesos!$A:$I,9,FALSE)))</f>
        <v>0.8</v>
      </c>
      <c r="AS157" s="81">
        <f>IFERROR(Z157*VLOOKUP(J157,'BD Campos'!$Y$1:$Z$12,2,FALSE),"0")</f>
        <v>10</v>
      </c>
    </row>
    <row r="158" spans="1:45" x14ac:dyDescent="0.35">
      <c r="A158" s="68" t="str">
        <f t="shared" si="26"/>
        <v>Jan202510343ReceptivaUTI</v>
      </c>
      <c r="B158" s="69" t="str">
        <f t="shared" si="27"/>
        <v>Jan2025103435UTIPADRÃO</v>
      </c>
      <c r="C158" s="70">
        <v>1</v>
      </c>
      <c r="D158" s="71">
        <v>45674.701655671299</v>
      </c>
      <c r="E158" s="112" t="s">
        <v>74</v>
      </c>
      <c r="F158" s="72">
        <v>10343</v>
      </c>
      <c r="G158" s="69" t="s">
        <v>296</v>
      </c>
      <c r="H158" s="73">
        <v>5</v>
      </c>
      <c r="I158" s="69" t="s">
        <v>6</v>
      </c>
      <c r="J158" s="69" t="s">
        <v>98</v>
      </c>
      <c r="K158" s="69" t="s">
        <v>131</v>
      </c>
      <c r="L158" s="74"/>
      <c r="M158" s="75">
        <v>9.1435185185185185E-4</v>
      </c>
      <c r="N158" s="76" t="s">
        <v>79</v>
      </c>
      <c r="O158" s="76" t="s">
        <v>79</v>
      </c>
      <c r="P158" s="76" t="s">
        <v>79</v>
      </c>
      <c r="Q158" s="76" t="s">
        <v>79</v>
      </c>
      <c r="R158" s="76" t="s">
        <v>79</v>
      </c>
      <c r="S158" s="76" t="s">
        <v>79</v>
      </c>
      <c r="T158" s="76" t="s">
        <v>83</v>
      </c>
      <c r="U158" s="76" t="s">
        <v>79</v>
      </c>
      <c r="V158" s="76" t="s">
        <v>79</v>
      </c>
      <c r="W158" s="76" t="s">
        <v>79</v>
      </c>
      <c r="X158" s="76" t="s">
        <v>79</v>
      </c>
      <c r="Y158" s="76" t="s">
        <v>79</v>
      </c>
      <c r="Z158" s="77">
        <f t="shared" si="2"/>
        <v>9.16</v>
      </c>
      <c r="AA158" s="78"/>
      <c r="AB158" s="78"/>
      <c r="AC158" s="72" t="s">
        <v>47</v>
      </c>
      <c r="AE158" s="79" t="str">
        <f t="shared" si="28"/>
        <v>Jan10343</v>
      </c>
      <c r="AF158" s="80">
        <f>IF(N158="","",IF(N158="SIM",VLOOKUP($I158&amp;$J158&amp;N$1,Pesos!$A:$I,7,FALSE),VLOOKUP($I158&amp;$J158&amp;N$1,Pesos!$A:$I,9,FALSE)))</f>
        <v>0.8</v>
      </c>
      <c r="AG158" s="80">
        <f>IF(O158="","",IF(O158="SIM",VLOOKUP($I158&amp;$J158&amp;O$1,Pesos!$A:$I,7,FALSE),VLOOKUP($I158&amp;$J158&amp;O$1,Pesos!$A:$I,9,FALSE)))</f>
        <v>0.8</v>
      </c>
      <c r="AH158" s="80">
        <f>IF(P158="","",IF(P158="SIM",VLOOKUP($I158&amp;$J158&amp;P$1,Pesos!$A:$I,7,FALSE),VLOOKUP($I158&amp;$J158&amp;P$1,Pesos!$A:$I,9,FALSE)))</f>
        <v>1.2</v>
      </c>
      <c r="AI158" s="80">
        <f>IF(Q158="","",IF(Q158="SIM",VLOOKUP($I158&amp;$J158&amp;Q$1,Pesos!$A:$I,7,FALSE),VLOOKUP($I158&amp;$J158&amp;Q$1,Pesos!$A:$I,9,FALSE)))</f>
        <v>0.8</v>
      </c>
      <c r="AJ158" s="80">
        <f>IF(R158="","",IF(R158="SIM",VLOOKUP($I158&amp;$J158&amp;R$1,Pesos!$A:$I,7,FALSE),VLOOKUP($I158&amp;$J158&amp;R$1,Pesos!$A:$I,9,FALSE)))</f>
        <v>0.8</v>
      </c>
      <c r="AK158" s="80">
        <f>IF(S158="","",IF(S158="SIM",VLOOKUP($I158&amp;$J158&amp;S$1,Pesos!$A:$I,7,FALSE),VLOOKUP($I158&amp;$J158&amp;S$1,Pesos!$A:$I,9,FALSE)))</f>
        <v>0.8</v>
      </c>
      <c r="AL158" s="80">
        <f t="shared" si="29"/>
        <v>5.1999999999999993</v>
      </c>
      <c r="AM158" s="80">
        <f>IF(T158="","",IF(T158="SIM",VLOOKUP($I158&amp;$J158&amp;T$1,Pesos!$A:$I,7,FALSE),VLOOKUP($I158&amp;$J158&amp;T$1,Pesos!$A:$I,9,FALSE)))</f>
        <v>-4.0000000000000008E-2</v>
      </c>
      <c r="AN158" s="80">
        <f>IF(U158="","",IF(U158="SIM",VLOOKUP($I158&amp;$J158&amp;U$1,Pesos!$A:$I,7,FALSE),VLOOKUP($I158&amp;$J158&amp;U$1,Pesos!$A:$I,9,FALSE)))</f>
        <v>0.8</v>
      </c>
      <c r="AO158" s="80">
        <f>IF(V158="","",IF(V158="SIM",VLOOKUP($I158&amp;$J158&amp;V$1,Pesos!$A:$I,7,FALSE),VLOOKUP($I158&amp;$J158&amp;V$1,Pesos!$A:$I,9,FALSE)))</f>
        <v>0.8</v>
      </c>
      <c r="AP158" s="80">
        <f>IF(W158="","",IF(W158="SIM",VLOOKUP($I158&amp;$J158&amp;W$1,Pesos!$A:$I,7,FALSE),VLOOKUP($I158&amp;$J158&amp;W$1,Pesos!$A:$I,9,FALSE)))</f>
        <v>0.8</v>
      </c>
      <c r="AQ158" s="80">
        <f>IF(X158="","",IF(X158="SIM",VLOOKUP($I158&amp;$J158&amp;X$1,Pesos!$A:$I,7,FALSE),VLOOKUP($I158&amp;$J158&amp;X$1,Pesos!$A:$I,9,FALSE)))</f>
        <v>0.8</v>
      </c>
      <c r="AR158" s="80">
        <f>IF(Y158="","",IF(Y158="SIM",VLOOKUP($I158&amp;$J158&amp;Y$1,Pesos!$A:$I,7,FALSE),VLOOKUP($I158&amp;$J158&amp;Y$1,Pesos!$A:$I,9,FALSE)))</f>
        <v>0.8</v>
      </c>
      <c r="AS158" s="81">
        <f>IFERROR(Z158*VLOOKUP(J158,'BD Campos'!$Y$1:$Z$12,2,FALSE),"0")</f>
        <v>9.16</v>
      </c>
    </row>
    <row r="159" spans="1:45" x14ac:dyDescent="0.35">
      <c r="A159" s="68" t="str">
        <f t="shared" si="26"/>
        <v>Jan202510343MotoristaUTI</v>
      </c>
      <c r="B159" s="69" t="str">
        <f t="shared" si="27"/>
        <v>Jan2025103431UTIPADRÃO</v>
      </c>
      <c r="C159" s="70">
        <v>1</v>
      </c>
      <c r="D159" s="71">
        <v>45674.70340046296</v>
      </c>
      <c r="E159" s="112" t="s">
        <v>74</v>
      </c>
      <c r="F159" s="72">
        <v>10343</v>
      </c>
      <c r="G159" s="69" t="s">
        <v>296</v>
      </c>
      <c r="H159" s="73">
        <v>1</v>
      </c>
      <c r="I159" s="69" t="s">
        <v>123</v>
      </c>
      <c r="J159" s="69" t="s">
        <v>122</v>
      </c>
      <c r="K159" s="69" t="s">
        <v>131</v>
      </c>
      <c r="L159" s="74">
        <v>13747042</v>
      </c>
      <c r="M159" s="75">
        <v>3.7384259259259263E-3</v>
      </c>
      <c r="N159" s="76" t="s">
        <v>79</v>
      </c>
      <c r="O159" s="76" t="s">
        <v>79</v>
      </c>
      <c r="P159" s="76" t="s">
        <v>79</v>
      </c>
      <c r="Q159" s="76" t="s">
        <v>79</v>
      </c>
      <c r="R159" s="76" t="s">
        <v>79</v>
      </c>
      <c r="S159" s="76" t="s">
        <v>79</v>
      </c>
      <c r="T159" s="76" t="s">
        <v>79</v>
      </c>
      <c r="U159" s="76" t="s">
        <v>79</v>
      </c>
      <c r="V159" s="76" t="s">
        <v>79</v>
      </c>
      <c r="W159" s="76" t="s">
        <v>79</v>
      </c>
      <c r="X159" s="76"/>
      <c r="Y159" s="76"/>
      <c r="Z159" s="77">
        <f t="shared" si="2"/>
        <v>10</v>
      </c>
      <c r="AA159" s="78" t="s">
        <v>1467</v>
      </c>
      <c r="AB159" s="78" t="s">
        <v>1506</v>
      </c>
      <c r="AC159" s="72" t="s">
        <v>47</v>
      </c>
      <c r="AE159" s="79" t="str">
        <f t="shared" si="28"/>
        <v>Jan10343</v>
      </c>
      <c r="AF159" s="80">
        <f>IF(N159="","",IF(N159="SIM",VLOOKUP($I159&amp;$J159&amp;N$1,Pesos!$A:$I,7,FALSE),VLOOKUP($I159&amp;$J159&amp;N$1,Pesos!$A:$I,9,FALSE)))</f>
        <v>1</v>
      </c>
      <c r="AG159" s="80">
        <f>IF(O159="","",IF(O159="SIM",VLOOKUP($I159&amp;$J159&amp;O$1,Pesos!$A:$I,7,FALSE),VLOOKUP($I159&amp;$J159&amp;O$1,Pesos!$A:$I,9,FALSE)))</f>
        <v>1</v>
      </c>
      <c r="AH159" s="80">
        <f>IF(P159="","",IF(P159="SIM",VLOOKUP($I159&amp;$J159&amp;P$1,Pesos!$A:$I,7,FALSE),VLOOKUP($I159&amp;$J159&amp;P$1,Pesos!$A:$I,9,FALSE)))</f>
        <v>1</v>
      </c>
      <c r="AI159" s="80">
        <f>IF(Q159="","",IF(Q159="SIM",VLOOKUP($I159&amp;$J159&amp;Q$1,Pesos!$A:$I,7,FALSE),VLOOKUP($I159&amp;$J159&amp;Q$1,Pesos!$A:$I,9,FALSE)))</f>
        <v>1</v>
      </c>
      <c r="AJ159" s="80">
        <f>IF(R159="","",IF(R159="SIM",VLOOKUP($I159&amp;$J159&amp;R$1,Pesos!$A:$I,7,FALSE),VLOOKUP($I159&amp;$J159&amp;R$1,Pesos!$A:$I,9,FALSE)))</f>
        <v>1</v>
      </c>
      <c r="AK159" s="80">
        <f>IF(S159="","",IF(S159="SIM",VLOOKUP($I159&amp;$J159&amp;S$1,Pesos!$A:$I,7,FALSE),VLOOKUP($I159&amp;$J159&amp;S$1,Pesos!$A:$I,9,FALSE)))</f>
        <v>1</v>
      </c>
      <c r="AL159" s="80">
        <f t="shared" si="29"/>
        <v>6</v>
      </c>
      <c r="AM159" s="80">
        <f>IF(T159="","",IF(T159="SIM",VLOOKUP($I159&amp;$J159&amp;T$1,Pesos!$A:$I,7,FALSE),VLOOKUP($I159&amp;$J159&amp;T$1,Pesos!$A:$I,9,FALSE)))</f>
        <v>1</v>
      </c>
      <c r="AN159" s="80">
        <f>IF(U159="","",IF(U159="SIM",VLOOKUP($I159&amp;$J159&amp;U$1,Pesos!$A:$I,7,FALSE),VLOOKUP($I159&amp;$J159&amp;U$1,Pesos!$A:$I,9,FALSE)))</f>
        <v>1</v>
      </c>
      <c r="AO159" s="80">
        <f>IF(V159="","",IF(V159="SIM",VLOOKUP($I159&amp;$J159&amp;V$1,Pesos!$A:$I,7,FALSE),VLOOKUP($I159&amp;$J159&amp;V$1,Pesos!$A:$I,9,FALSE)))</f>
        <v>1</v>
      </c>
      <c r="AP159" s="80">
        <f>IF(W159="","",IF(W159="SIM",VLOOKUP($I159&amp;$J159&amp;W$1,Pesos!$A:$I,7,FALSE),VLOOKUP($I159&amp;$J159&amp;W$1,Pesos!$A:$I,9,FALSE)))</f>
        <v>1</v>
      </c>
      <c r="AQ159" s="80" t="str">
        <f>IF(X159="","",IF(X159="SIM",VLOOKUP($I159&amp;$J159&amp;X$1,Pesos!$A:$I,7,FALSE),VLOOKUP($I159&amp;$J159&amp;X$1,Pesos!$A:$I,9,FALSE)))</f>
        <v/>
      </c>
      <c r="AR159" s="80" t="str">
        <f>IF(Y159="","",IF(Y159="SIM",VLOOKUP($I159&amp;$J159&amp;Y$1,Pesos!$A:$I,7,FALSE),VLOOKUP($I159&amp;$J159&amp;Y$1,Pesos!$A:$I,9,FALSE)))</f>
        <v/>
      </c>
      <c r="AS159" s="81">
        <f>IFERROR(Z159*VLOOKUP(J159,'BD Campos'!$Y$1:$Z$12,2,FALSE),"0")</f>
        <v>10</v>
      </c>
    </row>
    <row r="160" spans="1:45" x14ac:dyDescent="0.35">
      <c r="A160" s="68" t="str">
        <f t="shared" si="26"/>
        <v>Jan202510920MotoristaUTI</v>
      </c>
      <c r="B160" s="69" t="str">
        <f t="shared" si="27"/>
        <v>Jan2025109201UTIPADRÃO</v>
      </c>
      <c r="C160" s="70">
        <v>1</v>
      </c>
      <c r="D160" s="71">
        <v>45674.723148958336</v>
      </c>
      <c r="E160" s="112" t="s">
        <v>74</v>
      </c>
      <c r="F160" s="72">
        <v>10920</v>
      </c>
      <c r="G160" s="69" t="s">
        <v>251</v>
      </c>
      <c r="H160" s="73">
        <v>1</v>
      </c>
      <c r="I160" s="69" t="s">
        <v>123</v>
      </c>
      <c r="J160" s="69" t="s">
        <v>122</v>
      </c>
      <c r="K160" s="69" t="s">
        <v>131</v>
      </c>
      <c r="L160" s="74">
        <v>30723066</v>
      </c>
      <c r="M160" s="75">
        <v>1.1689814814814816E-3</v>
      </c>
      <c r="N160" s="76" t="s">
        <v>79</v>
      </c>
      <c r="O160" s="76" t="s">
        <v>79</v>
      </c>
      <c r="P160" s="76" t="s">
        <v>79</v>
      </c>
      <c r="Q160" s="76" t="s">
        <v>79</v>
      </c>
      <c r="R160" s="76" t="s">
        <v>79</v>
      </c>
      <c r="S160" s="76" t="s">
        <v>79</v>
      </c>
      <c r="T160" s="76" t="s">
        <v>79</v>
      </c>
      <c r="U160" s="76" t="s">
        <v>79</v>
      </c>
      <c r="V160" s="76" t="s">
        <v>79</v>
      </c>
      <c r="W160" s="76" t="s">
        <v>79</v>
      </c>
      <c r="X160" s="76"/>
      <c r="Y160" s="76"/>
      <c r="Z160" s="77">
        <f t="shared" si="2"/>
        <v>10</v>
      </c>
      <c r="AA160" s="78"/>
      <c r="AB160" s="78" t="s">
        <v>1507</v>
      </c>
      <c r="AC160" s="72" t="s">
        <v>47</v>
      </c>
      <c r="AE160" s="79" t="str">
        <f t="shared" si="28"/>
        <v>Jan10920</v>
      </c>
      <c r="AF160" s="80">
        <f>IF(N160="","",IF(N160="SIM",VLOOKUP($I160&amp;$J160&amp;N$1,Pesos!$A:$I,7,FALSE),VLOOKUP($I160&amp;$J160&amp;N$1,Pesos!$A:$I,9,FALSE)))</f>
        <v>1</v>
      </c>
      <c r="AG160" s="80">
        <f>IF(O160="","",IF(O160="SIM",VLOOKUP($I160&amp;$J160&amp;O$1,Pesos!$A:$I,7,FALSE),VLOOKUP($I160&amp;$J160&amp;O$1,Pesos!$A:$I,9,FALSE)))</f>
        <v>1</v>
      </c>
      <c r="AH160" s="80">
        <f>IF(P160="","",IF(P160="SIM",VLOOKUP($I160&amp;$J160&amp;P$1,Pesos!$A:$I,7,FALSE),VLOOKUP($I160&amp;$J160&amp;P$1,Pesos!$A:$I,9,FALSE)))</f>
        <v>1</v>
      </c>
      <c r="AI160" s="80">
        <f>IF(Q160="","",IF(Q160="SIM",VLOOKUP($I160&amp;$J160&amp;Q$1,Pesos!$A:$I,7,FALSE),VLOOKUP($I160&amp;$J160&amp;Q$1,Pesos!$A:$I,9,FALSE)))</f>
        <v>1</v>
      </c>
      <c r="AJ160" s="80">
        <f>IF(R160="","",IF(R160="SIM",VLOOKUP($I160&amp;$J160&amp;R$1,Pesos!$A:$I,7,FALSE),VLOOKUP($I160&amp;$J160&amp;R$1,Pesos!$A:$I,9,FALSE)))</f>
        <v>1</v>
      </c>
      <c r="AK160" s="80">
        <f>IF(S160="","",IF(S160="SIM",VLOOKUP($I160&amp;$J160&amp;S$1,Pesos!$A:$I,7,FALSE),VLOOKUP($I160&amp;$J160&amp;S$1,Pesos!$A:$I,9,FALSE)))</f>
        <v>1</v>
      </c>
      <c r="AL160" s="80">
        <f t="shared" si="29"/>
        <v>6</v>
      </c>
      <c r="AM160" s="80">
        <f>IF(T160="","",IF(T160="SIM",VLOOKUP($I160&amp;$J160&amp;T$1,Pesos!$A:$I,7,FALSE),VLOOKUP($I160&amp;$J160&amp;T$1,Pesos!$A:$I,9,FALSE)))</f>
        <v>1</v>
      </c>
      <c r="AN160" s="80">
        <f>IF(U160="","",IF(U160="SIM",VLOOKUP($I160&amp;$J160&amp;U$1,Pesos!$A:$I,7,FALSE),VLOOKUP($I160&amp;$J160&amp;U$1,Pesos!$A:$I,9,FALSE)))</f>
        <v>1</v>
      </c>
      <c r="AO160" s="80">
        <f>IF(V160="","",IF(V160="SIM",VLOOKUP($I160&amp;$J160&amp;V$1,Pesos!$A:$I,7,FALSE),VLOOKUP($I160&amp;$J160&amp;V$1,Pesos!$A:$I,9,FALSE)))</f>
        <v>1</v>
      </c>
      <c r="AP160" s="80">
        <f>IF(W160="","",IF(W160="SIM",VLOOKUP($I160&amp;$J160&amp;W$1,Pesos!$A:$I,7,FALSE),VLOOKUP($I160&amp;$J160&amp;W$1,Pesos!$A:$I,9,FALSE)))</f>
        <v>1</v>
      </c>
      <c r="AQ160" s="80" t="str">
        <f>IF(X160="","",IF(X160="SIM",VLOOKUP($I160&amp;$J160&amp;X$1,Pesos!$A:$I,7,FALSE),VLOOKUP($I160&amp;$J160&amp;X$1,Pesos!$A:$I,9,FALSE)))</f>
        <v/>
      </c>
      <c r="AR160" s="80" t="str">
        <f>IF(Y160="","",IF(Y160="SIM",VLOOKUP($I160&amp;$J160&amp;Y$1,Pesos!$A:$I,7,FALSE),VLOOKUP($I160&amp;$J160&amp;Y$1,Pesos!$A:$I,9,FALSE)))</f>
        <v/>
      </c>
      <c r="AS160" s="81">
        <f>IFERROR(Z160*VLOOKUP(J160,'BD Campos'!$Y$1:$Z$12,2,FALSE),"0")</f>
        <v>10</v>
      </c>
    </row>
    <row r="161" spans="1:45" x14ac:dyDescent="0.35">
      <c r="A161" s="68" t="str">
        <f t="shared" si="26"/>
        <v>Jan202510920ReceptivaUTI</v>
      </c>
      <c r="B161" s="69" t="str">
        <f t="shared" si="27"/>
        <v>Jan2025109205UTIPADRÃO</v>
      </c>
      <c r="C161" s="70">
        <v>1</v>
      </c>
      <c r="D161" s="71">
        <v>45674.724290972219</v>
      </c>
      <c r="E161" s="112" t="s">
        <v>74</v>
      </c>
      <c r="F161" s="72">
        <v>10920</v>
      </c>
      <c r="G161" s="69" t="s">
        <v>251</v>
      </c>
      <c r="H161" s="73">
        <v>5</v>
      </c>
      <c r="I161" s="69" t="s">
        <v>6</v>
      </c>
      <c r="J161" s="69" t="s">
        <v>98</v>
      </c>
      <c r="K161" s="69" t="s">
        <v>131</v>
      </c>
      <c r="L161" s="74"/>
      <c r="M161" s="75">
        <v>8.6805555555555551E-4</v>
      </c>
      <c r="N161" s="76" t="s">
        <v>79</v>
      </c>
      <c r="O161" s="76" t="s">
        <v>79</v>
      </c>
      <c r="P161" s="76" t="s">
        <v>79</v>
      </c>
      <c r="Q161" s="76" t="s">
        <v>79</v>
      </c>
      <c r="R161" s="76" t="s">
        <v>79</v>
      </c>
      <c r="S161" s="76" t="s">
        <v>79</v>
      </c>
      <c r="T161" s="76" t="s">
        <v>79</v>
      </c>
      <c r="U161" s="76" t="s">
        <v>79</v>
      </c>
      <c r="V161" s="76" t="s">
        <v>79</v>
      </c>
      <c r="W161" s="76" t="s">
        <v>79</v>
      </c>
      <c r="X161" s="76" t="s">
        <v>79</v>
      </c>
      <c r="Y161" s="76" t="s">
        <v>79</v>
      </c>
      <c r="Z161" s="77">
        <f t="shared" si="2"/>
        <v>10</v>
      </c>
      <c r="AA161" s="78"/>
      <c r="AB161" s="78"/>
      <c r="AC161" s="72" t="s">
        <v>47</v>
      </c>
      <c r="AE161" s="79" t="str">
        <f t="shared" si="28"/>
        <v>Jan10920</v>
      </c>
      <c r="AF161" s="80">
        <f>IF(N161="","",IF(N161="SIM",VLOOKUP($I161&amp;$J161&amp;N$1,Pesos!$A:$I,7,FALSE),VLOOKUP($I161&amp;$J161&amp;N$1,Pesos!$A:$I,9,FALSE)))</f>
        <v>0.8</v>
      </c>
      <c r="AG161" s="80">
        <f>IF(O161="","",IF(O161="SIM",VLOOKUP($I161&amp;$J161&amp;O$1,Pesos!$A:$I,7,FALSE),VLOOKUP($I161&amp;$J161&amp;O$1,Pesos!$A:$I,9,FALSE)))</f>
        <v>0.8</v>
      </c>
      <c r="AH161" s="80">
        <f>IF(P161="","",IF(P161="SIM",VLOOKUP($I161&amp;$J161&amp;P$1,Pesos!$A:$I,7,FALSE),VLOOKUP($I161&amp;$J161&amp;P$1,Pesos!$A:$I,9,FALSE)))</f>
        <v>1.2</v>
      </c>
      <c r="AI161" s="80">
        <f>IF(Q161="","",IF(Q161="SIM",VLOOKUP($I161&amp;$J161&amp;Q$1,Pesos!$A:$I,7,FALSE),VLOOKUP($I161&amp;$J161&amp;Q$1,Pesos!$A:$I,9,FALSE)))</f>
        <v>0.8</v>
      </c>
      <c r="AJ161" s="80">
        <f>IF(R161="","",IF(R161="SIM",VLOOKUP($I161&amp;$J161&amp;R$1,Pesos!$A:$I,7,FALSE),VLOOKUP($I161&amp;$J161&amp;R$1,Pesos!$A:$I,9,FALSE)))</f>
        <v>0.8</v>
      </c>
      <c r="AK161" s="80">
        <f>IF(S161="","",IF(S161="SIM",VLOOKUP($I161&amp;$J161&amp;S$1,Pesos!$A:$I,7,FALSE),VLOOKUP($I161&amp;$J161&amp;S$1,Pesos!$A:$I,9,FALSE)))</f>
        <v>0.8</v>
      </c>
      <c r="AL161" s="80">
        <f t="shared" si="29"/>
        <v>5.1999999999999993</v>
      </c>
      <c r="AM161" s="80">
        <f>IF(T161="","",IF(T161="SIM",VLOOKUP($I161&amp;$J161&amp;T$1,Pesos!$A:$I,7,FALSE),VLOOKUP($I161&amp;$J161&amp;T$1,Pesos!$A:$I,9,FALSE)))</f>
        <v>0.8</v>
      </c>
      <c r="AN161" s="80">
        <f>IF(U161="","",IF(U161="SIM",VLOOKUP($I161&amp;$J161&amp;U$1,Pesos!$A:$I,7,FALSE),VLOOKUP($I161&amp;$J161&amp;U$1,Pesos!$A:$I,9,FALSE)))</f>
        <v>0.8</v>
      </c>
      <c r="AO161" s="80">
        <f>IF(V161="","",IF(V161="SIM",VLOOKUP($I161&amp;$J161&amp;V$1,Pesos!$A:$I,7,FALSE),VLOOKUP($I161&amp;$J161&amp;V$1,Pesos!$A:$I,9,FALSE)))</f>
        <v>0.8</v>
      </c>
      <c r="AP161" s="80">
        <f>IF(W161="","",IF(W161="SIM",VLOOKUP($I161&amp;$J161&amp;W$1,Pesos!$A:$I,7,FALSE),VLOOKUP($I161&amp;$J161&amp;W$1,Pesos!$A:$I,9,FALSE)))</f>
        <v>0.8</v>
      </c>
      <c r="AQ161" s="80">
        <f>IF(X161="","",IF(X161="SIM",VLOOKUP($I161&amp;$J161&amp;X$1,Pesos!$A:$I,7,FALSE),VLOOKUP($I161&amp;$J161&amp;X$1,Pesos!$A:$I,9,FALSE)))</f>
        <v>0.8</v>
      </c>
      <c r="AR161" s="80">
        <f>IF(Y161="","",IF(Y161="SIM",VLOOKUP($I161&amp;$J161&amp;Y$1,Pesos!$A:$I,7,FALSE),VLOOKUP($I161&amp;$J161&amp;Y$1,Pesos!$A:$I,9,FALSE)))</f>
        <v>0.8</v>
      </c>
      <c r="AS161" s="81">
        <f>IFERROR(Z161*VLOOKUP(J161,'BD Campos'!$Y$1:$Z$12,2,FALSE),"0")</f>
        <v>10</v>
      </c>
    </row>
    <row r="162" spans="1:45" x14ac:dyDescent="0.35">
      <c r="A162" s="68" t="str">
        <f t="shared" si="26"/>
        <v>Jan202510253MotoristaUTI</v>
      </c>
      <c r="B162" s="69" t="str">
        <f t="shared" si="27"/>
        <v>Jan2025102531UTIPADRÃO</v>
      </c>
      <c r="C162" s="70">
        <v>1</v>
      </c>
      <c r="D162" s="71">
        <v>45674.727560763888</v>
      </c>
      <c r="E162" s="112" t="s">
        <v>74</v>
      </c>
      <c r="F162" s="72">
        <v>10253</v>
      </c>
      <c r="G162" s="69" t="s">
        <v>299</v>
      </c>
      <c r="H162" s="73">
        <v>1</v>
      </c>
      <c r="I162" s="69" t="s">
        <v>123</v>
      </c>
      <c r="J162" s="69" t="s">
        <v>122</v>
      </c>
      <c r="K162" s="69" t="s">
        <v>131</v>
      </c>
      <c r="L162" s="74">
        <v>30839968</v>
      </c>
      <c r="M162" s="75">
        <v>3.7615740740740739E-3</v>
      </c>
      <c r="N162" s="76" t="s">
        <v>79</v>
      </c>
      <c r="O162" s="76" t="s">
        <v>79</v>
      </c>
      <c r="P162" s="76" t="s">
        <v>79</v>
      </c>
      <c r="Q162" s="76" t="s">
        <v>79</v>
      </c>
      <c r="R162" s="76" t="s">
        <v>79</v>
      </c>
      <c r="S162" s="76" t="s">
        <v>79</v>
      </c>
      <c r="T162" s="76" t="s">
        <v>79</v>
      </c>
      <c r="U162" s="76" t="s">
        <v>79</v>
      </c>
      <c r="V162" s="76" t="s">
        <v>79</v>
      </c>
      <c r="W162" s="76" t="s">
        <v>83</v>
      </c>
      <c r="X162" s="76"/>
      <c r="Y162" s="76"/>
      <c r="Z162" s="77">
        <f t="shared" si="2"/>
        <v>8.9499999999999993</v>
      </c>
      <c r="AA162" s="78" t="s">
        <v>1467</v>
      </c>
      <c r="AB162" s="78" t="s">
        <v>1508</v>
      </c>
      <c r="AC162" s="72" t="s">
        <v>47</v>
      </c>
      <c r="AE162" s="79" t="str">
        <f t="shared" si="28"/>
        <v>Jan10253</v>
      </c>
      <c r="AF162" s="80">
        <f>IF(N162="","",IF(N162="SIM",VLOOKUP($I162&amp;$J162&amp;N$1,Pesos!$A:$I,7,FALSE),VLOOKUP($I162&amp;$J162&amp;N$1,Pesos!$A:$I,9,FALSE)))</f>
        <v>1</v>
      </c>
      <c r="AG162" s="80">
        <f>IF(O162="","",IF(O162="SIM",VLOOKUP($I162&amp;$J162&amp;O$1,Pesos!$A:$I,7,FALSE),VLOOKUP($I162&amp;$J162&amp;O$1,Pesos!$A:$I,9,FALSE)))</f>
        <v>1</v>
      </c>
      <c r="AH162" s="80">
        <f>IF(P162="","",IF(P162="SIM",VLOOKUP($I162&amp;$J162&amp;P$1,Pesos!$A:$I,7,FALSE),VLOOKUP($I162&amp;$J162&amp;P$1,Pesos!$A:$I,9,FALSE)))</f>
        <v>1</v>
      </c>
      <c r="AI162" s="80">
        <f>IF(Q162="","",IF(Q162="SIM",VLOOKUP($I162&amp;$J162&amp;Q$1,Pesos!$A:$I,7,FALSE),VLOOKUP($I162&amp;$J162&amp;Q$1,Pesos!$A:$I,9,FALSE)))</f>
        <v>1</v>
      </c>
      <c r="AJ162" s="80">
        <f>IF(R162="","",IF(R162="SIM",VLOOKUP($I162&amp;$J162&amp;R$1,Pesos!$A:$I,7,FALSE),VLOOKUP($I162&amp;$J162&amp;R$1,Pesos!$A:$I,9,FALSE)))</f>
        <v>1</v>
      </c>
      <c r="AK162" s="80">
        <f>IF(S162="","",IF(S162="SIM",VLOOKUP($I162&amp;$J162&amp;S$1,Pesos!$A:$I,7,FALSE),VLOOKUP($I162&amp;$J162&amp;S$1,Pesos!$A:$I,9,FALSE)))</f>
        <v>1</v>
      </c>
      <c r="AL162" s="80">
        <f t="shared" si="29"/>
        <v>6</v>
      </c>
      <c r="AM162" s="80">
        <f>IF(T162="","",IF(T162="SIM",VLOOKUP($I162&amp;$J162&amp;T$1,Pesos!$A:$I,7,FALSE),VLOOKUP($I162&amp;$J162&amp;T$1,Pesos!$A:$I,9,FALSE)))</f>
        <v>1</v>
      </c>
      <c r="AN162" s="80">
        <f>IF(U162="","",IF(U162="SIM",VLOOKUP($I162&amp;$J162&amp;U$1,Pesos!$A:$I,7,FALSE),VLOOKUP($I162&amp;$J162&amp;U$1,Pesos!$A:$I,9,FALSE)))</f>
        <v>1</v>
      </c>
      <c r="AO162" s="80">
        <f>IF(V162="","",IF(V162="SIM",VLOOKUP($I162&amp;$J162&amp;V$1,Pesos!$A:$I,7,FALSE),VLOOKUP($I162&amp;$J162&amp;V$1,Pesos!$A:$I,9,FALSE)))</f>
        <v>1</v>
      </c>
      <c r="AP162" s="80">
        <f>IF(W162="","",IF(W162="SIM",VLOOKUP($I162&amp;$J162&amp;W$1,Pesos!$A:$I,7,FALSE),VLOOKUP($I162&amp;$J162&amp;W$1,Pesos!$A:$I,9,FALSE)))</f>
        <v>-0.05</v>
      </c>
      <c r="AQ162" s="80" t="str">
        <f>IF(X162="","",IF(X162="SIM",VLOOKUP($I162&amp;$J162&amp;X$1,Pesos!$A:$I,7,FALSE),VLOOKUP($I162&amp;$J162&amp;X$1,Pesos!$A:$I,9,FALSE)))</f>
        <v/>
      </c>
      <c r="AR162" s="80" t="str">
        <f>IF(Y162="","",IF(Y162="SIM",VLOOKUP($I162&amp;$J162&amp;Y$1,Pesos!$A:$I,7,FALSE),VLOOKUP($I162&amp;$J162&amp;Y$1,Pesos!$A:$I,9,FALSE)))</f>
        <v/>
      </c>
      <c r="AS162" s="81">
        <f>IFERROR(Z162*VLOOKUP(J162,'BD Campos'!$Y$1:$Z$12,2,FALSE),"0")</f>
        <v>8.9499999999999993</v>
      </c>
    </row>
    <row r="163" spans="1:45" x14ac:dyDescent="0.35">
      <c r="A163" s="68" t="str">
        <f t="shared" si="26"/>
        <v>Jan202510253ReceptivaUTI</v>
      </c>
      <c r="B163" s="69" t="str">
        <f t="shared" si="27"/>
        <v>Jan2025102535UTIPADRÃO</v>
      </c>
      <c r="C163" s="70">
        <v>1</v>
      </c>
      <c r="D163" s="71">
        <v>45674.730513541668</v>
      </c>
      <c r="E163" s="112" t="s">
        <v>74</v>
      </c>
      <c r="F163" s="72">
        <v>10253</v>
      </c>
      <c r="G163" s="69" t="s">
        <v>299</v>
      </c>
      <c r="H163" s="73">
        <v>5</v>
      </c>
      <c r="I163" s="69" t="s">
        <v>6</v>
      </c>
      <c r="J163" s="69" t="s">
        <v>98</v>
      </c>
      <c r="K163" s="69" t="s">
        <v>131</v>
      </c>
      <c r="L163" s="74"/>
      <c r="M163" s="75">
        <v>7.291666666666667E-4</v>
      </c>
      <c r="N163" s="76" t="s">
        <v>79</v>
      </c>
      <c r="O163" s="76" t="s">
        <v>79</v>
      </c>
      <c r="P163" s="76" t="s">
        <v>79</v>
      </c>
      <c r="Q163" s="76" t="s">
        <v>79</v>
      </c>
      <c r="R163" s="76" t="s">
        <v>79</v>
      </c>
      <c r="S163" s="76" t="s">
        <v>79</v>
      </c>
      <c r="T163" s="76" t="s">
        <v>79</v>
      </c>
      <c r="U163" s="76" t="s">
        <v>79</v>
      </c>
      <c r="V163" s="76" t="s">
        <v>79</v>
      </c>
      <c r="W163" s="76" t="s">
        <v>79</v>
      </c>
      <c r="X163" s="76" t="s">
        <v>79</v>
      </c>
      <c r="Y163" s="76" t="s">
        <v>79</v>
      </c>
      <c r="Z163" s="77">
        <f t="shared" si="2"/>
        <v>10</v>
      </c>
      <c r="AA163" s="78"/>
      <c r="AB163" s="78"/>
      <c r="AC163" s="72" t="s">
        <v>47</v>
      </c>
      <c r="AE163" s="79" t="str">
        <f t="shared" si="28"/>
        <v>Jan10253</v>
      </c>
      <c r="AF163" s="80">
        <f>IF(N163="","",IF(N163="SIM",VLOOKUP($I163&amp;$J163&amp;N$1,Pesos!$A:$I,7,FALSE),VLOOKUP($I163&amp;$J163&amp;N$1,Pesos!$A:$I,9,FALSE)))</f>
        <v>0.8</v>
      </c>
      <c r="AG163" s="80">
        <f>IF(O163="","",IF(O163="SIM",VLOOKUP($I163&amp;$J163&amp;O$1,Pesos!$A:$I,7,FALSE),VLOOKUP($I163&amp;$J163&amp;O$1,Pesos!$A:$I,9,FALSE)))</f>
        <v>0.8</v>
      </c>
      <c r="AH163" s="80">
        <f>IF(P163="","",IF(P163="SIM",VLOOKUP($I163&amp;$J163&amp;P$1,Pesos!$A:$I,7,FALSE),VLOOKUP($I163&amp;$J163&amp;P$1,Pesos!$A:$I,9,FALSE)))</f>
        <v>1.2</v>
      </c>
      <c r="AI163" s="80">
        <f>IF(Q163="","",IF(Q163="SIM",VLOOKUP($I163&amp;$J163&amp;Q$1,Pesos!$A:$I,7,FALSE),VLOOKUP($I163&amp;$J163&amp;Q$1,Pesos!$A:$I,9,FALSE)))</f>
        <v>0.8</v>
      </c>
      <c r="AJ163" s="80">
        <f>IF(R163="","",IF(R163="SIM",VLOOKUP($I163&amp;$J163&amp;R$1,Pesos!$A:$I,7,FALSE),VLOOKUP($I163&amp;$J163&amp;R$1,Pesos!$A:$I,9,FALSE)))</f>
        <v>0.8</v>
      </c>
      <c r="AK163" s="80">
        <f>IF(S163="","",IF(S163="SIM",VLOOKUP($I163&amp;$J163&amp;S$1,Pesos!$A:$I,7,FALSE),VLOOKUP($I163&amp;$J163&amp;S$1,Pesos!$A:$I,9,FALSE)))</f>
        <v>0.8</v>
      </c>
      <c r="AL163" s="80">
        <f t="shared" si="29"/>
        <v>5.1999999999999993</v>
      </c>
      <c r="AM163" s="80">
        <f>IF(T163="","",IF(T163="SIM",VLOOKUP($I163&amp;$J163&amp;T$1,Pesos!$A:$I,7,FALSE),VLOOKUP($I163&amp;$J163&amp;T$1,Pesos!$A:$I,9,FALSE)))</f>
        <v>0.8</v>
      </c>
      <c r="AN163" s="80">
        <f>IF(U163="","",IF(U163="SIM",VLOOKUP($I163&amp;$J163&amp;U$1,Pesos!$A:$I,7,FALSE),VLOOKUP($I163&amp;$J163&amp;U$1,Pesos!$A:$I,9,FALSE)))</f>
        <v>0.8</v>
      </c>
      <c r="AO163" s="80">
        <f>IF(V163="","",IF(V163="SIM",VLOOKUP($I163&amp;$J163&amp;V$1,Pesos!$A:$I,7,FALSE),VLOOKUP($I163&amp;$J163&amp;V$1,Pesos!$A:$I,9,FALSE)))</f>
        <v>0.8</v>
      </c>
      <c r="AP163" s="80">
        <f>IF(W163="","",IF(W163="SIM",VLOOKUP($I163&amp;$J163&amp;W$1,Pesos!$A:$I,7,FALSE),VLOOKUP($I163&amp;$J163&amp;W$1,Pesos!$A:$I,9,FALSE)))</f>
        <v>0.8</v>
      </c>
      <c r="AQ163" s="80">
        <f>IF(X163="","",IF(X163="SIM",VLOOKUP($I163&amp;$J163&amp;X$1,Pesos!$A:$I,7,FALSE),VLOOKUP($I163&amp;$J163&amp;X$1,Pesos!$A:$I,9,FALSE)))</f>
        <v>0.8</v>
      </c>
      <c r="AR163" s="80">
        <f>IF(Y163="","",IF(Y163="SIM",VLOOKUP($I163&amp;$J163&amp;Y$1,Pesos!$A:$I,7,FALSE),VLOOKUP($I163&amp;$J163&amp;Y$1,Pesos!$A:$I,9,FALSE)))</f>
        <v>0.8</v>
      </c>
      <c r="AS163" s="81">
        <f>IFERROR(Z163*VLOOKUP(J163,'BD Campos'!$Y$1:$Z$12,2,FALSE),"0")</f>
        <v>10</v>
      </c>
    </row>
    <row r="164" spans="1:45" x14ac:dyDescent="0.35">
      <c r="A164" s="68" t="str">
        <f t="shared" si="26"/>
        <v>Jan202510831ReceptivaUTI</v>
      </c>
      <c r="B164" s="69" t="str">
        <f t="shared" si="27"/>
        <v>Jan2025108315UTIPADRÃO</v>
      </c>
      <c r="C164" s="70">
        <v>1</v>
      </c>
      <c r="D164" s="71">
        <v>45674.732391087964</v>
      </c>
      <c r="E164" s="112" t="s">
        <v>74</v>
      </c>
      <c r="F164" s="72">
        <v>10831</v>
      </c>
      <c r="G164" s="69" t="s">
        <v>149</v>
      </c>
      <c r="H164" s="73">
        <v>5</v>
      </c>
      <c r="I164" s="69" t="s">
        <v>6</v>
      </c>
      <c r="J164" s="69" t="s">
        <v>98</v>
      </c>
      <c r="K164" s="69" t="s">
        <v>131</v>
      </c>
      <c r="L164" s="74"/>
      <c r="M164" s="75">
        <v>1.1689814814814816E-3</v>
      </c>
      <c r="N164" s="76" t="s">
        <v>79</v>
      </c>
      <c r="O164" s="76" t="s">
        <v>79</v>
      </c>
      <c r="P164" s="76" t="s">
        <v>79</v>
      </c>
      <c r="Q164" s="76" t="s">
        <v>79</v>
      </c>
      <c r="R164" s="76" t="s">
        <v>79</v>
      </c>
      <c r="S164" s="76" t="s">
        <v>79</v>
      </c>
      <c r="T164" s="76" t="s">
        <v>79</v>
      </c>
      <c r="U164" s="76" t="s">
        <v>79</v>
      </c>
      <c r="V164" s="76" t="s">
        <v>79</v>
      </c>
      <c r="W164" s="76" t="s">
        <v>79</v>
      </c>
      <c r="X164" s="76" t="s">
        <v>79</v>
      </c>
      <c r="Y164" s="76" t="s">
        <v>79</v>
      </c>
      <c r="Z164" s="77">
        <f t="shared" si="2"/>
        <v>10</v>
      </c>
      <c r="AA164" s="78"/>
      <c r="AB164" s="78"/>
      <c r="AC164" s="72" t="s">
        <v>47</v>
      </c>
      <c r="AE164" s="79" t="str">
        <f t="shared" si="28"/>
        <v>Jan10831</v>
      </c>
      <c r="AF164" s="80">
        <f>IF(N164="","",IF(N164="SIM",VLOOKUP($I164&amp;$J164&amp;N$1,Pesos!$A:$I,7,FALSE),VLOOKUP($I164&amp;$J164&amp;N$1,Pesos!$A:$I,9,FALSE)))</f>
        <v>0.8</v>
      </c>
      <c r="AG164" s="80">
        <f>IF(O164="","",IF(O164="SIM",VLOOKUP($I164&amp;$J164&amp;O$1,Pesos!$A:$I,7,FALSE),VLOOKUP($I164&amp;$J164&amp;O$1,Pesos!$A:$I,9,FALSE)))</f>
        <v>0.8</v>
      </c>
      <c r="AH164" s="80">
        <f>IF(P164="","",IF(P164="SIM",VLOOKUP($I164&amp;$J164&amp;P$1,Pesos!$A:$I,7,FALSE),VLOOKUP($I164&amp;$J164&amp;P$1,Pesos!$A:$I,9,FALSE)))</f>
        <v>1.2</v>
      </c>
      <c r="AI164" s="80">
        <f>IF(Q164="","",IF(Q164="SIM",VLOOKUP($I164&amp;$J164&amp;Q$1,Pesos!$A:$I,7,FALSE),VLOOKUP($I164&amp;$J164&amp;Q$1,Pesos!$A:$I,9,FALSE)))</f>
        <v>0.8</v>
      </c>
      <c r="AJ164" s="80">
        <f>IF(R164="","",IF(R164="SIM",VLOOKUP($I164&amp;$J164&amp;R$1,Pesos!$A:$I,7,FALSE),VLOOKUP($I164&amp;$J164&amp;R$1,Pesos!$A:$I,9,FALSE)))</f>
        <v>0.8</v>
      </c>
      <c r="AK164" s="80">
        <f>IF(S164="","",IF(S164="SIM",VLOOKUP($I164&amp;$J164&amp;S$1,Pesos!$A:$I,7,FALSE),VLOOKUP($I164&amp;$J164&amp;S$1,Pesos!$A:$I,9,FALSE)))</f>
        <v>0.8</v>
      </c>
      <c r="AL164" s="80">
        <f t="shared" si="29"/>
        <v>5.1999999999999993</v>
      </c>
      <c r="AM164" s="80">
        <f>IF(T164="","",IF(T164="SIM",VLOOKUP($I164&amp;$J164&amp;T$1,Pesos!$A:$I,7,FALSE),VLOOKUP($I164&amp;$J164&amp;T$1,Pesos!$A:$I,9,FALSE)))</f>
        <v>0.8</v>
      </c>
      <c r="AN164" s="80">
        <f>IF(U164="","",IF(U164="SIM",VLOOKUP($I164&amp;$J164&amp;U$1,Pesos!$A:$I,7,FALSE),VLOOKUP($I164&amp;$J164&amp;U$1,Pesos!$A:$I,9,FALSE)))</f>
        <v>0.8</v>
      </c>
      <c r="AO164" s="80">
        <f>IF(V164="","",IF(V164="SIM",VLOOKUP($I164&amp;$J164&amp;V$1,Pesos!$A:$I,7,FALSE),VLOOKUP($I164&amp;$J164&amp;V$1,Pesos!$A:$I,9,FALSE)))</f>
        <v>0.8</v>
      </c>
      <c r="AP164" s="80">
        <f>IF(W164="","",IF(W164="SIM",VLOOKUP($I164&amp;$J164&amp;W$1,Pesos!$A:$I,7,FALSE),VLOOKUP($I164&amp;$J164&amp;W$1,Pesos!$A:$I,9,FALSE)))</f>
        <v>0.8</v>
      </c>
      <c r="AQ164" s="80">
        <f>IF(X164="","",IF(X164="SIM",VLOOKUP($I164&amp;$J164&amp;X$1,Pesos!$A:$I,7,FALSE),VLOOKUP($I164&amp;$J164&amp;X$1,Pesos!$A:$I,9,FALSE)))</f>
        <v>0.8</v>
      </c>
      <c r="AR164" s="80">
        <f>IF(Y164="","",IF(Y164="SIM",VLOOKUP($I164&amp;$J164&amp;Y$1,Pesos!$A:$I,7,FALSE),VLOOKUP($I164&amp;$J164&amp;Y$1,Pesos!$A:$I,9,FALSE)))</f>
        <v>0.8</v>
      </c>
      <c r="AS164" s="81">
        <f>IFERROR(Z164*VLOOKUP(J164,'BD Campos'!$Y$1:$Z$12,2,FALSE),"0")</f>
        <v>10</v>
      </c>
    </row>
    <row r="165" spans="1:45" x14ac:dyDescent="0.35">
      <c r="A165" s="68" t="str">
        <f t="shared" si="26"/>
        <v>Jan202510831MotoristaUTI</v>
      </c>
      <c r="B165" s="69" t="str">
        <f t="shared" si="27"/>
        <v>Jan2025108311UTIPADRÃO</v>
      </c>
      <c r="C165" s="70">
        <v>1</v>
      </c>
      <c r="D165" s="71">
        <v>45674.734390046295</v>
      </c>
      <c r="E165" s="112" t="s">
        <v>74</v>
      </c>
      <c r="F165" s="72">
        <v>10831</v>
      </c>
      <c r="G165" s="69" t="s">
        <v>149</v>
      </c>
      <c r="H165" s="73">
        <v>1</v>
      </c>
      <c r="I165" s="69" t="s">
        <v>126</v>
      </c>
      <c r="J165" s="69" t="s">
        <v>122</v>
      </c>
      <c r="K165" s="69" t="s">
        <v>131</v>
      </c>
      <c r="L165" s="74">
        <v>30771581</v>
      </c>
      <c r="M165" s="75">
        <v>1.6666666666666668E-3</v>
      </c>
      <c r="N165" s="76"/>
      <c r="O165" s="76"/>
      <c r="P165" s="76"/>
      <c r="Q165" s="76"/>
      <c r="R165" s="76"/>
      <c r="S165" s="76"/>
      <c r="T165" s="76"/>
      <c r="U165" s="76"/>
      <c r="V165" s="76"/>
      <c r="W165" s="76"/>
      <c r="X165" s="76"/>
      <c r="Y165" s="76"/>
      <c r="Z165" s="77">
        <f t="shared" si="2"/>
        <v>0</v>
      </c>
      <c r="AA165" s="78" t="s">
        <v>1510</v>
      </c>
      <c r="AB165" s="78" t="s">
        <v>1509</v>
      </c>
      <c r="AC165" s="72" t="s">
        <v>47</v>
      </c>
      <c r="AE165" s="79" t="str">
        <f t="shared" si="28"/>
        <v>Jan10831</v>
      </c>
      <c r="AF165" s="80" t="str">
        <f>IF(N165="","",IF(N165="SIM",VLOOKUP($I165&amp;$J165&amp;N$1,Pesos!$A:$I,7,FALSE),VLOOKUP($I165&amp;$J165&amp;N$1,Pesos!$A:$I,9,FALSE)))</f>
        <v/>
      </c>
      <c r="AG165" s="80" t="str">
        <f>IF(O165="","",IF(O165="SIM",VLOOKUP($I165&amp;$J165&amp;O$1,Pesos!$A:$I,7,FALSE),VLOOKUP($I165&amp;$J165&amp;O$1,Pesos!$A:$I,9,FALSE)))</f>
        <v/>
      </c>
      <c r="AH165" s="80" t="str">
        <f>IF(P165="","",IF(P165="SIM",VLOOKUP($I165&amp;$J165&amp;P$1,Pesos!$A:$I,7,FALSE),VLOOKUP($I165&amp;$J165&amp;P$1,Pesos!$A:$I,9,FALSE)))</f>
        <v/>
      </c>
      <c r="AI165" s="80" t="str">
        <f>IF(Q165="","",IF(Q165="SIM",VLOOKUP($I165&amp;$J165&amp;Q$1,Pesos!$A:$I,7,FALSE),VLOOKUP($I165&amp;$J165&amp;Q$1,Pesos!$A:$I,9,FALSE)))</f>
        <v/>
      </c>
      <c r="AJ165" s="80" t="str">
        <f>IF(R165="","",IF(R165="SIM",VLOOKUP($I165&amp;$J165&amp;R$1,Pesos!$A:$I,7,FALSE),VLOOKUP($I165&amp;$J165&amp;R$1,Pesos!$A:$I,9,FALSE)))</f>
        <v/>
      </c>
      <c r="AK165" s="80" t="str">
        <f>IF(S165="","",IF(S165="SIM",VLOOKUP($I165&amp;$J165&amp;S$1,Pesos!$A:$I,7,FALSE),VLOOKUP($I165&amp;$J165&amp;S$1,Pesos!$A:$I,9,FALSE)))</f>
        <v/>
      </c>
      <c r="AL165" s="80">
        <f t="shared" si="29"/>
        <v>0</v>
      </c>
      <c r="AM165" s="80" t="str">
        <f>IF(T165="","",IF(T165="SIM",VLOOKUP($I165&amp;$J165&amp;T$1,Pesos!$A:$I,7,FALSE),VLOOKUP($I165&amp;$J165&amp;T$1,Pesos!$A:$I,9,FALSE)))</f>
        <v/>
      </c>
      <c r="AN165" s="80" t="str">
        <f>IF(U165="","",IF(U165="SIM",VLOOKUP($I165&amp;$J165&amp;U$1,Pesos!$A:$I,7,FALSE),VLOOKUP($I165&amp;$J165&amp;U$1,Pesos!$A:$I,9,FALSE)))</f>
        <v/>
      </c>
      <c r="AO165" s="80" t="str">
        <f>IF(V165="","",IF(V165="SIM",VLOOKUP($I165&amp;$J165&amp;V$1,Pesos!$A:$I,7,FALSE),VLOOKUP($I165&amp;$J165&amp;V$1,Pesos!$A:$I,9,FALSE)))</f>
        <v/>
      </c>
      <c r="AP165" s="80" t="str">
        <f>IF(W165="","",IF(W165="SIM",VLOOKUP($I165&amp;$J165&amp;W$1,Pesos!$A:$I,7,FALSE),VLOOKUP($I165&amp;$J165&amp;W$1,Pesos!$A:$I,9,FALSE)))</f>
        <v/>
      </c>
      <c r="AQ165" s="80" t="str">
        <f>IF(X165="","",IF(X165="SIM",VLOOKUP($I165&amp;$J165&amp;X$1,Pesos!$A:$I,7,FALSE),VLOOKUP($I165&amp;$J165&amp;X$1,Pesos!$A:$I,9,FALSE)))</f>
        <v/>
      </c>
      <c r="AR165" s="80" t="str">
        <f>IF(Y165="","",IF(Y165="SIM",VLOOKUP($I165&amp;$J165&amp;Y$1,Pesos!$A:$I,7,FALSE),VLOOKUP($I165&amp;$J165&amp;Y$1,Pesos!$A:$I,9,FALSE)))</f>
        <v/>
      </c>
      <c r="AS165" s="81">
        <f>IFERROR(Z165*VLOOKUP(J165,'BD Campos'!$Y$1:$Z$12,2,FALSE),"0")</f>
        <v>0</v>
      </c>
    </row>
    <row r="166" spans="1:45" x14ac:dyDescent="0.35">
      <c r="A166" s="68" t="str">
        <f t="shared" si="26"/>
        <v>Jan202510758ClienteUTI (RJ)</v>
      </c>
      <c r="B166" s="69" t="str">
        <f t="shared" si="27"/>
        <v>Jan2025107581UTI (RJ)PADRÃO</v>
      </c>
      <c r="C166" s="70">
        <v>1</v>
      </c>
      <c r="D166" s="71">
        <v>45674.73831458333</v>
      </c>
      <c r="E166" s="112" t="s">
        <v>74</v>
      </c>
      <c r="F166" s="72">
        <v>10758</v>
      </c>
      <c r="G166" s="69" t="s">
        <v>148</v>
      </c>
      <c r="H166" s="73">
        <v>1</v>
      </c>
      <c r="I166" s="69" t="s">
        <v>147</v>
      </c>
      <c r="J166" s="69" t="s">
        <v>124</v>
      </c>
      <c r="K166" s="69" t="s">
        <v>278</v>
      </c>
      <c r="L166" s="74">
        <v>30866151</v>
      </c>
      <c r="M166" s="75">
        <v>9.9537037037037042E-4</v>
      </c>
      <c r="N166" s="76" t="s">
        <v>79</v>
      </c>
      <c r="O166" s="76" t="s">
        <v>79</v>
      </c>
      <c r="P166" s="76" t="s">
        <v>79</v>
      </c>
      <c r="Q166" s="76" t="s">
        <v>79</v>
      </c>
      <c r="R166" s="76" t="s">
        <v>79</v>
      </c>
      <c r="S166" s="76" t="s">
        <v>79</v>
      </c>
      <c r="T166" s="76" t="s">
        <v>79</v>
      </c>
      <c r="U166" s="76" t="s">
        <v>79</v>
      </c>
      <c r="V166" s="76" t="s">
        <v>79</v>
      </c>
      <c r="W166" s="76" t="s">
        <v>79</v>
      </c>
      <c r="X166" s="76" t="s">
        <v>79</v>
      </c>
      <c r="Y166" s="76"/>
      <c r="Z166" s="77">
        <f t="shared" si="2"/>
        <v>10</v>
      </c>
      <c r="AA166" s="78"/>
      <c r="AB166" s="78" t="s">
        <v>1511</v>
      </c>
      <c r="AC166" s="72" t="s">
        <v>47</v>
      </c>
      <c r="AE166" s="79" t="str">
        <f t="shared" si="28"/>
        <v>Jan10758</v>
      </c>
      <c r="AF166" s="80">
        <f>IF(N166="","",IF(N166="SIM",VLOOKUP($I166&amp;$J166&amp;N$1,Pesos!$A:$I,7,FALSE),VLOOKUP($I166&amp;$J166&amp;N$1,Pesos!$A:$I,9,FALSE)))</f>
        <v>1</v>
      </c>
      <c r="AG166" s="80">
        <f>IF(O166="","",IF(O166="SIM",VLOOKUP($I166&amp;$J166&amp;O$1,Pesos!$A:$I,7,FALSE),VLOOKUP($I166&amp;$J166&amp;O$1,Pesos!$A:$I,9,FALSE)))</f>
        <v>1</v>
      </c>
      <c r="AH166" s="80">
        <f>IF(P166="","",IF(P166="SIM",VLOOKUP($I166&amp;$J166&amp;P$1,Pesos!$A:$I,7,FALSE),VLOOKUP($I166&amp;$J166&amp;P$1,Pesos!$A:$I,9,FALSE)))</f>
        <v>1</v>
      </c>
      <c r="AI166" s="80">
        <f>IF(Q166="","",IF(Q166="SIM",VLOOKUP($I166&amp;$J166&amp;Q$1,Pesos!$A:$I,7,FALSE),VLOOKUP($I166&amp;$J166&amp;Q$1,Pesos!$A:$I,9,FALSE)))</f>
        <v>1</v>
      </c>
      <c r="AJ166" s="80">
        <f>IF(R166="","",IF(R166="SIM",VLOOKUP($I166&amp;$J166&amp;R$1,Pesos!$A:$I,7,FALSE),VLOOKUP($I166&amp;$J166&amp;R$1,Pesos!$A:$I,9,FALSE)))</f>
        <v>1</v>
      </c>
      <c r="AK166" s="80">
        <f>IF(S166="","",IF(S166="SIM",VLOOKUP($I166&amp;$J166&amp;S$1,Pesos!$A:$I,7,FALSE),VLOOKUP($I166&amp;$J166&amp;S$1,Pesos!$A:$I,9,FALSE)))</f>
        <v>1</v>
      </c>
      <c r="AL166" s="80">
        <f t="shared" si="29"/>
        <v>6</v>
      </c>
      <c r="AM166" s="80">
        <f>IF(T166="","",IF(T166="SIM",VLOOKUP($I166&amp;$J166&amp;T$1,Pesos!$A:$I,7,FALSE),VLOOKUP($I166&amp;$J166&amp;T$1,Pesos!$A:$I,9,FALSE)))</f>
        <v>1</v>
      </c>
      <c r="AN166" s="80">
        <f>IF(U166="","",IF(U166="SIM",VLOOKUP($I166&amp;$J166&amp;U$1,Pesos!$A:$I,7,FALSE),VLOOKUP($I166&amp;$J166&amp;U$1,Pesos!$A:$I,9,FALSE)))</f>
        <v>1</v>
      </c>
      <c r="AO166" s="80">
        <f>IF(V166="","",IF(V166="SIM",VLOOKUP($I166&amp;$J166&amp;V$1,Pesos!$A:$I,7,FALSE),VLOOKUP($I166&amp;$J166&amp;V$1,Pesos!$A:$I,9,FALSE)))</f>
        <v>0.5</v>
      </c>
      <c r="AP166" s="80">
        <f>IF(W166="","",IF(W166="SIM",VLOOKUP($I166&amp;$J166&amp;W$1,Pesos!$A:$I,7,FALSE),VLOOKUP($I166&amp;$J166&amp;W$1,Pesos!$A:$I,9,FALSE)))</f>
        <v>0.5</v>
      </c>
      <c r="AQ166" s="80">
        <f>IF(X166="","",IF(X166="SIM",VLOOKUP($I166&amp;$J166&amp;X$1,Pesos!$A:$I,7,FALSE),VLOOKUP($I166&amp;$J166&amp;X$1,Pesos!$A:$I,9,FALSE)))</f>
        <v>1</v>
      </c>
      <c r="AR166" s="80" t="str">
        <f>IF(Y166="","",IF(Y166="SIM",VLOOKUP($I166&amp;$J166&amp;Y$1,Pesos!$A:$I,7,FALSE),VLOOKUP($I166&amp;$J166&amp;Y$1,Pesos!$A:$I,9,FALSE)))</f>
        <v/>
      </c>
      <c r="AS166" s="81">
        <f>IFERROR(Z166*VLOOKUP(J166,'BD Campos'!$Y$1:$Z$12,2,FALSE),"0")</f>
        <v>10</v>
      </c>
    </row>
    <row r="167" spans="1:45" x14ac:dyDescent="0.35">
      <c r="A167" s="68" t="str">
        <f t="shared" si="26"/>
        <v>Jan202510758ReceptivaUTI (RJ)</v>
      </c>
      <c r="B167" s="69" t="str">
        <f t="shared" si="27"/>
        <v>Jan2025107585UTI (RJ)PADRÃO</v>
      </c>
      <c r="C167" s="70">
        <v>1</v>
      </c>
      <c r="D167" s="71">
        <v>45674.73987928241</v>
      </c>
      <c r="E167" s="112" t="s">
        <v>74</v>
      </c>
      <c r="F167" s="72">
        <v>10758</v>
      </c>
      <c r="G167" s="69" t="s">
        <v>148</v>
      </c>
      <c r="H167" s="73">
        <v>5</v>
      </c>
      <c r="I167" s="69" t="s">
        <v>6</v>
      </c>
      <c r="J167" s="69" t="s">
        <v>98</v>
      </c>
      <c r="K167" s="69" t="s">
        <v>278</v>
      </c>
      <c r="L167" s="74"/>
      <c r="M167" s="75">
        <v>8.564814814814815E-4</v>
      </c>
      <c r="N167" s="76" t="s">
        <v>79</v>
      </c>
      <c r="O167" s="76" t="s">
        <v>79</v>
      </c>
      <c r="P167" s="76" t="s">
        <v>79</v>
      </c>
      <c r="Q167" s="76" t="s">
        <v>79</v>
      </c>
      <c r="R167" s="76" t="s">
        <v>79</v>
      </c>
      <c r="S167" s="76" t="s">
        <v>79</v>
      </c>
      <c r="T167" s="76" t="s">
        <v>79</v>
      </c>
      <c r="U167" s="76" t="s">
        <v>83</v>
      </c>
      <c r="V167" s="76" t="s">
        <v>79</v>
      </c>
      <c r="W167" s="76" t="s">
        <v>79</v>
      </c>
      <c r="X167" s="76" t="s">
        <v>79</v>
      </c>
      <c r="Y167" s="76" t="s">
        <v>79</v>
      </c>
      <c r="Z167" s="77">
        <f t="shared" si="2"/>
        <v>9.16</v>
      </c>
      <c r="AA167" s="78"/>
      <c r="AB167" s="78"/>
      <c r="AC167" s="72" t="s">
        <v>47</v>
      </c>
      <c r="AE167" s="79" t="str">
        <f t="shared" si="28"/>
        <v>Jan10758</v>
      </c>
      <c r="AF167" s="80">
        <f>IF(N167="","",IF(N167="SIM",VLOOKUP($I167&amp;$J167&amp;N$1,Pesos!$A:$I,7,FALSE),VLOOKUP($I167&amp;$J167&amp;N$1,Pesos!$A:$I,9,FALSE)))</f>
        <v>0.8</v>
      </c>
      <c r="AG167" s="80">
        <f>IF(O167="","",IF(O167="SIM",VLOOKUP($I167&amp;$J167&amp;O$1,Pesos!$A:$I,7,FALSE),VLOOKUP($I167&amp;$J167&amp;O$1,Pesos!$A:$I,9,FALSE)))</f>
        <v>0.8</v>
      </c>
      <c r="AH167" s="80">
        <f>IF(P167="","",IF(P167="SIM",VLOOKUP($I167&amp;$J167&amp;P$1,Pesos!$A:$I,7,FALSE),VLOOKUP($I167&amp;$J167&amp;P$1,Pesos!$A:$I,9,FALSE)))</f>
        <v>1.2</v>
      </c>
      <c r="AI167" s="80">
        <f>IF(Q167="","",IF(Q167="SIM",VLOOKUP($I167&amp;$J167&amp;Q$1,Pesos!$A:$I,7,FALSE),VLOOKUP($I167&amp;$J167&amp;Q$1,Pesos!$A:$I,9,FALSE)))</f>
        <v>0.8</v>
      </c>
      <c r="AJ167" s="80">
        <f>IF(R167="","",IF(R167="SIM",VLOOKUP($I167&amp;$J167&amp;R$1,Pesos!$A:$I,7,FALSE),VLOOKUP($I167&amp;$J167&amp;R$1,Pesos!$A:$I,9,FALSE)))</f>
        <v>0.8</v>
      </c>
      <c r="AK167" s="80">
        <f>IF(S167="","",IF(S167="SIM",VLOOKUP($I167&amp;$J167&amp;S$1,Pesos!$A:$I,7,FALSE),VLOOKUP($I167&amp;$J167&amp;S$1,Pesos!$A:$I,9,FALSE)))</f>
        <v>0.8</v>
      </c>
      <c r="AL167" s="80">
        <f t="shared" si="29"/>
        <v>5.1999999999999993</v>
      </c>
      <c r="AM167" s="80">
        <f>IF(T167="","",IF(T167="SIM",VLOOKUP($I167&amp;$J167&amp;T$1,Pesos!$A:$I,7,FALSE),VLOOKUP($I167&amp;$J167&amp;T$1,Pesos!$A:$I,9,FALSE)))</f>
        <v>0.8</v>
      </c>
      <c r="AN167" s="80">
        <f>IF(U167="","",IF(U167="SIM",VLOOKUP($I167&amp;$J167&amp;U$1,Pesos!$A:$I,7,FALSE),VLOOKUP($I167&amp;$J167&amp;U$1,Pesos!$A:$I,9,FALSE)))</f>
        <v>-4.0000000000000008E-2</v>
      </c>
      <c r="AO167" s="80">
        <f>IF(V167="","",IF(V167="SIM",VLOOKUP($I167&amp;$J167&amp;V$1,Pesos!$A:$I,7,FALSE),VLOOKUP($I167&amp;$J167&amp;V$1,Pesos!$A:$I,9,FALSE)))</f>
        <v>0.8</v>
      </c>
      <c r="AP167" s="80">
        <f>IF(W167="","",IF(W167="SIM",VLOOKUP($I167&amp;$J167&amp;W$1,Pesos!$A:$I,7,FALSE),VLOOKUP($I167&amp;$J167&amp;W$1,Pesos!$A:$I,9,FALSE)))</f>
        <v>0.8</v>
      </c>
      <c r="AQ167" s="80">
        <f>IF(X167="","",IF(X167="SIM",VLOOKUP($I167&amp;$J167&amp;X$1,Pesos!$A:$I,7,FALSE),VLOOKUP($I167&amp;$J167&amp;X$1,Pesos!$A:$I,9,FALSE)))</f>
        <v>0.8</v>
      </c>
      <c r="AR167" s="80">
        <f>IF(Y167="","",IF(Y167="SIM",VLOOKUP($I167&amp;$J167&amp;Y$1,Pesos!$A:$I,7,FALSE),VLOOKUP($I167&amp;$J167&amp;Y$1,Pesos!$A:$I,9,FALSE)))</f>
        <v>0.8</v>
      </c>
      <c r="AS167" s="81">
        <f>IFERROR(Z167*VLOOKUP(J167,'BD Campos'!$Y$1:$Z$12,2,FALSE),"0")</f>
        <v>9.16</v>
      </c>
    </row>
    <row r="168" spans="1:45" x14ac:dyDescent="0.35">
      <c r="A168" s="68" t="str">
        <f t="shared" si="26"/>
        <v>Jan202510919ReceptivaUTI</v>
      </c>
      <c r="B168" s="69" t="str">
        <f t="shared" si="27"/>
        <v>Jan2025109195UTIPADRÃO</v>
      </c>
      <c r="C168" s="70">
        <v>1</v>
      </c>
      <c r="D168" s="71">
        <v>45674.743462268518</v>
      </c>
      <c r="E168" s="112" t="s">
        <v>74</v>
      </c>
      <c r="F168" s="72">
        <v>10919</v>
      </c>
      <c r="G168" s="69" t="s">
        <v>253</v>
      </c>
      <c r="H168" s="73">
        <v>5</v>
      </c>
      <c r="I168" s="69" t="s">
        <v>6</v>
      </c>
      <c r="J168" s="69" t="s">
        <v>98</v>
      </c>
      <c r="K168" s="69" t="s">
        <v>131</v>
      </c>
      <c r="L168" s="74"/>
      <c r="M168" s="75">
        <v>9.6064814814814808E-4</v>
      </c>
      <c r="N168" s="76" t="s">
        <v>79</v>
      </c>
      <c r="O168" s="76" t="s">
        <v>83</v>
      </c>
      <c r="P168" s="76" t="s">
        <v>79</v>
      </c>
      <c r="Q168" s="76" t="s">
        <v>79</v>
      </c>
      <c r="R168" s="76" t="s">
        <v>79</v>
      </c>
      <c r="S168" s="76" t="s">
        <v>79</v>
      </c>
      <c r="T168" s="76" t="s">
        <v>79</v>
      </c>
      <c r="U168" s="76" t="s">
        <v>79</v>
      </c>
      <c r="V168" s="76" t="s">
        <v>79</v>
      </c>
      <c r="W168" s="76" t="s">
        <v>79</v>
      </c>
      <c r="X168" s="76" t="s">
        <v>79</v>
      </c>
      <c r="Y168" s="76" t="s">
        <v>79</v>
      </c>
      <c r="Z168" s="77">
        <f t="shared" si="2"/>
        <v>9.16</v>
      </c>
      <c r="AA168" s="78"/>
      <c r="AB168" s="78"/>
      <c r="AC168" s="72" t="s">
        <v>47</v>
      </c>
      <c r="AE168" s="79" t="str">
        <f t="shared" si="28"/>
        <v>Jan10919</v>
      </c>
      <c r="AF168" s="80">
        <f>IF(N168="","",IF(N168="SIM",VLOOKUP($I168&amp;$J168&amp;N$1,Pesos!$A:$I,7,FALSE),VLOOKUP($I168&amp;$J168&amp;N$1,Pesos!$A:$I,9,FALSE)))</f>
        <v>0.8</v>
      </c>
      <c r="AG168" s="80">
        <f>IF(O168="","",IF(O168="SIM",VLOOKUP($I168&amp;$J168&amp;O$1,Pesos!$A:$I,7,FALSE),VLOOKUP($I168&amp;$J168&amp;O$1,Pesos!$A:$I,9,FALSE)))</f>
        <v>-4.0000000000000008E-2</v>
      </c>
      <c r="AH168" s="80">
        <f>IF(P168="","",IF(P168="SIM",VLOOKUP($I168&amp;$J168&amp;P$1,Pesos!$A:$I,7,FALSE),VLOOKUP($I168&amp;$J168&amp;P$1,Pesos!$A:$I,9,FALSE)))</f>
        <v>1.2</v>
      </c>
      <c r="AI168" s="80">
        <f>IF(Q168="","",IF(Q168="SIM",VLOOKUP($I168&amp;$J168&amp;Q$1,Pesos!$A:$I,7,FALSE),VLOOKUP($I168&amp;$J168&amp;Q$1,Pesos!$A:$I,9,FALSE)))</f>
        <v>0.8</v>
      </c>
      <c r="AJ168" s="80">
        <f>IF(R168="","",IF(R168="SIM",VLOOKUP($I168&amp;$J168&amp;R$1,Pesos!$A:$I,7,FALSE),VLOOKUP($I168&amp;$J168&amp;R$1,Pesos!$A:$I,9,FALSE)))</f>
        <v>0.8</v>
      </c>
      <c r="AK168" s="80">
        <f>IF(S168="","",IF(S168="SIM",VLOOKUP($I168&amp;$J168&amp;S$1,Pesos!$A:$I,7,FALSE),VLOOKUP($I168&amp;$J168&amp;S$1,Pesos!$A:$I,9,FALSE)))</f>
        <v>0.8</v>
      </c>
      <c r="AL168" s="80">
        <f t="shared" si="29"/>
        <v>4.3599999999999994</v>
      </c>
      <c r="AM168" s="80">
        <f>IF(T168="","",IF(T168="SIM",VLOOKUP($I168&amp;$J168&amp;T$1,Pesos!$A:$I,7,FALSE),VLOOKUP($I168&amp;$J168&amp;T$1,Pesos!$A:$I,9,FALSE)))</f>
        <v>0.8</v>
      </c>
      <c r="AN168" s="80">
        <f>IF(U168="","",IF(U168="SIM",VLOOKUP($I168&amp;$J168&amp;U$1,Pesos!$A:$I,7,FALSE),VLOOKUP($I168&amp;$J168&amp;U$1,Pesos!$A:$I,9,FALSE)))</f>
        <v>0.8</v>
      </c>
      <c r="AO168" s="80">
        <f>IF(V168="","",IF(V168="SIM",VLOOKUP($I168&amp;$J168&amp;V$1,Pesos!$A:$I,7,FALSE),VLOOKUP($I168&amp;$J168&amp;V$1,Pesos!$A:$I,9,FALSE)))</f>
        <v>0.8</v>
      </c>
      <c r="AP168" s="80">
        <f>IF(W168="","",IF(W168="SIM",VLOOKUP($I168&amp;$J168&amp;W$1,Pesos!$A:$I,7,FALSE),VLOOKUP($I168&amp;$J168&amp;W$1,Pesos!$A:$I,9,FALSE)))</f>
        <v>0.8</v>
      </c>
      <c r="AQ168" s="80">
        <f>IF(X168="","",IF(X168="SIM",VLOOKUP($I168&amp;$J168&amp;X$1,Pesos!$A:$I,7,FALSE),VLOOKUP($I168&amp;$J168&amp;X$1,Pesos!$A:$I,9,FALSE)))</f>
        <v>0.8</v>
      </c>
      <c r="AR168" s="80">
        <f>IF(Y168="","",IF(Y168="SIM",VLOOKUP($I168&amp;$J168&amp;Y$1,Pesos!$A:$I,7,FALSE),VLOOKUP($I168&amp;$J168&amp;Y$1,Pesos!$A:$I,9,FALSE)))</f>
        <v>0.8</v>
      </c>
      <c r="AS168" s="81">
        <f>IFERROR(Z168*VLOOKUP(J168,'BD Campos'!$Y$1:$Z$12,2,FALSE),"0")</f>
        <v>9.16</v>
      </c>
    </row>
    <row r="169" spans="1:45" x14ac:dyDescent="0.35">
      <c r="A169" s="68" t="str">
        <f t="shared" si="26"/>
        <v>Jan202510919MotoristaUTI</v>
      </c>
      <c r="B169" s="69" t="str">
        <f t="shared" si="27"/>
        <v>Jan2025109191UTIPADRÃO</v>
      </c>
      <c r="C169" s="70">
        <v>1</v>
      </c>
      <c r="D169" s="71">
        <v>45674.745974884259</v>
      </c>
      <c r="E169" s="112" t="s">
        <v>74</v>
      </c>
      <c r="F169" s="72">
        <v>10919</v>
      </c>
      <c r="G169" s="69" t="s">
        <v>253</v>
      </c>
      <c r="H169" s="73">
        <v>1</v>
      </c>
      <c r="I169" s="69" t="s">
        <v>121</v>
      </c>
      <c r="J169" s="69" t="s">
        <v>122</v>
      </c>
      <c r="K169" s="69" t="s">
        <v>131</v>
      </c>
      <c r="L169" s="74">
        <v>30886590</v>
      </c>
      <c r="M169" s="75">
        <v>1.6550925925925926E-3</v>
      </c>
      <c r="N169" s="76" t="s">
        <v>79</v>
      </c>
      <c r="O169" s="76" t="s">
        <v>79</v>
      </c>
      <c r="P169" s="76" t="s">
        <v>79</v>
      </c>
      <c r="Q169" s="76" t="s">
        <v>79</v>
      </c>
      <c r="R169" s="76" t="s">
        <v>79</v>
      </c>
      <c r="S169" s="76" t="s">
        <v>79</v>
      </c>
      <c r="T169" s="76" t="s">
        <v>79</v>
      </c>
      <c r="U169" s="76" t="s">
        <v>79</v>
      </c>
      <c r="V169" s="76" t="s">
        <v>79</v>
      </c>
      <c r="W169" s="76" t="s">
        <v>79</v>
      </c>
      <c r="X169" s="76" t="s">
        <v>79</v>
      </c>
      <c r="Y169" s="76"/>
      <c r="Z169" s="77">
        <f t="shared" si="2"/>
        <v>10</v>
      </c>
      <c r="AA169" s="78"/>
      <c r="AB169" s="78" t="s">
        <v>1512</v>
      </c>
      <c r="AC169" s="72" t="s">
        <v>47</v>
      </c>
      <c r="AE169" s="79" t="str">
        <f>E169&amp;F169</f>
        <v>Jan10919</v>
      </c>
      <c r="AF169" s="80">
        <f>IF(N169="","",IF(N169="SIM",VLOOKUP($I169&amp;$J169&amp;N$1,Pesos!$A:$I,7,FALSE),VLOOKUP($I169&amp;$J169&amp;N$1,Pesos!$A:$I,9,FALSE)))</f>
        <v>0.89999999999999991</v>
      </c>
      <c r="AG169" s="80">
        <f>IF(O169="","",IF(O169="SIM",VLOOKUP($I169&amp;$J169&amp;O$1,Pesos!$A:$I,7,FALSE),VLOOKUP($I169&amp;$J169&amp;O$1,Pesos!$A:$I,9,FALSE)))</f>
        <v>0.89999999999999991</v>
      </c>
      <c r="AH169" s="80">
        <f>IF(P169="","",IF(P169="SIM",VLOOKUP($I169&amp;$J169&amp;P$1,Pesos!$A:$I,7,FALSE),VLOOKUP($I169&amp;$J169&amp;P$1,Pesos!$A:$I,9,FALSE)))</f>
        <v>0.89999999999999991</v>
      </c>
      <c r="AI169" s="80">
        <f>IF(Q169="","",IF(Q169="SIM",VLOOKUP($I169&amp;$J169&amp;Q$1,Pesos!$A:$I,7,FALSE),VLOOKUP($I169&amp;$J169&amp;Q$1,Pesos!$A:$I,9,FALSE)))</f>
        <v>0.89999999999999991</v>
      </c>
      <c r="AJ169" s="80">
        <f>IF(R169="","",IF(R169="SIM",VLOOKUP($I169&amp;$J169&amp;R$1,Pesos!$A:$I,7,FALSE),VLOOKUP($I169&amp;$J169&amp;R$1,Pesos!$A:$I,9,FALSE)))</f>
        <v>0.89999999999999991</v>
      </c>
      <c r="AK169" s="80">
        <f>IF(S169="","",IF(S169="SIM",VLOOKUP($I169&amp;$J169&amp;S$1,Pesos!$A:$I,7,FALSE),VLOOKUP($I169&amp;$J169&amp;S$1,Pesos!$A:$I,9,FALSE)))</f>
        <v>0.89999999999999991</v>
      </c>
      <c r="AL169" s="80">
        <f>SUM(AF169:AK169)</f>
        <v>5.4</v>
      </c>
      <c r="AM169" s="80">
        <f>IF(T169="","",IF(T169="SIM",VLOOKUP($I169&amp;$J169&amp;T$1,Pesos!$A:$I,7,FALSE),VLOOKUP($I169&amp;$J169&amp;T$1,Pesos!$A:$I,9,FALSE)))</f>
        <v>0.89999999999999991</v>
      </c>
      <c r="AN169" s="80">
        <f>IF(U169="","",IF(U169="SIM",VLOOKUP($I169&amp;$J169&amp;U$1,Pesos!$A:$I,7,FALSE),VLOOKUP($I169&amp;$J169&amp;U$1,Pesos!$A:$I,9,FALSE)))</f>
        <v>0.92500000000000004</v>
      </c>
      <c r="AO169" s="80">
        <f>IF(V169="","",IF(V169="SIM",VLOOKUP($I169&amp;$J169&amp;V$1,Pesos!$A:$I,7,FALSE),VLOOKUP($I169&amp;$J169&amp;V$1,Pesos!$A:$I,9,FALSE)))</f>
        <v>0.92500000000000004</v>
      </c>
      <c r="AP169" s="80">
        <f>IF(W169="","",IF(W169="SIM",VLOOKUP($I169&amp;$J169&amp;W$1,Pesos!$A:$I,7,FALSE),VLOOKUP($I169&amp;$J169&amp;W$1,Pesos!$A:$I,9,FALSE)))</f>
        <v>0.89999999999999991</v>
      </c>
      <c r="AQ169" s="80">
        <f>IF(X169="","",IF(X169="SIM",VLOOKUP($I169&amp;$J169&amp;X$1,Pesos!$A:$I,7,FALSE),VLOOKUP($I169&amp;$J169&amp;X$1,Pesos!$A:$I,9,FALSE)))</f>
        <v>0.95</v>
      </c>
      <c r="AR169" s="80" t="str">
        <f>IF(Y169="","",IF(Y169="SIM",VLOOKUP($I169&amp;$J169&amp;Y$1,Pesos!$A:$I,7,FALSE),VLOOKUP($I169&amp;$J169&amp;Y$1,Pesos!$A:$I,9,FALSE)))</f>
        <v/>
      </c>
      <c r="AS169" s="81">
        <f>IFERROR(Z169*VLOOKUP(J169,'BD Campos'!$Y$1:$Z$12,2,FALSE),"0")</f>
        <v>10</v>
      </c>
    </row>
    <row r="170" spans="1:45" x14ac:dyDescent="0.35">
      <c r="A170" s="68" t="str">
        <f t="shared" si="26"/>
        <v>Jan202510191MotoristaUTI (RJ)</v>
      </c>
      <c r="B170" s="69" t="str">
        <f t="shared" si="27"/>
        <v>Jan2025101911UTI (RJ)PADRÃO</v>
      </c>
      <c r="C170" s="70">
        <v>1</v>
      </c>
      <c r="D170" s="71">
        <v>45677.349165162035</v>
      </c>
      <c r="E170" s="112" t="s">
        <v>74</v>
      </c>
      <c r="F170" s="72">
        <v>10191</v>
      </c>
      <c r="G170" s="69" t="s">
        <v>283</v>
      </c>
      <c r="H170" s="73">
        <v>1</v>
      </c>
      <c r="I170" s="69" t="s">
        <v>147</v>
      </c>
      <c r="J170" s="69" t="s">
        <v>122</v>
      </c>
      <c r="K170" s="69" t="s">
        <v>278</v>
      </c>
      <c r="L170" s="74">
        <v>30840565</v>
      </c>
      <c r="M170" s="75">
        <v>1.261574074074074E-3</v>
      </c>
      <c r="N170" s="76" t="s">
        <v>79</v>
      </c>
      <c r="O170" s="76" t="s">
        <v>79</v>
      </c>
      <c r="P170" s="76" t="s">
        <v>79</v>
      </c>
      <c r="Q170" s="76" t="s">
        <v>79</v>
      </c>
      <c r="R170" s="76" t="s">
        <v>79</v>
      </c>
      <c r="S170" s="76" t="s">
        <v>79</v>
      </c>
      <c r="T170" s="76" t="s">
        <v>79</v>
      </c>
      <c r="U170" s="76" t="s">
        <v>79</v>
      </c>
      <c r="V170" s="76"/>
      <c r="W170" s="76"/>
      <c r="X170" s="76"/>
      <c r="Y170" s="76"/>
      <c r="Z170" s="77">
        <f t="shared" si="2"/>
        <v>10</v>
      </c>
      <c r="AA170" s="78"/>
      <c r="AB170" s="78" t="s">
        <v>1513</v>
      </c>
      <c r="AC170" s="72" t="s">
        <v>47</v>
      </c>
      <c r="AE170" s="79" t="str">
        <f>E170&amp;F170</f>
        <v>Jan10191</v>
      </c>
      <c r="AF170" s="80">
        <f>IF(N170="","",IF(N170="SIM",VLOOKUP($I170&amp;$J170&amp;N$1,Pesos!$A:$I,7,FALSE),VLOOKUP($I170&amp;$J170&amp;N$1,Pesos!$A:$I,9,FALSE)))</f>
        <v>1.1000000000000001</v>
      </c>
      <c r="AG170" s="80">
        <f>IF(O170="","",IF(O170="SIM",VLOOKUP($I170&amp;$J170&amp;O$1,Pesos!$A:$I,7,FALSE),VLOOKUP($I170&amp;$J170&amp;O$1,Pesos!$A:$I,9,FALSE)))</f>
        <v>1.1000000000000001</v>
      </c>
      <c r="AH170" s="80">
        <f>IF(P170="","",IF(P170="SIM",VLOOKUP($I170&amp;$J170&amp;P$1,Pesos!$A:$I,7,FALSE),VLOOKUP($I170&amp;$J170&amp;P$1,Pesos!$A:$I,9,FALSE)))</f>
        <v>1.1000000000000001</v>
      </c>
      <c r="AI170" s="80">
        <f>IF(Q170="","",IF(Q170="SIM",VLOOKUP($I170&amp;$J170&amp;Q$1,Pesos!$A:$I,7,FALSE),VLOOKUP($I170&amp;$J170&amp;Q$1,Pesos!$A:$I,9,FALSE)))</f>
        <v>1.1000000000000001</v>
      </c>
      <c r="AJ170" s="80">
        <f>IF(R170="","",IF(R170="SIM",VLOOKUP($I170&amp;$J170&amp;R$1,Pesos!$A:$I,7,FALSE),VLOOKUP($I170&amp;$J170&amp;R$1,Pesos!$A:$I,9,FALSE)))</f>
        <v>1.1000000000000001</v>
      </c>
      <c r="AK170" s="80">
        <f>IF(S170="","",IF(S170="SIM",VLOOKUP($I170&amp;$J170&amp;S$1,Pesos!$A:$I,7,FALSE),VLOOKUP($I170&amp;$J170&amp;S$1,Pesos!$A:$I,9,FALSE)))</f>
        <v>1.6</v>
      </c>
      <c r="AL170" s="80">
        <f>SUM(AF170:AK170)</f>
        <v>7.1</v>
      </c>
      <c r="AM170" s="80">
        <f>IF(T170="","",IF(T170="SIM",VLOOKUP($I170&amp;$J170&amp;T$1,Pesos!$A:$I,7,FALSE),VLOOKUP($I170&amp;$J170&amp;T$1,Pesos!$A:$I,9,FALSE)))</f>
        <v>1.2</v>
      </c>
      <c r="AN170" s="80">
        <f>IF(U170="","",IF(U170="SIM",VLOOKUP($I170&amp;$J170&amp;U$1,Pesos!$A:$I,7,FALSE),VLOOKUP($I170&amp;$J170&amp;U$1,Pesos!$A:$I,9,FALSE)))</f>
        <v>1.7000000000000002</v>
      </c>
      <c r="AO170" s="80" t="str">
        <f>IF(V170="","",IF(V170="SIM",VLOOKUP($I170&amp;$J170&amp;V$1,Pesos!$A:$I,7,FALSE),VLOOKUP($I170&amp;$J170&amp;V$1,Pesos!$A:$I,9,FALSE)))</f>
        <v/>
      </c>
      <c r="AP170" s="80" t="str">
        <f>IF(W170="","",IF(W170="SIM",VLOOKUP($I170&amp;$J170&amp;W$1,Pesos!$A:$I,7,FALSE),VLOOKUP($I170&amp;$J170&amp;W$1,Pesos!$A:$I,9,FALSE)))</f>
        <v/>
      </c>
      <c r="AQ170" s="80" t="str">
        <f>IF(X170="","",IF(X170="SIM",VLOOKUP($I170&amp;$J170&amp;X$1,Pesos!$A:$I,7,FALSE),VLOOKUP($I170&amp;$J170&amp;X$1,Pesos!$A:$I,9,FALSE)))</f>
        <v/>
      </c>
      <c r="AR170" s="80" t="str">
        <f>IF(Y170="","",IF(Y170="SIM",VLOOKUP($I170&amp;$J170&amp;Y$1,Pesos!$A:$I,7,FALSE),VLOOKUP($I170&amp;$J170&amp;Y$1,Pesos!$A:$I,9,FALSE)))</f>
        <v/>
      </c>
      <c r="AS170" s="81">
        <f>IFERROR(Z170*VLOOKUP(J170,'BD Campos'!$Y$1:$Z$12,2,FALSE),"0")</f>
        <v>10</v>
      </c>
    </row>
    <row r="171" spans="1:45" x14ac:dyDescent="0.35">
      <c r="A171" s="68" t="str">
        <f t="shared" si="26"/>
        <v>Jan202510191ReceptivaUTI (RJ)</v>
      </c>
      <c r="B171" s="69" t="str">
        <f t="shared" si="27"/>
        <v>Jan2025101915UTI (RJ)PADRÃO</v>
      </c>
      <c r="C171" s="70">
        <v>1</v>
      </c>
      <c r="D171" s="71">
        <v>45677.369217476851</v>
      </c>
      <c r="E171" s="112" t="s">
        <v>74</v>
      </c>
      <c r="F171" s="72">
        <v>10191</v>
      </c>
      <c r="G171" s="69" t="s">
        <v>283</v>
      </c>
      <c r="H171" s="73">
        <v>5</v>
      </c>
      <c r="I171" s="69" t="s">
        <v>6</v>
      </c>
      <c r="J171" s="69" t="s">
        <v>98</v>
      </c>
      <c r="K171" s="69" t="s">
        <v>278</v>
      </c>
      <c r="L171" s="74"/>
      <c r="M171" s="75">
        <v>7.9861111111111105E-4</v>
      </c>
      <c r="N171" s="76" t="s">
        <v>79</v>
      </c>
      <c r="O171" s="76" t="s">
        <v>79</v>
      </c>
      <c r="P171" s="76" t="s">
        <v>79</v>
      </c>
      <c r="Q171" s="76" t="s">
        <v>79</v>
      </c>
      <c r="R171" s="76" t="s">
        <v>79</v>
      </c>
      <c r="S171" s="76" t="s">
        <v>79</v>
      </c>
      <c r="T171" s="76" t="s">
        <v>79</v>
      </c>
      <c r="U171" s="76" t="s">
        <v>79</v>
      </c>
      <c r="V171" s="76" t="s">
        <v>79</v>
      </c>
      <c r="W171" s="76" t="s">
        <v>79</v>
      </c>
      <c r="X171" s="76" t="s">
        <v>79</v>
      </c>
      <c r="Y171" s="76" t="s">
        <v>79</v>
      </c>
      <c r="Z171" s="77">
        <f t="shared" si="2"/>
        <v>10</v>
      </c>
      <c r="AA171" s="78"/>
      <c r="AB171" s="78"/>
      <c r="AC171" s="72" t="s">
        <v>47</v>
      </c>
      <c r="AE171" s="79" t="str">
        <f t="shared" ref="AE171:AE228" si="30">E171&amp;F171</f>
        <v>Jan10191</v>
      </c>
      <c r="AF171" s="80">
        <f>IF(N171="","",IF(N171="SIM",VLOOKUP($I171&amp;$J171&amp;N$1,Pesos!$A:$I,7,FALSE),VLOOKUP($I171&amp;$J171&amp;N$1,Pesos!$A:$I,9,FALSE)))</f>
        <v>0.8</v>
      </c>
      <c r="AG171" s="80">
        <f>IF(O171="","",IF(O171="SIM",VLOOKUP($I171&amp;$J171&amp;O$1,Pesos!$A:$I,7,FALSE),VLOOKUP($I171&amp;$J171&amp;O$1,Pesos!$A:$I,9,FALSE)))</f>
        <v>0.8</v>
      </c>
      <c r="AH171" s="80">
        <f>IF(P171="","",IF(P171="SIM",VLOOKUP($I171&amp;$J171&amp;P$1,Pesos!$A:$I,7,FALSE),VLOOKUP($I171&amp;$J171&amp;P$1,Pesos!$A:$I,9,FALSE)))</f>
        <v>1.2</v>
      </c>
      <c r="AI171" s="80">
        <f>IF(Q171="","",IF(Q171="SIM",VLOOKUP($I171&amp;$J171&amp;Q$1,Pesos!$A:$I,7,FALSE),VLOOKUP($I171&amp;$J171&amp;Q$1,Pesos!$A:$I,9,FALSE)))</f>
        <v>0.8</v>
      </c>
      <c r="AJ171" s="80">
        <f>IF(R171="","",IF(R171="SIM",VLOOKUP($I171&amp;$J171&amp;R$1,Pesos!$A:$I,7,FALSE),VLOOKUP($I171&amp;$J171&amp;R$1,Pesos!$A:$I,9,FALSE)))</f>
        <v>0.8</v>
      </c>
      <c r="AK171" s="80">
        <f>IF(S171="","",IF(S171="SIM",VLOOKUP($I171&amp;$J171&amp;S$1,Pesos!$A:$I,7,FALSE),VLOOKUP($I171&amp;$J171&amp;S$1,Pesos!$A:$I,9,FALSE)))</f>
        <v>0.8</v>
      </c>
      <c r="AL171" s="80">
        <f t="shared" ref="AL171:AL228" si="31">SUM(AF171:AK171)</f>
        <v>5.1999999999999993</v>
      </c>
      <c r="AM171" s="80">
        <f>IF(T171="","",IF(T171="SIM",VLOOKUP($I171&amp;$J171&amp;T$1,Pesos!$A:$I,7,FALSE),VLOOKUP($I171&amp;$J171&amp;T$1,Pesos!$A:$I,9,FALSE)))</f>
        <v>0.8</v>
      </c>
      <c r="AN171" s="80">
        <f>IF(U171="","",IF(U171="SIM",VLOOKUP($I171&amp;$J171&amp;U$1,Pesos!$A:$I,7,FALSE),VLOOKUP($I171&amp;$J171&amp;U$1,Pesos!$A:$I,9,FALSE)))</f>
        <v>0.8</v>
      </c>
      <c r="AO171" s="80">
        <f>IF(V171="","",IF(V171="SIM",VLOOKUP($I171&amp;$J171&amp;V$1,Pesos!$A:$I,7,FALSE),VLOOKUP($I171&amp;$J171&amp;V$1,Pesos!$A:$I,9,FALSE)))</f>
        <v>0.8</v>
      </c>
      <c r="AP171" s="80">
        <f>IF(W171="","",IF(W171="SIM",VLOOKUP($I171&amp;$J171&amp;W$1,Pesos!$A:$I,7,FALSE),VLOOKUP($I171&amp;$J171&amp;W$1,Pesos!$A:$I,9,FALSE)))</f>
        <v>0.8</v>
      </c>
      <c r="AQ171" s="80">
        <f>IF(X171="","",IF(X171="SIM",VLOOKUP($I171&amp;$J171&amp;X$1,Pesos!$A:$I,7,FALSE),VLOOKUP($I171&amp;$J171&amp;X$1,Pesos!$A:$I,9,FALSE)))</f>
        <v>0.8</v>
      </c>
      <c r="AR171" s="80">
        <f>IF(Y171="","",IF(Y171="SIM",VLOOKUP($I171&amp;$J171&amp;Y$1,Pesos!$A:$I,7,FALSE),VLOOKUP($I171&amp;$J171&amp;Y$1,Pesos!$A:$I,9,FALSE)))</f>
        <v>0.8</v>
      </c>
      <c r="AS171" s="81">
        <f>IFERROR(Z171*VLOOKUP(J171,'BD Campos'!$Y$1:$Z$12,2,FALSE),"0")</f>
        <v>10</v>
      </c>
    </row>
    <row r="172" spans="1:45" x14ac:dyDescent="0.35">
      <c r="A172" s="68" t="str">
        <f t="shared" si="26"/>
        <v>Jan20251622ReceptivaUTI</v>
      </c>
      <c r="B172" s="69" t="str">
        <f t="shared" si="27"/>
        <v>Jan202516225UTIPADRÃO</v>
      </c>
      <c r="C172" s="70">
        <v>1</v>
      </c>
      <c r="D172" s="71">
        <v>45677.372790624999</v>
      </c>
      <c r="E172" s="112" t="s">
        <v>74</v>
      </c>
      <c r="F172" s="72">
        <v>1622</v>
      </c>
      <c r="G172" s="69" t="s">
        <v>284</v>
      </c>
      <c r="H172" s="73">
        <v>5</v>
      </c>
      <c r="I172" s="69" t="s">
        <v>6</v>
      </c>
      <c r="J172" s="69" t="s">
        <v>98</v>
      </c>
      <c r="K172" s="69" t="s">
        <v>131</v>
      </c>
      <c r="L172" s="74"/>
      <c r="M172" s="75">
        <v>1.2152777777777778E-3</v>
      </c>
      <c r="N172" s="76" t="s">
        <v>79</v>
      </c>
      <c r="O172" s="76" t="s">
        <v>79</v>
      </c>
      <c r="P172" s="76" t="s">
        <v>79</v>
      </c>
      <c r="Q172" s="76" t="s">
        <v>79</v>
      </c>
      <c r="R172" s="76" t="s">
        <v>79</v>
      </c>
      <c r="S172" s="76" t="s">
        <v>79</v>
      </c>
      <c r="T172" s="76" t="s">
        <v>79</v>
      </c>
      <c r="U172" s="76" t="s">
        <v>79</v>
      </c>
      <c r="V172" s="76" t="s">
        <v>79</v>
      </c>
      <c r="W172" s="76" t="s">
        <v>79</v>
      </c>
      <c r="X172" s="76" t="s">
        <v>79</v>
      </c>
      <c r="Y172" s="76" t="s">
        <v>79</v>
      </c>
      <c r="Z172" s="77">
        <f t="shared" si="2"/>
        <v>10</v>
      </c>
      <c r="AA172" s="78"/>
      <c r="AB172" s="78"/>
      <c r="AC172" s="72" t="s">
        <v>47</v>
      </c>
      <c r="AE172" s="79" t="str">
        <f t="shared" si="30"/>
        <v>Jan1622</v>
      </c>
      <c r="AF172" s="80">
        <f>IF(N172="","",IF(N172="SIM",VLOOKUP($I172&amp;$J172&amp;N$1,Pesos!$A:$I,7,FALSE),VLOOKUP($I172&amp;$J172&amp;N$1,Pesos!$A:$I,9,FALSE)))</f>
        <v>0.8</v>
      </c>
      <c r="AG172" s="80">
        <f>IF(O172="","",IF(O172="SIM",VLOOKUP($I172&amp;$J172&amp;O$1,Pesos!$A:$I,7,FALSE),VLOOKUP($I172&amp;$J172&amp;O$1,Pesos!$A:$I,9,FALSE)))</f>
        <v>0.8</v>
      </c>
      <c r="AH172" s="80">
        <f>IF(P172="","",IF(P172="SIM",VLOOKUP($I172&amp;$J172&amp;P$1,Pesos!$A:$I,7,FALSE),VLOOKUP($I172&amp;$J172&amp;P$1,Pesos!$A:$I,9,FALSE)))</f>
        <v>1.2</v>
      </c>
      <c r="AI172" s="80">
        <f>IF(Q172="","",IF(Q172="SIM",VLOOKUP($I172&amp;$J172&amp;Q$1,Pesos!$A:$I,7,FALSE),VLOOKUP($I172&amp;$J172&amp;Q$1,Pesos!$A:$I,9,FALSE)))</f>
        <v>0.8</v>
      </c>
      <c r="AJ172" s="80">
        <f>IF(R172="","",IF(R172="SIM",VLOOKUP($I172&amp;$J172&amp;R$1,Pesos!$A:$I,7,FALSE),VLOOKUP($I172&amp;$J172&amp;R$1,Pesos!$A:$I,9,FALSE)))</f>
        <v>0.8</v>
      </c>
      <c r="AK172" s="80">
        <f>IF(S172="","",IF(S172="SIM",VLOOKUP($I172&amp;$J172&amp;S$1,Pesos!$A:$I,7,FALSE),VLOOKUP($I172&amp;$J172&amp;S$1,Pesos!$A:$I,9,FALSE)))</f>
        <v>0.8</v>
      </c>
      <c r="AL172" s="80">
        <f t="shared" si="31"/>
        <v>5.1999999999999993</v>
      </c>
      <c r="AM172" s="80">
        <f>IF(T172="","",IF(T172="SIM",VLOOKUP($I172&amp;$J172&amp;T$1,Pesos!$A:$I,7,FALSE),VLOOKUP($I172&amp;$J172&amp;T$1,Pesos!$A:$I,9,FALSE)))</f>
        <v>0.8</v>
      </c>
      <c r="AN172" s="80">
        <f>IF(U172="","",IF(U172="SIM",VLOOKUP($I172&amp;$J172&amp;U$1,Pesos!$A:$I,7,FALSE),VLOOKUP($I172&amp;$J172&amp;U$1,Pesos!$A:$I,9,FALSE)))</f>
        <v>0.8</v>
      </c>
      <c r="AO172" s="80">
        <f>IF(V172="","",IF(V172="SIM",VLOOKUP($I172&amp;$J172&amp;V$1,Pesos!$A:$I,7,FALSE),VLOOKUP($I172&amp;$J172&amp;V$1,Pesos!$A:$I,9,FALSE)))</f>
        <v>0.8</v>
      </c>
      <c r="AP172" s="80">
        <f>IF(W172="","",IF(W172="SIM",VLOOKUP($I172&amp;$J172&amp;W$1,Pesos!$A:$I,7,FALSE),VLOOKUP($I172&amp;$J172&amp;W$1,Pesos!$A:$I,9,FALSE)))</f>
        <v>0.8</v>
      </c>
      <c r="AQ172" s="80">
        <f>IF(X172="","",IF(X172="SIM",VLOOKUP($I172&amp;$J172&amp;X$1,Pesos!$A:$I,7,FALSE),VLOOKUP($I172&amp;$J172&amp;X$1,Pesos!$A:$I,9,FALSE)))</f>
        <v>0.8</v>
      </c>
      <c r="AR172" s="80">
        <f>IF(Y172="","",IF(Y172="SIM",VLOOKUP($I172&amp;$J172&amp;Y$1,Pesos!$A:$I,7,FALSE),VLOOKUP($I172&amp;$J172&amp;Y$1,Pesos!$A:$I,9,FALSE)))</f>
        <v>0.8</v>
      </c>
      <c r="AS172" s="81">
        <f>IFERROR(Z172*VLOOKUP(J172,'BD Campos'!$Y$1:$Z$12,2,FALSE),"0")</f>
        <v>10</v>
      </c>
    </row>
    <row r="173" spans="1:45" x14ac:dyDescent="0.35">
      <c r="A173" s="68" t="str">
        <f t="shared" si="26"/>
        <v>Jan20251622MotoristaUTI</v>
      </c>
      <c r="B173" s="69" t="str">
        <f t="shared" si="27"/>
        <v>Jan202516221UTIPADRÃO</v>
      </c>
      <c r="C173" s="70">
        <v>1</v>
      </c>
      <c r="D173" s="71">
        <v>45677.380249652779</v>
      </c>
      <c r="E173" s="112" t="s">
        <v>74</v>
      </c>
      <c r="F173" s="72">
        <v>1622</v>
      </c>
      <c r="G173" s="69" t="s">
        <v>284</v>
      </c>
      <c r="H173" s="73">
        <v>1</v>
      </c>
      <c r="I173" s="69" t="s">
        <v>126</v>
      </c>
      <c r="J173" s="69" t="s">
        <v>122</v>
      </c>
      <c r="K173" s="69" t="s">
        <v>131</v>
      </c>
      <c r="L173" s="74">
        <v>30905145</v>
      </c>
      <c r="M173" s="75">
        <v>1.6319444444444445E-3</v>
      </c>
      <c r="N173" s="76" t="s">
        <v>79</v>
      </c>
      <c r="O173" s="76" t="s">
        <v>79</v>
      </c>
      <c r="P173" s="76" t="s">
        <v>79</v>
      </c>
      <c r="Q173" s="76" t="s">
        <v>79</v>
      </c>
      <c r="R173" s="76" t="s">
        <v>79</v>
      </c>
      <c r="S173" s="76" t="s">
        <v>79</v>
      </c>
      <c r="T173" s="76" t="s">
        <v>79</v>
      </c>
      <c r="U173" s="76" t="s">
        <v>79</v>
      </c>
      <c r="V173" s="76" t="s">
        <v>79</v>
      </c>
      <c r="W173" s="76" t="s">
        <v>79</v>
      </c>
      <c r="X173" s="76" t="s">
        <v>79</v>
      </c>
      <c r="Y173" s="76" t="s">
        <v>83</v>
      </c>
      <c r="Z173" s="77">
        <f t="shared" si="2"/>
        <v>8.9499999999999993</v>
      </c>
      <c r="AA173" s="78"/>
      <c r="AB173" s="78" t="s">
        <v>1514</v>
      </c>
      <c r="AC173" s="72" t="s">
        <v>47</v>
      </c>
      <c r="AE173" s="79" t="str">
        <f t="shared" si="30"/>
        <v>Jan1622</v>
      </c>
      <c r="AF173" s="80">
        <f>IF(N173="","",IF(N173="SIM",VLOOKUP($I173&amp;$J173&amp;N$1,Pesos!$A:$I,7,FALSE),VLOOKUP($I173&amp;$J173&amp;N$1,Pesos!$A:$I,9,FALSE)))</f>
        <v>0.8</v>
      </c>
      <c r="AG173" s="80">
        <f>IF(O173="","",IF(O173="SIM",VLOOKUP($I173&amp;$J173&amp;O$1,Pesos!$A:$I,7,FALSE),VLOOKUP($I173&amp;$J173&amp;O$1,Pesos!$A:$I,9,FALSE)))</f>
        <v>0.8</v>
      </c>
      <c r="AH173" s="80">
        <f>IF(P173="","",IF(P173="SIM",VLOOKUP($I173&amp;$J173&amp;P$1,Pesos!$A:$I,7,FALSE),VLOOKUP($I173&amp;$J173&amp;P$1,Pesos!$A:$I,9,FALSE)))</f>
        <v>0.8</v>
      </c>
      <c r="AI173" s="80">
        <f>IF(Q173="","",IF(Q173="SIM",VLOOKUP($I173&amp;$J173&amp;Q$1,Pesos!$A:$I,7,FALSE),VLOOKUP($I173&amp;$J173&amp;Q$1,Pesos!$A:$I,9,FALSE)))</f>
        <v>0.8</v>
      </c>
      <c r="AJ173" s="80">
        <f>IF(R173="","",IF(R173="SIM",VLOOKUP($I173&amp;$J173&amp;R$1,Pesos!$A:$I,7,FALSE),VLOOKUP($I173&amp;$J173&amp;R$1,Pesos!$A:$I,9,FALSE)))</f>
        <v>0.8</v>
      </c>
      <c r="AK173" s="80">
        <f>IF(S173="","",IF(S173="SIM",VLOOKUP($I173&amp;$J173&amp;S$1,Pesos!$A:$I,7,FALSE),VLOOKUP($I173&amp;$J173&amp;S$1,Pesos!$A:$I,9,FALSE)))</f>
        <v>0.8</v>
      </c>
      <c r="AL173" s="80">
        <f t="shared" si="31"/>
        <v>4.8</v>
      </c>
      <c r="AM173" s="80">
        <f>IF(T173="","",IF(T173="SIM",VLOOKUP($I173&amp;$J173&amp;T$1,Pesos!$A:$I,7,FALSE),VLOOKUP($I173&amp;$J173&amp;T$1,Pesos!$A:$I,9,FALSE)))</f>
        <v>0.8</v>
      </c>
      <c r="AN173" s="80">
        <f>IF(U173="","",IF(U173="SIM",VLOOKUP($I173&amp;$J173&amp;U$1,Pesos!$A:$I,7,FALSE),VLOOKUP($I173&amp;$J173&amp;U$1,Pesos!$A:$I,9,FALSE)))</f>
        <v>0.8</v>
      </c>
      <c r="AO173" s="80">
        <f>IF(V173="","",IF(V173="SIM",VLOOKUP($I173&amp;$J173&amp;V$1,Pesos!$A:$I,7,FALSE),VLOOKUP($I173&amp;$J173&amp;V$1,Pesos!$A:$I,9,FALSE)))</f>
        <v>0.8</v>
      </c>
      <c r="AP173" s="80">
        <f>IF(W173="","",IF(W173="SIM",VLOOKUP($I173&amp;$J173&amp;W$1,Pesos!$A:$I,7,FALSE),VLOOKUP($I173&amp;$J173&amp;W$1,Pesos!$A:$I,9,FALSE)))</f>
        <v>0.8</v>
      </c>
      <c r="AQ173" s="80">
        <f>IF(X173="","",IF(X173="SIM",VLOOKUP($I173&amp;$J173&amp;X$1,Pesos!$A:$I,7,FALSE),VLOOKUP($I173&amp;$J173&amp;X$1,Pesos!$A:$I,9,FALSE)))</f>
        <v>1</v>
      </c>
      <c r="AR173" s="80">
        <f>IF(Y173="","",IF(Y173="SIM",VLOOKUP($I173&amp;$J173&amp;Y$1,Pesos!$A:$I,7,FALSE),VLOOKUP($I173&amp;$J173&amp;Y$1,Pesos!$A:$I,9,FALSE)))</f>
        <v>-0.05</v>
      </c>
      <c r="AS173" s="81">
        <f>IFERROR(Z173*VLOOKUP(J173,'BD Campos'!$Y$1:$Z$12,2,FALSE),"0")</f>
        <v>8.9499999999999993</v>
      </c>
    </row>
    <row r="174" spans="1:45" x14ac:dyDescent="0.35">
      <c r="A174" s="68" t="str">
        <f t="shared" si="26"/>
        <v>Jan202510686MotoristaUTI</v>
      </c>
      <c r="B174" s="69" t="str">
        <f t="shared" si="27"/>
        <v>Jan2025106861UTIPADRÃO</v>
      </c>
      <c r="C174" s="70">
        <v>1</v>
      </c>
      <c r="D174" s="71">
        <v>45677.383310185185</v>
      </c>
      <c r="E174" s="112" t="s">
        <v>74</v>
      </c>
      <c r="F174" s="72">
        <v>10686</v>
      </c>
      <c r="G174" s="69" t="s">
        <v>288</v>
      </c>
      <c r="H174" s="73">
        <v>1</v>
      </c>
      <c r="I174" s="69" t="s">
        <v>121</v>
      </c>
      <c r="J174" s="69" t="s">
        <v>122</v>
      </c>
      <c r="K174" s="69" t="s">
        <v>131</v>
      </c>
      <c r="L174" s="74">
        <v>30908694</v>
      </c>
      <c r="M174" s="75">
        <v>2.0717592592592593E-3</v>
      </c>
      <c r="N174" s="76"/>
      <c r="O174" s="76"/>
      <c r="P174" s="76"/>
      <c r="Q174" s="76"/>
      <c r="R174" s="76"/>
      <c r="S174" s="76"/>
      <c r="T174" s="76"/>
      <c r="U174" s="76"/>
      <c r="V174" s="76"/>
      <c r="W174" s="76"/>
      <c r="X174" s="76"/>
      <c r="Y174" s="76"/>
      <c r="Z174" s="77">
        <f t="shared" si="2"/>
        <v>0</v>
      </c>
      <c r="AA174" s="78" t="s">
        <v>1516</v>
      </c>
      <c r="AB174" s="78" t="s">
        <v>1515</v>
      </c>
      <c r="AC174" s="72" t="s">
        <v>47</v>
      </c>
      <c r="AE174" s="79" t="str">
        <f t="shared" si="30"/>
        <v>Jan10686</v>
      </c>
      <c r="AF174" s="80" t="str">
        <f>IF(N174="","",IF(N174="SIM",VLOOKUP($I174&amp;$J174&amp;N$1,Pesos!$A:$I,7,FALSE),VLOOKUP($I174&amp;$J174&amp;N$1,Pesos!$A:$I,9,FALSE)))</f>
        <v/>
      </c>
      <c r="AG174" s="80" t="str">
        <f>IF(O174="","",IF(O174="SIM",VLOOKUP($I174&amp;$J174&amp;O$1,Pesos!$A:$I,7,FALSE),VLOOKUP($I174&amp;$J174&amp;O$1,Pesos!$A:$I,9,FALSE)))</f>
        <v/>
      </c>
      <c r="AH174" s="80" t="str">
        <f>IF(P174="","",IF(P174="SIM",VLOOKUP($I174&amp;$J174&amp;P$1,Pesos!$A:$I,7,FALSE),VLOOKUP($I174&amp;$J174&amp;P$1,Pesos!$A:$I,9,FALSE)))</f>
        <v/>
      </c>
      <c r="AI174" s="80" t="str">
        <f>IF(Q174="","",IF(Q174="SIM",VLOOKUP($I174&amp;$J174&amp;Q$1,Pesos!$A:$I,7,FALSE),VLOOKUP($I174&amp;$J174&amp;Q$1,Pesos!$A:$I,9,FALSE)))</f>
        <v/>
      </c>
      <c r="AJ174" s="80" t="str">
        <f>IF(R174="","",IF(R174="SIM",VLOOKUP($I174&amp;$J174&amp;R$1,Pesos!$A:$I,7,FALSE),VLOOKUP($I174&amp;$J174&amp;R$1,Pesos!$A:$I,9,FALSE)))</f>
        <v/>
      </c>
      <c r="AK174" s="80" t="str">
        <f>IF(S174="","",IF(S174="SIM",VLOOKUP($I174&amp;$J174&amp;S$1,Pesos!$A:$I,7,FALSE),VLOOKUP($I174&amp;$J174&amp;S$1,Pesos!$A:$I,9,FALSE)))</f>
        <v/>
      </c>
      <c r="AL174" s="80">
        <f t="shared" si="31"/>
        <v>0</v>
      </c>
      <c r="AM174" s="80" t="str">
        <f>IF(T174="","",IF(T174="SIM",VLOOKUP($I174&amp;$J174&amp;T$1,Pesos!$A:$I,7,FALSE),VLOOKUP($I174&amp;$J174&amp;T$1,Pesos!$A:$I,9,FALSE)))</f>
        <v/>
      </c>
      <c r="AN174" s="80" t="str">
        <f>IF(U174="","",IF(U174="SIM",VLOOKUP($I174&amp;$J174&amp;U$1,Pesos!$A:$I,7,FALSE),VLOOKUP($I174&amp;$J174&amp;U$1,Pesos!$A:$I,9,FALSE)))</f>
        <v/>
      </c>
      <c r="AO174" s="80" t="str">
        <f>IF(V174="","",IF(V174="SIM",VLOOKUP($I174&amp;$J174&amp;V$1,Pesos!$A:$I,7,FALSE),VLOOKUP($I174&amp;$J174&amp;V$1,Pesos!$A:$I,9,FALSE)))</f>
        <v/>
      </c>
      <c r="AP174" s="80" t="str">
        <f>IF(W174="","",IF(W174="SIM",VLOOKUP($I174&amp;$J174&amp;W$1,Pesos!$A:$I,7,FALSE),VLOOKUP($I174&amp;$J174&amp;W$1,Pesos!$A:$I,9,FALSE)))</f>
        <v/>
      </c>
      <c r="AQ174" s="80" t="str">
        <f>IF(X174="","",IF(X174="SIM",VLOOKUP($I174&amp;$J174&amp;X$1,Pesos!$A:$I,7,FALSE),VLOOKUP($I174&amp;$J174&amp;X$1,Pesos!$A:$I,9,FALSE)))</f>
        <v/>
      </c>
      <c r="AR174" s="80" t="str">
        <f>IF(Y174="","",IF(Y174="SIM",VLOOKUP($I174&amp;$J174&amp;Y$1,Pesos!$A:$I,7,FALSE),VLOOKUP($I174&amp;$J174&amp;Y$1,Pesos!$A:$I,9,FALSE)))</f>
        <v/>
      </c>
      <c r="AS174" s="81">
        <f>IFERROR(Z174*VLOOKUP(J174,'BD Campos'!$Y$1:$Z$12,2,FALSE),"0")</f>
        <v>0</v>
      </c>
    </row>
    <row r="175" spans="1:45" x14ac:dyDescent="0.35">
      <c r="A175" s="68" t="str">
        <f t="shared" si="26"/>
        <v>Jan202510686ReceptivaUTI</v>
      </c>
      <c r="B175" s="69" t="str">
        <f t="shared" si="27"/>
        <v>Jan2025106865UTIPADRÃO</v>
      </c>
      <c r="C175" s="70">
        <v>1</v>
      </c>
      <c r="D175" s="71">
        <v>45677.387873148145</v>
      </c>
      <c r="E175" s="112" t="s">
        <v>74</v>
      </c>
      <c r="F175" s="72">
        <v>10686</v>
      </c>
      <c r="G175" s="69" t="s">
        <v>288</v>
      </c>
      <c r="H175" s="73">
        <v>5</v>
      </c>
      <c r="I175" s="69" t="s">
        <v>6</v>
      </c>
      <c r="J175" s="69" t="s">
        <v>98</v>
      </c>
      <c r="K175" s="69" t="s">
        <v>131</v>
      </c>
      <c r="L175" s="74"/>
      <c r="M175" s="75">
        <v>1.8402777777777777E-3</v>
      </c>
      <c r="N175" s="76" t="s">
        <v>79</v>
      </c>
      <c r="O175" s="76" t="s">
        <v>79</v>
      </c>
      <c r="P175" s="76" t="s">
        <v>79</v>
      </c>
      <c r="Q175" s="76" t="s">
        <v>79</v>
      </c>
      <c r="R175" s="76" t="s">
        <v>79</v>
      </c>
      <c r="S175" s="76" t="s">
        <v>79</v>
      </c>
      <c r="T175" s="76" t="s">
        <v>79</v>
      </c>
      <c r="U175" s="76" t="s">
        <v>79</v>
      </c>
      <c r="V175" s="76" t="s">
        <v>79</v>
      </c>
      <c r="W175" s="76" t="s">
        <v>79</v>
      </c>
      <c r="X175" s="76" t="s">
        <v>79</v>
      </c>
      <c r="Y175" s="76" t="s">
        <v>79</v>
      </c>
      <c r="Z175" s="77">
        <f t="shared" si="2"/>
        <v>10</v>
      </c>
      <c r="AA175" s="78"/>
      <c r="AB175" s="78"/>
      <c r="AC175" s="72" t="s">
        <v>47</v>
      </c>
      <c r="AE175" s="79" t="str">
        <f t="shared" si="30"/>
        <v>Jan10686</v>
      </c>
      <c r="AF175" s="80">
        <f>IF(N175="","",IF(N175="SIM",VLOOKUP($I175&amp;$J175&amp;N$1,Pesos!$A:$I,7,FALSE),VLOOKUP($I175&amp;$J175&amp;N$1,Pesos!$A:$I,9,FALSE)))</f>
        <v>0.8</v>
      </c>
      <c r="AG175" s="80">
        <f>IF(O175="","",IF(O175="SIM",VLOOKUP($I175&amp;$J175&amp;O$1,Pesos!$A:$I,7,FALSE),VLOOKUP($I175&amp;$J175&amp;O$1,Pesos!$A:$I,9,FALSE)))</f>
        <v>0.8</v>
      </c>
      <c r="AH175" s="80">
        <f>IF(P175="","",IF(P175="SIM",VLOOKUP($I175&amp;$J175&amp;P$1,Pesos!$A:$I,7,FALSE),VLOOKUP($I175&amp;$J175&amp;P$1,Pesos!$A:$I,9,FALSE)))</f>
        <v>1.2</v>
      </c>
      <c r="AI175" s="80">
        <f>IF(Q175="","",IF(Q175="SIM",VLOOKUP($I175&amp;$J175&amp;Q$1,Pesos!$A:$I,7,FALSE),VLOOKUP($I175&amp;$J175&amp;Q$1,Pesos!$A:$I,9,FALSE)))</f>
        <v>0.8</v>
      </c>
      <c r="AJ175" s="80">
        <f>IF(R175="","",IF(R175="SIM",VLOOKUP($I175&amp;$J175&amp;R$1,Pesos!$A:$I,7,FALSE),VLOOKUP($I175&amp;$J175&amp;R$1,Pesos!$A:$I,9,FALSE)))</f>
        <v>0.8</v>
      </c>
      <c r="AK175" s="80">
        <f>IF(S175="","",IF(S175="SIM",VLOOKUP($I175&amp;$J175&amp;S$1,Pesos!$A:$I,7,FALSE),VLOOKUP($I175&amp;$J175&amp;S$1,Pesos!$A:$I,9,FALSE)))</f>
        <v>0.8</v>
      </c>
      <c r="AL175" s="80">
        <f t="shared" si="31"/>
        <v>5.1999999999999993</v>
      </c>
      <c r="AM175" s="80">
        <f>IF(T175="","",IF(T175="SIM",VLOOKUP($I175&amp;$J175&amp;T$1,Pesos!$A:$I,7,FALSE),VLOOKUP($I175&amp;$J175&amp;T$1,Pesos!$A:$I,9,FALSE)))</f>
        <v>0.8</v>
      </c>
      <c r="AN175" s="80">
        <f>IF(U175="","",IF(U175="SIM",VLOOKUP($I175&amp;$J175&amp;U$1,Pesos!$A:$I,7,FALSE),VLOOKUP($I175&amp;$J175&amp;U$1,Pesos!$A:$I,9,FALSE)))</f>
        <v>0.8</v>
      </c>
      <c r="AO175" s="80">
        <f>IF(V175="","",IF(V175="SIM",VLOOKUP($I175&amp;$J175&amp;V$1,Pesos!$A:$I,7,FALSE),VLOOKUP($I175&amp;$J175&amp;V$1,Pesos!$A:$I,9,FALSE)))</f>
        <v>0.8</v>
      </c>
      <c r="AP175" s="80">
        <f>IF(W175="","",IF(W175="SIM",VLOOKUP($I175&amp;$J175&amp;W$1,Pesos!$A:$I,7,FALSE),VLOOKUP($I175&amp;$J175&amp;W$1,Pesos!$A:$I,9,FALSE)))</f>
        <v>0.8</v>
      </c>
      <c r="AQ175" s="80">
        <f>IF(X175="","",IF(X175="SIM",VLOOKUP($I175&amp;$J175&amp;X$1,Pesos!$A:$I,7,FALSE),VLOOKUP($I175&amp;$J175&amp;X$1,Pesos!$A:$I,9,FALSE)))</f>
        <v>0.8</v>
      </c>
      <c r="AR175" s="80">
        <f>IF(Y175="","",IF(Y175="SIM",VLOOKUP($I175&amp;$J175&amp;Y$1,Pesos!$A:$I,7,FALSE),VLOOKUP($I175&amp;$J175&amp;Y$1,Pesos!$A:$I,9,FALSE)))</f>
        <v>0.8</v>
      </c>
      <c r="AS175" s="81">
        <f>IFERROR(Z175*VLOOKUP(J175,'BD Campos'!$Y$1:$Z$12,2,FALSE),"0")</f>
        <v>10</v>
      </c>
    </row>
    <row r="176" spans="1:45" x14ac:dyDescent="0.35">
      <c r="A176" s="68" t="str">
        <f t="shared" si="26"/>
        <v>Jan2025635ReceptivaUTI</v>
      </c>
      <c r="B176" s="69" t="str">
        <f t="shared" si="27"/>
        <v>Jan20256355UTIPADRÃO</v>
      </c>
      <c r="C176" s="70">
        <v>1</v>
      </c>
      <c r="D176" s="71">
        <v>45677.39450451389</v>
      </c>
      <c r="E176" s="112" t="s">
        <v>74</v>
      </c>
      <c r="F176" s="72">
        <v>635</v>
      </c>
      <c r="G176" s="69" t="s">
        <v>279</v>
      </c>
      <c r="H176" s="73">
        <v>5</v>
      </c>
      <c r="I176" s="69" t="s">
        <v>6</v>
      </c>
      <c r="J176" s="69" t="s">
        <v>98</v>
      </c>
      <c r="K176" s="69" t="s">
        <v>131</v>
      </c>
      <c r="L176" s="74"/>
      <c r="M176" s="75">
        <v>6.9444444444444447E-4</v>
      </c>
      <c r="N176" s="76" t="s">
        <v>79</v>
      </c>
      <c r="O176" s="76" t="s">
        <v>79</v>
      </c>
      <c r="P176" s="76" t="s">
        <v>79</v>
      </c>
      <c r="Q176" s="76" t="s">
        <v>79</v>
      </c>
      <c r="R176" s="76" t="s">
        <v>79</v>
      </c>
      <c r="S176" s="76" t="s">
        <v>79</v>
      </c>
      <c r="T176" s="76" t="s">
        <v>79</v>
      </c>
      <c r="U176" s="76" t="s">
        <v>79</v>
      </c>
      <c r="V176" s="76" t="s">
        <v>79</v>
      </c>
      <c r="W176" s="76" t="s">
        <v>79</v>
      </c>
      <c r="X176" s="76" t="s">
        <v>79</v>
      </c>
      <c r="Y176" s="76" t="s">
        <v>79</v>
      </c>
      <c r="Z176" s="77">
        <f t="shared" si="2"/>
        <v>10</v>
      </c>
      <c r="AA176" s="78"/>
      <c r="AB176" s="78"/>
      <c r="AC176" s="72" t="s">
        <v>47</v>
      </c>
      <c r="AE176" s="79" t="str">
        <f t="shared" si="30"/>
        <v>Jan635</v>
      </c>
      <c r="AF176" s="80">
        <f>IF(N176="","",IF(N176="SIM",VLOOKUP($I176&amp;$J176&amp;N$1,Pesos!$A:$I,7,FALSE),VLOOKUP($I176&amp;$J176&amp;N$1,Pesos!$A:$I,9,FALSE)))</f>
        <v>0.8</v>
      </c>
      <c r="AG176" s="80">
        <f>IF(O176="","",IF(O176="SIM",VLOOKUP($I176&amp;$J176&amp;O$1,Pesos!$A:$I,7,FALSE),VLOOKUP($I176&amp;$J176&amp;O$1,Pesos!$A:$I,9,FALSE)))</f>
        <v>0.8</v>
      </c>
      <c r="AH176" s="80">
        <f>IF(P176="","",IF(P176="SIM",VLOOKUP($I176&amp;$J176&amp;P$1,Pesos!$A:$I,7,FALSE),VLOOKUP($I176&amp;$J176&amp;P$1,Pesos!$A:$I,9,FALSE)))</f>
        <v>1.2</v>
      </c>
      <c r="AI176" s="80">
        <f>IF(Q176="","",IF(Q176="SIM",VLOOKUP($I176&amp;$J176&amp;Q$1,Pesos!$A:$I,7,FALSE),VLOOKUP($I176&amp;$J176&amp;Q$1,Pesos!$A:$I,9,FALSE)))</f>
        <v>0.8</v>
      </c>
      <c r="AJ176" s="80">
        <f>IF(R176="","",IF(R176="SIM",VLOOKUP($I176&amp;$J176&amp;R$1,Pesos!$A:$I,7,FALSE),VLOOKUP($I176&amp;$J176&amp;R$1,Pesos!$A:$I,9,FALSE)))</f>
        <v>0.8</v>
      </c>
      <c r="AK176" s="80">
        <f>IF(S176="","",IF(S176="SIM",VLOOKUP($I176&amp;$J176&amp;S$1,Pesos!$A:$I,7,FALSE),VLOOKUP($I176&amp;$J176&amp;S$1,Pesos!$A:$I,9,FALSE)))</f>
        <v>0.8</v>
      </c>
      <c r="AL176" s="80">
        <f t="shared" si="31"/>
        <v>5.1999999999999993</v>
      </c>
      <c r="AM176" s="80">
        <f>IF(T176="","",IF(T176="SIM",VLOOKUP($I176&amp;$J176&amp;T$1,Pesos!$A:$I,7,FALSE),VLOOKUP($I176&amp;$J176&amp;T$1,Pesos!$A:$I,9,FALSE)))</f>
        <v>0.8</v>
      </c>
      <c r="AN176" s="80">
        <f>IF(U176="","",IF(U176="SIM",VLOOKUP($I176&amp;$J176&amp;U$1,Pesos!$A:$I,7,FALSE),VLOOKUP($I176&amp;$J176&amp;U$1,Pesos!$A:$I,9,FALSE)))</f>
        <v>0.8</v>
      </c>
      <c r="AO176" s="80">
        <f>IF(V176="","",IF(V176="SIM",VLOOKUP($I176&amp;$J176&amp;V$1,Pesos!$A:$I,7,FALSE),VLOOKUP($I176&amp;$J176&amp;V$1,Pesos!$A:$I,9,FALSE)))</f>
        <v>0.8</v>
      </c>
      <c r="AP176" s="80">
        <f>IF(W176="","",IF(W176="SIM",VLOOKUP($I176&amp;$J176&amp;W$1,Pesos!$A:$I,7,FALSE),VLOOKUP($I176&amp;$J176&amp;W$1,Pesos!$A:$I,9,FALSE)))</f>
        <v>0.8</v>
      </c>
      <c r="AQ176" s="80">
        <f>IF(X176="","",IF(X176="SIM",VLOOKUP($I176&amp;$J176&amp;X$1,Pesos!$A:$I,7,FALSE),VLOOKUP($I176&amp;$J176&amp;X$1,Pesos!$A:$I,9,FALSE)))</f>
        <v>0.8</v>
      </c>
      <c r="AR176" s="80">
        <f>IF(Y176="","",IF(Y176="SIM",VLOOKUP($I176&amp;$J176&amp;Y$1,Pesos!$A:$I,7,FALSE),VLOOKUP($I176&amp;$J176&amp;Y$1,Pesos!$A:$I,9,FALSE)))</f>
        <v>0.8</v>
      </c>
      <c r="AS176" s="81">
        <f>IFERROR(Z176*VLOOKUP(J176,'BD Campos'!$Y$1:$Z$12,2,FALSE),"0")</f>
        <v>10</v>
      </c>
    </row>
    <row r="177" spans="1:45" x14ac:dyDescent="0.35">
      <c r="A177" s="68" t="str">
        <f t="shared" si="26"/>
        <v>Jan2025635MotoristaUTI</v>
      </c>
      <c r="B177" s="69" t="str">
        <f t="shared" si="27"/>
        <v>Jan20256351UTIPADRÃO</v>
      </c>
      <c r="C177" s="70">
        <v>1</v>
      </c>
      <c r="D177" s="71">
        <v>45677.398611226854</v>
      </c>
      <c r="E177" s="112" t="s">
        <v>74</v>
      </c>
      <c r="F177" s="72">
        <v>635</v>
      </c>
      <c r="G177" s="69" t="s">
        <v>279</v>
      </c>
      <c r="H177" s="73">
        <v>1</v>
      </c>
      <c r="I177" s="69" t="s">
        <v>123</v>
      </c>
      <c r="J177" s="69" t="s">
        <v>122</v>
      </c>
      <c r="K177" s="69" t="s">
        <v>131</v>
      </c>
      <c r="L177" s="74">
        <v>30844578</v>
      </c>
      <c r="M177" s="75">
        <v>1.0185185185185186E-3</v>
      </c>
      <c r="N177" s="76" t="s">
        <v>79</v>
      </c>
      <c r="O177" s="76" t="s">
        <v>79</v>
      </c>
      <c r="P177" s="76" t="s">
        <v>79</v>
      </c>
      <c r="Q177" s="76" t="s">
        <v>79</v>
      </c>
      <c r="R177" s="76" t="s">
        <v>79</v>
      </c>
      <c r="S177" s="76" t="s">
        <v>79</v>
      </c>
      <c r="T177" s="76" t="s">
        <v>79</v>
      </c>
      <c r="U177" s="76" t="s">
        <v>79</v>
      </c>
      <c r="V177" s="76" t="s">
        <v>83</v>
      </c>
      <c r="W177" s="76" t="s">
        <v>79</v>
      </c>
      <c r="X177" s="76"/>
      <c r="Y177" s="76"/>
      <c r="Z177" s="77">
        <f t="shared" si="2"/>
        <v>8.9499999999999993</v>
      </c>
      <c r="AA177" s="78"/>
      <c r="AB177" s="78" t="s">
        <v>1517</v>
      </c>
      <c r="AC177" s="72" t="s">
        <v>47</v>
      </c>
      <c r="AE177" s="79" t="str">
        <f t="shared" si="30"/>
        <v>Jan635</v>
      </c>
      <c r="AF177" s="80">
        <f>IF(N177="","",IF(N177="SIM",VLOOKUP($I177&amp;$J177&amp;N$1,Pesos!$A:$I,7,FALSE),VLOOKUP($I177&amp;$J177&amp;N$1,Pesos!$A:$I,9,FALSE)))</f>
        <v>1</v>
      </c>
      <c r="AG177" s="80">
        <f>IF(O177="","",IF(O177="SIM",VLOOKUP($I177&amp;$J177&amp;O$1,Pesos!$A:$I,7,FALSE),VLOOKUP($I177&amp;$J177&amp;O$1,Pesos!$A:$I,9,FALSE)))</f>
        <v>1</v>
      </c>
      <c r="AH177" s="80">
        <f>IF(P177="","",IF(P177="SIM",VLOOKUP($I177&amp;$J177&amp;P$1,Pesos!$A:$I,7,FALSE),VLOOKUP($I177&amp;$J177&amp;P$1,Pesos!$A:$I,9,FALSE)))</f>
        <v>1</v>
      </c>
      <c r="AI177" s="80">
        <f>IF(Q177="","",IF(Q177="SIM",VLOOKUP($I177&amp;$J177&amp;Q$1,Pesos!$A:$I,7,FALSE),VLOOKUP($I177&amp;$J177&amp;Q$1,Pesos!$A:$I,9,FALSE)))</f>
        <v>1</v>
      </c>
      <c r="AJ177" s="80">
        <f>IF(R177="","",IF(R177="SIM",VLOOKUP($I177&amp;$J177&amp;R$1,Pesos!$A:$I,7,FALSE),VLOOKUP($I177&amp;$J177&amp;R$1,Pesos!$A:$I,9,FALSE)))</f>
        <v>1</v>
      </c>
      <c r="AK177" s="80">
        <f>IF(S177="","",IF(S177="SIM",VLOOKUP($I177&amp;$J177&amp;S$1,Pesos!$A:$I,7,FALSE),VLOOKUP($I177&amp;$J177&amp;S$1,Pesos!$A:$I,9,FALSE)))</f>
        <v>1</v>
      </c>
      <c r="AL177" s="80">
        <f t="shared" si="31"/>
        <v>6</v>
      </c>
      <c r="AM177" s="80">
        <f>IF(T177="","",IF(T177="SIM",VLOOKUP($I177&amp;$J177&amp;T$1,Pesos!$A:$I,7,FALSE),VLOOKUP($I177&amp;$J177&amp;T$1,Pesos!$A:$I,9,FALSE)))</f>
        <v>1</v>
      </c>
      <c r="AN177" s="80">
        <f>IF(U177="","",IF(U177="SIM",VLOOKUP($I177&amp;$J177&amp;U$1,Pesos!$A:$I,7,FALSE),VLOOKUP($I177&amp;$J177&amp;U$1,Pesos!$A:$I,9,FALSE)))</f>
        <v>1</v>
      </c>
      <c r="AO177" s="80">
        <f>IF(V177="","",IF(V177="SIM",VLOOKUP($I177&amp;$J177&amp;V$1,Pesos!$A:$I,7,FALSE),VLOOKUP($I177&amp;$J177&amp;V$1,Pesos!$A:$I,9,FALSE)))</f>
        <v>-0.05</v>
      </c>
      <c r="AP177" s="80">
        <f>IF(W177="","",IF(W177="SIM",VLOOKUP($I177&amp;$J177&amp;W$1,Pesos!$A:$I,7,FALSE),VLOOKUP($I177&amp;$J177&amp;W$1,Pesos!$A:$I,9,FALSE)))</f>
        <v>1</v>
      </c>
      <c r="AQ177" s="80" t="str">
        <f>IF(X177="","",IF(X177="SIM",VLOOKUP($I177&amp;$J177&amp;X$1,Pesos!$A:$I,7,FALSE),VLOOKUP($I177&amp;$J177&amp;X$1,Pesos!$A:$I,9,FALSE)))</f>
        <v/>
      </c>
      <c r="AR177" s="80" t="str">
        <f>IF(Y177="","",IF(Y177="SIM",VLOOKUP($I177&amp;$J177&amp;Y$1,Pesos!$A:$I,7,FALSE),VLOOKUP($I177&amp;$J177&amp;Y$1,Pesos!$A:$I,9,FALSE)))</f>
        <v/>
      </c>
      <c r="AS177" s="81">
        <f>IFERROR(Z177*VLOOKUP(J177,'BD Campos'!$Y$1:$Z$12,2,FALSE),"0")</f>
        <v>8.9499999999999993</v>
      </c>
    </row>
    <row r="178" spans="1:45" x14ac:dyDescent="0.35">
      <c r="A178" s="68" t="str">
        <f t="shared" si="26"/>
        <v>Jan20254183MotoristaUTI (RJ)</v>
      </c>
      <c r="B178" s="69" t="str">
        <f t="shared" si="27"/>
        <v>Jan202541831UTI (RJ)PADRÃO</v>
      </c>
      <c r="C178" s="70">
        <v>1</v>
      </c>
      <c r="D178" s="71">
        <v>45677.403687384256</v>
      </c>
      <c r="E178" s="112" t="s">
        <v>74</v>
      </c>
      <c r="F178" s="72">
        <v>4183</v>
      </c>
      <c r="G178" s="69" t="s">
        <v>227</v>
      </c>
      <c r="H178" s="73">
        <v>1</v>
      </c>
      <c r="I178" s="69" t="s">
        <v>121</v>
      </c>
      <c r="J178" s="69" t="s">
        <v>122</v>
      </c>
      <c r="K178" s="69" t="s">
        <v>278</v>
      </c>
      <c r="L178" s="74">
        <v>30829272</v>
      </c>
      <c r="M178" s="75">
        <v>1.9444444444444442E-3</v>
      </c>
      <c r="N178" s="76" t="s">
        <v>79</v>
      </c>
      <c r="O178" s="76" t="s">
        <v>79</v>
      </c>
      <c r="P178" s="76" t="s">
        <v>79</v>
      </c>
      <c r="Q178" s="76" t="s">
        <v>79</v>
      </c>
      <c r="R178" s="76" t="s">
        <v>79</v>
      </c>
      <c r="S178" s="76" t="s">
        <v>79</v>
      </c>
      <c r="T178" s="76" t="s">
        <v>79</v>
      </c>
      <c r="U178" s="76" t="s">
        <v>79</v>
      </c>
      <c r="V178" s="76" t="s">
        <v>79</v>
      </c>
      <c r="W178" s="76" t="s">
        <v>83</v>
      </c>
      <c r="X178" s="76" t="s">
        <v>79</v>
      </c>
      <c r="Y178" s="76"/>
      <c r="Z178" s="77">
        <f t="shared" si="2"/>
        <v>9.0549999999999997</v>
      </c>
      <c r="AA178" s="78"/>
      <c r="AB178" s="78" t="s">
        <v>1518</v>
      </c>
      <c r="AC178" s="72" t="s">
        <v>47</v>
      </c>
      <c r="AE178" s="79" t="str">
        <f t="shared" si="30"/>
        <v>Jan4183</v>
      </c>
      <c r="AF178" s="80">
        <f>IF(N178="","",IF(N178="SIM",VLOOKUP($I178&amp;$J178&amp;N$1,Pesos!$A:$I,7,FALSE),VLOOKUP($I178&amp;$J178&amp;N$1,Pesos!$A:$I,9,FALSE)))</f>
        <v>0.89999999999999991</v>
      </c>
      <c r="AG178" s="80">
        <f>IF(O178="","",IF(O178="SIM",VLOOKUP($I178&amp;$J178&amp;O$1,Pesos!$A:$I,7,FALSE),VLOOKUP($I178&amp;$J178&amp;O$1,Pesos!$A:$I,9,FALSE)))</f>
        <v>0.89999999999999991</v>
      </c>
      <c r="AH178" s="80">
        <f>IF(P178="","",IF(P178="SIM",VLOOKUP($I178&amp;$J178&amp;P$1,Pesos!$A:$I,7,FALSE),VLOOKUP($I178&amp;$J178&amp;P$1,Pesos!$A:$I,9,FALSE)))</f>
        <v>0.89999999999999991</v>
      </c>
      <c r="AI178" s="80">
        <f>IF(Q178="","",IF(Q178="SIM",VLOOKUP($I178&amp;$J178&amp;Q$1,Pesos!$A:$I,7,FALSE),VLOOKUP($I178&amp;$J178&amp;Q$1,Pesos!$A:$I,9,FALSE)))</f>
        <v>0.89999999999999991</v>
      </c>
      <c r="AJ178" s="80">
        <f>IF(R178="","",IF(R178="SIM",VLOOKUP($I178&amp;$J178&amp;R$1,Pesos!$A:$I,7,FALSE),VLOOKUP($I178&amp;$J178&amp;R$1,Pesos!$A:$I,9,FALSE)))</f>
        <v>0.89999999999999991</v>
      </c>
      <c r="AK178" s="80">
        <f>IF(S178="","",IF(S178="SIM",VLOOKUP($I178&amp;$J178&amp;S$1,Pesos!$A:$I,7,FALSE),VLOOKUP($I178&amp;$J178&amp;S$1,Pesos!$A:$I,9,FALSE)))</f>
        <v>0.89999999999999991</v>
      </c>
      <c r="AL178" s="80">
        <f t="shared" si="31"/>
        <v>5.4</v>
      </c>
      <c r="AM178" s="80">
        <f>IF(T178="","",IF(T178="SIM",VLOOKUP($I178&amp;$J178&amp;T$1,Pesos!$A:$I,7,FALSE),VLOOKUP($I178&amp;$J178&amp;T$1,Pesos!$A:$I,9,FALSE)))</f>
        <v>0.89999999999999991</v>
      </c>
      <c r="AN178" s="80">
        <f>IF(U178="","",IF(U178="SIM",VLOOKUP($I178&amp;$J178&amp;U$1,Pesos!$A:$I,7,FALSE),VLOOKUP($I178&amp;$J178&amp;U$1,Pesos!$A:$I,9,FALSE)))</f>
        <v>0.92500000000000004</v>
      </c>
      <c r="AO178" s="80">
        <f>IF(V178="","",IF(V178="SIM",VLOOKUP($I178&amp;$J178&amp;V$1,Pesos!$A:$I,7,FALSE),VLOOKUP($I178&amp;$J178&amp;V$1,Pesos!$A:$I,9,FALSE)))</f>
        <v>0.92500000000000004</v>
      </c>
      <c r="AP178" s="80">
        <f>IF(W178="","",IF(W178="SIM",VLOOKUP($I178&amp;$J178&amp;W$1,Pesos!$A:$I,7,FALSE),VLOOKUP($I178&amp;$J178&amp;W$1,Pesos!$A:$I,9,FALSE)))</f>
        <v>-4.4999999999999998E-2</v>
      </c>
      <c r="AQ178" s="80">
        <f>IF(X178="","",IF(X178="SIM",VLOOKUP($I178&amp;$J178&amp;X$1,Pesos!$A:$I,7,FALSE),VLOOKUP($I178&amp;$J178&amp;X$1,Pesos!$A:$I,9,FALSE)))</f>
        <v>0.95</v>
      </c>
      <c r="AR178" s="80" t="str">
        <f>IF(Y178="","",IF(Y178="SIM",VLOOKUP($I178&amp;$J178&amp;Y$1,Pesos!$A:$I,7,FALSE),VLOOKUP($I178&amp;$J178&amp;Y$1,Pesos!$A:$I,9,FALSE)))</f>
        <v/>
      </c>
      <c r="AS178" s="81">
        <f>IFERROR(Z178*VLOOKUP(J178,'BD Campos'!$Y$1:$Z$12,2,FALSE),"0")</f>
        <v>9.0549999999999997</v>
      </c>
    </row>
    <row r="179" spans="1:45" x14ac:dyDescent="0.35">
      <c r="A179" s="68" t="str">
        <f t="shared" si="26"/>
        <v>Jan20254183ReceptivaUTI (RJ)</v>
      </c>
      <c r="B179" s="69" t="str">
        <f t="shared" si="27"/>
        <v>Jan202541835UTI (RJ)PADRÃO</v>
      </c>
      <c r="C179" s="70">
        <v>1</v>
      </c>
      <c r="D179" s="71">
        <v>45677.407310069444</v>
      </c>
      <c r="E179" s="112" t="s">
        <v>74</v>
      </c>
      <c r="F179" s="72">
        <v>4183</v>
      </c>
      <c r="G179" s="69" t="s">
        <v>227</v>
      </c>
      <c r="H179" s="73">
        <v>5</v>
      </c>
      <c r="I179" s="69" t="s">
        <v>6</v>
      </c>
      <c r="J179" s="69" t="s">
        <v>98</v>
      </c>
      <c r="K179" s="69" t="s">
        <v>278</v>
      </c>
      <c r="L179" s="74"/>
      <c r="M179" s="75">
        <v>1.1689814814814816E-3</v>
      </c>
      <c r="N179" s="76" t="s">
        <v>79</v>
      </c>
      <c r="O179" s="76" t="s">
        <v>79</v>
      </c>
      <c r="P179" s="76" t="s">
        <v>79</v>
      </c>
      <c r="Q179" s="76" t="s">
        <v>79</v>
      </c>
      <c r="R179" s="76" t="s">
        <v>79</v>
      </c>
      <c r="S179" s="76" t="s">
        <v>79</v>
      </c>
      <c r="T179" s="76" t="s">
        <v>79</v>
      </c>
      <c r="U179" s="76" t="s">
        <v>79</v>
      </c>
      <c r="V179" s="76" t="s">
        <v>79</v>
      </c>
      <c r="W179" s="76" t="s">
        <v>79</v>
      </c>
      <c r="X179" s="76" t="s">
        <v>79</v>
      </c>
      <c r="Y179" s="76" t="s">
        <v>79</v>
      </c>
      <c r="Z179" s="77">
        <f t="shared" si="2"/>
        <v>10</v>
      </c>
      <c r="AA179" s="78"/>
      <c r="AB179" s="78"/>
      <c r="AC179" s="72" t="s">
        <v>47</v>
      </c>
      <c r="AE179" s="79" t="str">
        <f t="shared" si="30"/>
        <v>Jan4183</v>
      </c>
      <c r="AF179" s="80">
        <f>IF(N179="","",IF(N179="SIM",VLOOKUP($I179&amp;$J179&amp;N$1,Pesos!$A:$I,7,FALSE),VLOOKUP($I179&amp;$J179&amp;N$1,Pesos!$A:$I,9,FALSE)))</f>
        <v>0.8</v>
      </c>
      <c r="AG179" s="80">
        <f>IF(O179="","",IF(O179="SIM",VLOOKUP($I179&amp;$J179&amp;O$1,Pesos!$A:$I,7,FALSE),VLOOKUP($I179&amp;$J179&amp;O$1,Pesos!$A:$I,9,FALSE)))</f>
        <v>0.8</v>
      </c>
      <c r="AH179" s="80">
        <f>IF(P179="","",IF(P179="SIM",VLOOKUP($I179&amp;$J179&amp;P$1,Pesos!$A:$I,7,FALSE),VLOOKUP($I179&amp;$J179&amp;P$1,Pesos!$A:$I,9,FALSE)))</f>
        <v>1.2</v>
      </c>
      <c r="AI179" s="80">
        <f>IF(Q179="","",IF(Q179="SIM",VLOOKUP($I179&amp;$J179&amp;Q$1,Pesos!$A:$I,7,FALSE),VLOOKUP($I179&amp;$J179&amp;Q$1,Pesos!$A:$I,9,FALSE)))</f>
        <v>0.8</v>
      </c>
      <c r="AJ179" s="80">
        <f>IF(R179="","",IF(R179="SIM",VLOOKUP($I179&amp;$J179&amp;R$1,Pesos!$A:$I,7,FALSE),VLOOKUP($I179&amp;$J179&amp;R$1,Pesos!$A:$I,9,FALSE)))</f>
        <v>0.8</v>
      </c>
      <c r="AK179" s="80">
        <f>IF(S179="","",IF(S179="SIM",VLOOKUP($I179&amp;$J179&amp;S$1,Pesos!$A:$I,7,FALSE),VLOOKUP($I179&amp;$J179&amp;S$1,Pesos!$A:$I,9,FALSE)))</f>
        <v>0.8</v>
      </c>
      <c r="AL179" s="80">
        <f t="shared" si="31"/>
        <v>5.1999999999999993</v>
      </c>
      <c r="AM179" s="80">
        <f>IF(T179="","",IF(T179="SIM",VLOOKUP($I179&amp;$J179&amp;T$1,Pesos!$A:$I,7,FALSE),VLOOKUP($I179&amp;$J179&amp;T$1,Pesos!$A:$I,9,FALSE)))</f>
        <v>0.8</v>
      </c>
      <c r="AN179" s="80">
        <f>IF(U179="","",IF(U179="SIM",VLOOKUP($I179&amp;$J179&amp;U$1,Pesos!$A:$I,7,FALSE),VLOOKUP($I179&amp;$J179&amp;U$1,Pesos!$A:$I,9,FALSE)))</f>
        <v>0.8</v>
      </c>
      <c r="AO179" s="80">
        <f>IF(V179="","",IF(V179="SIM",VLOOKUP($I179&amp;$J179&amp;V$1,Pesos!$A:$I,7,FALSE),VLOOKUP($I179&amp;$J179&amp;V$1,Pesos!$A:$I,9,FALSE)))</f>
        <v>0.8</v>
      </c>
      <c r="AP179" s="80">
        <f>IF(W179="","",IF(W179="SIM",VLOOKUP($I179&amp;$J179&amp;W$1,Pesos!$A:$I,7,FALSE),VLOOKUP($I179&amp;$J179&amp;W$1,Pesos!$A:$I,9,FALSE)))</f>
        <v>0.8</v>
      </c>
      <c r="AQ179" s="80">
        <f>IF(X179="","",IF(X179="SIM",VLOOKUP($I179&amp;$J179&amp;X$1,Pesos!$A:$I,7,FALSE),VLOOKUP($I179&amp;$J179&amp;X$1,Pesos!$A:$I,9,FALSE)))</f>
        <v>0.8</v>
      </c>
      <c r="AR179" s="80">
        <f>IF(Y179="","",IF(Y179="SIM",VLOOKUP($I179&amp;$J179&amp;Y$1,Pesos!$A:$I,7,FALSE),VLOOKUP($I179&amp;$J179&amp;Y$1,Pesos!$A:$I,9,FALSE)))</f>
        <v>0.8</v>
      </c>
      <c r="AS179" s="81">
        <f>IFERROR(Z179*VLOOKUP(J179,'BD Campos'!$Y$1:$Z$12,2,FALSE),"0")</f>
        <v>10</v>
      </c>
    </row>
    <row r="180" spans="1:45" x14ac:dyDescent="0.35">
      <c r="A180" s="68" t="str">
        <f t="shared" si="26"/>
        <v>Jan202510858ReceptivaUTI</v>
      </c>
      <c r="B180" s="69" t="str">
        <f t="shared" si="27"/>
        <v>Jan2025108585UTIPADRÃO</v>
      </c>
      <c r="C180" s="70">
        <v>1</v>
      </c>
      <c r="D180" s="71">
        <v>45677.422677546296</v>
      </c>
      <c r="E180" s="112" t="s">
        <v>74</v>
      </c>
      <c r="F180" s="72">
        <v>10858</v>
      </c>
      <c r="G180" s="69" t="s">
        <v>170</v>
      </c>
      <c r="H180" s="73">
        <v>5</v>
      </c>
      <c r="I180" s="69" t="s">
        <v>6</v>
      </c>
      <c r="J180" s="69" t="s">
        <v>98</v>
      </c>
      <c r="K180" s="69" t="s">
        <v>131</v>
      </c>
      <c r="L180" s="74"/>
      <c r="M180" s="75">
        <v>9.1435185185185185E-4</v>
      </c>
      <c r="N180" s="76" t="s">
        <v>79</v>
      </c>
      <c r="O180" s="76" t="s">
        <v>83</v>
      </c>
      <c r="P180" s="76" t="s">
        <v>79</v>
      </c>
      <c r="Q180" s="76" t="s">
        <v>79</v>
      </c>
      <c r="R180" s="76" t="s">
        <v>79</v>
      </c>
      <c r="S180" s="76" t="s">
        <v>79</v>
      </c>
      <c r="T180" s="76" t="s">
        <v>79</v>
      </c>
      <c r="U180" s="76" t="s">
        <v>79</v>
      </c>
      <c r="V180" s="76" t="s">
        <v>79</v>
      </c>
      <c r="W180" s="76" t="s">
        <v>79</v>
      </c>
      <c r="X180" s="76" t="s">
        <v>79</v>
      </c>
      <c r="Y180" s="76" t="s">
        <v>79</v>
      </c>
      <c r="Z180" s="77">
        <f t="shared" si="2"/>
        <v>9.16</v>
      </c>
      <c r="AA180" s="78"/>
      <c r="AB180" s="78"/>
      <c r="AC180" s="72" t="s">
        <v>47</v>
      </c>
      <c r="AE180" s="79" t="str">
        <f t="shared" si="30"/>
        <v>Jan10858</v>
      </c>
      <c r="AF180" s="80">
        <f>IF(N180="","",IF(N180="SIM",VLOOKUP($I180&amp;$J180&amp;N$1,Pesos!$A:$I,7,FALSE),VLOOKUP($I180&amp;$J180&amp;N$1,Pesos!$A:$I,9,FALSE)))</f>
        <v>0.8</v>
      </c>
      <c r="AG180" s="80">
        <f>IF(O180="","",IF(O180="SIM",VLOOKUP($I180&amp;$J180&amp;O$1,Pesos!$A:$I,7,FALSE),VLOOKUP($I180&amp;$J180&amp;O$1,Pesos!$A:$I,9,FALSE)))</f>
        <v>-4.0000000000000008E-2</v>
      </c>
      <c r="AH180" s="80">
        <f>IF(P180="","",IF(P180="SIM",VLOOKUP($I180&amp;$J180&amp;P$1,Pesos!$A:$I,7,FALSE),VLOOKUP($I180&amp;$J180&amp;P$1,Pesos!$A:$I,9,FALSE)))</f>
        <v>1.2</v>
      </c>
      <c r="AI180" s="80">
        <f>IF(Q180="","",IF(Q180="SIM",VLOOKUP($I180&amp;$J180&amp;Q$1,Pesos!$A:$I,7,FALSE),VLOOKUP($I180&amp;$J180&amp;Q$1,Pesos!$A:$I,9,FALSE)))</f>
        <v>0.8</v>
      </c>
      <c r="AJ180" s="80">
        <f>IF(R180="","",IF(R180="SIM",VLOOKUP($I180&amp;$J180&amp;R$1,Pesos!$A:$I,7,FALSE),VLOOKUP($I180&amp;$J180&amp;R$1,Pesos!$A:$I,9,FALSE)))</f>
        <v>0.8</v>
      </c>
      <c r="AK180" s="80">
        <f>IF(S180="","",IF(S180="SIM",VLOOKUP($I180&amp;$J180&amp;S$1,Pesos!$A:$I,7,FALSE),VLOOKUP($I180&amp;$J180&amp;S$1,Pesos!$A:$I,9,FALSE)))</f>
        <v>0.8</v>
      </c>
      <c r="AL180" s="80">
        <f t="shared" si="31"/>
        <v>4.3599999999999994</v>
      </c>
      <c r="AM180" s="80">
        <f>IF(T180="","",IF(T180="SIM",VLOOKUP($I180&amp;$J180&amp;T$1,Pesos!$A:$I,7,FALSE),VLOOKUP($I180&amp;$J180&amp;T$1,Pesos!$A:$I,9,FALSE)))</f>
        <v>0.8</v>
      </c>
      <c r="AN180" s="80">
        <f>IF(U180="","",IF(U180="SIM",VLOOKUP($I180&amp;$J180&amp;U$1,Pesos!$A:$I,7,FALSE),VLOOKUP($I180&amp;$J180&amp;U$1,Pesos!$A:$I,9,FALSE)))</f>
        <v>0.8</v>
      </c>
      <c r="AO180" s="80">
        <f>IF(V180="","",IF(V180="SIM",VLOOKUP($I180&amp;$J180&amp;V$1,Pesos!$A:$I,7,FALSE),VLOOKUP($I180&amp;$J180&amp;V$1,Pesos!$A:$I,9,FALSE)))</f>
        <v>0.8</v>
      </c>
      <c r="AP180" s="80">
        <f>IF(W180="","",IF(W180="SIM",VLOOKUP($I180&amp;$J180&amp;W$1,Pesos!$A:$I,7,FALSE),VLOOKUP($I180&amp;$J180&amp;W$1,Pesos!$A:$I,9,FALSE)))</f>
        <v>0.8</v>
      </c>
      <c r="AQ180" s="80">
        <f>IF(X180="","",IF(X180="SIM",VLOOKUP($I180&amp;$J180&amp;X$1,Pesos!$A:$I,7,FALSE),VLOOKUP($I180&amp;$J180&amp;X$1,Pesos!$A:$I,9,FALSE)))</f>
        <v>0.8</v>
      </c>
      <c r="AR180" s="80">
        <f>IF(Y180="","",IF(Y180="SIM",VLOOKUP($I180&amp;$J180&amp;Y$1,Pesos!$A:$I,7,FALSE),VLOOKUP($I180&amp;$J180&amp;Y$1,Pesos!$A:$I,9,FALSE)))</f>
        <v>0.8</v>
      </c>
      <c r="AS180" s="81">
        <f>IFERROR(Z180*VLOOKUP(J180,'BD Campos'!$Y$1:$Z$12,2,FALSE),"0")</f>
        <v>9.16</v>
      </c>
    </row>
    <row r="181" spans="1:45" x14ac:dyDescent="0.35">
      <c r="A181" s="68" t="str">
        <f t="shared" si="26"/>
        <v>Jan202510858MotoristaUTI</v>
      </c>
      <c r="B181" s="69" t="str">
        <f t="shared" si="27"/>
        <v>Jan2025108581UTIPADRÃO</v>
      </c>
      <c r="C181" s="70">
        <v>1</v>
      </c>
      <c r="D181" s="71">
        <v>45677.429530092595</v>
      </c>
      <c r="E181" s="112" t="s">
        <v>74</v>
      </c>
      <c r="F181" s="72">
        <v>10858</v>
      </c>
      <c r="G181" s="69" t="s">
        <v>170</v>
      </c>
      <c r="H181" s="73">
        <v>1</v>
      </c>
      <c r="I181" s="69" t="s">
        <v>123</v>
      </c>
      <c r="J181" s="69" t="s">
        <v>122</v>
      </c>
      <c r="K181" s="69" t="s">
        <v>131</v>
      </c>
      <c r="L181" s="74">
        <v>30800426</v>
      </c>
      <c r="M181" s="75">
        <v>1.0185185185185186E-3</v>
      </c>
      <c r="N181" s="76" t="s">
        <v>79</v>
      </c>
      <c r="O181" s="76" t="s">
        <v>79</v>
      </c>
      <c r="P181" s="76" t="s">
        <v>79</v>
      </c>
      <c r="Q181" s="76" t="s">
        <v>79</v>
      </c>
      <c r="R181" s="76" t="s">
        <v>79</v>
      </c>
      <c r="S181" s="76" t="s">
        <v>79</v>
      </c>
      <c r="T181" s="76" t="s">
        <v>79</v>
      </c>
      <c r="U181" s="76" t="s">
        <v>79</v>
      </c>
      <c r="V181" s="76" t="s">
        <v>79</v>
      </c>
      <c r="W181" s="76" t="s">
        <v>79</v>
      </c>
      <c r="X181" s="76"/>
      <c r="Y181" s="76"/>
      <c r="Z181" s="77">
        <f t="shared" si="2"/>
        <v>10</v>
      </c>
      <c r="AA181" s="78"/>
      <c r="AB181" s="78" t="s">
        <v>1519</v>
      </c>
      <c r="AC181" s="72" t="s">
        <v>47</v>
      </c>
      <c r="AE181" s="79" t="str">
        <f t="shared" si="30"/>
        <v>Jan10858</v>
      </c>
      <c r="AF181" s="80">
        <f>IF(N181="","",IF(N181="SIM",VLOOKUP($I181&amp;$J181&amp;N$1,Pesos!$A:$I,7,FALSE),VLOOKUP($I181&amp;$J181&amp;N$1,Pesos!$A:$I,9,FALSE)))</f>
        <v>1</v>
      </c>
      <c r="AG181" s="80">
        <f>IF(O181="","",IF(O181="SIM",VLOOKUP($I181&amp;$J181&amp;O$1,Pesos!$A:$I,7,FALSE),VLOOKUP($I181&amp;$J181&amp;O$1,Pesos!$A:$I,9,FALSE)))</f>
        <v>1</v>
      </c>
      <c r="AH181" s="80">
        <f>IF(P181="","",IF(P181="SIM",VLOOKUP($I181&amp;$J181&amp;P$1,Pesos!$A:$I,7,FALSE),VLOOKUP($I181&amp;$J181&amp;P$1,Pesos!$A:$I,9,FALSE)))</f>
        <v>1</v>
      </c>
      <c r="AI181" s="80">
        <f>IF(Q181="","",IF(Q181="SIM",VLOOKUP($I181&amp;$J181&amp;Q$1,Pesos!$A:$I,7,FALSE),VLOOKUP($I181&amp;$J181&amp;Q$1,Pesos!$A:$I,9,FALSE)))</f>
        <v>1</v>
      </c>
      <c r="AJ181" s="80">
        <f>IF(R181="","",IF(R181="SIM",VLOOKUP($I181&amp;$J181&amp;R$1,Pesos!$A:$I,7,FALSE),VLOOKUP($I181&amp;$J181&amp;R$1,Pesos!$A:$I,9,FALSE)))</f>
        <v>1</v>
      </c>
      <c r="AK181" s="80">
        <f>IF(S181="","",IF(S181="SIM",VLOOKUP($I181&amp;$J181&amp;S$1,Pesos!$A:$I,7,FALSE),VLOOKUP($I181&amp;$J181&amp;S$1,Pesos!$A:$I,9,FALSE)))</f>
        <v>1</v>
      </c>
      <c r="AL181" s="80">
        <f t="shared" si="31"/>
        <v>6</v>
      </c>
      <c r="AM181" s="80">
        <f>IF(T181="","",IF(T181="SIM",VLOOKUP($I181&amp;$J181&amp;T$1,Pesos!$A:$I,7,FALSE),VLOOKUP($I181&amp;$J181&amp;T$1,Pesos!$A:$I,9,FALSE)))</f>
        <v>1</v>
      </c>
      <c r="AN181" s="80">
        <f>IF(U181="","",IF(U181="SIM",VLOOKUP($I181&amp;$J181&amp;U$1,Pesos!$A:$I,7,FALSE),VLOOKUP($I181&amp;$J181&amp;U$1,Pesos!$A:$I,9,FALSE)))</f>
        <v>1</v>
      </c>
      <c r="AO181" s="80">
        <f>IF(V181="","",IF(V181="SIM",VLOOKUP($I181&amp;$J181&amp;V$1,Pesos!$A:$I,7,FALSE),VLOOKUP($I181&amp;$J181&amp;V$1,Pesos!$A:$I,9,FALSE)))</f>
        <v>1</v>
      </c>
      <c r="AP181" s="80">
        <f>IF(W181="","",IF(W181="SIM",VLOOKUP($I181&amp;$J181&amp;W$1,Pesos!$A:$I,7,FALSE),VLOOKUP($I181&amp;$J181&amp;W$1,Pesos!$A:$I,9,FALSE)))</f>
        <v>1</v>
      </c>
      <c r="AQ181" s="80" t="str">
        <f>IF(X181="","",IF(X181="SIM",VLOOKUP($I181&amp;$J181&amp;X$1,Pesos!$A:$I,7,FALSE),VLOOKUP($I181&amp;$J181&amp;X$1,Pesos!$A:$I,9,FALSE)))</f>
        <v/>
      </c>
      <c r="AR181" s="80" t="str">
        <f>IF(Y181="","",IF(Y181="SIM",VLOOKUP($I181&amp;$J181&amp;Y$1,Pesos!$A:$I,7,FALSE),VLOOKUP($I181&amp;$J181&amp;Y$1,Pesos!$A:$I,9,FALSE)))</f>
        <v/>
      </c>
      <c r="AS181" s="81">
        <f>IFERROR(Z181*VLOOKUP(J181,'BD Campos'!$Y$1:$Z$12,2,FALSE),"0")</f>
        <v>10</v>
      </c>
    </row>
    <row r="182" spans="1:45" x14ac:dyDescent="0.35">
      <c r="A182" s="68" t="str">
        <f t="shared" si="26"/>
        <v>Jan202510788ReceptivaUTI</v>
      </c>
      <c r="B182" s="69" t="str">
        <f t="shared" si="27"/>
        <v>Jan2025107885UTIPADRÃO</v>
      </c>
      <c r="C182" s="70">
        <v>1</v>
      </c>
      <c r="D182" s="71">
        <v>45677.441420601848</v>
      </c>
      <c r="E182" s="112" t="s">
        <v>74</v>
      </c>
      <c r="F182" s="72">
        <v>10788</v>
      </c>
      <c r="G182" s="69" t="s">
        <v>153</v>
      </c>
      <c r="H182" s="73">
        <v>5</v>
      </c>
      <c r="I182" s="69" t="s">
        <v>6</v>
      </c>
      <c r="J182" s="69" t="s">
        <v>98</v>
      </c>
      <c r="K182" s="69" t="s">
        <v>131</v>
      </c>
      <c r="L182" s="74"/>
      <c r="M182" s="75">
        <v>1.3657407407407409E-3</v>
      </c>
      <c r="N182" s="76" t="s">
        <v>79</v>
      </c>
      <c r="O182" s="76" t="s">
        <v>79</v>
      </c>
      <c r="P182" s="76" t="s">
        <v>79</v>
      </c>
      <c r="Q182" s="76" t="s">
        <v>79</v>
      </c>
      <c r="R182" s="76" t="s">
        <v>79</v>
      </c>
      <c r="S182" s="76" t="s">
        <v>79</v>
      </c>
      <c r="T182" s="76" t="s">
        <v>79</v>
      </c>
      <c r="U182" s="76" t="s">
        <v>79</v>
      </c>
      <c r="V182" s="76" t="s">
        <v>79</v>
      </c>
      <c r="W182" s="76" t="s">
        <v>79</v>
      </c>
      <c r="X182" s="76" t="s">
        <v>79</v>
      </c>
      <c r="Y182" s="76" t="s">
        <v>79</v>
      </c>
      <c r="Z182" s="77">
        <f t="shared" si="2"/>
        <v>10</v>
      </c>
      <c r="AA182" s="78"/>
      <c r="AB182" s="78"/>
      <c r="AC182" s="72" t="s">
        <v>47</v>
      </c>
      <c r="AE182" s="79" t="str">
        <f t="shared" si="30"/>
        <v>Jan10788</v>
      </c>
      <c r="AF182" s="80">
        <f>IF(N182="","",IF(N182="SIM",VLOOKUP($I182&amp;$J182&amp;N$1,Pesos!$A:$I,7,FALSE),VLOOKUP($I182&amp;$J182&amp;N$1,Pesos!$A:$I,9,FALSE)))</f>
        <v>0.8</v>
      </c>
      <c r="AG182" s="80">
        <f>IF(O182="","",IF(O182="SIM",VLOOKUP($I182&amp;$J182&amp;O$1,Pesos!$A:$I,7,FALSE),VLOOKUP($I182&amp;$J182&amp;O$1,Pesos!$A:$I,9,FALSE)))</f>
        <v>0.8</v>
      </c>
      <c r="AH182" s="80">
        <f>IF(P182="","",IF(P182="SIM",VLOOKUP($I182&amp;$J182&amp;P$1,Pesos!$A:$I,7,FALSE),VLOOKUP($I182&amp;$J182&amp;P$1,Pesos!$A:$I,9,FALSE)))</f>
        <v>1.2</v>
      </c>
      <c r="AI182" s="80">
        <f>IF(Q182="","",IF(Q182="SIM",VLOOKUP($I182&amp;$J182&amp;Q$1,Pesos!$A:$I,7,FALSE),VLOOKUP($I182&amp;$J182&amp;Q$1,Pesos!$A:$I,9,FALSE)))</f>
        <v>0.8</v>
      </c>
      <c r="AJ182" s="80">
        <f>IF(R182="","",IF(R182="SIM",VLOOKUP($I182&amp;$J182&amp;R$1,Pesos!$A:$I,7,FALSE),VLOOKUP($I182&amp;$J182&amp;R$1,Pesos!$A:$I,9,FALSE)))</f>
        <v>0.8</v>
      </c>
      <c r="AK182" s="80">
        <f>IF(S182="","",IF(S182="SIM",VLOOKUP($I182&amp;$J182&amp;S$1,Pesos!$A:$I,7,FALSE),VLOOKUP($I182&amp;$J182&amp;S$1,Pesos!$A:$I,9,FALSE)))</f>
        <v>0.8</v>
      </c>
      <c r="AL182" s="80">
        <f t="shared" si="31"/>
        <v>5.1999999999999993</v>
      </c>
      <c r="AM182" s="80">
        <f>IF(T182="","",IF(T182="SIM",VLOOKUP($I182&amp;$J182&amp;T$1,Pesos!$A:$I,7,FALSE),VLOOKUP($I182&amp;$J182&amp;T$1,Pesos!$A:$I,9,FALSE)))</f>
        <v>0.8</v>
      </c>
      <c r="AN182" s="80">
        <f>IF(U182="","",IF(U182="SIM",VLOOKUP($I182&amp;$J182&amp;U$1,Pesos!$A:$I,7,FALSE),VLOOKUP($I182&amp;$J182&amp;U$1,Pesos!$A:$I,9,FALSE)))</f>
        <v>0.8</v>
      </c>
      <c r="AO182" s="80">
        <f>IF(V182="","",IF(V182="SIM",VLOOKUP($I182&amp;$J182&amp;V$1,Pesos!$A:$I,7,FALSE),VLOOKUP($I182&amp;$J182&amp;V$1,Pesos!$A:$I,9,FALSE)))</f>
        <v>0.8</v>
      </c>
      <c r="AP182" s="80">
        <f>IF(W182="","",IF(W182="SIM",VLOOKUP($I182&amp;$J182&amp;W$1,Pesos!$A:$I,7,FALSE),VLOOKUP($I182&amp;$J182&amp;W$1,Pesos!$A:$I,9,FALSE)))</f>
        <v>0.8</v>
      </c>
      <c r="AQ182" s="80">
        <f>IF(X182="","",IF(X182="SIM",VLOOKUP($I182&amp;$J182&amp;X$1,Pesos!$A:$I,7,FALSE),VLOOKUP($I182&amp;$J182&amp;X$1,Pesos!$A:$I,9,FALSE)))</f>
        <v>0.8</v>
      </c>
      <c r="AR182" s="80">
        <f>IF(Y182="","",IF(Y182="SIM",VLOOKUP($I182&amp;$J182&amp;Y$1,Pesos!$A:$I,7,FALSE),VLOOKUP($I182&amp;$J182&amp;Y$1,Pesos!$A:$I,9,FALSE)))</f>
        <v>0.8</v>
      </c>
      <c r="AS182" s="81">
        <f>IFERROR(Z182*VLOOKUP(J182,'BD Campos'!$Y$1:$Z$12,2,FALSE),"0")</f>
        <v>10</v>
      </c>
    </row>
    <row r="183" spans="1:45" x14ac:dyDescent="0.35">
      <c r="A183" s="68" t="str">
        <f t="shared" si="26"/>
        <v>Jan202510788Ponto de ApoioUTI</v>
      </c>
      <c r="B183" s="69" t="str">
        <f t="shared" si="27"/>
        <v>Jan2025107881UTIPADRÃO</v>
      </c>
      <c r="C183" s="70">
        <v>1</v>
      </c>
      <c r="D183" s="71">
        <v>45677.444594675922</v>
      </c>
      <c r="E183" s="112" t="s">
        <v>74</v>
      </c>
      <c r="F183" s="72">
        <v>10788</v>
      </c>
      <c r="G183" s="69" t="s">
        <v>153</v>
      </c>
      <c r="H183" s="73">
        <v>1</v>
      </c>
      <c r="I183" s="69" t="s">
        <v>123</v>
      </c>
      <c r="J183" s="69" t="s">
        <v>125</v>
      </c>
      <c r="K183" s="69" t="s">
        <v>131</v>
      </c>
      <c r="L183" s="74">
        <v>30910224</v>
      </c>
      <c r="M183" s="75">
        <v>1.5277777777777779E-3</v>
      </c>
      <c r="N183" s="76" t="s">
        <v>79</v>
      </c>
      <c r="O183" s="76" t="s">
        <v>79</v>
      </c>
      <c r="P183" s="76" t="s">
        <v>79</v>
      </c>
      <c r="Q183" s="76" t="s">
        <v>79</v>
      </c>
      <c r="R183" s="76" t="s">
        <v>79</v>
      </c>
      <c r="S183" s="76" t="s">
        <v>83</v>
      </c>
      <c r="T183" s="76" t="s">
        <v>79</v>
      </c>
      <c r="U183" s="76" t="s">
        <v>79</v>
      </c>
      <c r="V183" s="76" t="s">
        <v>83</v>
      </c>
      <c r="W183" s="76" t="s">
        <v>83</v>
      </c>
      <c r="X183" s="76"/>
      <c r="Y183" s="76"/>
      <c r="Z183" s="77">
        <f t="shared" si="2"/>
        <v>6.8500000000000005</v>
      </c>
      <c r="AA183" s="78"/>
      <c r="AB183" s="78" t="s">
        <v>1520</v>
      </c>
      <c r="AC183" s="72" t="s">
        <v>47</v>
      </c>
      <c r="AE183" s="79" t="str">
        <f t="shared" si="30"/>
        <v>Jan10788</v>
      </c>
      <c r="AF183" s="80">
        <f>IF(N183="","",IF(N183="SIM",VLOOKUP($I183&amp;$J183&amp;N$1,Pesos!$A:$I,7,FALSE),VLOOKUP($I183&amp;$J183&amp;N$1,Pesos!$A:$I,9,FALSE)))</f>
        <v>1</v>
      </c>
      <c r="AG183" s="80">
        <f>IF(O183="","",IF(O183="SIM",VLOOKUP($I183&amp;$J183&amp;O$1,Pesos!$A:$I,7,FALSE),VLOOKUP($I183&amp;$J183&amp;O$1,Pesos!$A:$I,9,FALSE)))</f>
        <v>1</v>
      </c>
      <c r="AH183" s="80">
        <f>IF(P183="","",IF(P183="SIM",VLOOKUP($I183&amp;$J183&amp;P$1,Pesos!$A:$I,7,FALSE),VLOOKUP($I183&amp;$J183&amp;P$1,Pesos!$A:$I,9,FALSE)))</f>
        <v>1</v>
      </c>
      <c r="AI183" s="80">
        <f>IF(Q183="","",IF(Q183="SIM",VLOOKUP($I183&amp;$J183&amp;Q$1,Pesos!$A:$I,7,FALSE),VLOOKUP($I183&amp;$J183&amp;Q$1,Pesos!$A:$I,9,FALSE)))</f>
        <v>1</v>
      </c>
      <c r="AJ183" s="80">
        <f>IF(R183="","",IF(R183="SIM",VLOOKUP($I183&amp;$J183&amp;R$1,Pesos!$A:$I,7,FALSE),VLOOKUP($I183&amp;$J183&amp;R$1,Pesos!$A:$I,9,FALSE)))</f>
        <v>1</v>
      </c>
      <c r="AK183" s="80">
        <f>IF(S183="","",IF(S183="SIM",VLOOKUP($I183&amp;$J183&amp;S$1,Pesos!$A:$I,7,FALSE),VLOOKUP($I183&amp;$J183&amp;S$1,Pesos!$A:$I,9,FALSE)))</f>
        <v>-0.05</v>
      </c>
      <c r="AL183" s="80">
        <f t="shared" si="31"/>
        <v>4.95</v>
      </c>
      <c r="AM183" s="80">
        <f>IF(T183="","",IF(T183="SIM",VLOOKUP($I183&amp;$J183&amp;T$1,Pesos!$A:$I,7,FALSE),VLOOKUP($I183&amp;$J183&amp;T$1,Pesos!$A:$I,9,FALSE)))</f>
        <v>1</v>
      </c>
      <c r="AN183" s="80">
        <f>IF(U183="","",IF(U183="SIM",VLOOKUP($I183&amp;$J183&amp;U$1,Pesos!$A:$I,7,FALSE),VLOOKUP($I183&amp;$J183&amp;U$1,Pesos!$A:$I,9,FALSE)))</f>
        <v>1</v>
      </c>
      <c r="AO183" s="80">
        <f>IF(V183="","",IF(V183="SIM",VLOOKUP($I183&amp;$J183&amp;V$1,Pesos!$A:$I,7,FALSE),VLOOKUP($I183&amp;$J183&amp;V$1,Pesos!$A:$I,9,FALSE)))</f>
        <v>-0.05</v>
      </c>
      <c r="AP183" s="80">
        <f>IF(W183="","",IF(W183="SIM",VLOOKUP($I183&amp;$J183&amp;W$1,Pesos!$A:$I,7,FALSE),VLOOKUP($I183&amp;$J183&amp;W$1,Pesos!$A:$I,9,FALSE)))</f>
        <v>-0.05</v>
      </c>
      <c r="AQ183" s="80" t="str">
        <f>IF(X183="","",IF(X183="SIM",VLOOKUP($I183&amp;$J183&amp;X$1,Pesos!$A:$I,7,FALSE),VLOOKUP($I183&amp;$J183&amp;X$1,Pesos!$A:$I,9,FALSE)))</f>
        <v/>
      </c>
      <c r="AR183" s="80" t="str">
        <f>IF(Y183="","",IF(Y183="SIM",VLOOKUP($I183&amp;$J183&amp;Y$1,Pesos!$A:$I,7,FALSE),VLOOKUP($I183&amp;$J183&amp;Y$1,Pesos!$A:$I,9,FALSE)))</f>
        <v/>
      </c>
      <c r="AS183" s="81">
        <f>IFERROR(Z183*VLOOKUP(J183,'BD Campos'!$Y$1:$Z$12,2,FALSE),"0")</f>
        <v>6.8500000000000005</v>
      </c>
    </row>
    <row r="184" spans="1:45" x14ac:dyDescent="0.35">
      <c r="A184" s="68" t="str">
        <f t="shared" si="26"/>
        <v>Jan202510529MotoristaUTI (RJ)</v>
      </c>
      <c r="B184" s="69" t="str">
        <f t="shared" si="27"/>
        <v>Jan2025105291UTI (RJ)PADRÃO</v>
      </c>
      <c r="C184" s="70">
        <v>1</v>
      </c>
      <c r="D184" s="71">
        <v>45677.460836574071</v>
      </c>
      <c r="E184" s="112" t="s">
        <v>74</v>
      </c>
      <c r="F184" s="72">
        <v>10529</v>
      </c>
      <c r="G184" s="69" t="s">
        <v>281</v>
      </c>
      <c r="H184" s="73">
        <v>1</v>
      </c>
      <c r="I184" s="69" t="s">
        <v>121</v>
      </c>
      <c r="J184" s="69" t="s">
        <v>122</v>
      </c>
      <c r="K184" s="69" t="s">
        <v>278</v>
      </c>
      <c r="L184" s="74">
        <v>30843534</v>
      </c>
      <c r="M184" s="75">
        <v>1.5277777777777779E-3</v>
      </c>
      <c r="N184" s="76" t="s">
        <v>79</v>
      </c>
      <c r="O184" s="76" t="s">
        <v>79</v>
      </c>
      <c r="P184" s="76" t="s">
        <v>79</v>
      </c>
      <c r="Q184" s="76" t="s">
        <v>79</v>
      </c>
      <c r="R184" s="76" t="s">
        <v>79</v>
      </c>
      <c r="S184" s="76" t="s">
        <v>79</v>
      </c>
      <c r="T184" s="76" t="s">
        <v>79</v>
      </c>
      <c r="U184" s="76" t="s">
        <v>79</v>
      </c>
      <c r="V184" s="76" t="s">
        <v>79</v>
      </c>
      <c r="W184" s="76" t="s">
        <v>79</v>
      </c>
      <c r="X184" s="76" t="s">
        <v>79</v>
      </c>
      <c r="Y184" s="76"/>
      <c r="Z184" s="77">
        <f t="shared" si="2"/>
        <v>10</v>
      </c>
      <c r="AA184" s="78"/>
      <c r="AB184" s="78" t="s">
        <v>1521</v>
      </c>
      <c r="AC184" s="72" t="s">
        <v>47</v>
      </c>
      <c r="AE184" s="79" t="str">
        <f t="shared" si="30"/>
        <v>Jan10529</v>
      </c>
      <c r="AF184" s="80">
        <f>IF(N184="","",IF(N184="SIM",VLOOKUP($I184&amp;$J184&amp;N$1,Pesos!$A:$I,7,FALSE),VLOOKUP($I184&amp;$J184&amp;N$1,Pesos!$A:$I,9,FALSE)))</f>
        <v>0.89999999999999991</v>
      </c>
      <c r="AG184" s="80">
        <f>IF(O184="","",IF(O184="SIM",VLOOKUP($I184&amp;$J184&amp;O$1,Pesos!$A:$I,7,FALSE),VLOOKUP($I184&amp;$J184&amp;O$1,Pesos!$A:$I,9,FALSE)))</f>
        <v>0.89999999999999991</v>
      </c>
      <c r="AH184" s="80">
        <f>IF(P184="","",IF(P184="SIM",VLOOKUP($I184&amp;$J184&amp;P$1,Pesos!$A:$I,7,FALSE),VLOOKUP($I184&amp;$J184&amp;P$1,Pesos!$A:$I,9,FALSE)))</f>
        <v>0.89999999999999991</v>
      </c>
      <c r="AI184" s="80">
        <f>IF(Q184="","",IF(Q184="SIM",VLOOKUP($I184&amp;$J184&amp;Q$1,Pesos!$A:$I,7,FALSE),VLOOKUP($I184&amp;$J184&amp;Q$1,Pesos!$A:$I,9,FALSE)))</f>
        <v>0.89999999999999991</v>
      </c>
      <c r="AJ184" s="80">
        <f>IF(R184="","",IF(R184="SIM",VLOOKUP($I184&amp;$J184&amp;R$1,Pesos!$A:$I,7,FALSE),VLOOKUP($I184&amp;$J184&amp;R$1,Pesos!$A:$I,9,FALSE)))</f>
        <v>0.89999999999999991</v>
      </c>
      <c r="AK184" s="80">
        <f>IF(S184="","",IF(S184="SIM",VLOOKUP($I184&amp;$J184&amp;S$1,Pesos!$A:$I,7,FALSE),VLOOKUP($I184&amp;$J184&amp;S$1,Pesos!$A:$I,9,FALSE)))</f>
        <v>0.89999999999999991</v>
      </c>
      <c r="AL184" s="80">
        <f t="shared" si="31"/>
        <v>5.4</v>
      </c>
      <c r="AM184" s="80">
        <f>IF(T184="","",IF(T184="SIM",VLOOKUP($I184&amp;$J184&amp;T$1,Pesos!$A:$I,7,FALSE),VLOOKUP($I184&amp;$J184&amp;T$1,Pesos!$A:$I,9,FALSE)))</f>
        <v>0.89999999999999991</v>
      </c>
      <c r="AN184" s="80">
        <f>IF(U184="","",IF(U184="SIM",VLOOKUP($I184&amp;$J184&amp;U$1,Pesos!$A:$I,7,FALSE),VLOOKUP($I184&amp;$J184&amp;U$1,Pesos!$A:$I,9,FALSE)))</f>
        <v>0.92500000000000004</v>
      </c>
      <c r="AO184" s="80">
        <f>IF(V184="","",IF(V184="SIM",VLOOKUP($I184&amp;$J184&amp;V$1,Pesos!$A:$I,7,FALSE),VLOOKUP($I184&amp;$J184&amp;V$1,Pesos!$A:$I,9,FALSE)))</f>
        <v>0.92500000000000004</v>
      </c>
      <c r="AP184" s="80">
        <f>IF(W184="","",IF(W184="SIM",VLOOKUP($I184&amp;$J184&amp;W$1,Pesos!$A:$I,7,FALSE),VLOOKUP($I184&amp;$J184&amp;W$1,Pesos!$A:$I,9,FALSE)))</f>
        <v>0.89999999999999991</v>
      </c>
      <c r="AQ184" s="80">
        <f>IF(X184="","",IF(X184="SIM",VLOOKUP($I184&amp;$J184&amp;X$1,Pesos!$A:$I,7,FALSE),VLOOKUP($I184&amp;$J184&amp;X$1,Pesos!$A:$I,9,FALSE)))</f>
        <v>0.95</v>
      </c>
      <c r="AR184" s="80" t="str">
        <f>IF(Y184="","",IF(Y184="SIM",VLOOKUP($I184&amp;$J184&amp;Y$1,Pesos!$A:$I,7,FALSE),VLOOKUP($I184&amp;$J184&amp;Y$1,Pesos!$A:$I,9,FALSE)))</f>
        <v/>
      </c>
      <c r="AS184" s="81">
        <f>IFERROR(Z184*VLOOKUP(J184,'BD Campos'!$Y$1:$Z$12,2,FALSE),"0")</f>
        <v>10</v>
      </c>
    </row>
    <row r="185" spans="1:45" x14ac:dyDescent="0.35">
      <c r="A185" s="68" t="str">
        <f t="shared" si="26"/>
        <v>Jan202510529ReceptivaUTI (RJ)</v>
      </c>
      <c r="B185" s="69" t="str">
        <f t="shared" si="27"/>
        <v>Jan2025105295UTI (RJ)PADRÃO</v>
      </c>
      <c r="C185" s="70">
        <v>1</v>
      </c>
      <c r="D185" s="71">
        <v>45677.462649884263</v>
      </c>
      <c r="E185" s="112" t="s">
        <v>74</v>
      </c>
      <c r="F185" s="72">
        <v>10529</v>
      </c>
      <c r="G185" s="69" t="s">
        <v>281</v>
      </c>
      <c r="H185" s="73">
        <v>5</v>
      </c>
      <c r="I185" s="69" t="s">
        <v>6</v>
      </c>
      <c r="J185" s="69" t="s">
        <v>98</v>
      </c>
      <c r="K185" s="69" t="s">
        <v>278</v>
      </c>
      <c r="L185" s="74"/>
      <c r="M185" s="75">
        <v>9.6064814814814808E-4</v>
      </c>
      <c r="N185" s="76" t="s">
        <v>79</v>
      </c>
      <c r="O185" s="76" t="s">
        <v>79</v>
      </c>
      <c r="P185" s="76" t="s">
        <v>79</v>
      </c>
      <c r="Q185" s="76" t="s">
        <v>79</v>
      </c>
      <c r="R185" s="76" t="s">
        <v>79</v>
      </c>
      <c r="S185" s="76" t="s">
        <v>79</v>
      </c>
      <c r="T185" s="76" t="s">
        <v>79</v>
      </c>
      <c r="U185" s="76" t="s">
        <v>79</v>
      </c>
      <c r="V185" s="76" t="s">
        <v>79</v>
      </c>
      <c r="W185" s="76" t="s">
        <v>79</v>
      </c>
      <c r="X185" s="76" t="s">
        <v>79</v>
      </c>
      <c r="Y185" s="76" t="s">
        <v>79</v>
      </c>
      <c r="Z185" s="77">
        <f t="shared" si="2"/>
        <v>10</v>
      </c>
      <c r="AA185" s="78"/>
      <c r="AB185" s="78"/>
      <c r="AC185" s="72" t="s">
        <v>47</v>
      </c>
      <c r="AE185" s="79" t="str">
        <f t="shared" si="30"/>
        <v>Jan10529</v>
      </c>
      <c r="AF185" s="80">
        <f>IF(N185="","",IF(N185="SIM",VLOOKUP($I185&amp;$J185&amp;N$1,Pesos!$A:$I,7,FALSE),VLOOKUP($I185&amp;$J185&amp;N$1,Pesos!$A:$I,9,FALSE)))</f>
        <v>0.8</v>
      </c>
      <c r="AG185" s="80">
        <f>IF(O185="","",IF(O185="SIM",VLOOKUP($I185&amp;$J185&amp;O$1,Pesos!$A:$I,7,FALSE),VLOOKUP($I185&amp;$J185&amp;O$1,Pesos!$A:$I,9,FALSE)))</f>
        <v>0.8</v>
      </c>
      <c r="AH185" s="80">
        <f>IF(P185="","",IF(P185="SIM",VLOOKUP($I185&amp;$J185&amp;P$1,Pesos!$A:$I,7,FALSE),VLOOKUP($I185&amp;$J185&amp;P$1,Pesos!$A:$I,9,FALSE)))</f>
        <v>1.2</v>
      </c>
      <c r="AI185" s="80">
        <f>IF(Q185="","",IF(Q185="SIM",VLOOKUP($I185&amp;$J185&amp;Q$1,Pesos!$A:$I,7,FALSE),VLOOKUP($I185&amp;$J185&amp;Q$1,Pesos!$A:$I,9,FALSE)))</f>
        <v>0.8</v>
      </c>
      <c r="AJ185" s="80">
        <f>IF(R185="","",IF(R185="SIM",VLOOKUP($I185&amp;$J185&amp;R$1,Pesos!$A:$I,7,FALSE),VLOOKUP($I185&amp;$J185&amp;R$1,Pesos!$A:$I,9,FALSE)))</f>
        <v>0.8</v>
      </c>
      <c r="AK185" s="80">
        <f>IF(S185="","",IF(S185="SIM",VLOOKUP($I185&amp;$J185&amp;S$1,Pesos!$A:$I,7,FALSE),VLOOKUP($I185&amp;$J185&amp;S$1,Pesos!$A:$I,9,FALSE)))</f>
        <v>0.8</v>
      </c>
      <c r="AL185" s="80">
        <f t="shared" si="31"/>
        <v>5.1999999999999993</v>
      </c>
      <c r="AM185" s="80">
        <f>IF(T185="","",IF(T185="SIM",VLOOKUP($I185&amp;$J185&amp;T$1,Pesos!$A:$I,7,FALSE),VLOOKUP($I185&amp;$J185&amp;T$1,Pesos!$A:$I,9,FALSE)))</f>
        <v>0.8</v>
      </c>
      <c r="AN185" s="80">
        <f>IF(U185="","",IF(U185="SIM",VLOOKUP($I185&amp;$J185&amp;U$1,Pesos!$A:$I,7,FALSE),VLOOKUP($I185&amp;$J185&amp;U$1,Pesos!$A:$I,9,FALSE)))</f>
        <v>0.8</v>
      </c>
      <c r="AO185" s="80">
        <f>IF(V185="","",IF(V185="SIM",VLOOKUP($I185&amp;$J185&amp;V$1,Pesos!$A:$I,7,FALSE),VLOOKUP($I185&amp;$J185&amp;V$1,Pesos!$A:$I,9,FALSE)))</f>
        <v>0.8</v>
      </c>
      <c r="AP185" s="80">
        <f>IF(W185="","",IF(W185="SIM",VLOOKUP($I185&amp;$J185&amp;W$1,Pesos!$A:$I,7,FALSE),VLOOKUP($I185&amp;$J185&amp;W$1,Pesos!$A:$I,9,FALSE)))</f>
        <v>0.8</v>
      </c>
      <c r="AQ185" s="80">
        <f>IF(X185="","",IF(X185="SIM",VLOOKUP($I185&amp;$J185&amp;X$1,Pesos!$A:$I,7,FALSE),VLOOKUP($I185&amp;$J185&amp;X$1,Pesos!$A:$I,9,FALSE)))</f>
        <v>0.8</v>
      </c>
      <c r="AR185" s="80">
        <f>IF(Y185="","",IF(Y185="SIM",VLOOKUP($I185&amp;$J185&amp;Y$1,Pesos!$A:$I,7,FALSE),VLOOKUP($I185&amp;$J185&amp;Y$1,Pesos!$A:$I,9,FALSE)))</f>
        <v>0.8</v>
      </c>
      <c r="AS185" s="81">
        <f>IFERROR(Z185*VLOOKUP(J185,'BD Campos'!$Y$1:$Z$12,2,FALSE),"0")</f>
        <v>10</v>
      </c>
    </row>
    <row r="186" spans="1:45" x14ac:dyDescent="0.35">
      <c r="A186" s="68" t="str">
        <f t="shared" si="26"/>
        <v>Jan202510765ReceptivaUTI</v>
      </c>
      <c r="B186" s="69" t="str">
        <f t="shared" si="27"/>
        <v>Jan2025107655UTIPADRÃO</v>
      </c>
      <c r="C186" s="70">
        <v>1</v>
      </c>
      <c r="D186" s="71">
        <v>45677.465761689811</v>
      </c>
      <c r="E186" s="112" t="s">
        <v>74</v>
      </c>
      <c r="F186" s="72">
        <v>10765</v>
      </c>
      <c r="G186" s="69" t="s">
        <v>274</v>
      </c>
      <c r="H186" s="73">
        <v>5</v>
      </c>
      <c r="I186" s="69" t="s">
        <v>6</v>
      </c>
      <c r="J186" s="69" t="s">
        <v>98</v>
      </c>
      <c r="K186" s="69" t="s">
        <v>131</v>
      </c>
      <c r="L186" s="74"/>
      <c r="M186" s="75">
        <v>1.0416666666666667E-3</v>
      </c>
      <c r="N186" s="76" t="s">
        <v>79</v>
      </c>
      <c r="O186" s="76" t="s">
        <v>79</v>
      </c>
      <c r="P186" s="76" t="s">
        <v>79</v>
      </c>
      <c r="Q186" s="76" t="s">
        <v>79</v>
      </c>
      <c r="R186" s="76" t="s">
        <v>79</v>
      </c>
      <c r="S186" s="76" t="s">
        <v>79</v>
      </c>
      <c r="T186" s="76" t="s">
        <v>79</v>
      </c>
      <c r="U186" s="76" t="s">
        <v>79</v>
      </c>
      <c r="V186" s="76" t="s">
        <v>79</v>
      </c>
      <c r="W186" s="76" t="s">
        <v>79</v>
      </c>
      <c r="X186" s="76" t="s">
        <v>79</v>
      </c>
      <c r="Y186" s="76" t="s">
        <v>79</v>
      </c>
      <c r="Z186" s="77">
        <f t="shared" si="2"/>
        <v>10</v>
      </c>
      <c r="AA186" s="78"/>
      <c r="AB186" s="78"/>
      <c r="AC186" s="72" t="s">
        <v>47</v>
      </c>
      <c r="AE186" s="79" t="str">
        <f t="shared" si="30"/>
        <v>Jan10765</v>
      </c>
      <c r="AF186" s="80">
        <f>IF(N186="","",IF(N186="SIM",VLOOKUP($I186&amp;$J186&amp;N$1,Pesos!$A:$I,7,FALSE),VLOOKUP($I186&amp;$J186&amp;N$1,Pesos!$A:$I,9,FALSE)))</f>
        <v>0.8</v>
      </c>
      <c r="AG186" s="80">
        <f>IF(O186="","",IF(O186="SIM",VLOOKUP($I186&amp;$J186&amp;O$1,Pesos!$A:$I,7,FALSE),VLOOKUP($I186&amp;$J186&amp;O$1,Pesos!$A:$I,9,FALSE)))</f>
        <v>0.8</v>
      </c>
      <c r="AH186" s="80">
        <f>IF(P186="","",IF(P186="SIM",VLOOKUP($I186&amp;$J186&amp;P$1,Pesos!$A:$I,7,FALSE),VLOOKUP($I186&amp;$J186&amp;P$1,Pesos!$A:$I,9,FALSE)))</f>
        <v>1.2</v>
      </c>
      <c r="AI186" s="80">
        <f>IF(Q186="","",IF(Q186="SIM",VLOOKUP($I186&amp;$J186&amp;Q$1,Pesos!$A:$I,7,FALSE),VLOOKUP($I186&amp;$J186&amp;Q$1,Pesos!$A:$I,9,FALSE)))</f>
        <v>0.8</v>
      </c>
      <c r="AJ186" s="80">
        <f>IF(R186="","",IF(R186="SIM",VLOOKUP($I186&amp;$J186&amp;R$1,Pesos!$A:$I,7,FALSE),VLOOKUP($I186&amp;$J186&amp;R$1,Pesos!$A:$I,9,FALSE)))</f>
        <v>0.8</v>
      </c>
      <c r="AK186" s="80">
        <f>IF(S186="","",IF(S186="SIM",VLOOKUP($I186&amp;$J186&amp;S$1,Pesos!$A:$I,7,FALSE),VLOOKUP($I186&amp;$J186&amp;S$1,Pesos!$A:$I,9,FALSE)))</f>
        <v>0.8</v>
      </c>
      <c r="AL186" s="80">
        <f t="shared" si="31"/>
        <v>5.1999999999999993</v>
      </c>
      <c r="AM186" s="80">
        <f>IF(T186="","",IF(T186="SIM",VLOOKUP($I186&amp;$J186&amp;T$1,Pesos!$A:$I,7,FALSE),VLOOKUP($I186&amp;$J186&amp;T$1,Pesos!$A:$I,9,FALSE)))</f>
        <v>0.8</v>
      </c>
      <c r="AN186" s="80">
        <f>IF(U186="","",IF(U186="SIM",VLOOKUP($I186&amp;$J186&amp;U$1,Pesos!$A:$I,7,FALSE),VLOOKUP($I186&amp;$J186&amp;U$1,Pesos!$A:$I,9,FALSE)))</f>
        <v>0.8</v>
      </c>
      <c r="AO186" s="80">
        <f>IF(V186="","",IF(V186="SIM",VLOOKUP($I186&amp;$J186&amp;V$1,Pesos!$A:$I,7,FALSE),VLOOKUP($I186&amp;$J186&amp;V$1,Pesos!$A:$I,9,FALSE)))</f>
        <v>0.8</v>
      </c>
      <c r="AP186" s="80">
        <f>IF(W186="","",IF(W186="SIM",VLOOKUP($I186&amp;$J186&amp;W$1,Pesos!$A:$I,7,FALSE),VLOOKUP($I186&amp;$J186&amp;W$1,Pesos!$A:$I,9,FALSE)))</f>
        <v>0.8</v>
      </c>
      <c r="AQ186" s="80">
        <f>IF(X186="","",IF(X186="SIM",VLOOKUP($I186&amp;$J186&amp;X$1,Pesos!$A:$I,7,FALSE),VLOOKUP($I186&amp;$J186&amp;X$1,Pesos!$A:$I,9,FALSE)))</f>
        <v>0.8</v>
      </c>
      <c r="AR186" s="80">
        <f>IF(Y186="","",IF(Y186="SIM",VLOOKUP($I186&amp;$J186&amp;Y$1,Pesos!$A:$I,7,FALSE),VLOOKUP($I186&amp;$J186&amp;Y$1,Pesos!$A:$I,9,FALSE)))</f>
        <v>0.8</v>
      </c>
      <c r="AS186" s="81">
        <f>IFERROR(Z186*VLOOKUP(J186,'BD Campos'!$Y$1:$Z$12,2,FALSE),"0")</f>
        <v>10</v>
      </c>
    </row>
    <row r="187" spans="1:45" x14ac:dyDescent="0.35">
      <c r="A187" s="68" t="str">
        <f t="shared" si="26"/>
        <v>Jan202510765MotoristaUTI</v>
      </c>
      <c r="B187" s="69" t="str">
        <f t="shared" si="27"/>
        <v>Jan2025107651UTIPADRÃO</v>
      </c>
      <c r="C187" s="70">
        <v>1</v>
      </c>
      <c r="D187" s="71">
        <v>45677.467563888888</v>
      </c>
      <c r="E187" s="112" t="s">
        <v>74</v>
      </c>
      <c r="F187" s="72">
        <v>10765</v>
      </c>
      <c r="G187" s="69" t="s">
        <v>274</v>
      </c>
      <c r="H187" s="73">
        <v>1</v>
      </c>
      <c r="I187" s="69" t="s">
        <v>123</v>
      </c>
      <c r="J187" s="69" t="s">
        <v>122</v>
      </c>
      <c r="K187" s="69" t="s">
        <v>131</v>
      </c>
      <c r="L187" s="74">
        <v>30863797</v>
      </c>
      <c r="M187" s="75">
        <v>1.3078703703703705E-3</v>
      </c>
      <c r="N187" s="76" t="s">
        <v>79</v>
      </c>
      <c r="O187" s="76" t="s">
        <v>79</v>
      </c>
      <c r="P187" s="76" t="s">
        <v>79</v>
      </c>
      <c r="Q187" s="76" t="s">
        <v>79</v>
      </c>
      <c r="R187" s="76" t="s">
        <v>79</v>
      </c>
      <c r="S187" s="76" t="s">
        <v>79</v>
      </c>
      <c r="T187" s="76" t="s">
        <v>79</v>
      </c>
      <c r="U187" s="76" t="s">
        <v>79</v>
      </c>
      <c r="V187" s="76" t="s">
        <v>79</v>
      </c>
      <c r="W187" s="76" t="s">
        <v>79</v>
      </c>
      <c r="X187" s="76"/>
      <c r="Y187" s="76"/>
      <c r="Z187" s="77">
        <f t="shared" si="2"/>
        <v>10</v>
      </c>
      <c r="AA187" s="78"/>
      <c r="AB187" s="78" t="s">
        <v>1522</v>
      </c>
      <c r="AC187" s="72" t="s">
        <v>47</v>
      </c>
      <c r="AE187" s="79" t="str">
        <f t="shared" si="30"/>
        <v>Jan10765</v>
      </c>
      <c r="AF187" s="80">
        <f>IF(N187="","",IF(N187="SIM",VLOOKUP($I187&amp;$J187&amp;N$1,Pesos!$A:$I,7,FALSE),VLOOKUP($I187&amp;$J187&amp;N$1,Pesos!$A:$I,9,FALSE)))</f>
        <v>1</v>
      </c>
      <c r="AG187" s="80">
        <f>IF(O187="","",IF(O187="SIM",VLOOKUP($I187&amp;$J187&amp;O$1,Pesos!$A:$I,7,FALSE),VLOOKUP($I187&amp;$J187&amp;O$1,Pesos!$A:$I,9,FALSE)))</f>
        <v>1</v>
      </c>
      <c r="AH187" s="80">
        <f>IF(P187="","",IF(P187="SIM",VLOOKUP($I187&amp;$J187&amp;P$1,Pesos!$A:$I,7,FALSE),VLOOKUP($I187&amp;$J187&amp;P$1,Pesos!$A:$I,9,FALSE)))</f>
        <v>1</v>
      </c>
      <c r="AI187" s="80">
        <f>IF(Q187="","",IF(Q187="SIM",VLOOKUP($I187&amp;$J187&amp;Q$1,Pesos!$A:$I,7,FALSE),VLOOKUP($I187&amp;$J187&amp;Q$1,Pesos!$A:$I,9,FALSE)))</f>
        <v>1</v>
      </c>
      <c r="AJ187" s="80">
        <f>IF(R187="","",IF(R187="SIM",VLOOKUP($I187&amp;$J187&amp;R$1,Pesos!$A:$I,7,FALSE),VLOOKUP($I187&amp;$J187&amp;R$1,Pesos!$A:$I,9,FALSE)))</f>
        <v>1</v>
      </c>
      <c r="AK187" s="80">
        <f>IF(S187="","",IF(S187="SIM",VLOOKUP($I187&amp;$J187&amp;S$1,Pesos!$A:$I,7,FALSE),VLOOKUP($I187&amp;$J187&amp;S$1,Pesos!$A:$I,9,FALSE)))</f>
        <v>1</v>
      </c>
      <c r="AL187" s="80">
        <f t="shared" si="31"/>
        <v>6</v>
      </c>
      <c r="AM187" s="80">
        <f>IF(T187="","",IF(T187="SIM",VLOOKUP($I187&amp;$J187&amp;T$1,Pesos!$A:$I,7,FALSE),VLOOKUP($I187&amp;$J187&amp;T$1,Pesos!$A:$I,9,FALSE)))</f>
        <v>1</v>
      </c>
      <c r="AN187" s="80">
        <f>IF(U187="","",IF(U187="SIM",VLOOKUP($I187&amp;$J187&amp;U$1,Pesos!$A:$I,7,FALSE),VLOOKUP($I187&amp;$J187&amp;U$1,Pesos!$A:$I,9,FALSE)))</f>
        <v>1</v>
      </c>
      <c r="AO187" s="80">
        <f>IF(V187="","",IF(V187="SIM",VLOOKUP($I187&amp;$J187&amp;V$1,Pesos!$A:$I,7,FALSE),VLOOKUP($I187&amp;$J187&amp;V$1,Pesos!$A:$I,9,FALSE)))</f>
        <v>1</v>
      </c>
      <c r="AP187" s="80">
        <f>IF(W187="","",IF(W187="SIM",VLOOKUP($I187&amp;$J187&amp;W$1,Pesos!$A:$I,7,FALSE),VLOOKUP($I187&amp;$J187&amp;W$1,Pesos!$A:$I,9,FALSE)))</f>
        <v>1</v>
      </c>
      <c r="AQ187" s="80" t="str">
        <f>IF(X187="","",IF(X187="SIM",VLOOKUP($I187&amp;$J187&amp;X$1,Pesos!$A:$I,7,FALSE),VLOOKUP($I187&amp;$J187&amp;X$1,Pesos!$A:$I,9,FALSE)))</f>
        <v/>
      </c>
      <c r="AR187" s="80" t="str">
        <f>IF(Y187="","",IF(Y187="SIM",VLOOKUP($I187&amp;$J187&amp;Y$1,Pesos!$A:$I,7,FALSE),VLOOKUP($I187&amp;$J187&amp;Y$1,Pesos!$A:$I,9,FALSE)))</f>
        <v/>
      </c>
      <c r="AS187" s="81">
        <f>IFERROR(Z187*VLOOKUP(J187,'BD Campos'!$Y$1:$Z$12,2,FALSE),"0")</f>
        <v>10</v>
      </c>
    </row>
    <row r="188" spans="1:45" x14ac:dyDescent="0.35">
      <c r="A188" s="68" t="str">
        <f t="shared" si="26"/>
        <v>Jan202510187ReceptivaUTI</v>
      </c>
      <c r="B188" s="69" t="str">
        <f t="shared" si="27"/>
        <v>Jan2025101875UTIPADRÃO</v>
      </c>
      <c r="C188" s="70">
        <v>1</v>
      </c>
      <c r="D188" s="71">
        <v>45677.474771759262</v>
      </c>
      <c r="E188" s="112" t="s">
        <v>74</v>
      </c>
      <c r="F188" s="72">
        <v>10187</v>
      </c>
      <c r="G188" s="69" t="s">
        <v>309</v>
      </c>
      <c r="H188" s="73">
        <v>5</v>
      </c>
      <c r="I188" s="69" t="s">
        <v>6</v>
      </c>
      <c r="J188" s="69" t="s">
        <v>98</v>
      </c>
      <c r="K188" s="69" t="s">
        <v>131</v>
      </c>
      <c r="L188" s="74"/>
      <c r="M188" s="75">
        <v>1.1689814814814816E-3</v>
      </c>
      <c r="N188" s="76" t="s">
        <v>79</v>
      </c>
      <c r="O188" s="76" t="s">
        <v>79</v>
      </c>
      <c r="P188" s="76" t="s">
        <v>79</v>
      </c>
      <c r="Q188" s="76" t="s">
        <v>79</v>
      </c>
      <c r="R188" s="76" t="s">
        <v>79</v>
      </c>
      <c r="S188" s="76" t="s">
        <v>79</v>
      </c>
      <c r="T188" s="76" t="s">
        <v>79</v>
      </c>
      <c r="U188" s="76" t="s">
        <v>79</v>
      </c>
      <c r="V188" s="76" t="s">
        <v>79</v>
      </c>
      <c r="W188" s="76" t="s">
        <v>79</v>
      </c>
      <c r="X188" s="76" t="s">
        <v>79</v>
      </c>
      <c r="Y188" s="76" t="s">
        <v>79</v>
      </c>
      <c r="Z188" s="77">
        <f t="shared" si="2"/>
        <v>10</v>
      </c>
      <c r="AA188" s="78"/>
      <c r="AB188" s="78"/>
      <c r="AC188" s="72" t="s">
        <v>47</v>
      </c>
      <c r="AE188" s="79" t="str">
        <f t="shared" si="30"/>
        <v>Jan10187</v>
      </c>
      <c r="AF188" s="80">
        <f>IF(N188="","",IF(N188="SIM",VLOOKUP($I188&amp;$J188&amp;N$1,Pesos!$A:$I,7,FALSE),VLOOKUP($I188&amp;$J188&amp;N$1,Pesos!$A:$I,9,FALSE)))</f>
        <v>0.8</v>
      </c>
      <c r="AG188" s="80">
        <f>IF(O188="","",IF(O188="SIM",VLOOKUP($I188&amp;$J188&amp;O$1,Pesos!$A:$I,7,FALSE),VLOOKUP($I188&amp;$J188&amp;O$1,Pesos!$A:$I,9,FALSE)))</f>
        <v>0.8</v>
      </c>
      <c r="AH188" s="80">
        <f>IF(P188="","",IF(P188="SIM",VLOOKUP($I188&amp;$J188&amp;P$1,Pesos!$A:$I,7,FALSE),VLOOKUP($I188&amp;$J188&amp;P$1,Pesos!$A:$I,9,FALSE)))</f>
        <v>1.2</v>
      </c>
      <c r="AI188" s="80">
        <f>IF(Q188="","",IF(Q188="SIM",VLOOKUP($I188&amp;$J188&amp;Q$1,Pesos!$A:$I,7,FALSE),VLOOKUP($I188&amp;$J188&amp;Q$1,Pesos!$A:$I,9,FALSE)))</f>
        <v>0.8</v>
      </c>
      <c r="AJ188" s="80">
        <f>IF(R188="","",IF(R188="SIM",VLOOKUP($I188&amp;$J188&amp;R$1,Pesos!$A:$I,7,FALSE),VLOOKUP($I188&amp;$J188&amp;R$1,Pesos!$A:$I,9,FALSE)))</f>
        <v>0.8</v>
      </c>
      <c r="AK188" s="80">
        <f>IF(S188="","",IF(S188="SIM",VLOOKUP($I188&amp;$J188&amp;S$1,Pesos!$A:$I,7,FALSE),VLOOKUP($I188&amp;$J188&amp;S$1,Pesos!$A:$I,9,FALSE)))</f>
        <v>0.8</v>
      </c>
      <c r="AL188" s="80">
        <f t="shared" si="31"/>
        <v>5.1999999999999993</v>
      </c>
      <c r="AM188" s="80">
        <f>IF(T188="","",IF(T188="SIM",VLOOKUP($I188&amp;$J188&amp;T$1,Pesos!$A:$I,7,FALSE),VLOOKUP($I188&amp;$J188&amp;T$1,Pesos!$A:$I,9,FALSE)))</f>
        <v>0.8</v>
      </c>
      <c r="AN188" s="80">
        <f>IF(U188="","",IF(U188="SIM",VLOOKUP($I188&amp;$J188&amp;U$1,Pesos!$A:$I,7,FALSE),VLOOKUP($I188&amp;$J188&amp;U$1,Pesos!$A:$I,9,FALSE)))</f>
        <v>0.8</v>
      </c>
      <c r="AO188" s="80">
        <f>IF(V188="","",IF(V188="SIM",VLOOKUP($I188&amp;$J188&amp;V$1,Pesos!$A:$I,7,FALSE),VLOOKUP($I188&amp;$J188&amp;V$1,Pesos!$A:$I,9,FALSE)))</f>
        <v>0.8</v>
      </c>
      <c r="AP188" s="80">
        <f>IF(W188="","",IF(W188="SIM",VLOOKUP($I188&amp;$J188&amp;W$1,Pesos!$A:$I,7,FALSE),VLOOKUP($I188&amp;$J188&amp;W$1,Pesos!$A:$I,9,FALSE)))</f>
        <v>0.8</v>
      </c>
      <c r="AQ188" s="80">
        <f>IF(X188="","",IF(X188="SIM",VLOOKUP($I188&amp;$J188&amp;X$1,Pesos!$A:$I,7,FALSE),VLOOKUP($I188&amp;$J188&amp;X$1,Pesos!$A:$I,9,FALSE)))</f>
        <v>0.8</v>
      </c>
      <c r="AR188" s="80">
        <f>IF(Y188="","",IF(Y188="SIM",VLOOKUP($I188&amp;$J188&amp;Y$1,Pesos!$A:$I,7,FALSE),VLOOKUP($I188&amp;$J188&amp;Y$1,Pesos!$A:$I,9,FALSE)))</f>
        <v>0.8</v>
      </c>
      <c r="AS188" s="81">
        <f>IFERROR(Z188*VLOOKUP(J188,'BD Campos'!$Y$1:$Z$12,2,FALSE),"0")</f>
        <v>10</v>
      </c>
    </row>
    <row r="189" spans="1:45" x14ac:dyDescent="0.35">
      <c r="A189" s="68" t="str">
        <f t="shared" si="26"/>
        <v>Jan20251945ReceptivaUTI</v>
      </c>
      <c r="B189" s="69" t="str">
        <f t="shared" si="27"/>
        <v>Jan202519455UTIPADRÃO</v>
      </c>
      <c r="C189" s="70">
        <v>1</v>
      </c>
      <c r="D189" s="71">
        <v>45677.478289930557</v>
      </c>
      <c r="E189" s="112" t="s">
        <v>74</v>
      </c>
      <c r="F189" s="72">
        <v>1945</v>
      </c>
      <c r="G189" s="69" t="s">
        <v>273</v>
      </c>
      <c r="H189" s="73">
        <v>5</v>
      </c>
      <c r="I189" s="69" t="s">
        <v>6</v>
      </c>
      <c r="J189" s="69" t="s">
        <v>98</v>
      </c>
      <c r="K189" s="69" t="s">
        <v>131</v>
      </c>
      <c r="L189" s="74"/>
      <c r="M189" s="75">
        <v>1.261574074074074E-3</v>
      </c>
      <c r="N189" s="76" t="s">
        <v>79</v>
      </c>
      <c r="O189" s="76" t="s">
        <v>79</v>
      </c>
      <c r="P189" s="76" t="s">
        <v>79</v>
      </c>
      <c r="Q189" s="76" t="s">
        <v>79</v>
      </c>
      <c r="R189" s="76" t="s">
        <v>79</v>
      </c>
      <c r="S189" s="76" t="s">
        <v>79</v>
      </c>
      <c r="T189" s="76" t="s">
        <v>79</v>
      </c>
      <c r="U189" s="76" t="s">
        <v>79</v>
      </c>
      <c r="V189" s="76" t="s">
        <v>79</v>
      </c>
      <c r="W189" s="76" t="s">
        <v>79</v>
      </c>
      <c r="X189" s="76" t="s">
        <v>79</v>
      </c>
      <c r="Y189" s="76" t="s">
        <v>79</v>
      </c>
      <c r="Z189" s="77">
        <f t="shared" si="2"/>
        <v>10</v>
      </c>
      <c r="AA189" s="78"/>
      <c r="AB189" s="78"/>
      <c r="AC189" s="72" t="s">
        <v>47</v>
      </c>
      <c r="AE189" s="79" t="str">
        <f t="shared" si="30"/>
        <v>Jan1945</v>
      </c>
      <c r="AF189" s="80">
        <f>IF(N189="","",IF(N189="SIM",VLOOKUP($I189&amp;$J189&amp;N$1,Pesos!$A:$I,7,FALSE),VLOOKUP($I189&amp;$J189&amp;N$1,Pesos!$A:$I,9,FALSE)))</f>
        <v>0.8</v>
      </c>
      <c r="AG189" s="80">
        <f>IF(O189="","",IF(O189="SIM",VLOOKUP($I189&amp;$J189&amp;O$1,Pesos!$A:$I,7,FALSE),VLOOKUP($I189&amp;$J189&amp;O$1,Pesos!$A:$I,9,FALSE)))</f>
        <v>0.8</v>
      </c>
      <c r="AH189" s="80">
        <f>IF(P189="","",IF(P189="SIM",VLOOKUP($I189&amp;$J189&amp;P$1,Pesos!$A:$I,7,FALSE),VLOOKUP($I189&amp;$J189&amp;P$1,Pesos!$A:$I,9,FALSE)))</f>
        <v>1.2</v>
      </c>
      <c r="AI189" s="80">
        <f>IF(Q189="","",IF(Q189="SIM",VLOOKUP($I189&amp;$J189&amp;Q$1,Pesos!$A:$I,7,FALSE),VLOOKUP($I189&amp;$J189&amp;Q$1,Pesos!$A:$I,9,FALSE)))</f>
        <v>0.8</v>
      </c>
      <c r="AJ189" s="80">
        <f>IF(R189="","",IF(R189="SIM",VLOOKUP($I189&amp;$J189&amp;R$1,Pesos!$A:$I,7,FALSE),VLOOKUP($I189&amp;$J189&amp;R$1,Pesos!$A:$I,9,FALSE)))</f>
        <v>0.8</v>
      </c>
      <c r="AK189" s="80">
        <f>IF(S189="","",IF(S189="SIM",VLOOKUP($I189&amp;$J189&amp;S$1,Pesos!$A:$I,7,FALSE),VLOOKUP($I189&amp;$J189&amp;S$1,Pesos!$A:$I,9,FALSE)))</f>
        <v>0.8</v>
      </c>
      <c r="AL189" s="80">
        <f t="shared" si="31"/>
        <v>5.1999999999999993</v>
      </c>
      <c r="AM189" s="80">
        <f>IF(T189="","",IF(T189="SIM",VLOOKUP($I189&amp;$J189&amp;T$1,Pesos!$A:$I,7,FALSE),VLOOKUP($I189&amp;$J189&amp;T$1,Pesos!$A:$I,9,FALSE)))</f>
        <v>0.8</v>
      </c>
      <c r="AN189" s="80">
        <f>IF(U189="","",IF(U189="SIM",VLOOKUP($I189&amp;$J189&amp;U$1,Pesos!$A:$I,7,FALSE),VLOOKUP($I189&amp;$J189&amp;U$1,Pesos!$A:$I,9,FALSE)))</f>
        <v>0.8</v>
      </c>
      <c r="AO189" s="80">
        <f>IF(V189="","",IF(V189="SIM",VLOOKUP($I189&amp;$J189&amp;V$1,Pesos!$A:$I,7,FALSE),VLOOKUP($I189&amp;$J189&amp;V$1,Pesos!$A:$I,9,FALSE)))</f>
        <v>0.8</v>
      </c>
      <c r="AP189" s="80">
        <f>IF(W189="","",IF(W189="SIM",VLOOKUP($I189&amp;$J189&amp;W$1,Pesos!$A:$I,7,FALSE),VLOOKUP($I189&amp;$J189&amp;W$1,Pesos!$A:$I,9,FALSE)))</f>
        <v>0.8</v>
      </c>
      <c r="AQ189" s="80">
        <f>IF(X189="","",IF(X189="SIM",VLOOKUP($I189&amp;$J189&amp;X$1,Pesos!$A:$I,7,FALSE),VLOOKUP($I189&amp;$J189&amp;X$1,Pesos!$A:$I,9,FALSE)))</f>
        <v>0.8</v>
      </c>
      <c r="AR189" s="80">
        <f>IF(Y189="","",IF(Y189="SIM",VLOOKUP($I189&amp;$J189&amp;Y$1,Pesos!$A:$I,7,FALSE),VLOOKUP($I189&amp;$J189&amp;Y$1,Pesos!$A:$I,9,FALSE)))</f>
        <v>0.8</v>
      </c>
      <c r="AS189" s="81">
        <f>IFERROR(Z189*VLOOKUP(J189,'BD Campos'!$Y$1:$Z$12,2,FALSE),"0")</f>
        <v>10</v>
      </c>
    </row>
    <row r="190" spans="1:45" x14ac:dyDescent="0.35">
      <c r="A190" s="68" t="str">
        <f t="shared" si="26"/>
        <v>Jan202510807Ponto de ApoioUTI</v>
      </c>
      <c r="B190" s="69" t="str">
        <f t="shared" si="27"/>
        <v>Jan2025108071UTIPADRÃO</v>
      </c>
      <c r="C190" s="70">
        <v>1</v>
      </c>
      <c r="D190" s="71">
        <v>45677.545817013888</v>
      </c>
      <c r="E190" s="112" t="s">
        <v>74</v>
      </c>
      <c r="F190" s="72">
        <v>10807</v>
      </c>
      <c r="G190" s="69" t="s">
        <v>111</v>
      </c>
      <c r="H190" s="73">
        <v>1</v>
      </c>
      <c r="I190" s="69" t="s">
        <v>123</v>
      </c>
      <c r="J190" s="69" t="s">
        <v>125</v>
      </c>
      <c r="K190" s="69" t="s">
        <v>131</v>
      </c>
      <c r="L190" s="74">
        <v>30823368</v>
      </c>
      <c r="M190" s="75">
        <v>1.0995370370370371E-3</v>
      </c>
      <c r="N190" s="76" t="s">
        <v>79</v>
      </c>
      <c r="O190" s="76" t="s">
        <v>79</v>
      </c>
      <c r="P190" s="76" t="s">
        <v>79</v>
      </c>
      <c r="Q190" s="76" t="s">
        <v>79</v>
      </c>
      <c r="R190" s="76" t="s">
        <v>79</v>
      </c>
      <c r="S190" s="76" t="s">
        <v>79</v>
      </c>
      <c r="T190" s="76" t="s">
        <v>79</v>
      </c>
      <c r="U190" s="76" t="s">
        <v>79</v>
      </c>
      <c r="V190" s="76" t="s">
        <v>83</v>
      </c>
      <c r="W190" s="76" t="s">
        <v>79</v>
      </c>
      <c r="X190" s="76"/>
      <c r="Y190" s="76"/>
      <c r="Z190" s="77">
        <f t="shared" si="2"/>
        <v>8.9499999999999993</v>
      </c>
      <c r="AA190" s="78"/>
      <c r="AB190" s="78" t="s">
        <v>1523</v>
      </c>
      <c r="AC190" s="72" t="s">
        <v>47</v>
      </c>
      <c r="AE190" s="79" t="str">
        <f t="shared" si="30"/>
        <v>Jan10807</v>
      </c>
      <c r="AF190" s="80">
        <f>IF(N190="","",IF(N190="SIM",VLOOKUP($I190&amp;$J190&amp;N$1,Pesos!$A:$I,7,FALSE),VLOOKUP($I190&amp;$J190&amp;N$1,Pesos!$A:$I,9,FALSE)))</f>
        <v>1</v>
      </c>
      <c r="AG190" s="80">
        <f>IF(O190="","",IF(O190="SIM",VLOOKUP($I190&amp;$J190&amp;O$1,Pesos!$A:$I,7,FALSE),VLOOKUP($I190&amp;$J190&amp;O$1,Pesos!$A:$I,9,FALSE)))</f>
        <v>1</v>
      </c>
      <c r="AH190" s="80">
        <f>IF(P190="","",IF(P190="SIM",VLOOKUP($I190&amp;$J190&amp;P$1,Pesos!$A:$I,7,FALSE),VLOOKUP($I190&amp;$J190&amp;P$1,Pesos!$A:$I,9,FALSE)))</f>
        <v>1</v>
      </c>
      <c r="AI190" s="80">
        <f>IF(Q190="","",IF(Q190="SIM",VLOOKUP($I190&amp;$J190&amp;Q$1,Pesos!$A:$I,7,FALSE),VLOOKUP($I190&amp;$J190&amp;Q$1,Pesos!$A:$I,9,FALSE)))</f>
        <v>1</v>
      </c>
      <c r="AJ190" s="80">
        <f>IF(R190="","",IF(R190="SIM",VLOOKUP($I190&amp;$J190&amp;R$1,Pesos!$A:$I,7,FALSE),VLOOKUP($I190&amp;$J190&amp;R$1,Pesos!$A:$I,9,FALSE)))</f>
        <v>1</v>
      </c>
      <c r="AK190" s="80">
        <f>IF(S190="","",IF(S190="SIM",VLOOKUP($I190&amp;$J190&amp;S$1,Pesos!$A:$I,7,FALSE),VLOOKUP($I190&amp;$J190&amp;S$1,Pesos!$A:$I,9,FALSE)))</f>
        <v>1</v>
      </c>
      <c r="AL190" s="80">
        <f t="shared" si="31"/>
        <v>6</v>
      </c>
      <c r="AM190" s="80">
        <f>IF(T190="","",IF(T190="SIM",VLOOKUP($I190&amp;$J190&amp;T$1,Pesos!$A:$I,7,FALSE),VLOOKUP($I190&amp;$J190&amp;T$1,Pesos!$A:$I,9,FALSE)))</f>
        <v>1</v>
      </c>
      <c r="AN190" s="80">
        <f>IF(U190="","",IF(U190="SIM",VLOOKUP($I190&amp;$J190&amp;U$1,Pesos!$A:$I,7,FALSE),VLOOKUP($I190&amp;$J190&amp;U$1,Pesos!$A:$I,9,FALSE)))</f>
        <v>1</v>
      </c>
      <c r="AO190" s="80">
        <f>IF(V190="","",IF(V190="SIM",VLOOKUP($I190&amp;$J190&amp;V$1,Pesos!$A:$I,7,FALSE),VLOOKUP($I190&amp;$J190&amp;V$1,Pesos!$A:$I,9,FALSE)))</f>
        <v>-0.05</v>
      </c>
      <c r="AP190" s="80">
        <f>IF(W190="","",IF(W190="SIM",VLOOKUP($I190&amp;$J190&amp;W$1,Pesos!$A:$I,7,FALSE),VLOOKUP($I190&amp;$J190&amp;W$1,Pesos!$A:$I,9,FALSE)))</f>
        <v>1</v>
      </c>
      <c r="AQ190" s="80" t="str">
        <f>IF(X190="","",IF(X190="SIM",VLOOKUP($I190&amp;$J190&amp;X$1,Pesos!$A:$I,7,FALSE),VLOOKUP($I190&amp;$J190&amp;X$1,Pesos!$A:$I,9,FALSE)))</f>
        <v/>
      </c>
      <c r="AR190" s="80" t="str">
        <f>IF(Y190="","",IF(Y190="SIM",VLOOKUP($I190&amp;$J190&amp;Y$1,Pesos!$A:$I,7,FALSE),VLOOKUP($I190&amp;$J190&amp;Y$1,Pesos!$A:$I,9,FALSE)))</f>
        <v/>
      </c>
      <c r="AS190" s="81">
        <f>IFERROR(Z190*VLOOKUP(J190,'BD Campos'!$Y$1:$Z$12,2,FALSE),"0")</f>
        <v>8.9499999999999993</v>
      </c>
    </row>
    <row r="191" spans="1:45" x14ac:dyDescent="0.35">
      <c r="A191" s="68" t="str">
        <f t="shared" si="26"/>
        <v>Jan202510807ReceptivaUTI</v>
      </c>
      <c r="B191" s="69" t="str">
        <f t="shared" si="27"/>
        <v>Jan2025108075UTIPADRÃO</v>
      </c>
      <c r="C191" s="70">
        <v>1</v>
      </c>
      <c r="D191" s="71">
        <v>45677.549795023151</v>
      </c>
      <c r="E191" s="112" t="s">
        <v>74</v>
      </c>
      <c r="F191" s="72">
        <v>10807</v>
      </c>
      <c r="G191" s="69" t="s">
        <v>111</v>
      </c>
      <c r="H191" s="73">
        <v>5</v>
      </c>
      <c r="I191" s="69" t="s">
        <v>6</v>
      </c>
      <c r="J191" s="69" t="s">
        <v>98</v>
      </c>
      <c r="K191" s="69" t="s">
        <v>131</v>
      </c>
      <c r="L191" s="74"/>
      <c r="M191" s="75">
        <v>7.8703703703703705E-4</v>
      </c>
      <c r="N191" s="76" t="s">
        <v>79</v>
      </c>
      <c r="O191" s="76" t="s">
        <v>79</v>
      </c>
      <c r="P191" s="76" t="s">
        <v>79</v>
      </c>
      <c r="Q191" s="76" t="s">
        <v>79</v>
      </c>
      <c r="R191" s="76" t="s">
        <v>79</v>
      </c>
      <c r="S191" s="76" t="s">
        <v>79</v>
      </c>
      <c r="T191" s="76" t="s">
        <v>79</v>
      </c>
      <c r="U191" s="76" t="s">
        <v>79</v>
      </c>
      <c r="V191" s="76" t="s">
        <v>79</v>
      </c>
      <c r="W191" s="76" t="s">
        <v>79</v>
      </c>
      <c r="X191" s="76" t="s">
        <v>79</v>
      </c>
      <c r="Y191" s="76" t="s">
        <v>79</v>
      </c>
      <c r="Z191" s="77">
        <f t="shared" si="2"/>
        <v>10</v>
      </c>
      <c r="AA191" s="78"/>
      <c r="AB191" s="78"/>
      <c r="AC191" s="72" t="s">
        <v>47</v>
      </c>
      <c r="AE191" s="79" t="str">
        <f t="shared" si="30"/>
        <v>Jan10807</v>
      </c>
      <c r="AF191" s="80">
        <f>IF(N191="","",IF(N191="SIM",VLOOKUP($I191&amp;$J191&amp;N$1,Pesos!$A:$I,7,FALSE),VLOOKUP($I191&amp;$J191&amp;N$1,Pesos!$A:$I,9,FALSE)))</f>
        <v>0.8</v>
      </c>
      <c r="AG191" s="80">
        <f>IF(O191="","",IF(O191="SIM",VLOOKUP($I191&amp;$J191&amp;O$1,Pesos!$A:$I,7,FALSE),VLOOKUP($I191&amp;$J191&amp;O$1,Pesos!$A:$I,9,FALSE)))</f>
        <v>0.8</v>
      </c>
      <c r="AH191" s="80">
        <f>IF(P191="","",IF(P191="SIM",VLOOKUP($I191&amp;$J191&amp;P$1,Pesos!$A:$I,7,FALSE),VLOOKUP($I191&amp;$J191&amp;P$1,Pesos!$A:$I,9,FALSE)))</f>
        <v>1.2</v>
      </c>
      <c r="AI191" s="80">
        <f>IF(Q191="","",IF(Q191="SIM",VLOOKUP($I191&amp;$J191&amp;Q$1,Pesos!$A:$I,7,FALSE),VLOOKUP($I191&amp;$J191&amp;Q$1,Pesos!$A:$I,9,FALSE)))</f>
        <v>0.8</v>
      </c>
      <c r="AJ191" s="80">
        <f>IF(R191="","",IF(R191="SIM",VLOOKUP($I191&amp;$J191&amp;R$1,Pesos!$A:$I,7,FALSE),VLOOKUP($I191&amp;$J191&amp;R$1,Pesos!$A:$I,9,FALSE)))</f>
        <v>0.8</v>
      </c>
      <c r="AK191" s="80">
        <f>IF(S191="","",IF(S191="SIM",VLOOKUP($I191&amp;$J191&amp;S$1,Pesos!$A:$I,7,FALSE),VLOOKUP($I191&amp;$J191&amp;S$1,Pesos!$A:$I,9,FALSE)))</f>
        <v>0.8</v>
      </c>
      <c r="AL191" s="80">
        <f t="shared" si="31"/>
        <v>5.1999999999999993</v>
      </c>
      <c r="AM191" s="80">
        <f>IF(T191="","",IF(T191="SIM",VLOOKUP($I191&amp;$J191&amp;T$1,Pesos!$A:$I,7,FALSE),VLOOKUP($I191&amp;$J191&amp;T$1,Pesos!$A:$I,9,FALSE)))</f>
        <v>0.8</v>
      </c>
      <c r="AN191" s="80">
        <f>IF(U191="","",IF(U191="SIM",VLOOKUP($I191&amp;$J191&amp;U$1,Pesos!$A:$I,7,FALSE),VLOOKUP($I191&amp;$J191&amp;U$1,Pesos!$A:$I,9,FALSE)))</f>
        <v>0.8</v>
      </c>
      <c r="AO191" s="80">
        <f>IF(V191="","",IF(V191="SIM",VLOOKUP($I191&amp;$J191&amp;V$1,Pesos!$A:$I,7,FALSE),VLOOKUP($I191&amp;$J191&amp;V$1,Pesos!$A:$I,9,FALSE)))</f>
        <v>0.8</v>
      </c>
      <c r="AP191" s="80">
        <f>IF(W191="","",IF(W191="SIM",VLOOKUP($I191&amp;$J191&amp;W$1,Pesos!$A:$I,7,FALSE),VLOOKUP($I191&amp;$J191&amp;W$1,Pesos!$A:$I,9,FALSE)))</f>
        <v>0.8</v>
      </c>
      <c r="AQ191" s="80">
        <f>IF(X191="","",IF(X191="SIM",VLOOKUP($I191&amp;$J191&amp;X$1,Pesos!$A:$I,7,FALSE),VLOOKUP($I191&amp;$J191&amp;X$1,Pesos!$A:$I,9,FALSE)))</f>
        <v>0.8</v>
      </c>
      <c r="AR191" s="80">
        <f>IF(Y191="","",IF(Y191="SIM",VLOOKUP($I191&amp;$J191&amp;Y$1,Pesos!$A:$I,7,FALSE),VLOOKUP($I191&amp;$J191&amp;Y$1,Pesos!$A:$I,9,FALSE)))</f>
        <v>0.8</v>
      </c>
      <c r="AS191" s="81">
        <f>IFERROR(Z191*VLOOKUP(J191,'BD Campos'!$Y$1:$Z$12,2,FALSE),"0")</f>
        <v>10</v>
      </c>
    </row>
    <row r="192" spans="1:45" x14ac:dyDescent="0.35">
      <c r="A192" s="68" t="str">
        <f t="shared" si="26"/>
        <v>Jan202511151ReceptivaUTI</v>
      </c>
      <c r="B192" s="69" t="str">
        <f t="shared" si="27"/>
        <v>Jan2025111515UTIPADRÃO</v>
      </c>
      <c r="C192" s="70">
        <v>1</v>
      </c>
      <c r="D192" s="71">
        <v>45677.558076273148</v>
      </c>
      <c r="E192" s="112" t="s">
        <v>74</v>
      </c>
      <c r="F192" s="72">
        <v>11151</v>
      </c>
      <c r="G192" s="69" t="s">
        <v>345</v>
      </c>
      <c r="H192" s="73">
        <v>5</v>
      </c>
      <c r="I192" s="69" t="s">
        <v>6</v>
      </c>
      <c r="J192" s="69" t="s">
        <v>98</v>
      </c>
      <c r="K192" s="69" t="s">
        <v>131</v>
      </c>
      <c r="L192" s="74"/>
      <c r="M192" s="75">
        <v>9.8379629629629642E-4</v>
      </c>
      <c r="N192" s="76" t="s">
        <v>79</v>
      </c>
      <c r="O192" s="76" t="s">
        <v>79</v>
      </c>
      <c r="P192" s="76" t="s">
        <v>79</v>
      </c>
      <c r="Q192" s="76" t="s">
        <v>79</v>
      </c>
      <c r="R192" s="76" t="s">
        <v>79</v>
      </c>
      <c r="S192" s="76" t="s">
        <v>79</v>
      </c>
      <c r="T192" s="76" t="s">
        <v>79</v>
      </c>
      <c r="U192" s="76" t="s">
        <v>79</v>
      </c>
      <c r="V192" s="76" t="s">
        <v>79</v>
      </c>
      <c r="W192" s="76" t="s">
        <v>79</v>
      </c>
      <c r="X192" s="76" t="s">
        <v>79</v>
      </c>
      <c r="Y192" s="76" t="s">
        <v>79</v>
      </c>
      <c r="Z192" s="77">
        <f t="shared" si="2"/>
        <v>10</v>
      </c>
      <c r="AA192" s="78"/>
      <c r="AB192" s="78"/>
      <c r="AC192" s="72" t="s">
        <v>47</v>
      </c>
      <c r="AE192" s="79" t="str">
        <f t="shared" si="30"/>
        <v>Jan11151</v>
      </c>
      <c r="AF192" s="80">
        <f>IF(N192="","",IF(N192="SIM",VLOOKUP($I192&amp;$J192&amp;N$1,Pesos!$A:$I,7,FALSE),VLOOKUP($I192&amp;$J192&amp;N$1,Pesos!$A:$I,9,FALSE)))</f>
        <v>0.8</v>
      </c>
      <c r="AG192" s="80">
        <f>IF(O192="","",IF(O192="SIM",VLOOKUP($I192&amp;$J192&amp;O$1,Pesos!$A:$I,7,FALSE),VLOOKUP($I192&amp;$J192&amp;O$1,Pesos!$A:$I,9,FALSE)))</f>
        <v>0.8</v>
      </c>
      <c r="AH192" s="80">
        <f>IF(P192="","",IF(P192="SIM",VLOOKUP($I192&amp;$J192&amp;P$1,Pesos!$A:$I,7,FALSE),VLOOKUP($I192&amp;$J192&amp;P$1,Pesos!$A:$I,9,FALSE)))</f>
        <v>1.2</v>
      </c>
      <c r="AI192" s="80">
        <f>IF(Q192="","",IF(Q192="SIM",VLOOKUP($I192&amp;$J192&amp;Q$1,Pesos!$A:$I,7,FALSE),VLOOKUP($I192&amp;$J192&amp;Q$1,Pesos!$A:$I,9,FALSE)))</f>
        <v>0.8</v>
      </c>
      <c r="AJ192" s="80">
        <f>IF(R192="","",IF(R192="SIM",VLOOKUP($I192&amp;$J192&amp;R$1,Pesos!$A:$I,7,FALSE),VLOOKUP($I192&amp;$J192&amp;R$1,Pesos!$A:$I,9,FALSE)))</f>
        <v>0.8</v>
      </c>
      <c r="AK192" s="80">
        <f>IF(S192="","",IF(S192="SIM",VLOOKUP($I192&amp;$J192&amp;S$1,Pesos!$A:$I,7,FALSE),VLOOKUP($I192&amp;$J192&amp;S$1,Pesos!$A:$I,9,FALSE)))</f>
        <v>0.8</v>
      </c>
      <c r="AL192" s="80">
        <f t="shared" si="31"/>
        <v>5.1999999999999993</v>
      </c>
      <c r="AM192" s="80">
        <f>IF(T192="","",IF(T192="SIM",VLOOKUP($I192&amp;$J192&amp;T$1,Pesos!$A:$I,7,FALSE),VLOOKUP($I192&amp;$J192&amp;T$1,Pesos!$A:$I,9,FALSE)))</f>
        <v>0.8</v>
      </c>
      <c r="AN192" s="80">
        <f>IF(U192="","",IF(U192="SIM",VLOOKUP($I192&amp;$J192&amp;U$1,Pesos!$A:$I,7,FALSE),VLOOKUP($I192&amp;$J192&amp;U$1,Pesos!$A:$I,9,FALSE)))</f>
        <v>0.8</v>
      </c>
      <c r="AO192" s="80">
        <f>IF(V192="","",IF(V192="SIM",VLOOKUP($I192&amp;$J192&amp;V$1,Pesos!$A:$I,7,FALSE),VLOOKUP($I192&amp;$J192&amp;V$1,Pesos!$A:$I,9,FALSE)))</f>
        <v>0.8</v>
      </c>
      <c r="AP192" s="80">
        <f>IF(W192="","",IF(W192="SIM",VLOOKUP($I192&amp;$J192&amp;W$1,Pesos!$A:$I,7,FALSE),VLOOKUP($I192&amp;$J192&amp;W$1,Pesos!$A:$I,9,FALSE)))</f>
        <v>0.8</v>
      </c>
      <c r="AQ192" s="80">
        <f>IF(X192="","",IF(X192="SIM",VLOOKUP($I192&amp;$J192&amp;X$1,Pesos!$A:$I,7,FALSE),VLOOKUP($I192&amp;$J192&amp;X$1,Pesos!$A:$I,9,FALSE)))</f>
        <v>0.8</v>
      </c>
      <c r="AR192" s="80">
        <f>IF(Y192="","",IF(Y192="SIM",VLOOKUP($I192&amp;$J192&amp;Y$1,Pesos!$A:$I,7,FALSE),VLOOKUP($I192&amp;$J192&amp;Y$1,Pesos!$A:$I,9,FALSE)))</f>
        <v>0.8</v>
      </c>
      <c r="AS192" s="81">
        <f>IFERROR(Z192*VLOOKUP(J192,'BD Campos'!$Y$1:$Z$12,2,FALSE),"0")</f>
        <v>10</v>
      </c>
    </row>
    <row r="193" spans="1:45" x14ac:dyDescent="0.35">
      <c r="A193" s="68" t="str">
        <f t="shared" ref="A193:A256" si="32">E193&amp;YEAR(D193)&amp;F193&amp;J193&amp;K193&amp;""</f>
        <v>Jan202511151MotoristaUTI</v>
      </c>
      <c r="B193" s="69" t="str">
        <f t="shared" si="27"/>
        <v>Jan2025111511UTIPADRÃO</v>
      </c>
      <c r="C193" s="70">
        <v>1</v>
      </c>
      <c r="D193" s="71">
        <v>45677.561156018521</v>
      </c>
      <c r="E193" s="112" t="s">
        <v>74</v>
      </c>
      <c r="F193" s="72">
        <v>11151</v>
      </c>
      <c r="G193" s="69" t="s">
        <v>345</v>
      </c>
      <c r="H193" s="73">
        <v>1</v>
      </c>
      <c r="I193" s="69" t="s">
        <v>147</v>
      </c>
      <c r="J193" s="69" t="s">
        <v>122</v>
      </c>
      <c r="K193" s="69" t="s">
        <v>131</v>
      </c>
      <c r="L193" s="74">
        <v>30845053</v>
      </c>
      <c r="M193" s="75">
        <v>2.3148148148148151E-3</v>
      </c>
      <c r="N193" s="76" t="s">
        <v>79</v>
      </c>
      <c r="O193" s="76" t="s">
        <v>79</v>
      </c>
      <c r="P193" s="76" t="s">
        <v>79</v>
      </c>
      <c r="Q193" s="76" t="s">
        <v>79</v>
      </c>
      <c r="R193" s="76" t="s">
        <v>79</v>
      </c>
      <c r="S193" s="76" t="s">
        <v>79</v>
      </c>
      <c r="T193" s="76" t="s">
        <v>79</v>
      </c>
      <c r="U193" s="76" t="s">
        <v>79</v>
      </c>
      <c r="V193" s="76"/>
      <c r="W193" s="76"/>
      <c r="X193" s="76"/>
      <c r="Y193" s="76"/>
      <c r="Z193" s="77">
        <f t="shared" si="2"/>
        <v>10</v>
      </c>
      <c r="AA193" s="78"/>
      <c r="AB193" s="78" t="s">
        <v>1524</v>
      </c>
      <c r="AC193" s="72" t="s">
        <v>47</v>
      </c>
      <c r="AE193" s="79" t="str">
        <f t="shared" si="30"/>
        <v>Jan11151</v>
      </c>
      <c r="AF193" s="80">
        <f>IF(N193="","",IF(N193="SIM",VLOOKUP($I193&amp;$J193&amp;N$1,Pesos!$A:$I,7,FALSE),VLOOKUP($I193&amp;$J193&amp;N$1,Pesos!$A:$I,9,FALSE)))</f>
        <v>1.1000000000000001</v>
      </c>
      <c r="AG193" s="80">
        <f>IF(O193="","",IF(O193="SIM",VLOOKUP($I193&amp;$J193&amp;O$1,Pesos!$A:$I,7,FALSE),VLOOKUP($I193&amp;$J193&amp;O$1,Pesos!$A:$I,9,FALSE)))</f>
        <v>1.1000000000000001</v>
      </c>
      <c r="AH193" s="80">
        <f>IF(P193="","",IF(P193="SIM",VLOOKUP($I193&amp;$J193&amp;P$1,Pesos!$A:$I,7,FALSE),VLOOKUP($I193&amp;$J193&amp;P$1,Pesos!$A:$I,9,FALSE)))</f>
        <v>1.1000000000000001</v>
      </c>
      <c r="AI193" s="80">
        <f>IF(Q193="","",IF(Q193="SIM",VLOOKUP($I193&amp;$J193&amp;Q$1,Pesos!$A:$I,7,FALSE),VLOOKUP($I193&amp;$J193&amp;Q$1,Pesos!$A:$I,9,FALSE)))</f>
        <v>1.1000000000000001</v>
      </c>
      <c r="AJ193" s="80">
        <f>IF(R193="","",IF(R193="SIM",VLOOKUP($I193&amp;$J193&amp;R$1,Pesos!$A:$I,7,FALSE),VLOOKUP($I193&amp;$J193&amp;R$1,Pesos!$A:$I,9,FALSE)))</f>
        <v>1.1000000000000001</v>
      </c>
      <c r="AK193" s="80">
        <f>IF(S193="","",IF(S193="SIM",VLOOKUP($I193&amp;$J193&amp;S$1,Pesos!$A:$I,7,FALSE),VLOOKUP($I193&amp;$J193&amp;S$1,Pesos!$A:$I,9,FALSE)))</f>
        <v>1.6</v>
      </c>
      <c r="AL193" s="80">
        <f t="shared" si="31"/>
        <v>7.1</v>
      </c>
      <c r="AM193" s="80">
        <f>IF(T193="","",IF(T193="SIM",VLOOKUP($I193&amp;$J193&amp;T$1,Pesos!$A:$I,7,FALSE),VLOOKUP($I193&amp;$J193&amp;T$1,Pesos!$A:$I,9,FALSE)))</f>
        <v>1.2</v>
      </c>
      <c r="AN193" s="80">
        <f>IF(U193="","",IF(U193="SIM",VLOOKUP($I193&amp;$J193&amp;U$1,Pesos!$A:$I,7,FALSE),VLOOKUP($I193&amp;$J193&amp;U$1,Pesos!$A:$I,9,FALSE)))</f>
        <v>1.7000000000000002</v>
      </c>
      <c r="AO193" s="80" t="str">
        <f>IF(V193="","",IF(V193="SIM",VLOOKUP($I193&amp;$J193&amp;V$1,Pesos!$A:$I,7,FALSE),VLOOKUP($I193&amp;$J193&amp;V$1,Pesos!$A:$I,9,FALSE)))</f>
        <v/>
      </c>
      <c r="AP193" s="80" t="str">
        <f>IF(W193="","",IF(W193="SIM",VLOOKUP($I193&amp;$J193&amp;W$1,Pesos!$A:$I,7,FALSE),VLOOKUP($I193&amp;$J193&amp;W$1,Pesos!$A:$I,9,FALSE)))</f>
        <v/>
      </c>
      <c r="AQ193" s="80" t="str">
        <f>IF(X193="","",IF(X193="SIM",VLOOKUP($I193&amp;$J193&amp;X$1,Pesos!$A:$I,7,FALSE),VLOOKUP($I193&amp;$J193&amp;X$1,Pesos!$A:$I,9,FALSE)))</f>
        <v/>
      </c>
      <c r="AR193" s="80" t="str">
        <f>IF(Y193="","",IF(Y193="SIM",VLOOKUP($I193&amp;$J193&amp;Y$1,Pesos!$A:$I,7,FALSE),VLOOKUP($I193&amp;$J193&amp;Y$1,Pesos!$A:$I,9,FALSE)))</f>
        <v/>
      </c>
      <c r="AS193" s="81">
        <f>IFERROR(Z193*VLOOKUP(J193,'BD Campos'!$Y$1:$Z$12,2,FALSE),"0")</f>
        <v>10</v>
      </c>
    </row>
    <row r="194" spans="1:45" x14ac:dyDescent="0.35">
      <c r="A194" s="68" t="str">
        <f t="shared" si="32"/>
        <v>Jan20251700PoliciaBAS</v>
      </c>
      <c r="B194" s="69" t="str">
        <f t="shared" si="27"/>
        <v>Jan202517001BASPADRÃO</v>
      </c>
      <c r="C194" s="70">
        <v>1</v>
      </c>
      <c r="D194" s="71">
        <v>45677.564788310185</v>
      </c>
      <c r="E194" s="112" t="s">
        <v>74</v>
      </c>
      <c r="F194" s="72">
        <v>1700</v>
      </c>
      <c r="G194" s="69" t="s">
        <v>277</v>
      </c>
      <c r="H194" s="73">
        <v>1</v>
      </c>
      <c r="I194" s="69" t="s">
        <v>147</v>
      </c>
      <c r="J194" s="69" t="s">
        <v>146</v>
      </c>
      <c r="K194" s="69" t="s">
        <v>303</v>
      </c>
      <c r="L194" s="74">
        <v>30741515</v>
      </c>
      <c r="M194" s="75">
        <v>1.3888888888888889E-3</v>
      </c>
      <c r="N194" s="76" t="s">
        <v>79</v>
      </c>
      <c r="O194" s="76" t="s">
        <v>79</v>
      </c>
      <c r="P194" s="76" t="s">
        <v>79</v>
      </c>
      <c r="Q194" s="76" t="s">
        <v>79</v>
      </c>
      <c r="R194" s="76" t="s">
        <v>79</v>
      </c>
      <c r="S194" s="76" t="s">
        <v>79</v>
      </c>
      <c r="T194" s="76" t="s">
        <v>79</v>
      </c>
      <c r="U194" s="76" t="s">
        <v>79</v>
      </c>
      <c r="V194" s="76" t="s">
        <v>79</v>
      </c>
      <c r="W194" s="76" t="s">
        <v>79</v>
      </c>
      <c r="X194" s="76" t="s">
        <v>79</v>
      </c>
      <c r="Y194" s="76" t="s">
        <v>79</v>
      </c>
      <c r="Z194" s="77">
        <f t="shared" si="2"/>
        <v>10</v>
      </c>
      <c r="AA194" s="78"/>
      <c r="AB194" s="78" t="s">
        <v>1525</v>
      </c>
      <c r="AC194" s="72" t="s">
        <v>47</v>
      </c>
      <c r="AE194" s="79" t="str">
        <f t="shared" si="30"/>
        <v>Jan1700</v>
      </c>
      <c r="AF194" s="80">
        <f>IF(N194="","",IF(N194="SIM",VLOOKUP($I194&amp;$J194&amp;N$1,Pesos!$A:$I,7,FALSE),VLOOKUP($I194&amp;$J194&amp;N$1,Pesos!$A:$I,9,FALSE)))</f>
        <v>0.8</v>
      </c>
      <c r="AG194" s="80">
        <f>IF(O194="","",IF(O194="SIM",VLOOKUP($I194&amp;$J194&amp;O$1,Pesos!$A:$I,7,FALSE),VLOOKUP($I194&amp;$J194&amp;O$1,Pesos!$A:$I,9,FALSE)))</f>
        <v>0.8</v>
      </c>
      <c r="AH194" s="80">
        <f>IF(P194="","",IF(P194="SIM",VLOOKUP($I194&amp;$J194&amp;P$1,Pesos!$A:$I,7,FALSE),VLOOKUP($I194&amp;$J194&amp;P$1,Pesos!$A:$I,9,FALSE)))</f>
        <v>0.8</v>
      </c>
      <c r="AI194" s="80">
        <f>IF(Q194="","",IF(Q194="SIM",VLOOKUP($I194&amp;$J194&amp;Q$1,Pesos!$A:$I,7,FALSE),VLOOKUP($I194&amp;$J194&amp;Q$1,Pesos!$A:$I,9,FALSE)))</f>
        <v>0.8</v>
      </c>
      <c r="AJ194" s="80">
        <f>IF(R194="","",IF(R194="SIM",VLOOKUP($I194&amp;$J194&amp;R$1,Pesos!$A:$I,7,FALSE),VLOOKUP($I194&amp;$J194&amp;R$1,Pesos!$A:$I,9,FALSE)))</f>
        <v>0.8</v>
      </c>
      <c r="AK194" s="80">
        <f>IF(S194="","",IF(S194="SIM",VLOOKUP($I194&amp;$J194&amp;S$1,Pesos!$A:$I,7,FALSE),VLOOKUP($I194&amp;$J194&amp;S$1,Pesos!$A:$I,9,FALSE)))</f>
        <v>0.8</v>
      </c>
      <c r="AL194" s="80">
        <f t="shared" si="31"/>
        <v>4.8</v>
      </c>
      <c r="AM194" s="80">
        <f>IF(T194="","",IF(T194="SIM",VLOOKUP($I194&amp;$J194&amp;T$1,Pesos!$A:$I,7,FALSE),VLOOKUP($I194&amp;$J194&amp;T$1,Pesos!$A:$I,9,FALSE)))</f>
        <v>0.8</v>
      </c>
      <c r="AN194" s="80">
        <f>IF(U194="","",IF(U194="SIM",VLOOKUP($I194&amp;$J194&amp;U$1,Pesos!$A:$I,7,FALSE),VLOOKUP($I194&amp;$J194&amp;U$1,Pesos!$A:$I,9,FALSE)))</f>
        <v>0.8</v>
      </c>
      <c r="AO194" s="80">
        <f>IF(V194="","",IF(V194="SIM",VLOOKUP($I194&amp;$J194&amp;V$1,Pesos!$A:$I,7,FALSE),VLOOKUP($I194&amp;$J194&amp;V$1,Pesos!$A:$I,9,FALSE)))</f>
        <v>0.8</v>
      </c>
      <c r="AP194" s="80">
        <f>IF(W194="","",IF(W194="SIM",VLOOKUP($I194&amp;$J194&amp;W$1,Pesos!$A:$I,7,FALSE),VLOOKUP($I194&amp;$J194&amp;W$1,Pesos!$A:$I,9,FALSE)))</f>
        <v>0.8</v>
      </c>
      <c r="AQ194" s="80">
        <f>IF(X194="","",IF(X194="SIM",VLOOKUP($I194&amp;$J194&amp;X$1,Pesos!$A:$I,7,FALSE),VLOOKUP($I194&amp;$J194&amp;X$1,Pesos!$A:$I,9,FALSE)))</f>
        <v>1</v>
      </c>
      <c r="AR194" s="80">
        <f>IF(Y194="","",IF(Y194="SIM",VLOOKUP($I194&amp;$J194&amp;Y$1,Pesos!$A:$I,7,FALSE),VLOOKUP($I194&amp;$J194&amp;Y$1,Pesos!$A:$I,9,FALSE)))</f>
        <v>1</v>
      </c>
      <c r="AS194" s="81">
        <f>IFERROR(Z194*VLOOKUP(J194,'BD Campos'!$Y$1:$Z$12,2,FALSE),"0")</f>
        <v>10</v>
      </c>
    </row>
    <row r="195" spans="1:45" x14ac:dyDescent="0.35">
      <c r="A195" s="68" t="str">
        <f t="shared" si="32"/>
        <v>Jan20251700Policia 2BAS</v>
      </c>
      <c r="B195" s="69" t="str">
        <f t="shared" si="27"/>
        <v>Jan202517002BASPADRÃO</v>
      </c>
      <c r="C195" s="70">
        <v>1</v>
      </c>
      <c r="D195" s="71">
        <v>45677.56954837963</v>
      </c>
      <c r="E195" s="112" t="s">
        <v>74</v>
      </c>
      <c r="F195" s="72">
        <v>1700</v>
      </c>
      <c r="G195" s="69" t="s">
        <v>277</v>
      </c>
      <c r="H195" s="73">
        <v>2</v>
      </c>
      <c r="I195" s="69" t="s">
        <v>147</v>
      </c>
      <c r="J195" s="69" t="s">
        <v>304</v>
      </c>
      <c r="K195" s="69" t="s">
        <v>303</v>
      </c>
      <c r="L195" s="74">
        <v>30768829</v>
      </c>
      <c r="M195" s="75">
        <v>1.7708333333333332E-3</v>
      </c>
      <c r="N195" s="76" t="s">
        <v>79</v>
      </c>
      <c r="O195" s="76" t="s">
        <v>79</v>
      </c>
      <c r="P195" s="76" t="s">
        <v>79</v>
      </c>
      <c r="Q195" s="76" t="s">
        <v>79</v>
      </c>
      <c r="R195" s="76" t="s">
        <v>79</v>
      </c>
      <c r="S195" s="76" t="s">
        <v>79</v>
      </c>
      <c r="T195" s="76" t="s">
        <v>79</v>
      </c>
      <c r="U195" s="76" t="s">
        <v>79</v>
      </c>
      <c r="V195" s="76" t="s">
        <v>79</v>
      </c>
      <c r="W195" s="76" t="s">
        <v>79</v>
      </c>
      <c r="X195" s="76" t="s">
        <v>79</v>
      </c>
      <c r="Y195" s="76" t="s">
        <v>79</v>
      </c>
      <c r="Z195" s="77">
        <f t="shared" si="2"/>
        <v>10</v>
      </c>
      <c r="AA195" s="78"/>
      <c r="AB195" s="78" t="s">
        <v>1526</v>
      </c>
      <c r="AC195" s="72" t="s">
        <v>47</v>
      </c>
      <c r="AE195" s="79" t="str">
        <f t="shared" si="30"/>
        <v>Jan1700</v>
      </c>
      <c r="AF195" s="80">
        <f>IF(N195="","",IF(N195="SIM",VLOOKUP($I195&amp;$J195&amp;N$1,Pesos!$A:$I,7,FALSE),VLOOKUP($I195&amp;$J195&amp;N$1,Pesos!$A:$I,9,FALSE)))</f>
        <v>0.8</v>
      </c>
      <c r="AG195" s="80">
        <f>IF(O195="","",IF(O195="SIM",VLOOKUP($I195&amp;$J195&amp;O$1,Pesos!$A:$I,7,FALSE),VLOOKUP($I195&amp;$J195&amp;O$1,Pesos!$A:$I,9,FALSE)))</f>
        <v>0.8</v>
      </c>
      <c r="AH195" s="80">
        <f>IF(P195="","",IF(P195="SIM",VLOOKUP($I195&amp;$J195&amp;P$1,Pesos!$A:$I,7,FALSE),VLOOKUP($I195&amp;$J195&amp;P$1,Pesos!$A:$I,9,FALSE)))</f>
        <v>0.8</v>
      </c>
      <c r="AI195" s="80">
        <f>IF(Q195="","",IF(Q195="SIM",VLOOKUP($I195&amp;$J195&amp;Q$1,Pesos!$A:$I,7,FALSE),VLOOKUP($I195&amp;$J195&amp;Q$1,Pesos!$A:$I,9,FALSE)))</f>
        <v>0.8</v>
      </c>
      <c r="AJ195" s="80">
        <f>IF(R195="","",IF(R195="SIM",VLOOKUP($I195&amp;$J195&amp;R$1,Pesos!$A:$I,7,FALSE),VLOOKUP($I195&amp;$J195&amp;R$1,Pesos!$A:$I,9,FALSE)))</f>
        <v>0.8</v>
      </c>
      <c r="AK195" s="80">
        <f>IF(S195="","",IF(S195="SIM",VLOOKUP($I195&amp;$J195&amp;S$1,Pesos!$A:$I,7,FALSE),VLOOKUP($I195&amp;$J195&amp;S$1,Pesos!$A:$I,9,FALSE)))</f>
        <v>0.8</v>
      </c>
      <c r="AL195" s="80">
        <f t="shared" si="31"/>
        <v>4.8</v>
      </c>
      <c r="AM195" s="80">
        <f>IF(T195="","",IF(T195="SIM",VLOOKUP($I195&amp;$J195&amp;T$1,Pesos!$A:$I,7,FALSE),VLOOKUP($I195&amp;$J195&amp;T$1,Pesos!$A:$I,9,FALSE)))</f>
        <v>0.8</v>
      </c>
      <c r="AN195" s="80">
        <f>IF(U195="","",IF(U195="SIM",VLOOKUP($I195&amp;$J195&amp;U$1,Pesos!$A:$I,7,FALSE),VLOOKUP($I195&amp;$J195&amp;U$1,Pesos!$A:$I,9,FALSE)))</f>
        <v>0.8</v>
      </c>
      <c r="AO195" s="80">
        <f>IF(V195="","",IF(V195="SIM",VLOOKUP($I195&amp;$J195&amp;V$1,Pesos!$A:$I,7,FALSE),VLOOKUP($I195&amp;$J195&amp;V$1,Pesos!$A:$I,9,FALSE)))</f>
        <v>0.8</v>
      </c>
      <c r="AP195" s="80">
        <f>IF(W195="","",IF(W195="SIM",VLOOKUP($I195&amp;$J195&amp;W$1,Pesos!$A:$I,7,FALSE),VLOOKUP($I195&amp;$J195&amp;W$1,Pesos!$A:$I,9,FALSE)))</f>
        <v>0.8</v>
      </c>
      <c r="AQ195" s="80">
        <f>IF(X195="","",IF(X195="SIM",VLOOKUP($I195&amp;$J195&amp;X$1,Pesos!$A:$I,7,FALSE),VLOOKUP($I195&amp;$J195&amp;X$1,Pesos!$A:$I,9,FALSE)))</f>
        <v>1</v>
      </c>
      <c r="AR195" s="80">
        <f>IF(Y195="","",IF(Y195="SIM",VLOOKUP($I195&amp;$J195&amp;Y$1,Pesos!$A:$I,7,FALSE),VLOOKUP($I195&amp;$J195&amp;Y$1,Pesos!$A:$I,9,FALSE)))</f>
        <v>1</v>
      </c>
      <c r="AS195" s="81" t="str">
        <f>IFERROR(Z195*VLOOKUP(J195,'BD Campos'!$Y$1:$Z$12,2,FALSE),"0")</f>
        <v>0</v>
      </c>
    </row>
    <row r="196" spans="1:45" x14ac:dyDescent="0.35">
      <c r="A196" s="68" t="str">
        <f t="shared" si="32"/>
        <v>Jan202510713ClienteUTI</v>
      </c>
      <c r="B196" s="69" t="str">
        <f t="shared" si="27"/>
        <v>Jan2025107131UTIPADRÃO</v>
      </c>
      <c r="C196" s="70">
        <v>1</v>
      </c>
      <c r="D196" s="71">
        <v>45677.582273842592</v>
      </c>
      <c r="E196" s="112" t="s">
        <v>74</v>
      </c>
      <c r="F196" s="72">
        <v>10713</v>
      </c>
      <c r="G196" s="69" t="s">
        <v>266</v>
      </c>
      <c r="H196" s="73">
        <v>1</v>
      </c>
      <c r="I196" s="69" t="s">
        <v>123</v>
      </c>
      <c r="J196" s="69" t="s">
        <v>124</v>
      </c>
      <c r="K196" s="69" t="s">
        <v>131</v>
      </c>
      <c r="L196" s="74">
        <v>30804114</v>
      </c>
      <c r="M196" s="75">
        <v>1.2384259259259258E-3</v>
      </c>
      <c r="N196" s="76" t="s">
        <v>79</v>
      </c>
      <c r="O196" s="76" t="s">
        <v>79</v>
      </c>
      <c r="P196" s="76" t="s">
        <v>79</v>
      </c>
      <c r="Q196" s="76" t="s">
        <v>79</v>
      </c>
      <c r="R196" s="76" t="s">
        <v>79</v>
      </c>
      <c r="S196" s="76" t="s">
        <v>79</v>
      </c>
      <c r="T196" s="76" t="s">
        <v>79</v>
      </c>
      <c r="U196" s="76" t="s">
        <v>79</v>
      </c>
      <c r="V196" s="76" t="s">
        <v>83</v>
      </c>
      <c r="W196" s="76" t="s">
        <v>79</v>
      </c>
      <c r="X196" s="76" t="s">
        <v>83</v>
      </c>
      <c r="Y196" s="76"/>
      <c r="Z196" s="77">
        <f t="shared" si="2"/>
        <v>8.057500000000001</v>
      </c>
      <c r="AA196" s="78"/>
      <c r="AB196" s="78" t="s">
        <v>1527</v>
      </c>
      <c r="AC196" s="72" t="s">
        <v>47</v>
      </c>
      <c r="AE196" s="79" t="str">
        <f t="shared" si="30"/>
        <v>Jan10713</v>
      </c>
      <c r="AF196" s="80">
        <f>IF(N196="","",IF(N196="SIM",VLOOKUP($I196&amp;$J196&amp;N$1,Pesos!$A:$I,7,FALSE),VLOOKUP($I196&amp;$J196&amp;N$1,Pesos!$A:$I,9,FALSE)))</f>
        <v>0.89999999999999991</v>
      </c>
      <c r="AG196" s="80">
        <f>IF(O196="","",IF(O196="SIM",VLOOKUP($I196&amp;$J196&amp;O$1,Pesos!$A:$I,7,FALSE),VLOOKUP($I196&amp;$J196&amp;O$1,Pesos!$A:$I,9,FALSE)))</f>
        <v>0.89999999999999991</v>
      </c>
      <c r="AH196" s="80">
        <f>IF(P196="","",IF(P196="SIM",VLOOKUP($I196&amp;$J196&amp;P$1,Pesos!$A:$I,7,FALSE),VLOOKUP($I196&amp;$J196&amp;P$1,Pesos!$A:$I,9,FALSE)))</f>
        <v>0.89999999999999991</v>
      </c>
      <c r="AI196" s="80">
        <f>IF(Q196="","",IF(Q196="SIM",VLOOKUP($I196&amp;$J196&amp;Q$1,Pesos!$A:$I,7,FALSE),VLOOKUP($I196&amp;$J196&amp;Q$1,Pesos!$A:$I,9,FALSE)))</f>
        <v>0.89999999999999991</v>
      </c>
      <c r="AJ196" s="80">
        <f>IF(R196="","",IF(R196="SIM",VLOOKUP($I196&amp;$J196&amp;R$1,Pesos!$A:$I,7,FALSE),VLOOKUP($I196&amp;$J196&amp;R$1,Pesos!$A:$I,9,FALSE)))</f>
        <v>0.89999999999999991</v>
      </c>
      <c r="AK196" s="80">
        <f>IF(S196="","",IF(S196="SIM",VLOOKUP($I196&amp;$J196&amp;S$1,Pesos!$A:$I,7,FALSE),VLOOKUP($I196&amp;$J196&amp;S$1,Pesos!$A:$I,9,FALSE)))</f>
        <v>0.89999999999999991</v>
      </c>
      <c r="AL196" s="80">
        <f t="shared" si="31"/>
        <v>5.4</v>
      </c>
      <c r="AM196" s="80">
        <f>IF(T196="","",IF(T196="SIM",VLOOKUP($I196&amp;$J196&amp;T$1,Pesos!$A:$I,7,FALSE),VLOOKUP($I196&amp;$J196&amp;T$1,Pesos!$A:$I,9,FALSE)))</f>
        <v>0.89999999999999991</v>
      </c>
      <c r="AN196" s="80">
        <f>IF(U196="","",IF(U196="SIM",VLOOKUP($I196&amp;$J196&amp;U$1,Pesos!$A:$I,7,FALSE),VLOOKUP($I196&amp;$J196&amp;U$1,Pesos!$A:$I,9,FALSE)))</f>
        <v>0.95</v>
      </c>
      <c r="AO196" s="80">
        <f>IF(V196="","",IF(V196="SIM",VLOOKUP($I196&amp;$J196&amp;V$1,Pesos!$A:$I,7,FALSE),VLOOKUP($I196&amp;$J196&amp;V$1,Pesos!$A:$I,9,FALSE)))</f>
        <v>-4.7500000000000001E-2</v>
      </c>
      <c r="AP196" s="80">
        <f>IF(W196="","",IF(W196="SIM",VLOOKUP($I196&amp;$J196&amp;W$1,Pesos!$A:$I,7,FALSE),VLOOKUP($I196&amp;$J196&amp;W$1,Pesos!$A:$I,9,FALSE)))</f>
        <v>0.89999999999999991</v>
      </c>
      <c r="AQ196" s="80">
        <f>IF(X196="","",IF(X196="SIM",VLOOKUP($I196&amp;$J196&amp;X$1,Pesos!$A:$I,7,FALSE),VLOOKUP($I196&amp;$J196&amp;X$1,Pesos!$A:$I,9,FALSE)))</f>
        <v>-4.4999999999999998E-2</v>
      </c>
      <c r="AR196" s="80" t="str">
        <f>IF(Y196="","",IF(Y196="SIM",VLOOKUP($I196&amp;$J196&amp;Y$1,Pesos!$A:$I,7,FALSE),VLOOKUP($I196&amp;$J196&amp;Y$1,Pesos!$A:$I,9,FALSE)))</f>
        <v/>
      </c>
      <c r="AS196" s="81">
        <f>IFERROR(Z196*VLOOKUP(J196,'BD Campos'!$Y$1:$Z$12,2,FALSE),"0")</f>
        <v>8.057500000000001</v>
      </c>
    </row>
    <row r="197" spans="1:45" x14ac:dyDescent="0.35">
      <c r="A197" s="68" t="str">
        <f t="shared" si="32"/>
        <v>Jan202510713ReceptivaUTI</v>
      </c>
      <c r="B197" s="69" t="str">
        <f t="shared" si="27"/>
        <v>Jan2025107135UTIPADRÃO</v>
      </c>
      <c r="C197" s="70">
        <v>1</v>
      </c>
      <c r="D197" s="71">
        <v>45677.587015856479</v>
      </c>
      <c r="E197" s="112" t="s">
        <v>74</v>
      </c>
      <c r="F197" s="72">
        <v>10713</v>
      </c>
      <c r="G197" s="69" t="s">
        <v>266</v>
      </c>
      <c r="H197" s="73">
        <v>5</v>
      </c>
      <c r="I197" s="69" t="s">
        <v>6</v>
      </c>
      <c r="J197" s="69" t="s">
        <v>98</v>
      </c>
      <c r="K197" s="69" t="s">
        <v>131</v>
      </c>
      <c r="L197" s="74"/>
      <c r="M197" s="75">
        <v>1.2268518518518518E-3</v>
      </c>
      <c r="N197" s="76" t="s">
        <v>79</v>
      </c>
      <c r="O197" s="76" t="s">
        <v>79</v>
      </c>
      <c r="P197" s="76" t="s">
        <v>79</v>
      </c>
      <c r="Q197" s="76" t="s">
        <v>79</v>
      </c>
      <c r="R197" s="76" t="s">
        <v>79</v>
      </c>
      <c r="S197" s="76" t="s">
        <v>79</v>
      </c>
      <c r="T197" s="76" t="s">
        <v>79</v>
      </c>
      <c r="U197" s="76" t="s">
        <v>79</v>
      </c>
      <c r="V197" s="76" t="s">
        <v>79</v>
      </c>
      <c r="W197" s="76" t="s">
        <v>79</v>
      </c>
      <c r="X197" s="76" t="s">
        <v>79</v>
      </c>
      <c r="Y197" s="76" t="s">
        <v>79</v>
      </c>
      <c r="Z197" s="77">
        <f t="shared" si="2"/>
        <v>10</v>
      </c>
      <c r="AA197" s="78"/>
      <c r="AB197" s="78"/>
      <c r="AC197" s="72" t="s">
        <v>47</v>
      </c>
      <c r="AE197" s="79" t="str">
        <f t="shared" si="30"/>
        <v>Jan10713</v>
      </c>
      <c r="AF197" s="80">
        <f>IF(N197="","",IF(N197="SIM",VLOOKUP($I197&amp;$J197&amp;N$1,Pesos!$A:$I,7,FALSE),VLOOKUP($I197&amp;$J197&amp;N$1,Pesos!$A:$I,9,FALSE)))</f>
        <v>0.8</v>
      </c>
      <c r="AG197" s="80">
        <f>IF(O197="","",IF(O197="SIM",VLOOKUP($I197&amp;$J197&amp;O$1,Pesos!$A:$I,7,FALSE),VLOOKUP($I197&amp;$J197&amp;O$1,Pesos!$A:$I,9,FALSE)))</f>
        <v>0.8</v>
      </c>
      <c r="AH197" s="80">
        <f>IF(P197="","",IF(P197="SIM",VLOOKUP($I197&amp;$J197&amp;P$1,Pesos!$A:$I,7,FALSE),VLOOKUP($I197&amp;$J197&amp;P$1,Pesos!$A:$I,9,FALSE)))</f>
        <v>1.2</v>
      </c>
      <c r="AI197" s="80">
        <f>IF(Q197="","",IF(Q197="SIM",VLOOKUP($I197&amp;$J197&amp;Q$1,Pesos!$A:$I,7,FALSE),VLOOKUP($I197&amp;$J197&amp;Q$1,Pesos!$A:$I,9,FALSE)))</f>
        <v>0.8</v>
      </c>
      <c r="AJ197" s="80">
        <f>IF(R197="","",IF(R197="SIM",VLOOKUP($I197&amp;$J197&amp;R$1,Pesos!$A:$I,7,FALSE),VLOOKUP($I197&amp;$J197&amp;R$1,Pesos!$A:$I,9,FALSE)))</f>
        <v>0.8</v>
      </c>
      <c r="AK197" s="80">
        <f>IF(S197="","",IF(S197="SIM",VLOOKUP($I197&amp;$J197&amp;S$1,Pesos!$A:$I,7,FALSE),VLOOKUP($I197&amp;$J197&amp;S$1,Pesos!$A:$I,9,FALSE)))</f>
        <v>0.8</v>
      </c>
      <c r="AL197" s="80">
        <f t="shared" si="31"/>
        <v>5.1999999999999993</v>
      </c>
      <c r="AM197" s="80">
        <f>IF(T197="","",IF(T197="SIM",VLOOKUP($I197&amp;$J197&amp;T$1,Pesos!$A:$I,7,FALSE),VLOOKUP($I197&amp;$J197&amp;T$1,Pesos!$A:$I,9,FALSE)))</f>
        <v>0.8</v>
      </c>
      <c r="AN197" s="80">
        <f>IF(U197="","",IF(U197="SIM",VLOOKUP($I197&amp;$J197&amp;U$1,Pesos!$A:$I,7,FALSE),VLOOKUP($I197&amp;$J197&amp;U$1,Pesos!$A:$I,9,FALSE)))</f>
        <v>0.8</v>
      </c>
      <c r="AO197" s="80">
        <f>IF(V197="","",IF(V197="SIM",VLOOKUP($I197&amp;$J197&amp;V$1,Pesos!$A:$I,7,FALSE),VLOOKUP($I197&amp;$J197&amp;V$1,Pesos!$A:$I,9,FALSE)))</f>
        <v>0.8</v>
      </c>
      <c r="AP197" s="80">
        <f>IF(W197="","",IF(W197="SIM",VLOOKUP($I197&amp;$J197&amp;W$1,Pesos!$A:$I,7,FALSE),VLOOKUP($I197&amp;$J197&amp;W$1,Pesos!$A:$I,9,FALSE)))</f>
        <v>0.8</v>
      </c>
      <c r="AQ197" s="80">
        <f>IF(X197="","",IF(X197="SIM",VLOOKUP($I197&amp;$J197&amp;X$1,Pesos!$A:$I,7,FALSE),VLOOKUP($I197&amp;$J197&amp;X$1,Pesos!$A:$I,9,FALSE)))</f>
        <v>0.8</v>
      </c>
      <c r="AR197" s="80">
        <f>IF(Y197="","",IF(Y197="SIM",VLOOKUP($I197&amp;$J197&amp;Y$1,Pesos!$A:$I,7,FALSE),VLOOKUP($I197&amp;$J197&amp;Y$1,Pesos!$A:$I,9,FALSE)))</f>
        <v>0.8</v>
      </c>
      <c r="AS197" s="81">
        <f>IFERROR(Z197*VLOOKUP(J197,'BD Campos'!$Y$1:$Z$12,2,FALSE),"0")</f>
        <v>10</v>
      </c>
    </row>
    <row r="198" spans="1:45" x14ac:dyDescent="0.35">
      <c r="A198" s="68" t="str">
        <f t="shared" si="32"/>
        <v>Jan202510526ReceptivaUTI</v>
      </c>
      <c r="B198" s="69" t="str">
        <f t="shared" si="27"/>
        <v>Jan2025105265UTIPADRÃO</v>
      </c>
      <c r="C198" s="70">
        <v>1</v>
      </c>
      <c r="D198" s="71">
        <v>45677.589528240744</v>
      </c>
      <c r="E198" s="112" t="s">
        <v>74</v>
      </c>
      <c r="F198" s="72">
        <v>10526</v>
      </c>
      <c r="G198" s="69" t="s">
        <v>267</v>
      </c>
      <c r="H198" s="73">
        <v>5</v>
      </c>
      <c r="I198" s="69" t="s">
        <v>6</v>
      </c>
      <c r="J198" s="69" t="s">
        <v>98</v>
      </c>
      <c r="K198" s="69" t="s">
        <v>131</v>
      </c>
      <c r="L198" s="74"/>
      <c r="M198" s="75">
        <v>8.449074074074075E-4</v>
      </c>
      <c r="N198" s="76" t="s">
        <v>79</v>
      </c>
      <c r="O198" s="76" t="s">
        <v>79</v>
      </c>
      <c r="P198" s="76" t="s">
        <v>79</v>
      </c>
      <c r="Q198" s="76" t="s">
        <v>79</v>
      </c>
      <c r="R198" s="76" t="s">
        <v>79</v>
      </c>
      <c r="S198" s="76" t="s">
        <v>79</v>
      </c>
      <c r="T198" s="76" t="s">
        <v>79</v>
      </c>
      <c r="U198" s="76" t="s">
        <v>79</v>
      </c>
      <c r="V198" s="76" t="s">
        <v>79</v>
      </c>
      <c r="W198" s="76" t="s">
        <v>79</v>
      </c>
      <c r="X198" s="76" t="s">
        <v>79</v>
      </c>
      <c r="Y198" s="76" t="s">
        <v>79</v>
      </c>
      <c r="Z198" s="77">
        <f t="shared" si="2"/>
        <v>10</v>
      </c>
      <c r="AA198" s="78"/>
      <c r="AB198" s="78"/>
      <c r="AC198" s="72" t="s">
        <v>47</v>
      </c>
      <c r="AE198" s="79" t="str">
        <f t="shared" si="30"/>
        <v>Jan10526</v>
      </c>
      <c r="AF198" s="80">
        <f>IF(N198="","",IF(N198="SIM",VLOOKUP($I198&amp;$J198&amp;N$1,Pesos!$A:$I,7,FALSE),VLOOKUP($I198&amp;$J198&amp;N$1,Pesos!$A:$I,9,FALSE)))</f>
        <v>0.8</v>
      </c>
      <c r="AG198" s="80">
        <f>IF(O198="","",IF(O198="SIM",VLOOKUP($I198&amp;$J198&amp;O$1,Pesos!$A:$I,7,FALSE),VLOOKUP($I198&amp;$J198&amp;O$1,Pesos!$A:$I,9,FALSE)))</f>
        <v>0.8</v>
      </c>
      <c r="AH198" s="80">
        <f>IF(P198="","",IF(P198="SIM",VLOOKUP($I198&amp;$J198&amp;P$1,Pesos!$A:$I,7,FALSE),VLOOKUP($I198&amp;$J198&amp;P$1,Pesos!$A:$I,9,FALSE)))</f>
        <v>1.2</v>
      </c>
      <c r="AI198" s="80">
        <f>IF(Q198="","",IF(Q198="SIM",VLOOKUP($I198&amp;$J198&amp;Q$1,Pesos!$A:$I,7,FALSE),VLOOKUP($I198&amp;$J198&amp;Q$1,Pesos!$A:$I,9,FALSE)))</f>
        <v>0.8</v>
      </c>
      <c r="AJ198" s="80">
        <f>IF(R198="","",IF(R198="SIM",VLOOKUP($I198&amp;$J198&amp;R$1,Pesos!$A:$I,7,FALSE),VLOOKUP($I198&amp;$J198&amp;R$1,Pesos!$A:$I,9,FALSE)))</f>
        <v>0.8</v>
      </c>
      <c r="AK198" s="80">
        <f>IF(S198="","",IF(S198="SIM",VLOOKUP($I198&amp;$J198&amp;S$1,Pesos!$A:$I,7,FALSE),VLOOKUP($I198&amp;$J198&amp;S$1,Pesos!$A:$I,9,FALSE)))</f>
        <v>0.8</v>
      </c>
      <c r="AL198" s="80">
        <f t="shared" si="31"/>
        <v>5.1999999999999993</v>
      </c>
      <c r="AM198" s="80">
        <f>IF(T198="","",IF(T198="SIM",VLOOKUP($I198&amp;$J198&amp;T$1,Pesos!$A:$I,7,FALSE),VLOOKUP($I198&amp;$J198&amp;T$1,Pesos!$A:$I,9,FALSE)))</f>
        <v>0.8</v>
      </c>
      <c r="AN198" s="80">
        <f>IF(U198="","",IF(U198="SIM",VLOOKUP($I198&amp;$J198&amp;U$1,Pesos!$A:$I,7,FALSE),VLOOKUP($I198&amp;$J198&amp;U$1,Pesos!$A:$I,9,FALSE)))</f>
        <v>0.8</v>
      </c>
      <c r="AO198" s="80">
        <f>IF(V198="","",IF(V198="SIM",VLOOKUP($I198&amp;$J198&amp;V$1,Pesos!$A:$I,7,FALSE),VLOOKUP($I198&amp;$J198&amp;V$1,Pesos!$A:$I,9,FALSE)))</f>
        <v>0.8</v>
      </c>
      <c r="AP198" s="80">
        <f>IF(W198="","",IF(W198="SIM",VLOOKUP($I198&amp;$J198&amp;W$1,Pesos!$A:$I,7,FALSE),VLOOKUP($I198&amp;$J198&amp;W$1,Pesos!$A:$I,9,FALSE)))</f>
        <v>0.8</v>
      </c>
      <c r="AQ198" s="80">
        <f>IF(X198="","",IF(X198="SIM",VLOOKUP($I198&amp;$J198&amp;X$1,Pesos!$A:$I,7,FALSE),VLOOKUP($I198&amp;$J198&amp;X$1,Pesos!$A:$I,9,FALSE)))</f>
        <v>0.8</v>
      </c>
      <c r="AR198" s="80">
        <f>IF(Y198="","",IF(Y198="SIM",VLOOKUP($I198&amp;$J198&amp;Y$1,Pesos!$A:$I,7,FALSE),VLOOKUP($I198&amp;$J198&amp;Y$1,Pesos!$A:$I,9,FALSE)))</f>
        <v>0.8</v>
      </c>
      <c r="AS198" s="81">
        <f>IFERROR(Z198*VLOOKUP(J198,'BD Campos'!$Y$1:$Z$12,2,FALSE),"0")</f>
        <v>10</v>
      </c>
    </row>
    <row r="199" spans="1:45" x14ac:dyDescent="0.35">
      <c r="A199" s="68" t="str">
        <f t="shared" si="32"/>
        <v>Jan202510586ReceptivaUTI</v>
      </c>
      <c r="B199" s="69" t="str">
        <f t="shared" si="27"/>
        <v>Jan2025105865UTIPADRÃO</v>
      </c>
      <c r="C199" s="70">
        <v>1</v>
      </c>
      <c r="D199" s="71">
        <v>45677.590969328703</v>
      </c>
      <c r="E199" s="112" t="s">
        <v>74</v>
      </c>
      <c r="F199" s="72">
        <v>10586</v>
      </c>
      <c r="G199" s="69" t="s">
        <v>268</v>
      </c>
      <c r="H199" s="73">
        <v>5</v>
      </c>
      <c r="I199" s="69" t="s">
        <v>6</v>
      </c>
      <c r="J199" s="69" t="s">
        <v>98</v>
      </c>
      <c r="K199" s="69" t="s">
        <v>131</v>
      </c>
      <c r="L199" s="74"/>
      <c r="M199" s="75">
        <v>7.5231481481481471E-4</v>
      </c>
      <c r="N199" s="76" t="s">
        <v>79</v>
      </c>
      <c r="O199" s="76" t="s">
        <v>79</v>
      </c>
      <c r="P199" s="76" t="s">
        <v>79</v>
      </c>
      <c r="Q199" s="76" t="s">
        <v>79</v>
      </c>
      <c r="R199" s="76" t="s">
        <v>79</v>
      </c>
      <c r="S199" s="76" t="s">
        <v>79</v>
      </c>
      <c r="T199" s="76" t="s">
        <v>79</v>
      </c>
      <c r="U199" s="76" t="s">
        <v>79</v>
      </c>
      <c r="V199" s="76" t="s">
        <v>79</v>
      </c>
      <c r="W199" s="76" t="s">
        <v>79</v>
      </c>
      <c r="X199" s="76" t="s">
        <v>79</v>
      </c>
      <c r="Y199" s="76" t="s">
        <v>79</v>
      </c>
      <c r="Z199" s="77">
        <f t="shared" si="2"/>
        <v>10</v>
      </c>
      <c r="AA199" s="78"/>
      <c r="AB199" s="78"/>
      <c r="AC199" s="72" t="s">
        <v>47</v>
      </c>
      <c r="AE199" s="79" t="str">
        <f t="shared" si="30"/>
        <v>Jan10586</v>
      </c>
      <c r="AF199" s="80">
        <f>IF(N199="","",IF(N199="SIM",VLOOKUP($I199&amp;$J199&amp;N$1,Pesos!$A:$I,7,FALSE),VLOOKUP($I199&amp;$J199&amp;N$1,Pesos!$A:$I,9,FALSE)))</f>
        <v>0.8</v>
      </c>
      <c r="AG199" s="80">
        <f>IF(O199="","",IF(O199="SIM",VLOOKUP($I199&amp;$J199&amp;O$1,Pesos!$A:$I,7,FALSE),VLOOKUP($I199&amp;$J199&amp;O$1,Pesos!$A:$I,9,FALSE)))</f>
        <v>0.8</v>
      </c>
      <c r="AH199" s="80">
        <f>IF(P199="","",IF(P199="SIM",VLOOKUP($I199&amp;$J199&amp;P$1,Pesos!$A:$I,7,FALSE),VLOOKUP($I199&amp;$J199&amp;P$1,Pesos!$A:$I,9,FALSE)))</f>
        <v>1.2</v>
      </c>
      <c r="AI199" s="80">
        <f>IF(Q199="","",IF(Q199="SIM",VLOOKUP($I199&amp;$J199&amp;Q$1,Pesos!$A:$I,7,FALSE),VLOOKUP($I199&amp;$J199&amp;Q$1,Pesos!$A:$I,9,FALSE)))</f>
        <v>0.8</v>
      </c>
      <c r="AJ199" s="80">
        <f>IF(R199="","",IF(R199="SIM",VLOOKUP($I199&amp;$J199&amp;R$1,Pesos!$A:$I,7,FALSE),VLOOKUP($I199&amp;$J199&amp;R$1,Pesos!$A:$I,9,FALSE)))</f>
        <v>0.8</v>
      </c>
      <c r="AK199" s="80">
        <f>IF(S199="","",IF(S199="SIM",VLOOKUP($I199&amp;$J199&amp;S$1,Pesos!$A:$I,7,FALSE),VLOOKUP($I199&amp;$J199&amp;S$1,Pesos!$A:$I,9,FALSE)))</f>
        <v>0.8</v>
      </c>
      <c r="AL199" s="80">
        <f t="shared" si="31"/>
        <v>5.1999999999999993</v>
      </c>
      <c r="AM199" s="80">
        <f>IF(T199="","",IF(T199="SIM",VLOOKUP($I199&amp;$J199&amp;T$1,Pesos!$A:$I,7,FALSE),VLOOKUP($I199&amp;$J199&amp;T$1,Pesos!$A:$I,9,FALSE)))</f>
        <v>0.8</v>
      </c>
      <c r="AN199" s="80">
        <f>IF(U199="","",IF(U199="SIM",VLOOKUP($I199&amp;$J199&amp;U$1,Pesos!$A:$I,7,FALSE),VLOOKUP($I199&amp;$J199&amp;U$1,Pesos!$A:$I,9,FALSE)))</f>
        <v>0.8</v>
      </c>
      <c r="AO199" s="80">
        <f>IF(V199="","",IF(V199="SIM",VLOOKUP($I199&amp;$J199&amp;V$1,Pesos!$A:$I,7,FALSE),VLOOKUP($I199&amp;$J199&amp;V$1,Pesos!$A:$I,9,FALSE)))</f>
        <v>0.8</v>
      </c>
      <c r="AP199" s="80">
        <f>IF(W199="","",IF(W199="SIM",VLOOKUP($I199&amp;$J199&amp;W$1,Pesos!$A:$I,7,FALSE),VLOOKUP($I199&amp;$J199&amp;W$1,Pesos!$A:$I,9,FALSE)))</f>
        <v>0.8</v>
      </c>
      <c r="AQ199" s="80">
        <f>IF(X199="","",IF(X199="SIM",VLOOKUP($I199&amp;$J199&amp;X$1,Pesos!$A:$I,7,FALSE),VLOOKUP($I199&amp;$J199&amp;X$1,Pesos!$A:$I,9,FALSE)))</f>
        <v>0.8</v>
      </c>
      <c r="AR199" s="80">
        <f>IF(Y199="","",IF(Y199="SIM",VLOOKUP($I199&amp;$J199&amp;Y$1,Pesos!$A:$I,7,FALSE),VLOOKUP($I199&amp;$J199&amp;Y$1,Pesos!$A:$I,9,FALSE)))</f>
        <v>0.8</v>
      </c>
      <c r="AS199" s="81">
        <f>IFERROR(Z199*VLOOKUP(J199,'BD Campos'!$Y$1:$Z$12,2,FALSE),"0")</f>
        <v>10</v>
      </c>
    </row>
    <row r="200" spans="1:45" x14ac:dyDescent="0.35">
      <c r="A200" s="68" t="str">
        <f t="shared" si="32"/>
        <v>Jan202510586MotoristaUTI</v>
      </c>
      <c r="B200" s="69" t="str">
        <f t="shared" si="27"/>
        <v>Jan2025105861UTIPADRÃO</v>
      </c>
      <c r="C200" s="70">
        <v>1</v>
      </c>
      <c r="D200" s="71">
        <v>45677.595972800926</v>
      </c>
      <c r="E200" s="112" t="s">
        <v>74</v>
      </c>
      <c r="F200" s="72">
        <v>10586</v>
      </c>
      <c r="G200" s="69" t="s">
        <v>268</v>
      </c>
      <c r="H200" s="73">
        <v>1</v>
      </c>
      <c r="I200" s="69" t="s">
        <v>126</v>
      </c>
      <c r="J200" s="69" t="s">
        <v>122</v>
      </c>
      <c r="K200" s="69" t="s">
        <v>131</v>
      </c>
      <c r="L200" s="74">
        <v>30829704</v>
      </c>
      <c r="M200" s="75">
        <v>1.7939814814814815E-3</v>
      </c>
      <c r="N200" s="76" t="s">
        <v>79</v>
      </c>
      <c r="O200" s="76" t="s">
        <v>79</v>
      </c>
      <c r="P200" s="76" t="s">
        <v>79</v>
      </c>
      <c r="Q200" s="76" t="s">
        <v>79</v>
      </c>
      <c r="R200" s="76" t="s">
        <v>79</v>
      </c>
      <c r="S200" s="76" t="s">
        <v>79</v>
      </c>
      <c r="T200" s="76" t="s">
        <v>79</v>
      </c>
      <c r="U200" s="76" t="s">
        <v>79</v>
      </c>
      <c r="V200" s="76" t="s">
        <v>83</v>
      </c>
      <c r="W200" s="76" t="s">
        <v>79</v>
      </c>
      <c r="X200" s="76" t="s">
        <v>79</v>
      </c>
      <c r="Y200" s="76" t="s">
        <v>79</v>
      </c>
      <c r="Z200" s="77">
        <f t="shared" si="2"/>
        <v>9.16</v>
      </c>
      <c r="AA200" s="78"/>
      <c r="AB200" s="78" t="s">
        <v>1528</v>
      </c>
      <c r="AC200" s="72" t="s">
        <v>47</v>
      </c>
      <c r="AE200" s="79" t="str">
        <f t="shared" si="30"/>
        <v>Jan10586</v>
      </c>
      <c r="AF200" s="80">
        <f>IF(N200="","",IF(N200="SIM",VLOOKUP($I200&amp;$J200&amp;N$1,Pesos!$A:$I,7,FALSE),VLOOKUP($I200&amp;$J200&amp;N$1,Pesos!$A:$I,9,FALSE)))</f>
        <v>0.8</v>
      </c>
      <c r="AG200" s="80">
        <f>IF(O200="","",IF(O200="SIM",VLOOKUP($I200&amp;$J200&amp;O$1,Pesos!$A:$I,7,FALSE),VLOOKUP($I200&amp;$J200&amp;O$1,Pesos!$A:$I,9,FALSE)))</f>
        <v>0.8</v>
      </c>
      <c r="AH200" s="80">
        <f>IF(P200="","",IF(P200="SIM",VLOOKUP($I200&amp;$J200&amp;P$1,Pesos!$A:$I,7,FALSE),VLOOKUP($I200&amp;$J200&amp;P$1,Pesos!$A:$I,9,FALSE)))</f>
        <v>0.8</v>
      </c>
      <c r="AI200" s="80">
        <f>IF(Q200="","",IF(Q200="SIM",VLOOKUP($I200&amp;$J200&amp;Q$1,Pesos!$A:$I,7,FALSE),VLOOKUP($I200&amp;$J200&amp;Q$1,Pesos!$A:$I,9,FALSE)))</f>
        <v>0.8</v>
      </c>
      <c r="AJ200" s="80">
        <f>IF(R200="","",IF(R200="SIM",VLOOKUP($I200&amp;$J200&amp;R$1,Pesos!$A:$I,7,FALSE),VLOOKUP($I200&amp;$J200&amp;R$1,Pesos!$A:$I,9,FALSE)))</f>
        <v>0.8</v>
      </c>
      <c r="AK200" s="80">
        <f>IF(S200="","",IF(S200="SIM",VLOOKUP($I200&amp;$J200&amp;S$1,Pesos!$A:$I,7,FALSE),VLOOKUP($I200&amp;$J200&amp;S$1,Pesos!$A:$I,9,FALSE)))</f>
        <v>0.8</v>
      </c>
      <c r="AL200" s="80">
        <f t="shared" si="31"/>
        <v>4.8</v>
      </c>
      <c r="AM200" s="80">
        <f>IF(T200="","",IF(T200="SIM",VLOOKUP($I200&amp;$J200&amp;T$1,Pesos!$A:$I,7,FALSE),VLOOKUP($I200&amp;$J200&amp;T$1,Pesos!$A:$I,9,FALSE)))</f>
        <v>0.8</v>
      </c>
      <c r="AN200" s="80">
        <f>IF(U200="","",IF(U200="SIM",VLOOKUP($I200&amp;$J200&amp;U$1,Pesos!$A:$I,7,FALSE),VLOOKUP($I200&amp;$J200&amp;U$1,Pesos!$A:$I,9,FALSE)))</f>
        <v>0.8</v>
      </c>
      <c r="AO200" s="80">
        <f>IF(V200="","",IF(V200="SIM",VLOOKUP($I200&amp;$J200&amp;V$1,Pesos!$A:$I,7,FALSE),VLOOKUP($I200&amp;$J200&amp;V$1,Pesos!$A:$I,9,FALSE)))</f>
        <v>-4.0000000000000008E-2</v>
      </c>
      <c r="AP200" s="80">
        <f>IF(W200="","",IF(W200="SIM",VLOOKUP($I200&amp;$J200&amp;W$1,Pesos!$A:$I,7,FALSE),VLOOKUP($I200&amp;$J200&amp;W$1,Pesos!$A:$I,9,FALSE)))</f>
        <v>0.8</v>
      </c>
      <c r="AQ200" s="80">
        <f>IF(X200="","",IF(X200="SIM",VLOOKUP($I200&amp;$J200&amp;X$1,Pesos!$A:$I,7,FALSE),VLOOKUP($I200&amp;$J200&amp;X$1,Pesos!$A:$I,9,FALSE)))</f>
        <v>1</v>
      </c>
      <c r="AR200" s="80">
        <f>IF(Y200="","",IF(Y200="SIM",VLOOKUP($I200&amp;$J200&amp;Y$1,Pesos!$A:$I,7,FALSE),VLOOKUP($I200&amp;$J200&amp;Y$1,Pesos!$A:$I,9,FALSE)))</f>
        <v>1</v>
      </c>
      <c r="AS200" s="81">
        <f>IFERROR(Z200*VLOOKUP(J200,'BD Campos'!$Y$1:$Z$12,2,FALSE),"0")</f>
        <v>9.16</v>
      </c>
    </row>
    <row r="201" spans="1:45" x14ac:dyDescent="0.35">
      <c r="A201" s="68" t="str">
        <f t="shared" si="32"/>
        <v>Jan202510613ReceptivaUTI</v>
      </c>
      <c r="B201" s="69" t="str">
        <f t="shared" si="27"/>
        <v>Jan2025106135UTIPADRÃO</v>
      </c>
      <c r="C201" s="70">
        <v>1</v>
      </c>
      <c r="D201" s="71">
        <v>45677.608346990739</v>
      </c>
      <c r="E201" s="112" t="s">
        <v>74</v>
      </c>
      <c r="F201" s="72">
        <v>10613</v>
      </c>
      <c r="G201" s="69" t="s">
        <v>270</v>
      </c>
      <c r="H201" s="73">
        <v>5</v>
      </c>
      <c r="I201" s="69" t="s">
        <v>6</v>
      </c>
      <c r="J201" s="69" t="s">
        <v>98</v>
      </c>
      <c r="K201" s="69" t="s">
        <v>131</v>
      </c>
      <c r="L201" s="74"/>
      <c r="M201" s="75">
        <v>1.4004629629629629E-3</v>
      </c>
      <c r="N201" s="76" t="s">
        <v>79</v>
      </c>
      <c r="O201" s="76" t="s">
        <v>79</v>
      </c>
      <c r="P201" s="76" t="s">
        <v>79</v>
      </c>
      <c r="Q201" s="76" t="s">
        <v>79</v>
      </c>
      <c r="R201" s="76" t="s">
        <v>79</v>
      </c>
      <c r="S201" s="76" t="s">
        <v>79</v>
      </c>
      <c r="T201" s="76" t="s">
        <v>79</v>
      </c>
      <c r="U201" s="76" t="s">
        <v>79</v>
      </c>
      <c r="V201" s="76" t="s">
        <v>79</v>
      </c>
      <c r="W201" s="76" t="s">
        <v>79</v>
      </c>
      <c r="X201" s="76" t="s">
        <v>79</v>
      </c>
      <c r="Y201" s="76" t="s">
        <v>79</v>
      </c>
      <c r="Z201" s="77">
        <f t="shared" si="2"/>
        <v>10</v>
      </c>
      <c r="AA201" s="78"/>
      <c r="AB201" s="78"/>
      <c r="AC201" s="72" t="s">
        <v>47</v>
      </c>
      <c r="AE201" s="79" t="str">
        <f t="shared" si="30"/>
        <v>Jan10613</v>
      </c>
      <c r="AF201" s="80">
        <f>IF(N201="","",IF(N201="SIM",VLOOKUP($I201&amp;$J201&amp;N$1,Pesos!$A:$I,7,FALSE),VLOOKUP($I201&amp;$J201&amp;N$1,Pesos!$A:$I,9,FALSE)))</f>
        <v>0.8</v>
      </c>
      <c r="AG201" s="80">
        <f>IF(O201="","",IF(O201="SIM",VLOOKUP($I201&amp;$J201&amp;O$1,Pesos!$A:$I,7,FALSE),VLOOKUP($I201&amp;$J201&amp;O$1,Pesos!$A:$I,9,FALSE)))</f>
        <v>0.8</v>
      </c>
      <c r="AH201" s="80">
        <f>IF(P201="","",IF(P201="SIM",VLOOKUP($I201&amp;$J201&amp;P$1,Pesos!$A:$I,7,FALSE),VLOOKUP($I201&amp;$J201&amp;P$1,Pesos!$A:$I,9,FALSE)))</f>
        <v>1.2</v>
      </c>
      <c r="AI201" s="80">
        <f>IF(Q201="","",IF(Q201="SIM",VLOOKUP($I201&amp;$J201&amp;Q$1,Pesos!$A:$I,7,FALSE),VLOOKUP($I201&amp;$J201&amp;Q$1,Pesos!$A:$I,9,FALSE)))</f>
        <v>0.8</v>
      </c>
      <c r="AJ201" s="80">
        <f>IF(R201="","",IF(R201="SIM",VLOOKUP($I201&amp;$J201&amp;R$1,Pesos!$A:$I,7,FALSE),VLOOKUP($I201&amp;$J201&amp;R$1,Pesos!$A:$I,9,FALSE)))</f>
        <v>0.8</v>
      </c>
      <c r="AK201" s="80">
        <f>IF(S201="","",IF(S201="SIM",VLOOKUP($I201&amp;$J201&amp;S$1,Pesos!$A:$I,7,FALSE),VLOOKUP($I201&amp;$J201&amp;S$1,Pesos!$A:$I,9,FALSE)))</f>
        <v>0.8</v>
      </c>
      <c r="AL201" s="80">
        <f t="shared" si="31"/>
        <v>5.1999999999999993</v>
      </c>
      <c r="AM201" s="80">
        <f>IF(T201="","",IF(T201="SIM",VLOOKUP($I201&amp;$J201&amp;T$1,Pesos!$A:$I,7,FALSE),VLOOKUP($I201&amp;$J201&amp;T$1,Pesos!$A:$I,9,FALSE)))</f>
        <v>0.8</v>
      </c>
      <c r="AN201" s="80">
        <f>IF(U201="","",IF(U201="SIM",VLOOKUP($I201&amp;$J201&amp;U$1,Pesos!$A:$I,7,FALSE),VLOOKUP($I201&amp;$J201&amp;U$1,Pesos!$A:$I,9,FALSE)))</f>
        <v>0.8</v>
      </c>
      <c r="AO201" s="80">
        <f>IF(V201="","",IF(V201="SIM",VLOOKUP($I201&amp;$J201&amp;V$1,Pesos!$A:$I,7,FALSE),VLOOKUP($I201&amp;$J201&amp;V$1,Pesos!$A:$I,9,FALSE)))</f>
        <v>0.8</v>
      </c>
      <c r="AP201" s="80">
        <f>IF(W201="","",IF(W201="SIM",VLOOKUP($I201&amp;$J201&amp;W$1,Pesos!$A:$I,7,FALSE),VLOOKUP($I201&amp;$J201&amp;W$1,Pesos!$A:$I,9,FALSE)))</f>
        <v>0.8</v>
      </c>
      <c r="AQ201" s="80">
        <f>IF(X201="","",IF(X201="SIM",VLOOKUP($I201&amp;$J201&amp;X$1,Pesos!$A:$I,7,FALSE),VLOOKUP($I201&amp;$J201&amp;X$1,Pesos!$A:$I,9,FALSE)))</f>
        <v>0.8</v>
      </c>
      <c r="AR201" s="80">
        <f>IF(Y201="","",IF(Y201="SIM",VLOOKUP($I201&amp;$J201&amp;Y$1,Pesos!$A:$I,7,FALSE),VLOOKUP($I201&amp;$J201&amp;Y$1,Pesos!$A:$I,9,FALSE)))</f>
        <v>0.8</v>
      </c>
      <c r="AS201" s="81">
        <f>IFERROR(Z201*VLOOKUP(J201,'BD Campos'!$Y$1:$Z$12,2,FALSE),"0")</f>
        <v>10</v>
      </c>
    </row>
    <row r="202" spans="1:45" x14ac:dyDescent="0.35">
      <c r="A202" s="68" t="str">
        <f t="shared" si="32"/>
        <v>Jan202510892PoliciaBAS</v>
      </c>
      <c r="B202" s="69" t="str">
        <f t="shared" si="27"/>
        <v>Jan2025108921BASPADRÃO</v>
      </c>
      <c r="C202" s="70">
        <v>1</v>
      </c>
      <c r="D202" s="71">
        <v>45677.613144444447</v>
      </c>
      <c r="E202" s="112" t="s">
        <v>74</v>
      </c>
      <c r="F202" s="72">
        <v>10892</v>
      </c>
      <c r="G202" s="69" t="s">
        <v>134</v>
      </c>
      <c r="H202" s="73">
        <v>1</v>
      </c>
      <c r="I202" s="69" t="s">
        <v>147</v>
      </c>
      <c r="J202" s="69" t="s">
        <v>146</v>
      </c>
      <c r="K202" s="69" t="s">
        <v>303</v>
      </c>
      <c r="L202" s="74">
        <v>30803217</v>
      </c>
      <c r="M202" s="75">
        <v>2.2222222222222222E-3</v>
      </c>
      <c r="N202" s="76" t="s">
        <v>79</v>
      </c>
      <c r="O202" s="76" t="s">
        <v>79</v>
      </c>
      <c r="P202" s="76" t="s">
        <v>79</v>
      </c>
      <c r="Q202" s="76" t="s">
        <v>79</v>
      </c>
      <c r="R202" s="76" t="s">
        <v>79</v>
      </c>
      <c r="S202" s="76" t="s">
        <v>79</v>
      </c>
      <c r="T202" s="76" t="s">
        <v>79</v>
      </c>
      <c r="U202" s="76" t="s">
        <v>79</v>
      </c>
      <c r="V202" s="76" t="s">
        <v>79</v>
      </c>
      <c r="W202" s="76" t="s">
        <v>79</v>
      </c>
      <c r="X202" s="76" t="s">
        <v>79</v>
      </c>
      <c r="Y202" s="76" t="s">
        <v>79</v>
      </c>
      <c r="Z202" s="77">
        <f t="shared" si="2"/>
        <v>10</v>
      </c>
      <c r="AA202" s="78"/>
      <c r="AB202" s="78" t="s">
        <v>1529</v>
      </c>
      <c r="AC202" s="72" t="s">
        <v>47</v>
      </c>
      <c r="AE202" s="79" t="str">
        <f t="shared" si="30"/>
        <v>Jan10892</v>
      </c>
      <c r="AF202" s="80">
        <f>IF(N202="","",IF(N202="SIM",VLOOKUP($I202&amp;$J202&amp;N$1,Pesos!$A:$I,7,FALSE),VLOOKUP($I202&amp;$J202&amp;N$1,Pesos!$A:$I,9,FALSE)))</f>
        <v>0.8</v>
      </c>
      <c r="AG202" s="80">
        <f>IF(O202="","",IF(O202="SIM",VLOOKUP($I202&amp;$J202&amp;O$1,Pesos!$A:$I,7,FALSE),VLOOKUP($I202&amp;$J202&amp;O$1,Pesos!$A:$I,9,FALSE)))</f>
        <v>0.8</v>
      </c>
      <c r="AH202" s="80">
        <f>IF(P202="","",IF(P202="SIM",VLOOKUP($I202&amp;$J202&amp;P$1,Pesos!$A:$I,7,FALSE),VLOOKUP($I202&amp;$J202&amp;P$1,Pesos!$A:$I,9,FALSE)))</f>
        <v>0.8</v>
      </c>
      <c r="AI202" s="80">
        <f>IF(Q202="","",IF(Q202="SIM",VLOOKUP($I202&amp;$J202&amp;Q$1,Pesos!$A:$I,7,FALSE),VLOOKUP($I202&amp;$J202&amp;Q$1,Pesos!$A:$I,9,FALSE)))</f>
        <v>0.8</v>
      </c>
      <c r="AJ202" s="80">
        <f>IF(R202="","",IF(R202="SIM",VLOOKUP($I202&amp;$J202&amp;R$1,Pesos!$A:$I,7,FALSE),VLOOKUP($I202&amp;$J202&amp;R$1,Pesos!$A:$I,9,FALSE)))</f>
        <v>0.8</v>
      </c>
      <c r="AK202" s="80">
        <f>IF(S202="","",IF(S202="SIM",VLOOKUP($I202&amp;$J202&amp;S$1,Pesos!$A:$I,7,FALSE),VLOOKUP($I202&amp;$J202&amp;S$1,Pesos!$A:$I,9,FALSE)))</f>
        <v>0.8</v>
      </c>
      <c r="AL202" s="80">
        <f t="shared" si="31"/>
        <v>4.8</v>
      </c>
      <c r="AM202" s="80">
        <f>IF(T202="","",IF(T202="SIM",VLOOKUP($I202&amp;$J202&amp;T$1,Pesos!$A:$I,7,FALSE),VLOOKUP($I202&amp;$J202&amp;T$1,Pesos!$A:$I,9,FALSE)))</f>
        <v>0.8</v>
      </c>
      <c r="AN202" s="80">
        <f>IF(U202="","",IF(U202="SIM",VLOOKUP($I202&amp;$J202&amp;U$1,Pesos!$A:$I,7,FALSE),VLOOKUP($I202&amp;$J202&amp;U$1,Pesos!$A:$I,9,FALSE)))</f>
        <v>0.8</v>
      </c>
      <c r="AO202" s="80">
        <f>IF(V202="","",IF(V202="SIM",VLOOKUP($I202&amp;$J202&amp;V$1,Pesos!$A:$I,7,FALSE),VLOOKUP($I202&amp;$J202&amp;V$1,Pesos!$A:$I,9,FALSE)))</f>
        <v>0.8</v>
      </c>
      <c r="AP202" s="80">
        <f>IF(W202="","",IF(W202="SIM",VLOOKUP($I202&amp;$J202&amp;W$1,Pesos!$A:$I,7,FALSE),VLOOKUP($I202&amp;$J202&amp;W$1,Pesos!$A:$I,9,FALSE)))</f>
        <v>0.8</v>
      </c>
      <c r="AQ202" s="80">
        <f>IF(X202="","",IF(X202="SIM",VLOOKUP($I202&amp;$J202&amp;X$1,Pesos!$A:$I,7,FALSE),VLOOKUP($I202&amp;$J202&amp;X$1,Pesos!$A:$I,9,FALSE)))</f>
        <v>1</v>
      </c>
      <c r="AR202" s="80">
        <f>IF(Y202="","",IF(Y202="SIM",VLOOKUP($I202&amp;$J202&amp;Y$1,Pesos!$A:$I,7,FALSE),VLOOKUP($I202&amp;$J202&amp;Y$1,Pesos!$A:$I,9,FALSE)))</f>
        <v>1</v>
      </c>
      <c r="AS202" s="81">
        <f>IFERROR(Z202*VLOOKUP(J202,'BD Campos'!$Y$1:$Z$12,2,FALSE),"0")</f>
        <v>10</v>
      </c>
    </row>
    <row r="203" spans="1:45" x14ac:dyDescent="0.35">
      <c r="A203" s="68" t="str">
        <f t="shared" si="32"/>
        <v>Jan202510892Policia 2BAS</v>
      </c>
      <c r="B203" s="69" t="str">
        <f t="shared" si="27"/>
        <v>Jan2025108922BASPADRÃO</v>
      </c>
      <c r="C203" s="70">
        <v>1</v>
      </c>
      <c r="D203" s="71">
        <v>45677.615796412036</v>
      </c>
      <c r="E203" s="112" t="s">
        <v>74</v>
      </c>
      <c r="F203" s="72">
        <v>10892</v>
      </c>
      <c r="G203" s="69" t="s">
        <v>134</v>
      </c>
      <c r="H203" s="73">
        <v>2</v>
      </c>
      <c r="I203" s="69" t="s">
        <v>147</v>
      </c>
      <c r="J203" s="69" t="s">
        <v>304</v>
      </c>
      <c r="K203" s="69" t="s">
        <v>303</v>
      </c>
      <c r="L203" s="74">
        <v>30927057</v>
      </c>
      <c r="M203" s="75">
        <v>2.1874999999999998E-3</v>
      </c>
      <c r="N203" s="76" t="s">
        <v>79</v>
      </c>
      <c r="O203" s="76" t="s">
        <v>79</v>
      </c>
      <c r="P203" s="76" t="s">
        <v>79</v>
      </c>
      <c r="Q203" s="76" t="s">
        <v>79</v>
      </c>
      <c r="R203" s="76" t="s">
        <v>79</v>
      </c>
      <c r="S203" s="76" t="s">
        <v>79</v>
      </c>
      <c r="T203" s="76" t="s">
        <v>79</v>
      </c>
      <c r="U203" s="76" t="s">
        <v>79</v>
      </c>
      <c r="V203" s="76" t="s">
        <v>79</v>
      </c>
      <c r="W203" s="76" t="s">
        <v>79</v>
      </c>
      <c r="X203" s="76" t="s">
        <v>79</v>
      </c>
      <c r="Y203" s="76" t="s">
        <v>79</v>
      </c>
      <c r="Z203" s="77">
        <f t="shared" si="2"/>
        <v>10</v>
      </c>
      <c r="AA203" s="78"/>
      <c r="AB203" s="78" t="s">
        <v>1530</v>
      </c>
      <c r="AC203" s="72" t="s">
        <v>47</v>
      </c>
      <c r="AE203" s="79" t="str">
        <f t="shared" si="30"/>
        <v>Jan10892</v>
      </c>
      <c r="AF203" s="80">
        <f>IF(N203="","",IF(N203="SIM",VLOOKUP($I203&amp;$J203&amp;N$1,Pesos!$A:$I,7,FALSE),VLOOKUP($I203&amp;$J203&amp;N$1,Pesos!$A:$I,9,FALSE)))</f>
        <v>0.8</v>
      </c>
      <c r="AG203" s="80">
        <f>IF(O203="","",IF(O203="SIM",VLOOKUP($I203&amp;$J203&amp;O$1,Pesos!$A:$I,7,FALSE),VLOOKUP($I203&amp;$J203&amp;O$1,Pesos!$A:$I,9,FALSE)))</f>
        <v>0.8</v>
      </c>
      <c r="AH203" s="80">
        <f>IF(P203="","",IF(P203="SIM",VLOOKUP($I203&amp;$J203&amp;P$1,Pesos!$A:$I,7,FALSE),VLOOKUP($I203&amp;$J203&amp;P$1,Pesos!$A:$I,9,FALSE)))</f>
        <v>0.8</v>
      </c>
      <c r="AI203" s="80">
        <f>IF(Q203="","",IF(Q203="SIM",VLOOKUP($I203&amp;$J203&amp;Q$1,Pesos!$A:$I,7,FALSE),VLOOKUP($I203&amp;$J203&amp;Q$1,Pesos!$A:$I,9,FALSE)))</f>
        <v>0.8</v>
      </c>
      <c r="AJ203" s="80">
        <f>IF(R203="","",IF(R203="SIM",VLOOKUP($I203&amp;$J203&amp;R$1,Pesos!$A:$I,7,FALSE),VLOOKUP($I203&amp;$J203&amp;R$1,Pesos!$A:$I,9,FALSE)))</f>
        <v>0.8</v>
      </c>
      <c r="AK203" s="80">
        <f>IF(S203="","",IF(S203="SIM",VLOOKUP($I203&amp;$J203&amp;S$1,Pesos!$A:$I,7,FALSE),VLOOKUP($I203&amp;$J203&amp;S$1,Pesos!$A:$I,9,FALSE)))</f>
        <v>0.8</v>
      </c>
      <c r="AL203" s="80">
        <f t="shared" si="31"/>
        <v>4.8</v>
      </c>
      <c r="AM203" s="80">
        <f>IF(T203="","",IF(T203="SIM",VLOOKUP($I203&amp;$J203&amp;T$1,Pesos!$A:$I,7,FALSE),VLOOKUP($I203&amp;$J203&amp;T$1,Pesos!$A:$I,9,FALSE)))</f>
        <v>0.8</v>
      </c>
      <c r="AN203" s="80">
        <f>IF(U203="","",IF(U203="SIM",VLOOKUP($I203&amp;$J203&amp;U$1,Pesos!$A:$I,7,FALSE),VLOOKUP($I203&amp;$J203&amp;U$1,Pesos!$A:$I,9,FALSE)))</f>
        <v>0.8</v>
      </c>
      <c r="AO203" s="80">
        <f>IF(V203="","",IF(V203="SIM",VLOOKUP($I203&amp;$J203&amp;V$1,Pesos!$A:$I,7,FALSE),VLOOKUP($I203&amp;$J203&amp;V$1,Pesos!$A:$I,9,FALSE)))</f>
        <v>0.8</v>
      </c>
      <c r="AP203" s="80">
        <f>IF(W203="","",IF(W203="SIM",VLOOKUP($I203&amp;$J203&amp;W$1,Pesos!$A:$I,7,FALSE),VLOOKUP($I203&amp;$J203&amp;W$1,Pesos!$A:$I,9,FALSE)))</f>
        <v>0.8</v>
      </c>
      <c r="AQ203" s="80">
        <f>IF(X203="","",IF(X203="SIM",VLOOKUP($I203&amp;$J203&amp;X$1,Pesos!$A:$I,7,FALSE),VLOOKUP($I203&amp;$J203&amp;X$1,Pesos!$A:$I,9,FALSE)))</f>
        <v>1</v>
      </c>
      <c r="AR203" s="80">
        <f>IF(Y203="","",IF(Y203="SIM",VLOOKUP($I203&amp;$J203&amp;Y$1,Pesos!$A:$I,7,FALSE),VLOOKUP($I203&amp;$J203&amp;Y$1,Pesos!$A:$I,9,FALSE)))</f>
        <v>1</v>
      </c>
      <c r="AS203" s="81" t="str">
        <f>IFERROR(Z203*VLOOKUP(J203,'BD Campos'!$Y$1:$Z$12,2,FALSE),"0")</f>
        <v>0</v>
      </c>
    </row>
    <row r="204" spans="1:45" x14ac:dyDescent="0.35">
      <c r="A204" s="68" t="str">
        <f t="shared" si="32"/>
        <v>Jan202510610MotoristaUTI</v>
      </c>
      <c r="B204" s="69" t="str">
        <f t="shared" si="27"/>
        <v>Jan2025106101UTIPADRÃO</v>
      </c>
      <c r="C204" s="70">
        <v>1</v>
      </c>
      <c r="D204" s="71">
        <v>45677.619466898148</v>
      </c>
      <c r="E204" s="112" t="s">
        <v>74</v>
      </c>
      <c r="F204" s="72">
        <v>10610</v>
      </c>
      <c r="G204" s="69" t="s">
        <v>298</v>
      </c>
      <c r="H204" s="73">
        <v>1</v>
      </c>
      <c r="I204" s="69" t="s">
        <v>121</v>
      </c>
      <c r="J204" s="69" t="s">
        <v>122</v>
      </c>
      <c r="K204" s="69" t="s">
        <v>131</v>
      </c>
      <c r="L204" s="74">
        <v>30916347</v>
      </c>
      <c r="M204" s="75">
        <v>1.736111111111111E-3</v>
      </c>
      <c r="N204" s="76"/>
      <c r="O204" s="76"/>
      <c r="P204" s="76"/>
      <c r="Q204" s="76"/>
      <c r="R204" s="76"/>
      <c r="S204" s="76"/>
      <c r="T204" s="76"/>
      <c r="U204" s="76"/>
      <c r="V204" s="76"/>
      <c r="W204" s="76"/>
      <c r="X204" s="76"/>
      <c r="Y204" s="76"/>
      <c r="Z204" s="77">
        <f t="shared" si="2"/>
        <v>0</v>
      </c>
      <c r="AA204" s="78" t="s">
        <v>1532</v>
      </c>
      <c r="AB204" s="78" t="s">
        <v>1531</v>
      </c>
      <c r="AC204" s="72" t="s">
        <v>47</v>
      </c>
      <c r="AE204" s="79" t="str">
        <f t="shared" si="30"/>
        <v>Jan10610</v>
      </c>
      <c r="AF204" s="80" t="str">
        <f>IF(N204="","",IF(N204="SIM",VLOOKUP($I204&amp;$J204&amp;N$1,Pesos!$A:$I,7,FALSE),VLOOKUP($I204&amp;$J204&amp;N$1,Pesos!$A:$I,9,FALSE)))</f>
        <v/>
      </c>
      <c r="AG204" s="80" t="str">
        <f>IF(O204="","",IF(O204="SIM",VLOOKUP($I204&amp;$J204&amp;O$1,Pesos!$A:$I,7,FALSE),VLOOKUP($I204&amp;$J204&amp;O$1,Pesos!$A:$I,9,FALSE)))</f>
        <v/>
      </c>
      <c r="AH204" s="80" t="str">
        <f>IF(P204="","",IF(P204="SIM",VLOOKUP($I204&amp;$J204&amp;P$1,Pesos!$A:$I,7,FALSE),VLOOKUP($I204&amp;$J204&amp;P$1,Pesos!$A:$I,9,FALSE)))</f>
        <v/>
      </c>
      <c r="AI204" s="80" t="str">
        <f>IF(Q204="","",IF(Q204="SIM",VLOOKUP($I204&amp;$J204&amp;Q$1,Pesos!$A:$I,7,FALSE),VLOOKUP($I204&amp;$J204&amp;Q$1,Pesos!$A:$I,9,FALSE)))</f>
        <v/>
      </c>
      <c r="AJ204" s="80" t="str">
        <f>IF(R204="","",IF(R204="SIM",VLOOKUP($I204&amp;$J204&amp;R$1,Pesos!$A:$I,7,FALSE),VLOOKUP($I204&amp;$J204&amp;R$1,Pesos!$A:$I,9,FALSE)))</f>
        <v/>
      </c>
      <c r="AK204" s="80" t="str">
        <f>IF(S204="","",IF(S204="SIM",VLOOKUP($I204&amp;$J204&amp;S$1,Pesos!$A:$I,7,FALSE),VLOOKUP($I204&amp;$J204&amp;S$1,Pesos!$A:$I,9,FALSE)))</f>
        <v/>
      </c>
      <c r="AL204" s="80">
        <f t="shared" si="31"/>
        <v>0</v>
      </c>
      <c r="AM204" s="80" t="str">
        <f>IF(T204="","",IF(T204="SIM",VLOOKUP($I204&amp;$J204&amp;T$1,Pesos!$A:$I,7,FALSE),VLOOKUP($I204&amp;$J204&amp;T$1,Pesos!$A:$I,9,FALSE)))</f>
        <v/>
      </c>
      <c r="AN204" s="80" t="str">
        <f>IF(U204="","",IF(U204="SIM",VLOOKUP($I204&amp;$J204&amp;U$1,Pesos!$A:$I,7,FALSE),VLOOKUP($I204&amp;$J204&amp;U$1,Pesos!$A:$I,9,FALSE)))</f>
        <v/>
      </c>
      <c r="AO204" s="80" t="str">
        <f>IF(V204="","",IF(V204="SIM",VLOOKUP($I204&amp;$J204&amp;V$1,Pesos!$A:$I,7,FALSE),VLOOKUP($I204&amp;$J204&amp;V$1,Pesos!$A:$I,9,FALSE)))</f>
        <v/>
      </c>
      <c r="AP204" s="80" t="str">
        <f>IF(W204="","",IF(W204="SIM",VLOOKUP($I204&amp;$J204&amp;W$1,Pesos!$A:$I,7,FALSE),VLOOKUP($I204&amp;$J204&amp;W$1,Pesos!$A:$I,9,FALSE)))</f>
        <v/>
      </c>
      <c r="AQ204" s="80" t="str">
        <f>IF(X204="","",IF(X204="SIM",VLOOKUP($I204&amp;$J204&amp;X$1,Pesos!$A:$I,7,FALSE),VLOOKUP($I204&amp;$J204&amp;X$1,Pesos!$A:$I,9,FALSE)))</f>
        <v/>
      </c>
      <c r="AR204" s="80" t="str">
        <f>IF(Y204="","",IF(Y204="SIM",VLOOKUP($I204&amp;$J204&amp;Y$1,Pesos!$A:$I,7,FALSE),VLOOKUP($I204&amp;$J204&amp;Y$1,Pesos!$A:$I,9,FALSE)))</f>
        <v/>
      </c>
      <c r="AS204" s="81">
        <f>IFERROR(Z204*VLOOKUP(J204,'BD Campos'!$Y$1:$Z$12,2,FALSE),"0")</f>
        <v>0</v>
      </c>
    </row>
    <row r="205" spans="1:45" x14ac:dyDescent="0.35">
      <c r="A205" s="68" t="str">
        <f t="shared" si="32"/>
        <v>Jan202510610ReceptivaUTI</v>
      </c>
      <c r="B205" s="69" t="str">
        <f t="shared" ref="B205:B267" si="33">E205&amp;YEAR(D205)&amp;F205&amp;H205&amp;K205&amp;AC205</f>
        <v>Jan2025106105UTIPADRÃO</v>
      </c>
      <c r="C205" s="70">
        <v>1</v>
      </c>
      <c r="D205" s="71">
        <v>45677.622423148146</v>
      </c>
      <c r="E205" s="112" t="s">
        <v>74</v>
      </c>
      <c r="F205" s="72">
        <v>10610</v>
      </c>
      <c r="G205" s="69" t="s">
        <v>298</v>
      </c>
      <c r="H205" s="73">
        <v>5</v>
      </c>
      <c r="I205" s="69" t="s">
        <v>6</v>
      </c>
      <c r="J205" s="69" t="s">
        <v>98</v>
      </c>
      <c r="K205" s="69" t="s">
        <v>131</v>
      </c>
      <c r="L205" s="74"/>
      <c r="M205" s="75">
        <v>1.2268518518518518E-3</v>
      </c>
      <c r="N205" s="76" t="s">
        <v>79</v>
      </c>
      <c r="O205" s="76" t="s">
        <v>83</v>
      </c>
      <c r="P205" s="76" t="s">
        <v>79</v>
      </c>
      <c r="Q205" s="76" t="s">
        <v>79</v>
      </c>
      <c r="R205" s="76" t="s">
        <v>79</v>
      </c>
      <c r="S205" s="76" t="s">
        <v>79</v>
      </c>
      <c r="T205" s="76" t="s">
        <v>79</v>
      </c>
      <c r="U205" s="76" t="s">
        <v>79</v>
      </c>
      <c r="V205" s="76" t="s">
        <v>79</v>
      </c>
      <c r="W205" s="76" t="s">
        <v>79</v>
      </c>
      <c r="X205" s="76" t="s">
        <v>79</v>
      </c>
      <c r="Y205" s="76" t="s">
        <v>79</v>
      </c>
      <c r="Z205" s="77">
        <f t="shared" si="2"/>
        <v>9.16</v>
      </c>
      <c r="AA205" s="78"/>
      <c r="AB205" s="78"/>
      <c r="AC205" s="72" t="s">
        <v>47</v>
      </c>
      <c r="AE205" s="79" t="str">
        <f t="shared" si="30"/>
        <v>Jan10610</v>
      </c>
      <c r="AF205" s="80">
        <f>IF(N205="","",IF(N205="SIM",VLOOKUP($I205&amp;$J205&amp;N$1,Pesos!$A:$I,7,FALSE),VLOOKUP($I205&amp;$J205&amp;N$1,Pesos!$A:$I,9,FALSE)))</f>
        <v>0.8</v>
      </c>
      <c r="AG205" s="80">
        <f>IF(O205="","",IF(O205="SIM",VLOOKUP($I205&amp;$J205&amp;O$1,Pesos!$A:$I,7,FALSE),VLOOKUP($I205&amp;$J205&amp;O$1,Pesos!$A:$I,9,FALSE)))</f>
        <v>-4.0000000000000008E-2</v>
      </c>
      <c r="AH205" s="80">
        <f>IF(P205="","",IF(P205="SIM",VLOOKUP($I205&amp;$J205&amp;P$1,Pesos!$A:$I,7,FALSE),VLOOKUP($I205&amp;$J205&amp;P$1,Pesos!$A:$I,9,FALSE)))</f>
        <v>1.2</v>
      </c>
      <c r="AI205" s="80">
        <f>IF(Q205="","",IF(Q205="SIM",VLOOKUP($I205&amp;$J205&amp;Q$1,Pesos!$A:$I,7,FALSE),VLOOKUP($I205&amp;$J205&amp;Q$1,Pesos!$A:$I,9,FALSE)))</f>
        <v>0.8</v>
      </c>
      <c r="AJ205" s="80">
        <f>IF(R205="","",IF(R205="SIM",VLOOKUP($I205&amp;$J205&amp;R$1,Pesos!$A:$I,7,FALSE),VLOOKUP($I205&amp;$J205&amp;R$1,Pesos!$A:$I,9,FALSE)))</f>
        <v>0.8</v>
      </c>
      <c r="AK205" s="80">
        <f>IF(S205="","",IF(S205="SIM",VLOOKUP($I205&amp;$J205&amp;S$1,Pesos!$A:$I,7,FALSE),VLOOKUP($I205&amp;$J205&amp;S$1,Pesos!$A:$I,9,FALSE)))</f>
        <v>0.8</v>
      </c>
      <c r="AL205" s="80">
        <f t="shared" si="31"/>
        <v>4.3599999999999994</v>
      </c>
      <c r="AM205" s="80">
        <f>IF(T205="","",IF(T205="SIM",VLOOKUP($I205&amp;$J205&amp;T$1,Pesos!$A:$I,7,FALSE),VLOOKUP($I205&amp;$J205&amp;T$1,Pesos!$A:$I,9,FALSE)))</f>
        <v>0.8</v>
      </c>
      <c r="AN205" s="80">
        <f>IF(U205="","",IF(U205="SIM",VLOOKUP($I205&amp;$J205&amp;U$1,Pesos!$A:$I,7,FALSE),VLOOKUP($I205&amp;$J205&amp;U$1,Pesos!$A:$I,9,FALSE)))</f>
        <v>0.8</v>
      </c>
      <c r="AO205" s="80">
        <f>IF(V205="","",IF(V205="SIM",VLOOKUP($I205&amp;$J205&amp;V$1,Pesos!$A:$I,7,FALSE),VLOOKUP($I205&amp;$J205&amp;V$1,Pesos!$A:$I,9,FALSE)))</f>
        <v>0.8</v>
      </c>
      <c r="AP205" s="80">
        <f>IF(W205="","",IF(W205="SIM",VLOOKUP($I205&amp;$J205&amp;W$1,Pesos!$A:$I,7,FALSE),VLOOKUP($I205&amp;$J205&amp;W$1,Pesos!$A:$I,9,FALSE)))</f>
        <v>0.8</v>
      </c>
      <c r="AQ205" s="80">
        <f>IF(X205="","",IF(X205="SIM",VLOOKUP($I205&amp;$J205&amp;X$1,Pesos!$A:$I,7,FALSE),VLOOKUP($I205&amp;$J205&amp;X$1,Pesos!$A:$I,9,FALSE)))</f>
        <v>0.8</v>
      </c>
      <c r="AR205" s="80">
        <f>IF(Y205="","",IF(Y205="SIM",VLOOKUP($I205&amp;$J205&amp;Y$1,Pesos!$A:$I,7,FALSE),VLOOKUP($I205&amp;$J205&amp;Y$1,Pesos!$A:$I,9,FALSE)))</f>
        <v>0.8</v>
      </c>
      <c r="AS205" s="81">
        <f>IFERROR(Z205*VLOOKUP(J205,'BD Campos'!$Y$1:$Z$12,2,FALSE),"0")</f>
        <v>9.16</v>
      </c>
    </row>
    <row r="206" spans="1:45" x14ac:dyDescent="0.35">
      <c r="A206" s="68" t="str">
        <f t="shared" si="32"/>
        <v>Jan202510628ReceptivaUTI (RJ)</v>
      </c>
      <c r="B206" s="69" t="str">
        <f t="shared" si="33"/>
        <v>Jan2025106285UTI (RJ)PADRÃO</v>
      </c>
      <c r="C206" s="70">
        <v>1</v>
      </c>
      <c r="D206" s="71">
        <v>45677.629947222224</v>
      </c>
      <c r="E206" s="112" t="s">
        <v>74</v>
      </c>
      <c r="F206" s="72">
        <v>10628</v>
      </c>
      <c r="G206" s="69" t="s">
        <v>271</v>
      </c>
      <c r="H206" s="73">
        <v>5</v>
      </c>
      <c r="I206" s="69" t="s">
        <v>6</v>
      </c>
      <c r="J206" s="69" t="s">
        <v>98</v>
      </c>
      <c r="K206" s="69" t="s">
        <v>278</v>
      </c>
      <c r="L206" s="74"/>
      <c r="M206" s="75">
        <v>1.2847222222222223E-3</v>
      </c>
      <c r="N206" s="76" t="s">
        <v>79</v>
      </c>
      <c r="O206" s="76" t="s">
        <v>79</v>
      </c>
      <c r="P206" s="76" t="s">
        <v>79</v>
      </c>
      <c r="Q206" s="76" t="s">
        <v>79</v>
      </c>
      <c r="R206" s="76" t="s">
        <v>79</v>
      </c>
      <c r="S206" s="76" t="s">
        <v>79</v>
      </c>
      <c r="T206" s="76" t="s">
        <v>79</v>
      </c>
      <c r="U206" s="76" t="s">
        <v>79</v>
      </c>
      <c r="V206" s="76" t="s">
        <v>79</v>
      </c>
      <c r="W206" s="76" t="s">
        <v>79</v>
      </c>
      <c r="X206" s="76" t="s">
        <v>79</v>
      </c>
      <c r="Y206" s="76" t="s">
        <v>79</v>
      </c>
      <c r="Z206" s="77">
        <f t="shared" si="2"/>
        <v>10</v>
      </c>
      <c r="AA206" s="78"/>
      <c r="AB206" s="78"/>
      <c r="AC206" s="72" t="s">
        <v>47</v>
      </c>
      <c r="AE206" s="79" t="str">
        <f t="shared" si="30"/>
        <v>Jan10628</v>
      </c>
      <c r="AF206" s="80">
        <f>IF(N206="","",IF(N206="SIM",VLOOKUP($I206&amp;$J206&amp;N$1,Pesos!$A:$I,7,FALSE),VLOOKUP($I206&amp;$J206&amp;N$1,Pesos!$A:$I,9,FALSE)))</f>
        <v>0.8</v>
      </c>
      <c r="AG206" s="80">
        <f>IF(O206="","",IF(O206="SIM",VLOOKUP($I206&amp;$J206&amp;O$1,Pesos!$A:$I,7,FALSE),VLOOKUP($I206&amp;$J206&amp;O$1,Pesos!$A:$I,9,FALSE)))</f>
        <v>0.8</v>
      </c>
      <c r="AH206" s="80">
        <f>IF(P206="","",IF(P206="SIM",VLOOKUP($I206&amp;$J206&amp;P$1,Pesos!$A:$I,7,FALSE),VLOOKUP($I206&amp;$J206&amp;P$1,Pesos!$A:$I,9,FALSE)))</f>
        <v>1.2</v>
      </c>
      <c r="AI206" s="80">
        <f>IF(Q206="","",IF(Q206="SIM",VLOOKUP($I206&amp;$J206&amp;Q$1,Pesos!$A:$I,7,FALSE),VLOOKUP($I206&amp;$J206&amp;Q$1,Pesos!$A:$I,9,FALSE)))</f>
        <v>0.8</v>
      </c>
      <c r="AJ206" s="80">
        <f>IF(R206="","",IF(R206="SIM",VLOOKUP($I206&amp;$J206&amp;R$1,Pesos!$A:$I,7,FALSE),VLOOKUP($I206&amp;$J206&amp;R$1,Pesos!$A:$I,9,FALSE)))</f>
        <v>0.8</v>
      </c>
      <c r="AK206" s="80">
        <f>IF(S206="","",IF(S206="SIM",VLOOKUP($I206&amp;$J206&amp;S$1,Pesos!$A:$I,7,FALSE),VLOOKUP($I206&amp;$J206&amp;S$1,Pesos!$A:$I,9,FALSE)))</f>
        <v>0.8</v>
      </c>
      <c r="AL206" s="80">
        <f t="shared" si="31"/>
        <v>5.1999999999999993</v>
      </c>
      <c r="AM206" s="80">
        <f>IF(T206="","",IF(T206="SIM",VLOOKUP($I206&amp;$J206&amp;T$1,Pesos!$A:$I,7,FALSE),VLOOKUP($I206&amp;$J206&amp;T$1,Pesos!$A:$I,9,FALSE)))</f>
        <v>0.8</v>
      </c>
      <c r="AN206" s="80">
        <f>IF(U206="","",IF(U206="SIM",VLOOKUP($I206&amp;$J206&amp;U$1,Pesos!$A:$I,7,FALSE),VLOOKUP($I206&amp;$J206&amp;U$1,Pesos!$A:$I,9,FALSE)))</f>
        <v>0.8</v>
      </c>
      <c r="AO206" s="80">
        <f>IF(V206="","",IF(V206="SIM",VLOOKUP($I206&amp;$J206&amp;V$1,Pesos!$A:$I,7,FALSE),VLOOKUP($I206&amp;$J206&amp;V$1,Pesos!$A:$I,9,FALSE)))</f>
        <v>0.8</v>
      </c>
      <c r="AP206" s="80">
        <f>IF(W206="","",IF(W206="SIM",VLOOKUP($I206&amp;$J206&amp;W$1,Pesos!$A:$I,7,FALSE),VLOOKUP($I206&amp;$J206&amp;W$1,Pesos!$A:$I,9,FALSE)))</f>
        <v>0.8</v>
      </c>
      <c r="AQ206" s="80">
        <f>IF(X206="","",IF(X206="SIM",VLOOKUP($I206&amp;$J206&amp;X$1,Pesos!$A:$I,7,FALSE),VLOOKUP($I206&amp;$J206&amp;X$1,Pesos!$A:$I,9,FALSE)))</f>
        <v>0.8</v>
      </c>
      <c r="AR206" s="80">
        <f>IF(Y206="","",IF(Y206="SIM",VLOOKUP($I206&amp;$J206&amp;Y$1,Pesos!$A:$I,7,FALSE),VLOOKUP($I206&amp;$J206&amp;Y$1,Pesos!$A:$I,9,FALSE)))</f>
        <v>0.8</v>
      </c>
      <c r="AS206" s="81">
        <f>IFERROR(Z206*VLOOKUP(J206,'BD Campos'!$Y$1:$Z$12,2,FALSE),"0")</f>
        <v>10</v>
      </c>
    </row>
    <row r="207" spans="1:45" x14ac:dyDescent="0.35">
      <c r="A207" s="68" t="str">
        <f t="shared" si="32"/>
        <v>Jan202510874MotoristaUTI</v>
      </c>
      <c r="B207" s="69" t="str">
        <f t="shared" si="33"/>
        <v>Jan2025108741UTIPADRÃO</v>
      </c>
      <c r="C207" s="70">
        <v>1</v>
      </c>
      <c r="D207" s="71">
        <v>45677.636343981481</v>
      </c>
      <c r="E207" s="112" t="s">
        <v>74</v>
      </c>
      <c r="F207" s="72">
        <v>10874</v>
      </c>
      <c r="G207" s="69" t="s">
        <v>133</v>
      </c>
      <c r="H207" s="73">
        <v>1</v>
      </c>
      <c r="I207" s="69" t="s">
        <v>123</v>
      </c>
      <c r="J207" s="69" t="s">
        <v>122</v>
      </c>
      <c r="K207" s="69" t="s">
        <v>131</v>
      </c>
      <c r="L207" s="74">
        <v>30875948</v>
      </c>
      <c r="M207" s="75">
        <v>1.1921296296296296E-3</v>
      </c>
      <c r="N207" s="76" t="s">
        <v>79</v>
      </c>
      <c r="O207" s="76" t="s">
        <v>83</v>
      </c>
      <c r="P207" s="76" t="s">
        <v>79</v>
      </c>
      <c r="Q207" s="76" t="s">
        <v>79</v>
      </c>
      <c r="R207" s="76" t="s">
        <v>79</v>
      </c>
      <c r="S207" s="76" t="s">
        <v>83</v>
      </c>
      <c r="T207" s="76" t="s">
        <v>79</v>
      </c>
      <c r="U207" s="76" t="s">
        <v>79</v>
      </c>
      <c r="V207" s="76" t="s">
        <v>83</v>
      </c>
      <c r="W207" s="76" t="s">
        <v>83</v>
      </c>
      <c r="X207" s="76"/>
      <c r="Y207" s="76"/>
      <c r="Z207" s="77">
        <f t="shared" si="2"/>
        <v>5.8000000000000007</v>
      </c>
      <c r="AA207" s="78"/>
      <c r="AB207" s="78" t="s">
        <v>1533</v>
      </c>
      <c r="AC207" s="72" t="s">
        <v>47</v>
      </c>
      <c r="AE207" s="79" t="str">
        <f t="shared" si="30"/>
        <v>Jan10874</v>
      </c>
      <c r="AF207" s="80">
        <f>IF(N207="","",IF(N207="SIM",VLOOKUP($I207&amp;$J207&amp;N$1,Pesos!$A:$I,7,FALSE),VLOOKUP($I207&amp;$J207&amp;N$1,Pesos!$A:$I,9,FALSE)))</f>
        <v>1</v>
      </c>
      <c r="AG207" s="80">
        <f>IF(O207="","",IF(O207="SIM",VLOOKUP($I207&amp;$J207&amp;O$1,Pesos!$A:$I,7,FALSE),VLOOKUP($I207&amp;$J207&amp;O$1,Pesos!$A:$I,9,FALSE)))</f>
        <v>-0.05</v>
      </c>
      <c r="AH207" s="80">
        <f>IF(P207="","",IF(P207="SIM",VLOOKUP($I207&amp;$J207&amp;P$1,Pesos!$A:$I,7,FALSE),VLOOKUP($I207&amp;$J207&amp;P$1,Pesos!$A:$I,9,FALSE)))</f>
        <v>1</v>
      </c>
      <c r="AI207" s="80">
        <f>IF(Q207="","",IF(Q207="SIM",VLOOKUP($I207&amp;$J207&amp;Q$1,Pesos!$A:$I,7,FALSE),VLOOKUP($I207&amp;$J207&amp;Q$1,Pesos!$A:$I,9,FALSE)))</f>
        <v>1</v>
      </c>
      <c r="AJ207" s="80">
        <f>IF(R207="","",IF(R207="SIM",VLOOKUP($I207&amp;$J207&amp;R$1,Pesos!$A:$I,7,FALSE),VLOOKUP($I207&amp;$J207&amp;R$1,Pesos!$A:$I,9,FALSE)))</f>
        <v>1</v>
      </c>
      <c r="AK207" s="80">
        <f>IF(S207="","",IF(S207="SIM",VLOOKUP($I207&amp;$J207&amp;S$1,Pesos!$A:$I,7,FALSE),VLOOKUP($I207&amp;$J207&amp;S$1,Pesos!$A:$I,9,FALSE)))</f>
        <v>-0.05</v>
      </c>
      <c r="AL207" s="80">
        <f t="shared" si="31"/>
        <v>3.9000000000000004</v>
      </c>
      <c r="AM207" s="80">
        <f>IF(T207="","",IF(T207="SIM",VLOOKUP($I207&amp;$J207&amp;T$1,Pesos!$A:$I,7,FALSE),VLOOKUP($I207&amp;$J207&amp;T$1,Pesos!$A:$I,9,FALSE)))</f>
        <v>1</v>
      </c>
      <c r="AN207" s="80">
        <f>IF(U207="","",IF(U207="SIM",VLOOKUP($I207&amp;$J207&amp;U$1,Pesos!$A:$I,7,FALSE),VLOOKUP($I207&amp;$J207&amp;U$1,Pesos!$A:$I,9,FALSE)))</f>
        <v>1</v>
      </c>
      <c r="AO207" s="80">
        <f>IF(V207="","",IF(V207="SIM",VLOOKUP($I207&amp;$J207&amp;V$1,Pesos!$A:$I,7,FALSE),VLOOKUP($I207&amp;$J207&amp;V$1,Pesos!$A:$I,9,FALSE)))</f>
        <v>-0.05</v>
      </c>
      <c r="AP207" s="80">
        <f>IF(W207="","",IF(W207="SIM",VLOOKUP($I207&amp;$J207&amp;W$1,Pesos!$A:$I,7,FALSE),VLOOKUP($I207&amp;$J207&amp;W$1,Pesos!$A:$I,9,FALSE)))</f>
        <v>-0.05</v>
      </c>
      <c r="AQ207" s="80" t="str">
        <f>IF(X207="","",IF(X207="SIM",VLOOKUP($I207&amp;$J207&amp;X$1,Pesos!$A:$I,7,FALSE),VLOOKUP($I207&amp;$J207&amp;X$1,Pesos!$A:$I,9,FALSE)))</f>
        <v/>
      </c>
      <c r="AR207" s="80" t="str">
        <f>IF(Y207="","",IF(Y207="SIM",VLOOKUP($I207&amp;$J207&amp;Y$1,Pesos!$A:$I,7,FALSE),VLOOKUP($I207&amp;$J207&amp;Y$1,Pesos!$A:$I,9,FALSE)))</f>
        <v/>
      </c>
      <c r="AS207" s="81">
        <f>IFERROR(Z207*VLOOKUP(J207,'BD Campos'!$Y$1:$Z$12,2,FALSE),"0")</f>
        <v>5.8000000000000007</v>
      </c>
    </row>
    <row r="208" spans="1:45" x14ac:dyDescent="0.35">
      <c r="A208" s="68" t="str">
        <f t="shared" si="32"/>
        <v>Jan202510874ReceptivaUTI</v>
      </c>
      <c r="B208" s="69" t="str">
        <f t="shared" si="33"/>
        <v>Jan2025108745UTIPADRÃO</v>
      </c>
      <c r="C208" s="70">
        <v>1</v>
      </c>
      <c r="D208" s="71">
        <v>45677.638531944445</v>
      </c>
      <c r="E208" s="112" t="s">
        <v>74</v>
      </c>
      <c r="F208" s="72">
        <v>10874</v>
      </c>
      <c r="G208" s="69" t="s">
        <v>133</v>
      </c>
      <c r="H208" s="73">
        <v>5</v>
      </c>
      <c r="I208" s="69" t="s">
        <v>6</v>
      </c>
      <c r="J208" s="69" t="s">
        <v>98</v>
      </c>
      <c r="K208" s="69" t="s">
        <v>131</v>
      </c>
      <c r="L208" s="74"/>
      <c r="M208" s="75">
        <v>1.0300925925925926E-3</v>
      </c>
      <c r="N208" s="76" t="s">
        <v>79</v>
      </c>
      <c r="O208" s="76" t="s">
        <v>79</v>
      </c>
      <c r="P208" s="76" t="s">
        <v>79</v>
      </c>
      <c r="Q208" s="76" t="s">
        <v>79</v>
      </c>
      <c r="R208" s="76" t="s">
        <v>79</v>
      </c>
      <c r="S208" s="76" t="s">
        <v>79</v>
      </c>
      <c r="T208" s="76" t="s">
        <v>79</v>
      </c>
      <c r="U208" s="76" t="s">
        <v>79</v>
      </c>
      <c r="V208" s="76" t="s">
        <v>79</v>
      </c>
      <c r="W208" s="76" t="s">
        <v>79</v>
      </c>
      <c r="X208" s="76" t="s">
        <v>79</v>
      </c>
      <c r="Y208" s="76" t="s">
        <v>79</v>
      </c>
      <c r="Z208" s="77">
        <f t="shared" si="2"/>
        <v>10</v>
      </c>
      <c r="AA208" s="78"/>
      <c r="AB208" s="78"/>
      <c r="AC208" s="72" t="s">
        <v>47</v>
      </c>
      <c r="AE208" s="79" t="str">
        <f t="shared" si="30"/>
        <v>Jan10874</v>
      </c>
      <c r="AF208" s="80">
        <f>IF(N208="","",IF(N208="SIM",VLOOKUP($I208&amp;$J208&amp;N$1,Pesos!$A:$I,7,FALSE),VLOOKUP($I208&amp;$J208&amp;N$1,Pesos!$A:$I,9,FALSE)))</f>
        <v>0.8</v>
      </c>
      <c r="AG208" s="80">
        <f>IF(O208="","",IF(O208="SIM",VLOOKUP($I208&amp;$J208&amp;O$1,Pesos!$A:$I,7,FALSE),VLOOKUP($I208&amp;$J208&amp;O$1,Pesos!$A:$I,9,FALSE)))</f>
        <v>0.8</v>
      </c>
      <c r="AH208" s="80">
        <f>IF(P208="","",IF(P208="SIM",VLOOKUP($I208&amp;$J208&amp;P$1,Pesos!$A:$I,7,FALSE),VLOOKUP($I208&amp;$J208&amp;P$1,Pesos!$A:$I,9,FALSE)))</f>
        <v>1.2</v>
      </c>
      <c r="AI208" s="80">
        <f>IF(Q208="","",IF(Q208="SIM",VLOOKUP($I208&amp;$J208&amp;Q$1,Pesos!$A:$I,7,FALSE),VLOOKUP($I208&amp;$J208&amp;Q$1,Pesos!$A:$I,9,FALSE)))</f>
        <v>0.8</v>
      </c>
      <c r="AJ208" s="80">
        <f>IF(R208="","",IF(R208="SIM",VLOOKUP($I208&amp;$J208&amp;R$1,Pesos!$A:$I,7,FALSE),VLOOKUP($I208&amp;$J208&amp;R$1,Pesos!$A:$I,9,FALSE)))</f>
        <v>0.8</v>
      </c>
      <c r="AK208" s="80">
        <f>IF(S208="","",IF(S208="SIM",VLOOKUP($I208&amp;$J208&amp;S$1,Pesos!$A:$I,7,FALSE),VLOOKUP($I208&amp;$J208&amp;S$1,Pesos!$A:$I,9,FALSE)))</f>
        <v>0.8</v>
      </c>
      <c r="AL208" s="80">
        <f t="shared" si="31"/>
        <v>5.1999999999999993</v>
      </c>
      <c r="AM208" s="80">
        <f>IF(T208="","",IF(T208="SIM",VLOOKUP($I208&amp;$J208&amp;T$1,Pesos!$A:$I,7,FALSE),VLOOKUP($I208&amp;$J208&amp;T$1,Pesos!$A:$I,9,FALSE)))</f>
        <v>0.8</v>
      </c>
      <c r="AN208" s="80">
        <f>IF(U208="","",IF(U208="SIM",VLOOKUP($I208&amp;$J208&amp;U$1,Pesos!$A:$I,7,FALSE),VLOOKUP($I208&amp;$J208&amp;U$1,Pesos!$A:$I,9,FALSE)))</f>
        <v>0.8</v>
      </c>
      <c r="AO208" s="80">
        <f>IF(V208="","",IF(V208="SIM",VLOOKUP($I208&amp;$J208&amp;V$1,Pesos!$A:$I,7,FALSE),VLOOKUP($I208&amp;$J208&amp;V$1,Pesos!$A:$I,9,FALSE)))</f>
        <v>0.8</v>
      </c>
      <c r="AP208" s="80">
        <f>IF(W208="","",IF(W208="SIM",VLOOKUP($I208&amp;$J208&amp;W$1,Pesos!$A:$I,7,FALSE),VLOOKUP($I208&amp;$J208&amp;W$1,Pesos!$A:$I,9,FALSE)))</f>
        <v>0.8</v>
      </c>
      <c r="AQ208" s="80">
        <f>IF(X208="","",IF(X208="SIM",VLOOKUP($I208&amp;$J208&amp;X$1,Pesos!$A:$I,7,FALSE),VLOOKUP($I208&amp;$J208&amp;X$1,Pesos!$A:$I,9,FALSE)))</f>
        <v>0.8</v>
      </c>
      <c r="AR208" s="80">
        <f>IF(Y208="","",IF(Y208="SIM",VLOOKUP($I208&amp;$J208&amp;Y$1,Pesos!$A:$I,7,FALSE),VLOOKUP($I208&amp;$J208&amp;Y$1,Pesos!$A:$I,9,FALSE)))</f>
        <v>0.8</v>
      </c>
      <c r="AS208" s="81">
        <f>IFERROR(Z208*VLOOKUP(J208,'BD Campos'!$Y$1:$Z$12,2,FALSE),"0")</f>
        <v>10</v>
      </c>
    </row>
    <row r="209" spans="1:45" x14ac:dyDescent="0.35">
      <c r="A209" s="68" t="str">
        <f t="shared" si="32"/>
        <v>Jan202510783MotoristaDISTRIBUIÇÃO</v>
      </c>
      <c r="B209" s="69" t="str">
        <f t="shared" si="33"/>
        <v>Jan2025107831DISTRIBUIÇÃOPADRÃO</v>
      </c>
      <c r="C209" s="70">
        <v>1</v>
      </c>
      <c r="D209" s="71">
        <v>45677.668462037036</v>
      </c>
      <c r="E209" s="112" t="s">
        <v>74</v>
      </c>
      <c r="F209" s="72">
        <v>10783</v>
      </c>
      <c r="G209" s="69" t="s">
        <v>236</v>
      </c>
      <c r="H209" s="73">
        <v>1</v>
      </c>
      <c r="I209" s="69" t="s">
        <v>123</v>
      </c>
      <c r="J209" s="69" t="s">
        <v>122</v>
      </c>
      <c r="K209" s="69" t="s">
        <v>23</v>
      </c>
      <c r="L209" s="74">
        <v>30912799</v>
      </c>
      <c r="M209" s="75">
        <v>6.4814814814814813E-4</v>
      </c>
      <c r="N209" s="76" t="s">
        <v>79</v>
      </c>
      <c r="O209" s="76" t="s">
        <v>79</v>
      </c>
      <c r="P209" s="76" t="s">
        <v>79</v>
      </c>
      <c r="Q209" s="76" t="s">
        <v>79</v>
      </c>
      <c r="R209" s="76" t="s">
        <v>79</v>
      </c>
      <c r="S209" s="76" t="s">
        <v>79</v>
      </c>
      <c r="T209" s="76" t="s">
        <v>79</v>
      </c>
      <c r="U209" s="76" t="s">
        <v>79</v>
      </c>
      <c r="V209" s="76" t="s">
        <v>79</v>
      </c>
      <c r="W209" s="76" t="s">
        <v>79</v>
      </c>
      <c r="X209" s="76"/>
      <c r="Y209" s="76"/>
      <c r="Z209" s="77">
        <f t="shared" si="2"/>
        <v>10</v>
      </c>
      <c r="AA209" s="78"/>
      <c r="AB209" s="78" t="s">
        <v>1534</v>
      </c>
      <c r="AC209" s="72" t="s">
        <v>47</v>
      </c>
      <c r="AE209" s="79" t="str">
        <f t="shared" si="30"/>
        <v>Jan10783</v>
      </c>
      <c r="AF209" s="80">
        <f>IF(N209="","",IF(N209="SIM",VLOOKUP($I209&amp;$J209&amp;N$1,Pesos!$A:$I,7,FALSE),VLOOKUP($I209&amp;$J209&amp;N$1,Pesos!$A:$I,9,FALSE)))</f>
        <v>1</v>
      </c>
      <c r="AG209" s="80">
        <f>IF(O209="","",IF(O209="SIM",VLOOKUP($I209&amp;$J209&amp;O$1,Pesos!$A:$I,7,FALSE),VLOOKUP($I209&amp;$J209&amp;O$1,Pesos!$A:$I,9,FALSE)))</f>
        <v>1</v>
      </c>
      <c r="AH209" s="80">
        <f>IF(P209="","",IF(P209="SIM",VLOOKUP($I209&amp;$J209&amp;P$1,Pesos!$A:$I,7,FALSE),VLOOKUP($I209&amp;$J209&amp;P$1,Pesos!$A:$I,9,FALSE)))</f>
        <v>1</v>
      </c>
      <c r="AI209" s="80">
        <f>IF(Q209="","",IF(Q209="SIM",VLOOKUP($I209&amp;$J209&amp;Q$1,Pesos!$A:$I,7,FALSE),VLOOKUP($I209&amp;$J209&amp;Q$1,Pesos!$A:$I,9,FALSE)))</f>
        <v>1</v>
      </c>
      <c r="AJ209" s="80">
        <f>IF(R209="","",IF(R209="SIM",VLOOKUP($I209&amp;$J209&amp;R$1,Pesos!$A:$I,7,FALSE),VLOOKUP($I209&amp;$J209&amp;R$1,Pesos!$A:$I,9,FALSE)))</f>
        <v>1</v>
      </c>
      <c r="AK209" s="80">
        <f>IF(S209="","",IF(S209="SIM",VLOOKUP($I209&amp;$J209&amp;S$1,Pesos!$A:$I,7,FALSE),VLOOKUP($I209&amp;$J209&amp;S$1,Pesos!$A:$I,9,FALSE)))</f>
        <v>1</v>
      </c>
      <c r="AL209" s="80">
        <f t="shared" si="31"/>
        <v>6</v>
      </c>
      <c r="AM209" s="80">
        <f>IF(T209="","",IF(T209="SIM",VLOOKUP($I209&amp;$J209&amp;T$1,Pesos!$A:$I,7,FALSE),VLOOKUP($I209&amp;$J209&amp;T$1,Pesos!$A:$I,9,FALSE)))</f>
        <v>1</v>
      </c>
      <c r="AN209" s="80">
        <f>IF(U209="","",IF(U209="SIM",VLOOKUP($I209&amp;$J209&amp;U$1,Pesos!$A:$I,7,FALSE),VLOOKUP($I209&amp;$J209&amp;U$1,Pesos!$A:$I,9,FALSE)))</f>
        <v>1</v>
      </c>
      <c r="AO209" s="80">
        <f>IF(V209="","",IF(V209="SIM",VLOOKUP($I209&amp;$J209&amp;V$1,Pesos!$A:$I,7,FALSE),VLOOKUP($I209&amp;$J209&amp;V$1,Pesos!$A:$I,9,FALSE)))</f>
        <v>1</v>
      </c>
      <c r="AP209" s="80">
        <f>IF(W209="","",IF(W209="SIM",VLOOKUP($I209&amp;$J209&amp;W$1,Pesos!$A:$I,7,FALSE),VLOOKUP($I209&amp;$J209&amp;W$1,Pesos!$A:$I,9,FALSE)))</f>
        <v>1</v>
      </c>
      <c r="AQ209" s="80" t="str">
        <f>IF(X209="","",IF(X209="SIM",VLOOKUP($I209&amp;$J209&amp;X$1,Pesos!$A:$I,7,FALSE),VLOOKUP($I209&amp;$J209&amp;X$1,Pesos!$A:$I,9,FALSE)))</f>
        <v/>
      </c>
      <c r="AR209" s="80" t="str">
        <f>IF(Y209="","",IF(Y209="SIM",VLOOKUP($I209&amp;$J209&amp;Y$1,Pesos!$A:$I,7,FALSE),VLOOKUP($I209&amp;$J209&amp;Y$1,Pesos!$A:$I,9,FALSE)))</f>
        <v/>
      </c>
      <c r="AS209" s="81">
        <f>IFERROR(Z209*VLOOKUP(J209,'BD Campos'!$Y$1:$Z$12,2,FALSE),"0")</f>
        <v>10</v>
      </c>
    </row>
    <row r="210" spans="1:45" x14ac:dyDescent="0.35">
      <c r="A210" s="68" t="str">
        <f t="shared" si="32"/>
        <v>Jan202510783ReceptivaDISTRIBUIÇÃO</v>
      </c>
      <c r="B210" s="69" t="str">
        <f t="shared" si="33"/>
        <v>Jan2025107835DISTRIBUIÇÃOPADRÃO</v>
      </c>
      <c r="C210" s="70">
        <v>1</v>
      </c>
      <c r="D210" s="71">
        <v>45677.675924421295</v>
      </c>
      <c r="E210" s="112" t="s">
        <v>74</v>
      </c>
      <c r="F210" s="72">
        <v>10783</v>
      </c>
      <c r="G210" s="69" t="s">
        <v>236</v>
      </c>
      <c r="H210" s="73">
        <v>5</v>
      </c>
      <c r="I210" s="69" t="s">
        <v>6</v>
      </c>
      <c r="J210" s="69" t="s">
        <v>98</v>
      </c>
      <c r="K210" s="69" t="s">
        <v>23</v>
      </c>
      <c r="L210" s="74"/>
      <c r="M210" s="75">
        <v>8.6805555555555551E-4</v>
      </c>
      <c r="N210" s="76" t="s">
        <v>79</v>
      </c>
      <c r="O210" s="76" t="s">
        <v>79</v>
      </c>
      <c r="P210" s="76" t="s">
        <v>79</v>
      </c>
      <c r="Q210" s="76" t="s">
        <v>79</v>
      </c>
      <c r="R210" s="76" t="s">
        <v>79</v>
      </c>
      <c r="S210" s="76" t="s">
        <v>79</v>
      </c>
      <c r="T210" s="76" t="s">
        <v>79</v>
      </c>
      <c r="U210" s="76" t="s">
        <v>79</v>
      </c>
      <c r="V210" s="76" t="s">
        <v>79</v>
      </c>
      <c r="W210" s="76" t="s">
        <v>79</v>
      </c>
      <c r="X210" s="76" t="s">
        <v>79</v>
      </c>
      <c r="Y210" s="76" t="s">
        <v>79</v>
      </c>
      <c r="Z210" s="77">
        <f t="shared" si="2"/>
        <v>10</v>
      </c>
      <c r="AA210" s="78"/>
      <c r="AB210" s="78"/>
      <c r="AC210" s="72" t="s">
        <v>47</v>
      </c>
      <c r="AE210" s="79" t="str">
        <f t="shared" si="30"/>
        <v>Jan10783</v>
      </c>
      <c r="AF210" s="80">
        <f>IF(N210="","",IF(N210="SIM",VLOOKUP($I210&amp;$J210&amp;N$1,Pesos!$A:$I,7,FALSE),VLOOKUP($I210&amp;$J210&amp;N$1,Pesos!$A:$I,9,FALSE)))</f>
        <v>0.8</v>
      </c>
      <c r="AG210" s="80">
        <f>IF(O210="","",IF(O210="SIM",VLOOKUP($I210&amp;$J210&amp;O$1,Pesos!$A:$I,7,FALSE),VLOOKUP($I210&amp;$J210&amp;O$1,Pesos!$A:$I,9,FALSE)))</f>
        <v>0.8</v>
      </c>
      <c r="AH210" s="80">
        <f>IF(P210="","",IF(P210="SIM",VLOOKUP($I210&amp;$J210&amp;P$1,Pesos!$A:$I,7,FALSE),VLOOKUP($I210&amp;$J210&amp;P$1,Pesos!$A:$I,9,FALSE)))</f>
        <v>1.2</v>
      </c>
      <c r="AI210" s="80">
        <f>IF(Q210="","",IF(Q210="SIM",VLOOKUP($I210&amp;$J210&amp;Q$1,Pesos!$A:$I,7,FALSE),VLOOKUP($I210&amp;$J210&amp;Q$1,Pesos!$A:$I,9,FALSE)))</f>
        <v>0.8</v>
      </c>
      <c r="AJ210" s="80">
        <f>IF(R210="","",IF(R210="SIM",VLOOKUP($I210&amp;$J210&amp;R$1,Pesos!$A:$I,7,FALSE),VLOOKUP($I210&amp;$J210&amp;R$1,Pesos!$A:$I,9,FALSE)))</f>
        <v>0.8</v>
      </c>
      <c r="AK210" s="80">
        <f>IF(S210="","",IF(S210="SIM",VLOOKUP($I210&amp;$J210&amp;S$1,Pesos!$A:$I,7,FALSE),VLOOKUP($I210&amp;$J210&amp;S$1,Pesos!$A:$I,9,FALSE)))</f>
        <v>0.8</v>
      </c>
      <c r="AL210" s="80">
        <f t="shared" si="31"/>
        <v>5.1999999999999993</v>
      </c>
      <c r="AM210" s="80">
        <f>IF(T210="","",IF(T210="SIM",VLOOKUP($I210&amp;$J210&amp;T$1,Pesos!$A:$I,7,FALSE),VLOOKUP($I210&amp;$J210&amp;T$1,Pesos!$A:$I,9,FALSE)))</f>
        <v>0.8</v>
      </c>
      <c r="AN210" s="80">
        <f>IF(U210="","",IF(U210="SIM",VLOOKUP($I210&amp;$J210&amp;U$1,Pesos!$A:$I,7,FALSE),VLOOKUP($I210&amp;$J210&amp;U$1,Pesos!$A:$I,9,FALSE)))</f>
        <v>0.8</v>
      </c>
      <c r="AO210" s="80">
        <f>IF(V210="","",IF(V210="SIM",VLOOKUP($I210&amp;$J210&amp;V$1,Pesos!$A:$I,7,FALSE),VLOOKUP($I210&amp;$J210&amp;V$1,Pesos!$A:$I,9,FALSE)))</f>
        <v>0.8</v>
      </c>
      <c r="AP210" s="80">
        <f>IF(W210="","",IF(W210="SIM",VLOOKUP($I210&amp;$J210&amp;W$1,Pesos!$A:$I,7,FALSE),VLOOKUP($I210&amp;$J210&amp;W$1,Pesos!$A:$I,9,FALSE)))</f>
        <v>0.8</v>
      </c>
      <c r="AQ210" s="80">
        <f>IF(X210="","",IF(X210="SIM",VLOOKUP($I210&amp;$J210&amp;X$1,Pesos!$A:$I,7,FALSE),VLOOKUP($I210&amp;$J210&amp;X$1,Pesos!$A:$I,9,FALSE)))</f>
        <v>0.8</v>
      </c>
      <c r="AR210" s="80">
        <f>IF(Y210="","",IF(Y210="SIM",VLOOKUP($I210&amp;$J210&amp;Y$1,Pesos!$A:$I,7,FALSE),VLOOKUP($I210&amp;$J210&amp;Y$1,Pesos!$A:$I,9,FALSE)))</f>
        <v>0.8</v>
      </c>
      <c r="AS210" s="81">
        <f>IFERROR(Z210*VLOOKUP(J210,'BD Campos'!$Y$1:$Z$12,2,FALSE),"0")</f>
        <v>10</v>
      </c>
    </row>
    <row r="211" spans="1:45" x14ac:dyDescent="0.35">
      <c r="A211" s="68" t="str">
        <f t="shared" si="32"/>
        <v>Jan202510875ReceptivaDISTRIBUIÇÃO</v>
      </c>
      <c r="B211" s="69" t="str">
        <f t="shared" si="33"/>
        <v>Jan2025108755DISTRIBUIÇÃOPADRÃO</v>
      </c>
      <c r="C211" s="70">
        <v>1</v>
      </c>
      <c r="D211" s="71">
        <v>45677.682560763889</v>
      </c>
      <c r="E211" s="112" t="s">
        <v>74</v>
      </c>
      <c r="F211" s="72">
        <v>10875</v>
      </c>
      <c r="G211" s="69" t="s">
        <v>240</v>
      </c>
      <c r="H211" s="73">
        <v>5</v>
      </c>
      <c r="I211" s="69" t="s">
        <v>6</v>
      </c>
      <c r="J211" s="69" t="s">
        <v>98</v>
      </c>
      <c r="K211" s="69" t="s">
        <v>23</v>
      </c>
      <c r="L211" s="74"/>
      <c r="M211" s="75">
        <v>1.4004629629629629E-3</v>
      </c>
      <c r="N211" s="76"/>
      <c r="O211" s="76"/>
      <c r="P211" s="76"/>
      <c r="Q211" s="76"/>
      <c r="R211" s="76"/>
      <c r="S211" s="76"/>
      <c r="T211" s="76"/>
      <c r="U211" s="76"/>
      <c r="V211" s="76"/>
      <c r="W211" s="76"/>
      <c r="X211" s="76"/>
      <c r="Y211" s="76"/>
      <c r="Z211" s="77">
        <f t="shared" si="2"/>
        <v>0</v>
      </c>
      <c r="AA211" s="78" t="s">
        <v>1535</v>
      </c>
      <c r="AB211" s="78"/>
      <c r="AC211" s="72" t="s">
        <v>47</v>
      </c>
      <c r="AE211" s="79" t="str">
        <f t="shared" si="30"/>
        <v>Jan10875</v>
      </c>
      <c r="AF211" s="80" t="str">
        <f>IF(N211="","",IF(N211="SIM",VLOOKUP($I211&amp;$J211&amp;N$1,Pesos!$A:$I,7,FALSE),VLOOKUP($I211&amp;$J211&amp;N$1,Pesos!$A:$I,9,FALSE)))</f>
        <v/>
      </c>
      <c r="AG211" s="80" t="str">
        <f>IF(O211="","",IF(O211="SIM",VLOOKUP($I211&amp;$J211&amp;O$1,Pesos!$A:$I,7,FALSE),VLOOKUP($I211&amp;$J211&amp;O$1,Pesos!$A:$I,9,FALSE)))</f>
        <v/>
      </c>
      <c r="AH211" s="80" t="str">
        <f>IF(P211="","",IF(P211="SIM",VLOOKUP($I211&amp;$J211&amp;P$1,Pesos!$A:$I,7,FALSE),VLOOKUP($I211&amp;$J211&amp;P$1,Pesos!$A:$I,9,FALSE)))</f>
        <v/>
      </c>
      <c r="AI211" s="80" t="str">
        <f>IF(Q211="","",IF(Q211="SIM",VLOOKUP($I211&amp;$J211&amp;Q$1,Pesos!$A:$I,7,FALSE),VLOOKUP($I211&amp;$J211&amp;Q$1,Pesos!$A:$I,9,FALSE)))</f>
        <v/>
      </c>
      <c r="AJ211" s="80" t="str">
        <f>IF(R211="","",IF(R211="SIM",VLOOKUP($I211&amp;$J211&amp;R$1,Pesos!$A:$I,7,FALSE),VLOOKUP($I211&amp;$J211&amp;R$1,Pesos!$A:$I,9,FALSE)))</f>
        <v/>
      </c>
      <c r="AK211" s="80" t="str">
        <f>IF(S211="","",IF(S211="SIM",VLOOKUP($I211&amp;$J211&amp;S$1,Pesos!$A:$I,7,FALSE),VLOOKUP($I211&amp;$J211&amp;S$1,Pesos!$A:$I,9,FALSE)))</f>
        <v/>
      </c>
      <c r="AL211" s="80">
        <f t="shared" si="31"/>
        <v>0</v>
      </c>
      <c r="AM211" s="80" t="str">
        <f>IF(T211="","",IF(T211="SIM",VLOOKUP($I211&amp;$J211&amp;T$1,Pesos!$A:$I,7,FALSE),VLOOKUP($I211&amp;$J211&amp;T$1,Pesos!$A:$I,9,FALSE)))</f>
        <v/>
      </c>
      <c r="AN211" s="80" t="str">
        <f>IF(U211="","",IF(U211="SIM",VLOOKUP($I211&amp;$J211&amp;U$1,Pesos!$A:$I,7,FALSE),VLOOKUP($I211&amp;$J211&amp;U$1,Pesos!$A:$I,9,FALSE)))</f>
        <v/>
      </c>
      <c r="AO211" s="80" t="str">
        <f>IF(V211="","",IF(V211="SIM",VLOOKUP($I211&amp;$J211&amp;V$1,Pesos!$A:$I,7,FALSE),VLOOKUP($I211&amp;$J211&amp;V$1,Pesos!$A:$I,9,FALSE)))</f>
        <v/>
      </c>
      <c r="AP211" s="80" t="str">
        <f>IF(W211="","",IF(W211="SIM",VLOOKUP($I211&amp;$J211&amp;W$1,Pesos!$A:$I,7,FALSE),VLOOKUP($I211&amp;$J211&amp;W$1,Pesos!$A:$I,9,FALSE)))</f>
        <v/>
      </c>
      <c r="AQ211" s="80" t="str">
        <f>IF(X211="","",IF(X211="SIM",VLOOKUP($I211&amp;$J211&amp;X$1,Pesos!$A:$I,7,FALSE),VLOOKUP($I211&amp;$J211&amp;X$1,Pesos!$A:$I,9,FALSE)))</f>
        <v/>
      </c>
      <c r="AR211" s="80" t="str">
        <f>IF(Y211="","",IF(Y211="SIM",VLOOKUP($I211&amp;$J211&amp;Y$1,Pesos!$A:$I,7,FALSE),VLOOKUP($I211&amp;$J211&amp;Y$1,Pesos!$A:$I,9,FALSE)))</f>
        <v/>
      </c>
      <c r="AS211" s="81">
        <f>IFERROR(Z211*VLOOKUP(J211,'BD Campos'!$Y$1:$Z$12,2,FALSE),"0")</f>
        <v>0</v>
      </c>
    </row>
    <row r="212" spans="1:45" x14ac:dyDescent="0.35">
      <c r="A212" s="68" t="str">
        <f t="shared" si="32"/>
        <v>Jan202510875MotoristaDISTRIBUIÇÃO</v>
      </c>
      <c r="B212" s="69" t="str">
        <f t="shared" si="33"/>
        <v>Jan2025108751DISTRIBUIÇÃOPADRÃO</v>
      </c>
      <c r="C212" s="70">
        <v>1</v>
      </c>
      <c r="D212" s="71">
        <v>45677.684739351855</v>
      </c>
      <c r="E212" s="112" t="s">
        <v>74</v>
      </c>
      <c r="F212" s="72">
        <v>10875</v>
      </c>
      <c r="G212" s="69" t="s">
        <v>240</v>
      </c>
      <c r="H212" s="73">
        <v>1</v>
      </c>
      <c r="I212" s="69" t="s">
        <v>147</v>
      </c>
      <c r="J212" s="69" t="s">
        <v>122</v>
      </c>
      <c r="K212" s="69" t="s">
        <v>23</v>
      </c>
      <c r="L212" s="74">
        <v>30833948</v>
      </c>
      <c r="M212" s="75">
        <v>3.2175925925925926E-3</v>
      </c>
      <c r="N212" s="76" t="s">
        <v>79</v>
      </c>
      <c r="O212" s="76" t="s">
        <v>79</v>
      </c>
      <c r="P212" s="76" t="s">
        <v>79</v>
      </c>
      <c r="Q212" s="76" t="s">
        <v>79</v>
      </c>
      <c r="R212" s="76" t="s">
        <v>79</v>
      </c>
      <c r="S212" s="76" t="s">
        <v>79</v>
      </c>
      <c r="T212" s="76" t="s">
        <v>79</v>
      </c>
      <c r="U212" s="76" t="s">
        <v>79</v>
      </c>
      <c r="V212" s="76"/>
      <c r="W212" s="76"/>
      <c r="X212" s="76"/>
      <c r="Y212" s="76"/>
      <c r="Z212" s="77">
        <f t="shared" si="2"/>
        <v>10</v>
      </c>
      <c r="AA212" s="78"/>
      <c r="AB212" s="78" t="s">
        <v>1536</v>
      </c>
      <c r="AC212" s="72" t="s">
        <v>47</v>
      </c>
      <c r="AE212" s="79" t="str">
        <f t="shared" si="30"/>
        <v>Jan10875</v>
      </c>
      <c r="AF212" s="80">
        <f>IF(N212="","",IF(N212="SIM",VLOOKUP($I212&amp;$J212&amp;N$1,Pesos!$A:$I,7,FALSE),VLOOKUP($I212&amp;$J212&amp;N$1,Pesos!$A:$I,9,FALSE)))</f>
        <v>1.1000000000000001</v>
      </c>
      <c r="AG212" s="80">
        <f>IF(O212="","",IF(O212="SIM",VLOOKUP($I212&amp;$J212&amp;O$1,Pesos!$A:$I,7,FALSE),VLOOKUP($I212&amp;$J212&amp;O$1,Pesos!$A:$I,9,FALSE)))</f>
        <v>1.1000000000000001</v>
      </c>
      <c r="AH212" s="80">
        <f>IF(P212="","",IF(P212="SIM",VLOOKUP($I212&amp;$J212&amp;P$1,Pesos!$A:$I,7,FALSE),VLOOKUP($I212&amp;$J212&amp;P$1,Pesos!$A:$I,9,FALSE)))</f>
        <v>1.1000000000000001</v>
      </c>
      <c r="AI212" s="80">
        <f>IF(Q212="","",IF(Q212="SIM",VLOOKUP($I212&amp;$J212&amp;Q$1,Pesos!$A:$I,7,FALSE),VLOOKUP($I212&amp;$J212&amp;Q$1,Pesos!$A:$I,9,FALSE)))</f>
        <v>1.1000000000000001</v>
      </c>
      <c r="AJ212" s="80">
        <f>IF(R212="","",IF(R212="SIM",VLOOKUP($I212&amp;$J212&amp;R$1,Pesos!$A:$I,7,FALSE),VLOOKUP($I212&amp;$J212&amp;R$1,Pesos!$A:$I,9,FALSE)))</f>
        <v>1.1000000000000001</v>
      </c>
      <c r="AK212" s="80">
        <f>IF(S212="","",IF(S212="SIM",VLOOKUP($I212&amp;$J212&amp;S$1,Pesos!$A:$I,7,FALSE),VLOOKUP($I212&amp;$J212&amp;S$1,Pesos!$A:$I,9,FALSE)))</f>
        <v>1.6</v>
      </c>
      <c r="AL212" s="80">
        <f t="shared" si="31"/>
        <v>7.1</v>
      </c>
      <c r="AM212" s="80">
        <f>IF(T212="","",IF(T212="SIM",VLOOKUP($I212&amp;$J212&amp;T$1,Pesos!$A:$I,7,FALSE),VLOOKUP($I212&amp;$J212&amp;T$1,Pesos!$A:$I,9,FALSE)))</f>
        <v>1.2</v>
      </c>
      <c r="AN212" s="80">
        <f>IF(U212="","",IF(U212="SIM",VLOOKUP($I212&amp;$J212&amp;U$1,Pesos!$A:$I,7,FALSE),VLOOKUP($I212&amp;$J212&amp;U$1,Pesos!$A:$I,9,FALSE)))</f>
        <v>1.7000000000000002</v>
      </c>
      <c r="AO212" s="80" t="str">
        <f>IF(V212="","",IF(V212="SIM",VLOOKUP($I212&amp;$J212&amp;V$1,Pesos!$A:$I,7,FALSE),VLOOKUP($I212&amp;$J212&amp;V$1,Pesos!$A:$I,9,FALSE)))</f>
        <v/>
      </c>
      <c r="AP212" s="80" t="str">
        <f>IF(W212="","",IF(W212="SIM",VLOOKUP($I212&amp;$J212&amp;W$1,Pesos!$A:$I,7,FALSE),VLOOKUP($I212&amp;$J212&amp;W$1,Pesos!$A:$I,9,FALSE)))</f>
        <v/>
      </c>
      <c r="AQ212" s="80" t="str">
        <f>IF(X212="","",IF(X212="SIM",VLOOKUP($I212&amp;$J212&amp;X$1,Pesos!$A:$I,7,FALSE),VLOOKUP($I212&amp;$J212&amp;X$1,Pesos!$A:$I,9,FALSE)))</f>
        <v/>
      </c>
      <c r="AR212" s="80" t="str">
        <f>IF(Y212="","",IF(Y212="SIM",VLOOKUP($I212&amp;$J212&amp;Y$1,Pesos!$A:$I,7,FALSE),VLOOKUP($I212&amp;$J212&amp;Y$1,Pesos!$A:$I,9,FALSE)))</f>
        <v/>
      </c>
      <c r="AS212" s="81">
        <f>IFERROR(Z212*VLOOKUP(J212,'BD Campos'!$Y$1:$Z$12,2,FALSE),"0")</f>
        <v>10</v>
      </c>
    </row>
    <row r="213" spans="1:45" x14ac:dyDescent="0.35">
      <c r="A213" s="68" t="str">
        <f t="shared" si="32"/>
        <v>Jan202510932ReceptivaDISTRIBUIÇÃO</v>
      </c>
      <c r="B213" s="69" t="str">
        <f t="shared" si="33"/>
        <v>Jan2025109325DISTRIBUIÇÃOPADRÃO</v>
      </c>
      <c r="C213" s="70">
        <v>1</v>
      </c>
      <c r="D213" s="71">
        <v>45677.688900000001</v>
      </c>
      <c r="E213" s="112" t="s">
        <v>74</v>
      </c>
      <c r="F213" s="72">
        <v>10932</v>
      </c>
      <c r="G213" s="69" t="s">
        <v>245</v>
      </c>
      <c r="H213" s="73">
        <v>5</v>
      </c>
      <c r="I213" s="69" t="s">
        <v>6</v>
      </c>
      <c r="J213" s="69" t="s">
        <v>98</v>
      </c>
      <c r="K213" s="69" t="s">
        <v>23</v>
      </c>
      <c r="L213" s="74"/>
      <c r="M213" s="75">
        <v>1.3888888888888889E-3</v>
      </c>
      <c r="N213" s="76" t="s">
        <v>79</v>
      </c>
      <c r="O213" s="76" t="s">
        <v>79</v>
      </c>
      <c r="P213" s="76" t="s">
        <v>79</v>
      </c>
      <c r="Q213" s="76" t="s">
        <v>79</v>
      </c>
      <c r="R213" s="76" t="s">
        <v>79</v>
      </c>
      <c r="S213" s="76" t="s">
        <v>79</v>
      </c>
      <c r="T213" s="76" t="s">
        <v>83</v>
      </c>
      <c r="U213" s="76" t="s">
        <v>79</v>
      </c>
      <c r="V213" s="76" t="s">
        <v>79</v>
      </c>
      <c r="W213" s="76" t="s">
        <v>79</v>
      </c>
      <c r="X213" s="76" t="s">
        <v>79</v>
      </c>
      <c r="Y213" s="76" t="s">
        <v>79</v>
      </c>
      <c r="Z213" s="77">
        <f t="shared" si="2"/>
        <v>9.16</v>
      </c>
      <c r="AA213" s="78"/>
      <c r="AB213" s="78"/>
      <c r="AC213" s="72" t="s">
        <v>47</v>
      </c>
      <c r="AE213" s="79" t="str">
        <f t="shared" si="30"/>
        <v>Jan10932</v>
      </c>
      <c r="AF213" s="80">
        <f>IF(N213="","",IF(N213="SIM",VLOOKUP($I213&amp;$J213&amp;N$1,Pesos!$A:$I,7,FALSE),VLOOKUP($I213&amp;$J213&amp;N$1,Pesos!$A:$I,9,FALSE)))</f>
        <v>0.8</v>
      </c>
      <c r="AG213" s="80">
        <f>IF(O213="","",IF(O213="SIM",VLOOKUP($I213&amp;$J213&amp;O$1,Pesos!$A:$I,7,FALSE),VLOOKUP($I213&amp;$J213&amp;O$1,Pesos!$A:$I,9,FALSE)))</f>
        <v>0.8</v>
      </c>
      <c r="AH213" s="80">
        <f>IF(P213="","",IF(P213="SIM",VLOOKUP($I213&amp;$J213&amp;P$1,Pesos!$A:$I,7,FALSE),VLOOKUP($I213&amp;$J213&amp;P$1,Pesos!$A:$I,9,FALSE)))</f>
        <v>1.2</v>
      </c>
      <c r="AI213" s="80">
        <f>IF(Q213="","",IF(Q213="SIM",VLOOKUP($I213&amp;$J213&amp;Q$1,Pesos!$A:$I,7,FALSE),VLOOKUP($I213&amp;$J213&amp;Q$1,Pesos!$A:$I,9,FALSE)))</f>
        <v>0.8</v>
      </c>
      <c r="AJ213" s="80">
        <f>IF(R213="","",IF(R213="SIM",VLOOKUP($I213&amp;$J213&amp;R$1,Pesos!$A:$I,7,FALSE),VLOOKUP($I213&amp;$J213&amp;R$1,Pesos!$A:$I,9,FALSE)))</f>
        <v>0.8</v>
      </c>
      <c r="AK213" s="80">
        <f>IF(S213="","",IF(S213="SIM",VLOOKUP($I213&amp;$J213&amp;S$1,Pesos!$A:$I,7,FALSE),VLOOKUP($I213&amp;$J213&amp;S$1,Pesos!$A:$I,9,FALSE)))</f>
        <v>0.8</v>
      </c>
      <c r="AL213" s="80">
        <f t="shared" si="31"/>
        <v>5.1999999999999993</v>
      </c>
      <c r="AM213" s="80">
        <f>IF(T213="","",IF(T213="SIM",VLOOKUP($I213&amp;$J213&amp;T$1,Pesos!$A:$I,7,FALSE),VLOOKUP($I213&amp;$J213&amp;T$1,Pesos!$A:$I,9,FALSE)))</f>
        <v>-4.0000000000000008E-2</v>
      </c>
      <c r="AN213" s="80">
        <f>IF(U213="","",IF(U213="SIM",VLOOKUP($I213&amp;$J213&amp;U$1,Pesos!$A:$I,7,FALSE),VLOOKUP($I213&amp;$J213&amp;U$1,Pesos!$A:$I,9,FALSE)))</f>
        <v>0.8</v>
      </c>
      <c r="AO213" s="80">
        <f>IF(V213="","",IF(V213="SIM",VLOOKUP($I213&amp;$J213&amp;V$1,Pesos!$A:$I,7,FALSE),VLOOKUP($I213&amp;$J213&amp;V$1,Pesos!$A:$I,9,FALSE)))</f>
        <v>0.8</v>
      </c>
      <c r="AP213" s="80">
        <f>IF(W213="","",IF(W213="SIM",VLOOKUP($I213&amp;$J213&amp;W$1,Pesos!$A:$I,7,FALSE),VLOOKUP($I213&amp;$J213&amp;W$1,Pesos!$A:$I,9,FALSE)))</f>
        <v>0.8</v>
      </c>
      <c r="AQ213" s="80">
        <f>IF(X213="","",IF(X213="SIM",VLOOKUP($I213&amp;$J213&amp;X$1,Pesos!$A:$I,7,FALSE),VLOOKUP($I213&amp;$J213&amp;X$1,Pesos!$A:$I,9,FALSE)))</f>
        <v>0.8</v>
      </c>
      <c r="AR213" s="80">
        <f>IF(Y213="","",IF(Y213="SIM",VLOOKUP($I213&amp;$J213&amp;Y$1,Pesos!$A:$I,7,FALSE),VLOOKUP($I213&amp;$J213&amp;Y$1,Pesos!$A:$I,9,FALSE)))</f>
        <v>0.8</v>
      </c>
      <c r="AS213" s="81">
        <f>IFERROR(Z213*VLOOKUP(J213,'BD Campos'!$Y$1:$Z$12,2,FALSE),"0")</f>
        <v>9.16</v>
      </c>
    </row>
    <row r="214" spans="1:45" x14ac:dyDescent="0.35">
      <c r="A214" s="68" t="str">
        <f t="shared" si="32"/>
        <v>Jan202510625ReceptivaDISTRIBUIÇÃO</v>
      </c>
      <c r="B214" s="69" t="str">
        <f t="shared" si="33"/>
        <v>Jan2025106255DISTRIBUIÇÃOPADRÃO</v>
      </c>
      <c r="C214" s="70">
        <v>1</v>
      </c>
      <c r="D214" s="71">
        <v>45677.690793981485</v>
      </c>
      <c r="E214" s="112" t="s">
        <v>74</v>
      </c>
      <c r="F214" s="72">
        <v>10625</v>
      </c>
      <c r="G214" s="69" t="s">
        <v>246</v>
      </c>
      <c r="H214" s="73">
        <v>5</v>
      </c>
      <c r="I214" s="69" t="s">
        <v>6</v>
      </c>
      <c r="J214" s="69" t="s">
        <v>98</v>
      </c>
      <c r="K214" s="69" t="s">
        <v>23</v>
      </c>
      <c r="L214" s="74"/>
      <c r="M214" s="75">
        <v>1.1921296296296296E-3</v>
      </c>
      <c r="N214" s="76" t="s">
        <v>79</v>
      </c>
      <c r="O214" s="76" t="s">
        <v>79</v>
      </c>
      <c r="P214" s="76" t="s">
        <v>79</v>
      </c>
      <c r="Q214" s="76" t="s">
        <v>79</v>
      </c>
      <c r="R214" s="76" t="s">
        <v>79</v>
      </c>
      <c r="S214" s="76" t="s">
        <v>79</v>
      </c>
      <c r="T214" s="76" t="s">
        <v>79</v>
      </c>
      <c r="U214" s="76" t="s">
        <v>79</v>
      </c>
      <c r="V214" s="76" t="s">
        <v>79</v>
      </c>
      <c r="W214" s="76" t="s">
        <v>79</v>
      </c>
      <c r="X214" s="76" t="s">
        <v>79</v>
      </c>
      <c r="Y214" s="76" t="s">
        <v>79</v>
      </c>
      <c r="Z214" s="77">
        <f t="shared" si="2"/>
        <v>10</v>
      </c>
      <c r="AA214" s="78"/>
      <c r="AB214" s="78"/>
      <c r="AC214" s="72" t="s">
        <v>47</v>
      </c>
      <c r="AE214" s="79" t="str">
        <f t="shared" si="30"/>
        <v>Jan10625</v>
      </c>
      <c r="AF214" s="80">
        <f>IF(N214="","",IF(N214="SIM",VLOOKUP($I214&amp;$J214&amp;N$1,Pesos!$A:$I,7,FALSE),VLOOKUP($I214&amp;$J214&amp;N$1,Pesos!$A:$I,9,FALSE)))</f>
        <v>0.8</v>
      </c>
      <c r="AG214" s="80">
        <f>IF(O214="","",IF(O214="SIM",VLOOKUP($I214&amp;$J214&amp;O$1,Pesos!$A:$I,7,FALSE),VLOOKUP($I214&amp;$J214&amp;O$1,Pesos!$A:$I,9,FALSE)))</f>
        <v>0.8</v>
      </c>
      <c r="AH214" s="80">
        <f>IF(P214="","",IF(P214="SIM",VLOOKUP($I214&amp;$J214&amp;P$1,Pesos!$A:$I,7,FALSE),VLOOKUP($I214&amp;$J214&amp;P$1,Pesos!$A:$I,9,FALSE)))</f>
        <v>1.2</v>
      </c>
      <c r="AI214" s="80">
        <f>IF(Q214="","",IF(Q214="SIM",VLOOKUP($I214&amp;$J214&amp;Q$1,Pesos!$A:$I,7,FALSE),VLOOKUP($I214&amp;$J214&amp;Q$1,Pesos!$A:$I,9,FALSE)))</f>
        <v>0.8</v>
      </c>
      <c r="AJ214" s="80">
        <f>IF(R214="","",IF(R214="SIM",VLOOKUP($I214&amp;$J214&amp;R$1,Pesos!$A:$I,7,FALSE),VLOOKUP($I214&amp;$J214&amp;R$1,Pesos!$A:$I,9,FALSE)))</f>
        <v>0.8</v>
      </c>
      <c r="AK214" s="80">
        <f>IF(S214="","",IF(S214="SIM",VLOOKUP($I214&amp;$J214&amp;S$1,Pesos!$A:$I,7,FALSE),VLOOKUP($I214&amp;$J214&amp;S$1,Pesos!$A:$I,9,FALSE)))</f>
        <v>0.8</v>
      </c>
      <c r="AL214" s="80">
        <f t="shared" si="31"/>
        <v>5.1999999999999993</v>
      </c>
      <c r="AM214" s="80">
        <f>IF(T214="","",IF(T214="SIM",VLOOKUP($I214&amp;$J214&amp;T$1,Pesos!$A:$I,7,FALSE),VLOOKUP($I214&amp;$J214&amp;T$1,Pesos!$A:$I,9,FALSE)))</f>
        <v>0.8</v>
      </c>
      <c r="AN214" s="80">
        <f>IF(U214="","",IF(U214="SIM",VLOOKUP($I214&amp;$J214&amp;U$1,Pesos!$A:$I,7,FALSE),VLOOKUP($I214&amp;$J214&amp;U$1,Pesos!$A:$I,9,FALSE)))</f>
        <v>0.8</v>
      </c>
      <c r="AO214" s="80">
        <f>IF(V214="","",IF(V214="SIM",VLOOKUP($I214&amp;$J214&amp;V$1,Pesos!$A:$I,7,FALSE),VLOOKUP($I214&amp;$J214&amp;V$1,Pesos!$A:$I,9,FALSE)))</f>
        <v>0.8</v>
      </c>
      <c r="AP214" s="80">
        <f>IF(W214="","",IF(W214="SIM",VLOOKUP($I214&amp;$J214&amp;W$1,Pesos!$A:$I,7,FALSE),VLOOKUP($I214&amp;$J214&amp;W$1,Pesos!$A:$I,9,FALSE)))</f>
        <v>0.8</v>
      </c>
      <c r="AQ214" s="80">
        <f>IF(X214="","",IF(X214="SIM",VLOOKUP($I214&amp;$J214&amp;X$1,Pesos!$A:$I,7,FALSE),VLOOKUP($I214&amp;$J214&amp;X$1,Pesos!$A:$I,9,FALSE)))</f>
        <v>0.8</v>
      </c>
      <c r="AR214" s="80">
        <f>IF(Y214="","",IF(Y214="SIM",VLOOKUP($I214&amp;$J214&amp;Y$1,Pesos!$A:$I,7,FALSE),VLOOKUP($I214&amp;$J214&amp;Y$1,Pesos!$A:$I,9,FALSE)))</f>
        <v>0.8</v>
      </c>
      <c r="AS214" s="81">
        <f>IFERROR(Z214*VLOOKUP(J214,'BD Campos'!$Y$1:$Z$12,2,FALSE),"0")</f>
        <v>10</v>
      </c>
    </row>
    <row r="215" spans="1:45" x14ac:dyDescent="0.35">
      <c r="A215" s="68" t="str">
        <f t="shared" si="32"/>
        <v>Jan202510625MotoristaDISTRIBUIÇÃO</v>
      </c>
      <c r="B215" s="69" t="str">
        <f t="shared" si="33"/>
        <v>Jan2025106251DISTRIBUIÇÃOPADRÃO</v>
      </c>
      <c r="C215" s="70">
        <v>1</v>
      </c>
      <c r="D215" s="71">
        <v>45677.692994328703</v>
      </c>
      <c r="E215" s="112" t="s">
        <v>74</v>
      </c>
      <c r="F215" s="72">
        <v>10625</v>
      </c>
      <c r="G215" s="69" t="s">
        <v>246</v>
      </c>
      <c r="H215" s="73">
        <v>1</v>
      </c>
      <c r="I215" s="69" t="s">
        <v>123</v>
      </c>
      <c r="J215" s="69" t="s">
        <v>122</v>
      </c>
      <c r="K215" s="69" t="s">
        <v>23</v>
      </c>
      <c r="L215" s="74">
        <v>30900761</v>
      </c>
      <c r="M215" s="75">
        <v>1.0069444444444444E-3</v>
      </c>
      <c r="N215" s="76" t="s">
        <v>79</v>
      </c>
      <c r="O215" s="76" t="s">
        <v>79</v>
      </c>
      <c r="P215" s="76" t="s">
        <v>79</v>
      </c>
      <c r="Q215" s="76" t="s">
        <v>79</v>
      </c>
      <c r="R215" s="76" t="s">
        <v>79</v>
      </c>
      <c r="S215" s="76" t="s">
        <v>79</v>
      </c>
      <c r="T215" s="76" t="s">
        <v>79</v>
      </c>
      <c r="U215" s="76" t="s">
        <v>79</v>
      </c>
      <c r="V215" s="76" t="s">
        <v>79</v>
      </c>
      <c r="W215" s="76" t="s">
        <v>79</v>
      </c>
      <c r="X215" s="76"/>
      <c r="Y215" s="76"/>
      <c r="Z215" s="77">
        <f t="shared" si="2"/>
        <v>10</v>
      </c>
      <c r="AA215" s="78"/>
      <c r="AB215" s="78" t="s">
        <v>1537</v>
      </c>
      <c r="AC215" s="72" t="s">
        <v>47</v>
      </c>
      <c r="AE215" s="79" t="str">
        <f t="shared" si="30"/>
        <v>Jan10625</v>
      </c>
      <c r="AF215" s="80">
        <f>IF(N215="","",IF(N215="SIM",VLOOKUP($I215&amp;$J215&amp;N$1,Pesos!$A:$I,7,FALSE),VLOOKUP($I215&amp;$J215&amp;N$1,Pesos!$A:$I,9,FALSE)))</f>
        <v>1</v>
      </c>
      <c r="AG215" s="80">
        <f>IF(O215="","",IF(O215="SIM",VLOOKUP($I215&amp;$J215&amp;O$1,Pesos!$A:$I,7,FALSE),VLOOKUP($I215&amp;$J215&amp;O$1,Pesos!$A:$I,9,FALSE)))</f>
        <v>1</v>
      </c>
      <c r="AH215" s="80">
        <f>IF(P215="","",IF(P215="SIM",VLOOKUP($I215&amp;$J215&amp;P$1,Pesos!$A:$I,7,FALSE),VLOOKUP($I215&amp;$J215&amp;P$1,Pesos!$A:$I,9,FALSE)))</f>
        <v>1</v>
      </c>
      <c r="AI215" s="80">
        <f>IF(Q215="","",IF(Q215="SIM",VLOOKUP($I215&amp;$J215&amp;Q$1,Pesos!$A:$I,7,FALSE),VLOOKUP($I215&amp;$J215&amp;Q$1,Pesos!$A:$I,9,FALSE)))</f>
        <v>1</v>
      </c>
      <c r="AJ215" s="80">
        <f>IF(R215="","",IF(R215="SIM",VLOOKUP($I215&amp;$J215&amp;R$1,Pesos!$A:$I,7,FALSE),VLOOKUP($I215&amp;$J215&amp;R$1,Pesos!$A:$I,9,FALSE)))</f>
        <v>1</v>
      </c>
      <c r="AK215" s="80">
        <f>IF(S215="","",IF(S215="SIM",VLOOKUP($I215&amp;$J215&amp;S$1,Pesos!$A:$I,7,FALSE),VLOOKUP($I215&amp;$J215&amp;S$1,Pesos!$A:$I,9,FALSE)))</f>
        <v>1</v>
      </c>
      <c r="AL215" s="80">
        <f t="shared" si="31"/>
        <v>6</v>
      </c>
      <c r="AM215" s="80">
        <f>IF(T215="","",IF(T215="SIM",VLOOKUP($I215&amp;$J215&amp;T$1,Pesos!$A:$I,7,FALSE),VLOOKUP($I215&amp;$J215&amp;T$1,Pesos!$A:$I,9,FALSE)))</f>
        <v>1</v>
      </c>
      <c r="AN215" s="80">
        <f>IF(U215="","",IF(U215="SIM",VLOOKUP($I215&amp;$J215&amp;U$1,Pesos!$A:$I,7,FALSE),VLOOKUP($I215&amp;$J215&amp;U$1,Pesos!$A:$I,9,FALSE)))</f>
        <v>1</v>
      </c>
      <c r="AO215" s="80">
        <f>IF(V215="","",IF(V215="SIM",VLOOKUP($I215&amp;$J215&amp;V$1,Pesos!$A:$I,7,FALSE),VLOOKUP($I215&amp;$J215&amp;V$1,Pesos!$A:$I,9,FALSE)))</f>
        <v>1</v>
      </c>
      <c r="AP215" s="80">
        <f>IF(W215="","",IF(W215="SIM",VLOOKUP($I215&amp;$J215&amp;W$1,Pesos!$A:$I,7,FALSE),VLOOKUP($I215&amp;$J215&amp;W$1,Pesos!$A:$I,9,FALSE)))</f>
        <v>1</v>
      </c>
      <c r="AQ215" s="80" t="str">
        <f>IF(X215="","",IF(X215="SIM",VLOOKUP($I215&amp;$J215&amp;X$1,Pesos!$A:$I,7,FALSE),VLOOKUP($I215&amp;$J215&amp;X$1,Pesos!$A:$I,9,FALSE)))</f>
        <v/>
      </c>
      <c r="AR215" s="80" t="str">
        <f>IF(Y215="","",IF(Y215="SIM",VLOOKUP($I215&amp;$J215&amp;Y$1,Pesos!$A:$I,7,FALSE),VLOOKUP($I215&amp;$J215&amp;Y$1,Pesos!$A:$I,9,FALSE)))</f>
        <v/>
      </c>
      <c r="AS215" s="81">
        <f>IFERROR(Z215*VLOOKUP(J215,'BD Campos'!$Y$1:$Z$12,2,FALSE),"0")</f>
        <v>10</v>
      </c>
    </row>
    <row r="216" spans="1:45" x14ac:dyDescent="0.35">
      <c r="A216" s="68" t="str">
        <f t="shared" si="32"/>
        <v>Jan202510914MotoristaDISTRIBUIÇÃO</v>
      </c>
      <c r="B216" s="69" t="str">
        <f t="shared" si="33"/>
        <v>Jan2025109141DISTRIBUIÇÃOPADRÃO</v>
      </c>
      <c r="C216" s="70">
        <v>1</v>
      </c>
      <c r="D216" s="71">
        <v>45677.695492013889</v>
      </c>
      <c r="E216" s="112" t="s">
        <v>74</v>
      </c>
      <c r="F216" s="72">
        <v>10914</v>
      </c>
      <c r="G216" s="69" t="s">
        <v>247</v>
      </c>
      <c r="H216" s="73">
        <v>1</v>
      </c>
      <c r="I216" s="69" t="s">
        <v>123</v>
      </c>
      <c r="J216" s="69" t="s">
        <v>122</v>
      </c>
      <c r="K216" s="69" t="s">
        <v>23</v>
      </c>
      <c r="L216" s="74">
        <v>30926405</v>
      </c>
      <c r="M216" s="75">
        <v>1.5046296296296294E-3</v>
      </c>
      <c r="N216" s="76" t="s">
        <v>79</v>
      </c>
      <c r="O216" s="76" t="s">
        <v>79</v>
      </c>
      <c r="P216" s="76" t="s">
        <v>79</v>
      </c>
      <c r="Q216" s="76" t="s">
        <v>79</v>
      </c>
      <c r="R216" s="76" t="s">
        <v>79</v>
      </c>
      <c r="S216" s="76" t="s">
        <v>83</v>
      </c>
      <c r="T216" s="76" t="s">
        <v>79</v>
      </c>
      <c r="U216" s="76" t="s">
        <v>83</v>
      </c>
      <c r="V216" s="76" t="s">
        <v>79</v>
      </c>
      <c r="W216" s="76" t="s">
        <v>83</v>
      </c>
      <c r="X216" s="76"/>
      <c r="Y216" s="76"/>
      <c r="Z216" s="77">
        <f t="shared" si="2"/>
        <v>6.8500000000000005</v>
      </c>
      <c r="AA216" s="78"/>
      <c r="AB216" s="78" t="s">
        <v>1538</v>
      </c>
      <c r="AC216" s="72" t="s">
        <v>47</v>
      </c>
      <c r="AE216" s="79" t="str">
        <f t="shared" si="30"/>
        <v>Jan10914</v>
      </c>
      <c r="AF216" s="80">
        <f>IF(N216="","",IF(N216="SIM",VLOOKUP($I216&amp;$J216&amp;N$1,Pesos!$A:$I,7,FALSE),VLOOKUP($I216&amp;$J216&amp;N$1,Pesos!$A:$I,9,FALSE)))</f>
        <v>1</v>
      </c>
      <c r="AG216" s="80">
        <f>IF(O216="","",IF(O216="SIM",VLOOKUP($I216&amp;$J216&amp;O$1,Pesos!$A:$I,7,FALSE),VLOOKUP($I216&amp;$J216&amp;O$1,Pesos!$A:$I,9,FALSE)))</f>
        <v>1</v>
      </c>
      <c r="AH216" s="80">
        <f>IF(P216="","",IF(P216="SIM",VLOOKUP($I216&amp;$J216&amp;P$1,Pesos!$A:$I,7,FALSE),VLOOKUP($I216&amp;$J216&amp;P$1,Pesos!$A:$I,9,FALSE)))</f>
        <v>1</v>
      </c>
      <c r="AI216" s="80">
        <f>IF(Q216="","",IF(Q216="SIM",VLOOKUP($I216&amp;$J216&amp;Q$1,Pesos!$A:$I,7,FALSE),VLOOKUP($I216&amp;$J216&amp;Q$1,Pesos!$A:$I,9,FALSE)))</f>
        <v>1</v>
      </c>
      <c r="AJ216" s="80">
        <f>IF(R216="","",IF(R216="SIM",VLOOKUP($I216&amp;$J216&amp;R$1,Pesos!$A:$I,7,FALSE),VLOOKUP($I216&amp;$J216&amp;R$1,Pesos!$A:$I,9,FALSE)))</f>
        <v>1</v>
      </c>
      <c r="AK216" s="80">
        <f>IF(S216="","",IF(S216="SIM",VLOOKUP($I216&amp;$J216&amp;S$1,Pesos!$A:$I,7,FALSE),VLOOKUP($I216&amp;$J216&amp;S$1,Pesos!$A:$I,9,FALSE)))</f>
        <v>-0.05</v>
      </c>
      <c r="AL216" s="80">
        <f t="shared" si="31"/>
        <v>4.95</v>
      </c>
      <c r="AM216" s="80">
        <f>IF(T216="","",IF(T216="SIM",VLOOKUP($I216&amp;$J216&amp;T$1,Pesos!$A:$I,7,FALSE),VLOOKUP($I216&amp;$J216&amp;T$1,Pesos!$A:$I,9,FALSE)))</f>
        <v>1</v>
      </c>
      <c r="AN216" s="80">
        <f>IF(U216="","",IF(U216="SIM",VLOOKUP($I216&amp;$J216&amp;U$1,Pesos!$A:$I,7,FALSE),VLOOKUP($I216&amp;$J216&amp;U$1,Pesos!$A:$I,9,FALSE)))</f>
        <v>-0.05</v>
      </c>
      <c r="AO216" s="80">
        <f>IF(V216="","",IF(V216="SIM",VLOOKUP($I216&amp;$J216&amp;V$1,Pesos!$A:$I,7,FALSE),VLOOKUP($I216&amp;$J216&amp;V$1,Pesos!$A:$I,9,FALSE)))</f>
        <v>1</v>
      </c>
      <c r="AP216" s="80">
        <f>IF(W216="","",IF(W216="SIM",VLOOKUP($I216&amp;$J216&amp;W$1,Pesos!$A:$I,7,FALSE),VLOOKUP($I216&amp;$J216&amp;W$1,Pesos!$A:$I,9,FALSE)))</f>
        <v>-0.05</v>
      </c>
      <c r="AQ216" s="80" t="str">
        <f>IF(X216="","",IF(X216="SIM",VLOOKUP($I216&amp;$J216&amp;X$1,Pesos!$A:$I,7,FALSE),VLOOKUP($I216&amp;$J216&amp;X$1,Pesos!$A:$I,9,FALSE)))</f>
        <v/>
      </c>
      <c r="AR216" s="80" t="str">
        <f>IF(Y216="","",IF(Y216="SIM",VLOOKUP($I216&amp;$J216&amp;Y$1,Pesos!$A:$I,7,FALSE),VLOOKUP($I216&amp;$J216&amp;Y$1,Pesos!$A:$I,9,FALSE)))</f>
        <v/>
      </c>
      <c r="AS216" s="81">
        <f>IFERROR(Z216*VLOOKUP(J216,'BD Campos'!$Y$1:$Z$12,2,FALSE),"0")</f>
        <v>6.8500000000000005</v>
      </c>
    </row>
    <row r="217" spans="1:45" x14ac:dyDescent="0.35">
      <c r="A217" s="68" t="str">
        <f t="shared" si="32"/>
        <v>Jan202510914ReceptivaDISTRIBUIÇÃO</v>
      </c>
      <c r="B217" s="69" t="str">
        <f t="shared" si="33"/>
        <v>Jan2025109145DISTRIBUIÇÃOPADRÃO</v>
      </c>
      <c r="C217" s="70">
        <v>1</v>
      </c>
      <c r="D217" s="71">
        <v>45677.697823495371</v>
      </c>
      <c r="E217" s="112" t="s">
        <v>74</v>
      </c>
      <c r="F217" s="72">
        <v>10914</v>
      </c>
      <c r="G217" s="69" t="s">
        <v>247</v>
      </c>
      <c r="H217" s="73">
        <v>5</v>
      </c>
      <c r="I217" s="69" t="s">
        <v>6</v>
      </c>
      <c r="J217" s="69" t="s">
        <v>98</v>
      </c>
      <c r="K217" s="69" t="s">
        <v>23</v>
      </c>
      <c r="L217" s="74"/>
      <c r="M217" s="75">
        <v>9.9537037037037042E-4</v>
      </c>
      <c r="N217" s="76" t="s">
        <v>79</v>
      </c>
      <c r="O217" s="76" t="s">
        <v>79</v>
      </c>
      <c r="P217" s="76" t="s">
        <v>79</v>
      </c>
      <c r="Q217" s="76" t="s">
        <v>79</v>
      </c>
      <c r="R217" s="76" t="s">
        <v>79</v>
      </c>
      <c r="S217" s="76" t="s">
        <v>79</v>
      </c>
      <c r="T217" s="76" t="s">
        <v>83</v>
      </c>
      <c r="U217" s="76" t="s">
        <v>79</v>
      </c>
      <c r="V217" s="76" t="s">
        <v>79</v>
      </c>
      <c r="W217" s="76" t="s">
        <v>79</v>
      </c>
      <c r="X217" s="76" t="s">
        <v>79</v>
      </c>
      <c r="Y217" s="76" t="s">
        <v>79</v>
      </c>
      <c r="Z217" s="77">
        <f t="shared" si="2"/>
        <v>9.16</v>
      </c>
      <c r="AA217" s="78"/>
      <c r="AB217" s="78"/>
      <c r="AC217" s="72" t="s">
        <v>47</v>
      </c>
      <c r="AE217" s="79" t="str">
        <f t="shared" si="30"/>
        <v>Jan10914</v>
      </c>
      <c r="AF217" s="80">
        <f>IF(N217="","",IF(N217="SIM",VLOOKUP($I217&amp;$J217&amp;N$1,Pesos!$A:$I,7,FALSE),VLOOKUP($I217&amp;$J217&amp;N$1,Pesos!$A:$I,9,FALSE)))</f>
        <v>0.8</v>
      </c>
      <c r="AG217" s="80">
        <f>IF(O217="","",IF(O217="SIM",VLOOKUP($I217&amp;$J217&amp;O$1,Pesos!$A:$I,7,FALSE),VLOOKUP($I217&amp;$J217&amp;O$1,Pesos!$A:$I,9,FALSE)))</f>
        <v>0.8</v>
      </c>
      <c r="AH217" s="80">
        <f>IF(P217="","",IF(P217="SIM",VLOOKUP($I217&amp;$J217&amp;P$1,Pesos!$A:$I,7,FALSE),VLOOKUP($I217&amp;$J217&amp;P$1,Pesos!$A:$I,9,FALSE)))</f>
        <v>1.2</v>
      </c>
      <c r="AI217" s="80">
        <f>IF(Q217="","",IF(Q217="SIM",VLOOKUP($I217&amp;$J217&amp;Q$1,Pesos!$A:$I,7,FALSE),VLOOKUP($I217&amp;$J217&amp;Q$1,Pesos!$A:$I,9,FALSE)))</f>
        <v>0.8</v>
      </c>
      <c r="AJ217" s="80">
        <f>IF(R217="","",IF(R217="SIM",VLOOKUP($I217&amp;$J217&amp;R$1,Pesos!$A:$I,7,FALSE),VLOOKUP($I217&amp;$J217&amp;R$1,Pesos!$A:$I,9,FALSE)))</f>
        <v>0.8</v>
      </c>
      <c r="AK217" s="80">
        <f>IF(S217="","",IF(S217="SIM",VLOOKUP($I217&amp;$J217&amp;S$1,Pesos!$A:$I,7,FALSE),VLOOKUP($I217&amp;$J217&amp;S$1,Pesos!$A:$I,9,FALSE)))</f>
        <v>0.8</v>
      </c>
      <c r="AL217" s="80">
        <f t="shared" si="31"/>
        <v>5.1999999999999993</v>
      </c>
      <c r="AM217" s="80">
        <f>IF(T217="","",IF(T217="SIM",VLOOKUP($I217&amp;$J217&amp;T$1,Pesos!$A:$I,7,FALSE),VLOOKUP($I217&amp;$J217&amp;T$1,Pesos!$A:$I,9,FALSE)))</f>
        <v>-4.0000000000000008E-2</v>
      </c>
      <c r="AN217" s="80">
        <f>IF(U217="","",IF(U217="SIM",VLOOKUP($I217&amp;$J217&amp;U$1,Pesos!$A:$I,7,FALSE),VLOOKUP($I217&amp;$J217&amp;U$1,Pesos!$A:$I,9,FALSE)))</f>
        <v>0.8</v>
      </c>
      <c r="AO217" s="80">
        <f>IF(V217="","",IF(V217="SIM",VLOOKUP($I217&amp;$J217&amp;V$1,Pesos!$A:$I,7,FALSE),VLOOKUP($I217&amp;$J217&amp;V$1,Pesos!$A:$I,9,FALSE)))</f>
        <v>0.8</v>
      </c>
      <c r="AP217" s="80">
        <f>IF(W217="","",IF(W217="SIM",VLOOKUP($I217&amp;$J217&amp;W$1,Pesos!$A:$I,7,FALSE),VLOOKUP($I217&amp;$J217&amp;W$1,Pesos!$A:$I,9,FALSE)))</f>
        <v>0.8</v>
      </c>
      <c r="AQ217" s="80">
        <f>IF(X217="","",IF(X217="SIM",VLOOKUP($I217&amp;$J217&amp;X$1,Pesos!$A:$I,7,FALSE),VLOOKUP($I217&amp;$J217&amp;X$1,Pesos!$A:$I,9,FALSE)))</f>
        <v>0.8</v>
      </c>
      <c r="AR217" s="80">
        <f>IF(Y217="","",IF(Y217="SIM",VLOOKUP($I217&amp;$J217&amp;Y$1,Pesos!$A:$I,7,FALSE),VLOOKUP($I217&amp;$J217&amp;Y$1,Pesos!$A:$I,9,FALSE)))</f>
        <v>0.8</v>
      </c>
      <c r="AS217" s="81">
        <f>IFERROR(Z217*VLOOKUP(J217,'BD Campos'!$Y$1:$Z$12,2,FALSE),"0")</f>
        <v>9.16</v>
      </c>
    </row>
    <row r="218" spans="1:45" x14ac:dyDescent="0.35">
      <c r="A218" s="68" t="str">
        <f t="shared" si="32"/>
        <v>Jan202510969ReceptivaDISTRIBUIÇÃO</v>
      </c>
      <c r="B218" s="69" t="str">
        <f t="shared" si="33"/>
        <v>Jan2025109695DISTRIBUIÇÃOPADRÃO</v>
      </c>
      <c r="C218" s="70">
        <v>1</v>
      </c>
      <c r="D218" s="71">
        <v>45677.701169328706</v>
      </c>
      <c r="E218" s="112" t="s">
        <v>74</v>
      </c>
      <c r="F218" s="72">
        <v>10969</v>
      </c>
      <c r="G218" s="69" t="s">
        <v>252</v>
      </c>
      <c r="H218" s="73">
        <v>5</v>
      </c>
      <c r="I218" s="69" t="s">
        <v>6</v>
      </c>
      <c r="J218" s="69" t="s">
        <v>98</v>
      </c>
      <c r="K218" s="69" t="s">
        <v>23</v>
      </c>
      <c r="L218" s="74"/>
      <c r="M218" s="75">
        <v>7.7546296296296304E-4</v>
      </c>
      <c r="N218" s="76" t="s">
        <v>79</v>
      </c>
      <c r="O218" s="76" t="s">
        <v>83</v>
      </c>
      <c r="P218" s="76" t="s">
        <v>79</v>
      </c>
      <c r="Q218" s="76" t="s">
        <v>79</v>
      </c>
      <c r="R218" s="76" t="s">
        <v>79</v>
      </c>
      <c r="S218" s="76" t="s">
        <v>79</v>
      </c>
      <c r="T218" s="76" t="s">
        <v>79</v>
      </c>
      <c r="U218" s="76" t="s">
        <v>79</v>
      </c>
      <c r="V218" s="76" t="s">
        <v>79</v>
      </c>
      <c r="W218" s="76" t="s">
        <v>79</v>
      </c>
      <c r="X218" s="76" t="s">
        <v>79</v>
      </c>
      <c r="Y218" s="76" t="s">
        <v>79</v>
      </c>
      <c r="Z218" s="77">
        <f t="shared" si="2"/>
        <v>9.16</v>
      </c>
      <c r="AA218" s="78"/>
      <c r="AB218" s="78"/>
      <c r="AC218" s="72" t="s">
        <v>47</v>
      </c>
      <c r="AE218" s="79" t="str">
        <f t="shared" si="30"/>
        <v>Jan10969</v>
      </c>
      <c r="AF218" s="80">
        <f>IF(N218="","",IF(N218="SIM",VLOOKUP($I218&amp;$J218&amp;N$1,Pesos!$A:$I,7,FALSE),VLOOKUP($I218&amp;$J218&amp;N$1,Pesos!$A:$I,9,FALSE)))</f>
        <v>0.8</v>
      </c>
      <c r="AG218" s="80">
        <f>IF(O218="","",IF(O218="SIM",VLOOKUP($I218&amp;$J218&amp;O$1,Pesos!$A:$I,7,FALSE),VLOOKUP($I218&amp;$J218&amp;O$1,Pesos!$A:$I,9,FALSE)))</f>
        <v>-4.0000000000000008E-2</v>
      </c>
      <c r="AH218" s="80">
        <f>IF(P218="","",IF(P218="SIM",VLOOKUP($I218&amp;$J218&amp;P$1,Pesos!$A:$I,7,FALSE),VLOOKUP($I218&amp;$J218&amp;P$1,Pesos!$A:$I,9,FALSE)))</f>
        <v>1.2</v>
      </c>
      <c r="AI218" s="80">
        <f>IF(Q218="","",IF(Q218="SIM",VLOOKUP($I218&amp;$J218&amp;Q$1,Pesos!$A:$I,7,FALSE),VLOOKUP($I218&amp;$J218&amp;Q$1,Pesos!$A:$I,9,FALSE)))</f>
        <v>0.8</v>
      </c>
      <c r="AJ218" s="80">
        <f>IF(R218="","",IF(R218="SIM",VLOOKUP($I218&amp;$J218&amp;R$1,Pesos!$A:$I,7,FALSE),VLOOKUP($I218&amp;$J218&amp;R$1,Pesos!$A:$I,9,FALSE)))</f>
        <v>0.8</v>
      </c>
      <c r="AK218" s="80">
        <f>IF(S218="","",IF(S218="SIM",VLOOKUP($I218&amp;$J218&amp;S$1,Pesos!$A:$I,7,FALSE),VLOOKUP($I218&amp;$J218&amp;S$1,Pesos!$A:$I,9,FALSE)))</f>
        <v>0.8</v>
      </c>
      <c r="AL218" s="80">
        <f t="shared" si="31"/>
        <v>4.3599999999999994</v>
      </c>
      <c r="AM218" s="80">
        <f>IF(T218="","",IF(T218="SIM",VLOOKUP($I218&amp;$J218&amp;T$1,Pesos!$A:$I,7,FALSE),VLOOKUP($I218&amp;$J218&amp;T$1,Pesos!$A:$I,9,FALSE)))</f>
        <v>0.8</v>
      </c>
      <c r="AN218" s="80">
        <f>IF(U218="","",IF(U218="SIM",VLOOKUP($I218&amp;$J218&amp;U$1,Pesos!$A:$I,7,FALSE),VLOOKUP($I218&amp;$J218&amp;U$1,Pesos!$A:$I,9,FALSE)))</f>
        <v>0.8</v>
      </c>
      <c r="AO218" s="80">
        <f>IF(V218="","",IF(V218="SIM",VLOOKUP($I218&amp;$J218&amp;V$1,Pesos!$A:$I,7,FALSE),VLOOKUP($I218&amp;$J218&amp;V$1,Pesos!$A:$I,9,FALSE)))</f>
        <v>0.8</v>
      </c>
      <c r="AP218" s="80">
        <f>IF(W218="","",IF(W218="SIM",VLOOKUP($I218&amp;$J218&amp;W$1,Pesos!$A:$I,7,FALSE),VLOOKUP($I218&amp;$J218&amp;W$1,Pesos!$A:$I,9,FALSE)))</f>
        <v>0.8</v>
      </c>
      <c r="AQ218" s="80">
        <f>IF(X218="","",IF(X218="SIM",VLOOKUP($I218&amp;$J218&amp;X$1,Pesos!$A:$I,7,FALSE),VLOOKUP($I218&amp;$J218&amp;X$1,Pesos!$A:$I,9,FALSE)))</f>
        <v>0.8</v>
      </c>
      <c r="AR218" s="80">
        <f>IF(Y218="","",IF(Y218="SIM",VLOOKUP($I218&amp;$J218&amp;Y$1,Pesos!$A:$I,7,FALSE),VLOOKUP($I218&amp;$J218&amp;Y$1,Pesos!$A:$I,9,FALSE)))</f>
        <v>0.8</v>
      </c>
      <c r="AS218" s="81">
        <f>IFERROR(Z218*VLOOKUP(J218,'BD Campos'!$Y$1:$Z$12,2,FALSE),"0")</f>
        <v>9.16</v>
      </c>
    </row>
    <row r="219" spans="1:45" x14ac:dyDescent="0.35">
      <c r="A219" s="68" t="str">
        <f t="shared" si="32"/>
        <v>Jan202510969MotoristaDISTRIBUIÇÃO</v>
      </c>
      <c r="B219" s="69" t="str">
        <f t="shared" si="33"/>
        <v>Jan2025109691DISTRIBUIÇÃOPADRÃO</v>
      </c>
      <c r="C219" s="70">
        <v>1</v>
      </c>
      <c r="D219" s="71">
        <v>45677.702761805558</v>
      </c>
      <c r="E219" s="112" t="s">
        <v>74</v>
      </c>
      <c r="F219" s="72">
        <v>10969</v>
      </c>
      <c r="G219" s="69" t="s">
        <v>252</v>
      </c>
      <c r="H219" s="73">
        <v>1</v>
      </c>
      <c r="I219" s="69" t="s">
        <v>123</v>
      </c>
      <c r="J219" s="69" t="s">
        <v>122</v>
      </c>
      <c r="K219" s="69" t="s">
        <v>23</v>
      </c>
      <c r="L219" s="74">
        <v>30826298</v>
      </c>
      <c r="M219" s="75">
        <v>1.423611111111111E-3</v>
      </c>
      <c r="N219" s="76" t="s">
        <v>79</v>
      </c>
      <c r="O219" s="76" t="s">
        <v>79</v>
      </c>
      <c r="P219" s="76" t="s">
        <v>79</v>
      </c>
      <c r="Q219" s="76" t="s">
        <v>79</v>
      </c>
      <c r="R219" s="76" t="s">
        <v>79</v>
      </c>
      <c r="S219" s="76" t="s">
        <v>79</v>
      </c>
      <c r="T219" s="76" t="s">
        <v>79</v>
      </c>
      <c r="U219" s="76" t="s">
        <v>79</v>
      </c>
      <c r="V219" s="76" t="s">
        <v>79</v>
      </c>
      <c r="W219" s="76" t="s">
        <v>79</v>
      </c>
      <c r="X219" s="76"/>
      <c r="Y219" s="76"/>
      <c r="Z219" s="77">
        <f t="shared" si="2"/>
        <v>10</v>
      </c>
      <c r="AA219" s="78"/>
      <c r="AB219" s="78" t="s">
        <v>1539</v>
      </c>
      <c r="AC219" s="72" t="s">
        <v>47</v>
      </c>
      <c r="AE219" s="79" t="str">
        <f t="shared" si="30"/>
        <v>Jan10969</v>
      </c>
      <c r="AF219" s="80">
        <f>IF(N219="","",IF(N219="SIM",VLOOKUP($I219&amp;$J219&amp;N$1,Pesos!$A:$I,7,FALSE),VLOOKUP($I219&amp;$J219&amp;N$1,Pesos!$A:$I,9,FALSE)))</f>
        <v>1</v>
      </c>
      <c r="AG219" s="80">
        <f>IF(O219="","",IF(O219="SIM",VLOOKUP($I219&amp;$J219&amp;O$1,Pesos!$A:$I,7,FALSE),VLOOKUP($I219&amp;$J219&amp;O$1,Pesos!$A:$I,9,FALSE)))</f>
        <v>1</v>
      </c>
      <c r="AH219" s="80">
        <f>IF(P219="","",IF(P219="SIM",VLOOKUP($I219&amp;$J219&amp;P$1,Pesos!$A:$I,7,FALSE),VLOOKUP($I219&amp;$J219&amp;P$1,Pesos!$A:$I,9,FALSE)))</f>
        <v>1</v>
      </c>
      <c r="AI219" s="80">
        <f>IF(Q219="","",IF(Q219="SIM",VLOOKUP($I219&amp;$J219&amp;Q$1,Pesos!$A:$I,7,FALSE),VLOOKUP($I219&amp;$J219&amp;Q$1,Pesos!$A:$I,9,FALSE)))</f>
        <v>1</v>
      </c>
      <c r="AJ219" s="80">
        <f>IF(R219="","",IF(R219="SIM",VLOOKUP($I219&amp;$J219&amp;R$1,Pesos!$A:$I,7,FALSE),VLOOKUP($I219&amp;$J219&amp;R$1,Pesos!$A:$I,9,FALSE)))</f>
        <v>1</v>
      </c>
      <c r="AK219" s="80">
        <f>IF(S219="","",IF(S219="SIM",VLOOKUP($I219&amp;$J219&amp;S$1,Pesos!$A:$I,7,FALSE),VLOOKUP($I219&amp;$J219&amp;S$1,Pesos!$A:$I,9,FALSE)))</f>
        <v>1</v>
      </c>
      <c r="AL219" s="80">
        <f t="shared" si="31"/>
        <v>6</v>
      </c>
      <c r="AM219" s="80">
        <f>IF(T219="","",IF(T219="SIM",VLOOKUP($I219&amp;$J219&amp;T$1,Pesos!$A:$I,7,FALSE),VLOOKUP($I219&amp;$J219&amp;T$1,Pesos!$A:$I,9,FALSE)))</f>
        <v>1</v>
      </c>
      <c r="AN219" s="80">
        <f>IF(U219="","",IF(U219="SIM",VLOOKUP($I219&amp;$J219&amp;U$1,Pesos!$A:$I,7,FALSE),VLOOKUP($I219&amp;$J219&amp;U$1,Pesos!$A:$I,9,FALSE)))</f>
        <v>1</v>
      </c>
      <c r="AO219" s="80">
        <f>IF(V219="","",IF(V219="SIM",VLOOKUP($I219&amp;$J219&amp;V$1,Pesos!$A:$I,7,FALSE),VLOOKUP($I219&amp;$J219&amp;V$1,Pesos!$A:$I,9,FALSE)))</f>
        <v>1</v>
      </c>
      <c r="AP219" s="80">
        <f>IF(W219="","",IF(W219="SIM",VLOOKUP($I219&amp;$J219&amp;W$1,Pesos!$A:$I,7,FALSE),VLOOKUP($I219&amp;$J219&amp;W$1,Pesos!$A:$I,9,FALSE)))</f>
        <v>1</v>
      </c>
      <c r="AQ219" s="80" t="str">
        <f>IF(X219="","",IF(X219="SIM",VLOOKUP($I219&amp;$J219&amp;X$1,Pesos!$A:$I,7,FALSE),VLOOKUP($I219&amp;$J219&amp;X$1,Pesos!$A:$I,9,FALSE)))</f>
        <v/>
      </c>
      <c r="AR219" s="80" t="str">
        <f>IF(Y219="","",IF(Y219="SIM",VLOOKUP($I219&amp;$J219&amp;Y$1,Pesos!$A:$I,7,FALSE),VLOOKUP($I219&amp;$J219&amp;Y$1,Pesos!$A:$I,9,FALSE)))</f>
        <v/>
      </c>
      <c r="AS219" s="81">
        <f>IFERROR(Z219*VLOOKUP(J219,'BD Campos'!$Y$1:$Z$12,2,FALSE),"0")</f>
        <v>10</v>
      </c>
    </row>
    <row r="220" spans="1:45" x14ac:dyDescent="0.35">
      <c r="A220" s="68" t="str">
        <f t="shared" si="32"/>
        <v>Jan202510977MotoristaDISTRIBUIÇÃO</v>
      </c>
      <c r="B220" s="69" t="str">
        <f t="shared" si="33"/>
        <v>Jan2025109771DISTRIBUIÇÃOPADRÃO</v>
      </c>
      <c r="C220" s="70">
        <v>1</v>
      </c>
      <c r="D220" s="71">
        <v>45677.704728935183</v>
      </c>
      <c r="E220" s="112" t="s">
        <v>74</v>
      </c>
      <c r="F220" s="72">
        <v>10977</v>
      </c>
      <c r="G220" s="69" t="s">
        <v>422</v>
      </c>
      <c r="H220" s="73">
        <v>1</v>
      </c>
      <c r="I220" s="69" t="s">
        <v>123</v>
      </c>
      <c r="J220" s="69" t="s">
        <v>122</v>
      </c>
      <c r="K220" s="69" t="s">
        <v>23</v>
      </c>
      <c r="L220" s="74">
        <v>30885850</v>
      </c>
      <c r="M220" s="75">
        <v>1.0879629629629629E-3</v>
      </c>
      <c r="N220" s="76"/>
      <c r="O220" s="76"/>
      <c r="P220" s="76"/>
      <c r="Q220" s="76"/>
      <c r="R220" s="76"/>
      <c r="S220" s="76"/>
      <c r="T220" s="76"/>
      <c r="U220" s="76"/>
      <c r="V220" s="76"/>
      <c r="W220" s="76"/>
      <c r="X220" s="76"/>
      <c r="Y220" s="76"/>
      <c r="Z220" s="77">
        <f t="shared" si="2"/>
        <v>0</v>
      </c>
      <c r="AA220" s="78" t="s">
        <v>1541</v>
      </c>
      <c r="AB220" s="78" t="s">
        <v>1540</v>
      </c>
      <c r="AC220" s="72" t="s">
        <v>47</v>
      </c>
      <c r="AE220" s="79" t="str">
        <f t="shared" si="30"/>
        <v>Jan10977</v>
      </c>
      <c r="AF220" s="80" t="str">
        <f>IF(N220="","",IF(N220="SIM",VLOOKUP($I220&amp;$J220&amp;N$1,Pesos!$A:$I,7,FALSE),VLOOKUP($I220&amp;$J220&amp;N$1,Pesos!$A:$I,9,FALSE)))</f>
        <v/>
      </c>
      <c r="AG220" s="80" t="str">
        <f>IF(O220="","",IF(O220="SIM",VLOOKUP($I220&amp;$J220&amp;O$1,Pesos!$A:$I,7,FALSE),VLOOKUP($I220&amp;$J220&amp;O$1,Pesos!$A:$I,9,FALSE)))</f>
        <v/>
      </c>
      <c r="AH220" s="80" t="str">
        <f>IF(P220="","",IF(P220="SIM",VLOOKUP($I220&amp;$J220&amp;P$1,Pesos!$A:$I,7,FALSE),VLOOKUP($I220&amp;$J220&amp;P$1,Pesos!$A:$I,9,FALSE)))</f>
        <v/>
      </c>
      <c r="AI220" s="80" t="str">
        <f>IF(Q220="","",IF(Q220="SIM",VLOOKUP($I220&amp;$J220&amp;Q$1,Pesos!$A:$I,7,FALSE),VLOOKUP($I220&amp;$J220&amp;Q$1,Pesos!$A:$I,9,FALSE)))</f>
        <v/>
      </c>
      <c r="AJ220" s="80" t="str">
        <f>IF(R220="","",IF(R220="SIM",VLOOKUP($I220&amp;$J220&amp;R$1,Pesos!$A:$I,7,FALSE),VLOOKUP($I220&amp;$J220&amp;R$1,Pesos!$A:$I,9,FALSE)))</f>
        <v/>
      </c>
      <c r="AK220" s="80" t="str">
        <f>IF(S220="","",IF(S220="SIM",VLOOKUP($I220&amp;$J220&amp;S$1,Pesos!$A:$I,7,FALSE),VLOOKUP($I220&amp;$J220&amp;S$1,Pesos!$A:$I,9,FALSE)))</f>
        <v/>
      </c>
      <c r="AL220" s="80">
        <f t="shared" si="31"/>
        <v>0</v>
      </c>
      <c r="AM220" s="80" t="str">
        <f>IF(T220="","",IF(T220="SIM",VLOOKUP($I220&amp;$J220&amp;T$1,Pesos!$A:$I,7,FALSE),VLOOKUP($I220&amp;$J220&amp;T$1,Pesos!$A:$I,9,FALSE)))</f>
        <v/>
      </c>
      <c r="AN220" s="80" t="str">
        <f>IF(U220="","",IF(U220="SIM",VLOOKUP($I220&amp;$J220&amp;U$1,Pesos!$A:$I,7,FALSE),VLOOKUP($I220&amp;$J220&amp;U$1,Pesos!$A:$I,9,FALSE)))</f>
        <v/>
      </c>
      <c r="AO220" s="80" t="str">
        <f>IF(V220="","",IF(V220="SIM",VLOOKUP($I220&amp;$J220&amp;V$1,Pesos!$A:$I,7,FALSE),VLOOKUP($I220&amp;$J220&amp;V$1,Pesos!$A:$I,9,FALSE)))</f>
        <v/>
      </c>
      <c r="AP220" s="80" t="str">
        <f>IF(W220="","",IF(W220="SIM",VLOOKUP($I220&amp;$J220&amp;W$1,Pesos!$A:$I,7,FALSE),VLOOKUP($I220&amp;$J220&amp;W$1,Pesos!$A:$I,9,FALSE)))</f>
        <v/>
      </c>
      <c r="AQ220" s="80" t="str">
        <f>IF(X220="","",IF(X220="SIM",VLOOKUP($I220&amp;$J220&amp;X$1,Pesos!$A:$I,7,FALSE),VLOOKUP($I220&amp;$J220&amp;X$1,Pesos!$A:$I,9,FALSE)))</f>
        <v/>
      </c>
      <c r="AR220" s="80" t="str">
        <f>IF(Y220="","",IF(Y220="SIM",VLOOKUP($I220&amp;$J220&amp;Y$1,Pesos!$A:$I,7,FALSE),VLOOKUP($I220&amp;$J220&amp;Y$1,Pesos!$A:$I,9,FALSE)))</f>
        <v/>
      </c>
      <c r="AS220" s="81">
        <f>IFERROR(Z220*VLOOKUP(J220,'BD Campos'!$Y$1:$Z$12,2,FALSE),"0")</f>
        <v>0</v>
      </c>
    </row>
    <row r="221" spans="1:45" x14ac:dyDescent="0.35">
      <c r="A221" s="68" t="str">
        <f t="shared" si="32"/>
        <v>Jan202510977ReceptivaDISTRIBUIÇÃO</v>
      </c>
      <c r="B221" s="69" t="str">
        <f t="shared" si="33"/>
        <v>Jan2025109775DISTRIBUIÇÃOPADRÃO</v>
      </c>
      <c r="C221" s="70">
        <v>1</v>
      </c>
      <c r="D221" s="71">
        <v>45677.728978819447</v>
      </c>
      <c r="E221" s="112" t="s">
        <v>74</v>
      </c>
      <c r="F221" s="72">
        <v>10977</v>
      </c>
      <c r="G221" s="69" t="s">
        <v>422</v>
      </c>
      <c r="H221" s="73">
        <v>5</v>
      </c>
      <c r="I221" s="69" t="s">
        <v>6</v>
      </c>
      <c r="J221" s="69" t="s">
        <v>98</v>
      </c>
      <c r="K221" s="69" t="s">
        <v>23</v>
      </c>
      <c r="L221" s="74"/>
      <c r="M221" s="75">
        <v>3.0324074074074073E-3</v>
      </c>
      <c r="N221" s="76"/>
      <c r="O221" s="76"/>
      <c r="P221" s="76"/>
      <c r="Q221" s="76"/>
      <c r="R221" s="76"/>
      <c r="S221" s="76"/>
      <c r="T221" s="76"/>
      <c r="U221" s="76"/>
      <c r="V221" s="76"/>
      <c r="W221" s="76"/>
      <c r="X221" s="76"/>
      <c r="Y221" s="76"/>
      <c r="Z221" s="77">
        <f t="shared" si="2"/>
        <v>0</v>
      </c>
      <c r="AA221" s="78" t="s">
        <v>1569</v>
      </c>
      <c r="AB221" s="78"/>
      <c r="AC221" s="72" t="s">
        <v>47</v>
      </c>
      <c r="AE221" s="79" t="str">
        <f t="shared" si="30"/>
        <v>Jan10977</v>
      </c>
      <c r="AF221" s="80" t="str">
        <f>IF(N221="","",IF(N221="SIM",VLOOKUP($I221&amp;$J221&amp;N$1,Pesos!$A:$I,7,FALSE),VLOOKUP($I221&amp;$J221&amp;N$1,Pesos!$A:$I,9,FALSE)))</f>
        <v/>
      </c>
      <c r="AG221" s="80" t="str">
        <f>IF(O221="","",IF(O221="SIM",VLOOKUP($I221&amp;$J221&amp;O$1,Pesos!$A:$I,7,FALSE),VLOOKUP($I221&amp;$J221&amp;O$1,Pesos!$A:$I,9,FALSE)))</f>
        <v/>
      </c>
      <c r="AH221" s="80" t="str">
        <f>IF(P221="","",IF(P221="SIM",VLOOKUP($I221&amp;$J221&amp;P$1,Pesos!$A:$I,7,FALSE),VLOOKUP($I221&amp;$J221&amp;P$1,Pesos!$A:$I,9,FALSE)))</f>
        <v/>
      </c>
      <c r="AI221" s="80" t="str">
        <f>IF(Q221="","",IF(Q221="SIM",VLOOKUP($I221&amp;$J221&amp;Q$1,Pesos!$A:$I,7,FALSE),VLOOKUP($I221&amp;$J221&amp;Q$1,Pesos!$A:$I,9,FALSE)))</f>
        <v/>
      </c>
      <c r="AJ221" s="80" t="str">
        <f>IF(R221="","",IF(R221="SIM",VLOOKUP($I221&amp;$J221&amp;R$1,Pesos!$A:$I,7,FALSE),VLOOKUP($I221&amp;$J221&amp;R$1,Pesos!$A:$I,9,FALSE)))</f>
        <v/>
      </c>
      <c r="AK221" s="80" t="str">
        <f>IF(S221="","",IF(S221="SIM",VLOOKUP($I221&amp;$J221&amp;S$1,Pesos!$A:$I,7,FALSE),VLOOKUP($I221&amp;$J221&amp;S$1,Pesos!$A:$I,9,FALSE)))</f>
        <v/>
      </c>
      <c r="AL221" s="80">
        <f t="shared" si="31"/>
        <v>0</v>
      </c>
      <c r="AM221" s="80" t="str">
        <f>IF(T221="","",IF(T221="SIM",VLOOKUP($I221&amp;$J221&amp;T$1,Pesos!$A:$I,7,FALSE),VLOOKUP($I221&amp;$J221&amp;T$1,Pesos!$A:$I,9,FALSE)))</f>
        <v/>
      </c>
      <c r="AN221" s="80" t="str">
        <f>IF(U221="","",IF(U221="SIM",VLOOKUP($I221&amp;$J221&amp;U$1,Pesos!$A:$I,7,FALSE),VLOOKUP($I221&amp;$J221&amp;U$1,Pesos!$A:$I,9,FALSE)))</f>
        <v/>
      </c>
      <c r="AO221" s="80" t="str">
        <f>IF(V221="","",IF(V221="SIM",VLOOKUP($I221&amp;$J221&amp;V$1,Pesos!$A:$I,7,FALSE),VLOOKUP($I221&amp;$J221&amp;V$1,Pesos!$A:$I,9,FALSE)))</f>
        <v/>
      </c>
      <c r="AP221" s="80" t="str">
        <f>IF(W221="","",IF(W221="SIM",VLOOKUP($I221&amp;$J221&amp;W$1,Pesos!$A:$I,7,FALSE),VLOOKUP($I221&amp;$J221&amp;W$1,Pesos!$A:$I,9,FALSE)))</f>
        <v/>
      </c>
      <c r="AQ221" s="80" t="str">
        <f>IF(X221="","",IF(X221="SIM",VLOOKUP($I221&amp;$J221&amp;X$1,Pesos!$A:$I,7,FALSE),VLOOKUP($I221&amp;$J221&amp;X$1,Pesos!$A:$I,9,FALSE)))</f>
        <v/>
      </c>
      <c r="AR221" s="80" t="str">
        <f>IF(Y221="","",IF(Y221="SIM",VLOOKUP($I221&amp;$J221&amp;Y$1,Pesos!$A:$I,7,FALSE),VLOOKUP($I221&amp;$J221&amp;Y$1,Pesos!$A:$I,9,FALSE)))</f>
        <v/>
      </c>
      <c r="AS221" s="81">
        <f>IFERROR(Z221*VLOOKUP(J221,'BD Campos'!$Y$1:$Z$12,2,FALSE),"0")</f>
        <v>0</v>
      </c>
    </row>
    <row r="222" spans="1:45" x14ac:dyDescent="0.35">
      <c r="A222" s="68" t="str">
        <f t="shared" si="32"/>
        <v>Jan202511005ReceptivaDISTRIBUIÇÃO</v>
      </c>
      <c r="B222" s="69" t="str">
        <f t="shared" si="33"/>
        <v>Jan2025110055DISTRIBUIÇÃOPADRÃO</v>
      </c>
      <c r="C222" s="70">
        <v>1</v>
      </c>
      <c r="D222" s="71">
        <v>45677.732572337962</v>
      </c>
      <c r="E222" s="112" t="s">
        <v>74</v>
      </c>
      <c r="F222" s="72">
        <v>11005</v>
      </c>
      <c r="G222" s="69" t="s">
        <v>256</v>
      </c>
      <c r="H222" s="73">
        <v>5</v>
      </c>
      <c r="I222" s="69" t="s">
        <v>6</v>
      </c>
      <c r="J222" s="69" t="s">
        <v>98</v>
      </c>
      <c r="K222" s="69" t="s">
        <v>23</v>
      </c>
      <c r="L222" s="74"/>
      <c r="M222" s="75">
        <v>1.25E-3</v>
      </c>
      <c r="N222" s="76" t="s">
        <v>79</v>
      </c>
      <c r="O222" s="76" t="s">
        <v>79</v>
      </c>
      <c r="P222" s="76" t="s">
        <v>79</v>
      </c>
      <c r="Q222" s="76" t="s">
        <v>79</v>
      </c>
      <c r="R222" s="76" t="s">
        <v>79</v>
      </c>
      <c r="S222" s="76" t="s">
        <v>79</v>
      </c>
      <c r="T222" s="76" t="s">
        <v>79</v>
      </c>
      <c r="U222" s="76" t="s">
        <v>79</v>
      </c>
      <c r="V222" s="76" t="s">
        <v>79</v>
      </c>
      <c r="W222" s="76" t="s">
        <v>79</v>
      </c>
      <c r="X222" s="76" t="s">
        <v>79</v>
      </c>
      <c r="Y222" s="76" t="s">
        <v>79</v>
      </c>
      <c r="Z222" s="77">
        <f t="shared" si="2"/>
        <v>10</v>
      </c>
      <c r="AA222" s="78"/>
      <c r="AB222" s="78"/>
      <c r="AC222" s="72" t="s">
        <v>47</v>
      </c>
      <c r="AE222" s="79" t="str">
        <f t="shared" si="30"/>
        <v>Jan11005</v>
      </c>
      <c r="AF222" s="80">
        <f>IF(N222="","",IF(N222="SIM",VLOOKUP($I222&amp;$J222&amp;N$1,Pesos!$A:$I,7,FALSE),VLOOKUP($I222&amp;$J222&amp;N$1,Pesos!$A:$I,9,FALSE)))</f>
        <v>0.8</v>
      </c>
      <c r="AG222" s="80">
        <f>IF(O222="","",IF(O222="SIM",VLOOKUP($I222&amp;$J222&amp;O$1,Pesos!$A:$I,7,FALSE),VLOOKUP($I222&amp;$J222&amp;O$1,Pesos!$A:$I,9,FALSE)))</f>
        <v>0.8</v>
      </c>
      <c r="AH222" s="80">
        <f>IF(P222="","",IF(P222="SIM",VLOOKUP($I222&amp;$J222&amp;P$1,Pesos!$A:$I,7,FALSE),VLOOKUP($I222&amp;$J222&amp;P$1,Pesos!$A:$I,9,FALSE)))</f>
        <v>1.2</v>
      </c>
      <c r="AI222" s="80">
        <f>IF(Q222="","",IF(Q222="SIM",VLOOKUP($I222&amp;$J222&amp;Q$1,Pesos!$A:$I,7,FALSE),VLOOKUP($I222&amp;$J222&amp;Q$1,Pesos!$A:$I,9,FALSE)))</f>
        <v>0.8</v>
      </c>
      <c r="AJ222" s="80">
        <f>IF(R222="","",IF(R222="SIM",VLOOKUP($I222&amp;$J222&amp;R$1,Pesos!$A:$I,7,FALSE),VLOOKUP($I222&amp;$J222&amp;R$1,Pesos!$A:$I,9,FALSE)))</f>
        <v>0.8</v>
      </c>
      <c r="AK222" s="80">
        <f>IF(S222="","",IF(S222="SIM",VLOOKUP($I222&amp;$J222&amp;S$1,Pesos!$A:$I,7,FALSE),VLOOKUP($I222&amp;$J222&amp;S$1,Pesos!$A:$I,9,FALSE)))</f>
        <v>0.8</v>
      </c>
      <c r="AL222" s="80">
        <f t="shared" si="31"/>
        <v>5.1999999999999993</v>
      </c>
      <c r="AM222" s="80">
        <f>IF(T222="","",IF(T222="SIM",VLOOKUP($I222&amp;$J222&amp;T$1,Pesos!$A:$I,7,FALSE),VLOOKUP($I222&amp;$J222&amp;T$1,Pesos!$A:$I,9,FALSE)))</f>
        <v>0.8</v>
      </c>
      <c r="AN222" s="80">
        <f>IF(U222="","",IF(U222="SIM",VLOOKUP($I222&amp;$J222&amp;U$1,Pesos!$A:$I,7,FALSE),VLOOKUP($I222&amp;$J222&amp;U$1,Pesos!$A:$I,9,FALSE)))</f>
        <v>0.8</v>
      </c>
      <c r="AO222" s="80">
        <f>IF(V222="","",IF(V222="SIM",VLOOKUP($I222&amp;$J222&amp;V$1,Pesos!$A:$I,7,FALSE),VLOOKUP($I222&amp;$J222&amp;V$1,Pesos!$A:$I,9,FALSE)))</f>
        <v>0.8</v>
      </c>
      <c r="AP222" s="80">
        <f>IF(W222="","",IF(W222="SIM",VLOOKUP($I222&amp;$J222&amp;W$1,Pesos!$A:$I,7,FALSE),VLOOKUP($I222&amp;$J222&amp;W$1,Pesos!$A:$I,9,FALSE)))</f>
        <v>0.8</v>
      </c>
      <c r="AQ222" s="80">
        <f>IF(X222="","",IF(X222="SIM",VLOOKUP($I222&amp;$J222&amp;X$1,Pesos!$A:$I,7,FALSE),VLOOKUP($I222&amp;$J222&amp;X$1,Pesos!$A:$I,9,FALSE)))</f>
        <v>0.8</v>
      </c>
      <c r="AR222" s="80">
        <f>IF(Y222="","",IF(Y222="SIM",VLOOKUP($I222&amp;$J222&amp;Y$1,Pesos!$A:$I,7,FALSE),VLOOKUP($I222&amp;$J222&amp;Y$1,Pesos!$A:$I,9,FALSE)))</f>
        <v>0.8</v>
      </c>
      <c r="AS222" s="81">
        <f>IFERROR(Z222*VLOOKUP(J222,'BD Campos'!$Y$1:$Z$12,2,FALSE),"0")</f>
        <v>10</v>
      </c>
    </row>
    <row r="223" spans="1:45" x14ac:dyDescent="0.35">
      <c r="A223" s="68" t="str">
        <f t="shared" si="32"/>
        <v>Jan202511005MotoristaDISTRIBUIÇÃO</v>
      </c>
      <c r="B223" s="69" t="str">
        <f t="shared" si="33"/>
        <v>Jan2025110051DISTRIBUIÇÃOPADRÃO</v>
      </c>
      <c r="C223" s="70">
        <v>1</v>
      </c>
      <c r="D223" s="71">
        <v>45677.735258680557</v>
      </c>
      <c r="E223" s="112" t="s">
        <v>74</v>
      </c>
      <c r="F223" s="72">
        <v>11005</v>
      </c>
      <c r="G223" s="69" t="s">
        <v>256</v>
      </c>
      <c r="H223" s="73">
        <v>1</v>
      </c>
      <c r="I223" s="69" t="s">
        <v>147</v>
      </c>
      <c r="J223" s="69" t="s">
        <v>122</v>
      </c>
      <c r="K223" s="69" t="s">
        <v>23</v>
      </c>
      <c r="L223" s="74">
        <v>30813245</v>
      </c>
      <c r="M223" s="75">
        <v>2.6504629629629625E-3</v>
      </c>
      <c r="N223" s="76" t="s">
        <v>83</v>
      </c>
      <c r="O223" s="76" t="s">
        <v>79</v>
      </c>
      <c r="P223" s="76" t="s">
        <v>79</v>
      </c>
      <c r="Q223" s="76" t="s">
        <v>79</v>
      </c>
      <c r="R223" s="76" t="s">
        <v>79</v>
      </c>
      <c r="S223" s="76" t="s">
        <v>79</v>
      </c>
      <c r="T223" s="76" t="s">
        <v>79</v>
      </c>
      <c r="U223" s="76" t="s">
        <v>79</v>
      </c>
      <c r="V223" s="76"/>
      <c r="W223" s="76"/>
      <c r="X223" s="76"/>
      <c r="Y223" s="76"/>
      <c r="Z223" s="77">
        <f t="shared" si="2"/>
        <v>8.8450000000000006</v>
      </c>
      <c r="AA223" s="78"/>
      <c r="AB223" s="78" t="s">
        <v>1542</v>
      </c>
      <c r="AC223" s="72" t="s">
        <v>47</v>
      </c>
      <c r="AE223" s="79" t="str">
        <f t="shared" si="30"/>
        <v>Jan11005</v>
      </c>
      <c r="AF223" s="80">
        <f>IF(N223="","",IF(N223="SIM",VLOOKUP($I223&amp;$J223&amp;N$1,Pesos!$A:$I,7,FALSE),VLOOKUP($I223&amp;$J223&amp;N$1,Pesos!$A:$I,9,FALSE)))</f>
        <v>-5.5000000000000007E-2</v>
      </c>
      <c r="AG223" s="80">
        <f>IF(O223="","",IF(O223="SIM",VLOOKUP($I223&amp;$J223&amp;O$1,Pesos!$A:$I,7,FALSE),VLOOKUP($I223&amp;$J223&amp;O$1,Pesos!$A:$I,9,FALSE)))</f>
        <v>1.1000000000000001</v>
      </c>
      <c r="AH223" s="80">
        <f>IF(P223="","",IF(P223="SIM",VLOOKUP($I223&amp;$J223&amp;P$1,Pesos!$A:$I,7,FALSE),VLOOKUP($I223&amp;$J223&amp;P$1,Pesos!$A:$I,9,FALSE)))</f>
        <v>1.1000000000000001</v>
      </c>
      <c r="AI223" s="80">
        <f>IF(Q223="","",IF(Q223="SIM",VLOOKUP($I223&amp;$J223&amp;Q$1,Pesos!$A:$I,7,FALSE),VLOOKUP($I223&amp;$J223&amp;Q$1,Pesos!$A:$I,9,FALSE)))</f>
        <v>1.1000000000000001</v>
      </c>
      <c r="AJ223" s="80">
        <f>IF(R223="","",IF(R223="SIM",VLOOKUP($I223&amp;$J223&amp;R$1,Pesos!$A:$I,7,FALSE),VLOOKUP($I223&amp;$J223&amp;R$1,Pesos!$A:$I,9,FALSE)))</f>
        <v>1.1000000000000001</v>
      </c>
      <c r="AK223" s="80">
        <f>IF(S223="","",IF(S223="SIM",VLOOKUP($I223&amp;$J223&amp;S$1,Pesos!$A:$I,7,FALSE),VLOOKUP($I223&amp;$J223&amp;S$1,Pesos!$A:$I,9,FALSE)))</f>
        <v>1.6</v>
      </c>
      <c r="AL223" s="80">
        <f t="shared" si="31"/>
        <v>5.9450000000000003</v>
      </c>
      <c r="AM223" s="80">
        <f>IF(T223="","",IF(T223="SIM",VLOOKUP($I223&amp;$J223&amp;T$1,Pesos!$A:$I,7,FALSE),VLOOKUP($I223&amp;$J223&amp;T$1,Pesos!$A:$I,9,FALSE)))</f>
        <v>1.2</v>
      </c>
      <c r="AN223" s="80">
        <f>IF(U223="","",IF(U223="SIM",VLOOKUP($I223&amp;$J223&amp;U$1,Pesos!$A:$I,7,FALSE),VLOOKUP($I223&amp;$J223&amp;U$1,Pesos!$A:$I,9,FALSE)))</f>
        <v>1.7000000000000002</v>
      </c>
      <c r="AO223" s="80" t="str">
        <f>IF(V223="","",IF(V223="SIM",VLOOKUP($I223&amp;$J223&amp;V$1,Pesos!$A:$I,7,FALSE),VLOOKUP($I223&amp;$J223&amp;V$1,Pesos!$A:$I,9,FALSE)))</f>
        <v/>
      </c>
      <c r="AP223" s="80" t="str">
        <f>IF(W223="","",IF(W223="SIM",VLOOKUP($I223&amp;$J223&amp;W$1,Pesos!$A:$I,7,FALSE),VLOOKUP($I223&amp;$J223&amp;W$1,Pesos!$A:$I,9,FALSE)))</f>
        <v/>
      </c>
      <c r="AQ223" s="80" t="str">
        <f>IF(X223="","",IF(X223="SIM",VLOOKUP($I223&amp;$J223&amp;X$1,Pesos!$A:$I,7,FALSE),VLOOKUP($I223&amp;$J223&amp;X$1,Pesos!$A:$I,9,FALSE)))</f>
        <v/>
      </c>
      <c r="AR223" s="80" t="str">
        <f>IF(Y223="","",IF(Y223="SIM",VLOOKUP($I223&amp;$J223&amp;Y$1,Pesos!$A:$I,7,FALSE),VLOOKUP($I223&amp;$J223&amp;Y$1,Pesos!$A:$I,9,FALSE)))</f>
        <v/>
      </c>
      <c r="AS223" s="81">
        <f>IFERROR(Z223*VLOOKUP(J223,'BD Campos'!$Y$1:$Z$12,2,FALSE),"0")</f>
        <v>8.8450000000000006</v>
      </c>
    </row>
    <row r="224" spans="1:45" x14ac:dyDescent="0.35">
      <c r="A224" s="68" t="str">
        <f t="shared" si="32"/>
        <v>Jan202511038MotoristaDISTRIBUIÇÃO</v>
      </c>
      <c r="B224" s="69" t="str">
        <f t="shared" si="33"/>
        <v>Jan2025110381DISTRIBUIÇÃOPADRÃO</v>
      </c>
      <c r="C224" s="70">
        <v>1</v>
      </c>
      <c r="D224" s="71">
        <v>45677.738660532406</v>
      </c>
      <c r="E224" s="112" t="s">
        <v>74</v>
      </c>
      <c r="F224" s="72">
        <v>11038</v>
      </c>
      <c r="G224" s="69" t="s">
        <v>350</v>
      </c>
      <c r="H224" s="73">
        <v>1</v>
      </c>
      <c r="I224" s="69" t="s">
        <v>147</v>
      </c>
      <c r="J224" s="69" t="s">
        <v>122</v>
      </c>
      <c r="K224" s="69" t="s">
        <v>23</v>
      </c>
      <c r="L224" s="74">
        <v>30863110</v>
      </c>
      <c r="M224" s="75">
        <v>1.6666666666666668E-3</v>
      </c>
      <c r="N224" s="76" t="s">
        <v>79</v>
      </c>
      <c r="O224" s="76" t="s">
        <v>79</v>
      </c>
      <c r="P224" s="76" t="s">
        <v>79</v>
      </c>
      <c r="Q224" s="76" t="s">
        <v>79</v>
      </c>
      <c r="R224" s="76" t="s">
        <v>79</v>
      </c>
      <c r="S224" s="76" t="s">
        <v>79</v>
      </c>
      <c r="T224" s="76" t="s">
        <v>79</v>
      </c>
      <c r="U224" s="76" t="s">
        <v>79</v>
      </c>
      <c r="V224" s="76"/>
      <c r="W224" s="76"/>
      <c r="X224" s="76"/>
      <c r="Y224" s="76"/>
      <c r="Z224" s="77">
        <f t="shared" si="2"/>
        <v>10</v>
      </c>
      <c r="AA224" s="78"/>
      <c r="AB224" s="78" t="s">
        <v>1543</v>
      </c>
      <c r="AC224" s="72" t="s">
        <v>47</v>
      </c>
      <c r="AE224" s="79" t="str">
        <f t="shared" si="30"/>
        <v>Jan11038</v>
      </c>
      <c r="AF224" s="80">
        <f>IF(N224="","",IF(N224="SIM",VLOOKUP($I224&amp;$J224&amp;N$1,Pesos!$A:$I,7,FALSE),VLOOKUP($I224&amp;$J224&amp;N$1,Pesos!$A:$I,9,FALSE)))</f>
        <v>1.1000000000000001</v>
      </c>
      <c r="AG224" s="80">
        <f>IF(O224="","",IF(O224="SIM",VLOOKUP($I224&amp;$J224&amp;O$1,Pesos!$A:$I,7,FALSE),VLOOKUP($I224&amp;$J224&amp;O$1,Pesos!$A:$I,9,FALSE)))</f>
        <v>1.1000000000000001</v>
      </c>
      <c r="AH224" s="80">
        <f>IF(P224="","",IF(P224="SIM",VLOOKUP($I224&amp;$J224&amp;P$1,Pesos!$A:$I,7,FALSE),VLOOKUP($I224&amp;$J224&amp;P$1,Pesos!$A:$I,9,FALSE)))</f>
        <v>1.1000000000000001</v>
      </c>
      <c r="AI224" s="80">
        <f>IF(Q224="","",IF(Q224="SIM",VLOOKUP($I224&amp;$J224&amp;Q$1,Pesos!$A:$I,7,FALSE),VLOOKUP($I224&amp;$J224&amp;Q$1,Pesos!$A:$I,9,FALSE)))</f>
        <v>1.1000000000000001</v>
      </c>
      <c r="AJ224" s="80">
        <f>IF(R224="","",IF(R224="SIM",VLOOKUP($I224&amp;$J224&amp;R$1,Pesos!$A:$I,7,FALSE),VLOOKUP($I224&amp;$J224&amp;R$1,Pesos!$A:$I,9,FALSE)))</f>
        <v>1.1000000000000001</v>
      </c>
      <c r="AK224" s="80">
        <f>IF(S224="","",IF(S224="SIM",VLOOKUP($I224&amp;$J224&amp;S$1,Pesos!$A:$I,7,FALSE),VLOOKUP($I224&amp;$J224&amp;S$1,Pesos!$A:$I,9,FALSE)))</f>
        <v>1.6</v>
      </c>
      <c r="AL224" s="80">
        <f t="shared" si="31"/>
        <v>7.1</v>
      </c>
      <c r="AM224" s="80">
        <f>IF(T224="","",IF(T224="SIM",VLOOKUP($I224&amp;$J224&amp;T$1,Pesos!$A:$I,7,FALSE),VLOOKUP($I224&amp;$J224&amp;T$1,Pesos!$A:$I,9,FALSE)))</f>
        <v>1.2</v>
      </c>
      <c r="AN224" s="80">
        <f>IF(U224="","",IF(U224="SIM",VLOOKUP($I224&amp;$J224&amp;U$1,Pesos!$A:$I,7,FALSE),VLOOKUP($I224&amp;$J224&amp;U$1,Pesos!$A:$I,9,FALSE)))</f>
        <v>1.7000000000000002</v>
      </c>
      <c r="AO224" s="80" t="str">
        <f>IF(V224="","",IF(V224="SIM",VLOOKUP($I224&amp;$J224&amp;V$1,Pesos!$A:$I,7,FALSE),VLOOKUP($I224&amp;$J224&amp;V$1,Pesos!$A:$I,9,FALSE)))</f>
        <v/>
      </c>
      <c r="AP224" s="80" t="str">
        <f>IF(W224="","",IF(W224="SIM",VLOOKUP($I224&amp;$J224&amp;W$1,Pesos!$A:$I,7,FALSE),VLOOKUP($I224&amp;$J224&amp;W$1,Pesos!$A:$I,9,FALSE)))</f>
        <v/>
      </c>
      <c r="AQ224" s="80" t="str">
        <f>IF(X224="","",IF(X224="SIM",VLOOKUP($I224&amp;$J224&amp;X$1,Pesos!$A:$I,7,FALSE),VLOOKUP($I224&amp;$J224&amp;X$1,Pesos!$A:$I,9,FALSE)))</f>
        <v/>
      </c>
      <c r="AR224" s="80" t="str">
        <f>IF(Y224="","",IF(Y224="SIM",VLOOKUP($I224&amp;$J224&amp;Y$1,Pesos!$A:$I,7,FALSE),VLOOKUP($I224&amp;$J224&amp;Y$1,Pesos!$A:$I,9,FALSE)))</f>
        <v/>
      </c>
      <c r="AS224" s="81">
        <f>IFERROR(Z224*VLOOKUP(J224,'BD Campos'!$Y$1:$Z$12,2,FALSE),"0")</f>
        <v>10</v>
      </c>
    </row>
    <row r="225" spans="1:45" x14ac:dyDescent="0.35">
      <c r="A225" s="68" t="str">
        <f t="shared" si="32"/>
        <v>Jan202511038ReceptivaDISTRIBUIÇÃO</v>
      </c>
      <c r="B225" s="69" t="str">
        <f t="shared" si="33"/>
        <v>Jan2025110385DISTRIBUIÇÃOPADRÃO</v>
      </c>
      <c r="C225" s="70">
        <v>1</v>
      </c>
      <c r="D225" s="71">
        <v>45677.74088553241</v>
      </c>
      <c r="E225" s="112" t="s">
        <v>74</v>
      </c>
      <c r="F225" s="72">
        <v>11038</v>
      </c>
      <c r="G225" s="69" t="s">
        <v>350</v>
      </c>
      <c r="H225" s="73">
        <v>5</v>
      </c>
      <c r="I225" s="69" t="s">
        <v>6</v>
      </c>
      <c r="J225" s="69" t="s">
        <v>98</v>
      </c>
      <c r="K225" s="69" t="s">
        <v>23</v>
      </c>
      <c r="L225" s="74"/>
      <c r="M225" s="75">
        <v>1.2384259259259258E-3</v>
      </c>
      <c r="N225" s="76" t="s">
        <v>79</v>
      </c>
      <c r="O225" s="76" t="s">
        <v>83</v>
      </c>
      <c r="P225" s="76" t="s">
        <v>79</v>
      </c>
      <c r="Q225" s="76" t="s">
        <v>79</v>
      </c>
      <c r="R225" s="76" t="s">
        <v>79</v>
      </c>
      <c r="S225" s="76" t="s">
        <v>79</v>
      </c>
      <c r="T225" s="76" t="s">
        <v>79</v>
      </c>
      <c r="U225" s="76" t="s">
        <v>79</v>
      </c>
      <c r="V225" s="76" t="s">
        <v>79</v>
      </c>
      <c r="W225" s="76" t="s">
        <v>79</v>
      </c>
      <c r="X225" s="76" t="s">
        <v>79</v>
      </c>
      <c r="Y225" s="76" t="s">
        <v>79</v>
      </c>
      <c r="Z225" s="77">
        <f t="shared" si="2"/>
        <v>9.16</v>
      </c>
      <c r="AA225" s="78"/>
      <c r="AB225" s="78"/>
      <c r="AC225" s="72" t="s">
        <v>47</v>
      </c>
      <c r="AE225" s="79" t="str">
        <f t="shared" si="30"/>
        <v>Jan11038</v>
      </c>
      <c r="AF225" s="80">
        <f>IF(N225="","",IF(N225="SIM",VLOOKUP($I225&amp;$J225&amp;N$1,Pesos!$A:$I,7,FALSE),VLOOKUP($I225&amp;$J225&amp;N$1,Pesos!$A:$I,9,FALSE)))</f>
        <v>0.8</v>
      </c>
      <c r="AG225" s="80">
        <f>IF(O225="","",IF(O225="SIM",VLOOKUP($I225&amp;$J225&amp;O$1,Pesos!$A:$I,7,FALSE),VLOOKUP($I225&amp;$J225&amp;O$1,Pesos!$A:$I,9,FALSE)))</f>
        <v>-4.0000000000000008E-2</v>
      </c>
      <c r="AH225" s="80">
        <f>IF(P225="","",IF(P225="SIM",VLOOKUP($I225&amp;$J225&amp;P$1,Pesos!$A:$I,7,FALSE),VLOOKUP($I225&amp;$J225&amp;P$1,Pesos!$A:$I,9,FALSE)))</f>
        <v>1.2</v>
      </c>
      <c r="AI225" s="80">
        <f>IF(Q225="","",IF(Q225="SIM",VLOOKUP($I225&amp;$J225&amp;Q$1,Pesos!$A:$I,7,FALSE),VLOOKUP($I225&amp;$J225&amp;Q$1,Pesos!$A:$I,9,FALSE)))</f>
        <v>0.8</v>
      </c>
      <c r="AJ225" s="80">
        <f>IF(R225="","",IF(R225="SIM",VLOOKUP($I225&amp;$J225&amp;R$1,Pesos!$A:$I,7,FALSE),VLOOKUP($I225&amp;$J225&amp;R$1,Pesos!$A:$I,9,FALSE)))</f>
        <v>0.8</v>
      </c>
      <c r="AK225" s="80">
        <f>IF(S225="","",IF(S225="SIM",VLOOKUP($I225&amp;$J225&amp;S$1,Pesos!$A:$I,7,FALSE),VLOOKUP($I225&amp;$J225&amp;S$1,Pesos!$A:$I,9,FALSE)))</f>
        <v>0.8</v>
      </c>
      <c r="AL225" s="80">
        <f t="shared" si="31"/>
        <v>4.3599999999999994</v>
      </c>
      <c r="AM225" s="80">
        <f>IF(T225="","",IF(T225="SIM",VLOOKUP($I225&amp;$J225&amp;T$1,Pesos!$A:$I,7,FALSE),VLOOKUP($I225&amp;$J225&amp;T$1,Pesos!$A:$I,9,FALSE)))</f>
        <v>0.8</v>
      </c>
      <c r="AN225" s="80">
        <f>IF(U225="","",IF(U225="SIM",VLOOKUP($I225&amp;$J225&amp;U$1,Pesos!$A:$I,7,FALSE),VLOOKUP($I225&amp;$J225&amp;U$1,Pesos!$A:$I,9,FALSE)))</f>
        <v>0.8</v>
      </c>
      <c r="AO225" s="80">
        <f>IF(V225="","",IF(V225="SIM",VLOOKUP($I225&amp;$J225&amp;V$1,Pesos!$A:$I,7,FALSE),VLOOKUP($I225&amp;$J225&amp;V$1,Pesos!$A:$I,9,FALSE)))</f>
        <v>0.8</v>
      </c>
      <c r="AP225" s="80">
        <f>IF(W225="","",IF(W225="SIM",VLOOKUP($I225&amp;$J225&amp;W$1,Pesos!$A:$I,7,FALSE),VLOOKUP($I225&amp;$J225&amp;W$1,Pesos!$A:$I,9,FALSE)))</f>
        <v>0.8</v>
      </c>
      <c r="AQ225" s="80">
        <f>IF(X225="","",IF(X225="SIM",VLOOKUP($I225&amp;$J225&amp;X$1,Pesos!$A:$I,7,FALSE),VLOOKUP($I225&amp;$J225&amp;X$1,Pesos!$A:$I,9,FALSE)))</f>
        <v>0.8</v>
      </c>
      <c r="AR225" s="80">
        <f>IF(Y225="","",IF(Y225="SIM",VLOOKUP($I225&amp;$J225&amp;Y$1,Pesos!$A:$I,7,FALSE),VLOOKUP($I225&amp;$J225&amp;Y$1,Pesos!$A:$I,9,FALSE)))</f>
        <v>0.8</v>
      </c>
      <c r="AS225" s="81">
        <f>IFERROR(Z225*VLOOKUP(J225,'BD Campos'!$Y$1:$Z$12,2,FALSE),"0")</f>
        <v>9.16</v>
      </c>
    </row>
    <row r="226" spans="1:45" x14ac:dyDescent="0.35">
      <c r="A226" s="68" t="str">
        <f t="shared" si="32"/>
        <v>Jan202511039ReceptivaDISTRIBUIÇÃO</v>
      </c>
      <c r="B226" s="69" t="str">
        <f t="shared" si="33"/>
        <v>Jan2025110395DISTRIBUIÇÃOPADRÃO</v>
      </c>
      <c r="C226" s="70">
        <v>1</v>
      </c>
      <c r="D226" s="71">
        <v>45677.743214351853</v>
      </c>
      <c r="E226" s="112" t="s">
        <v>74</v>
      </c>
      <c r="F226" s="72">
        <v>11039</v>
      </c>
      <c r="G226" s="69" t="s">
        <v>351</v>
      </c>
      <c r="H226" s="73">
        <v>5</v>
      </c>
      <c r="I226" s="69" t="s">
        <v>6</v>
      </c>
      <c r="J226" s="69" t="s">
        <v>98</v>
      </c>
      <c r="K226" s="69" t="s">
        <v>23</v>
      </c>
      <c r="L226" s="74"/>
      <c r="M226" s="75">
        <v>6.9444444444444447E-4</v>
      </c>
      <c r="N226" s="76" t="s">
        <v>79</v>
      </c>
      <c r="O226" s="76" t="s">
        <v>79</v>
      </c>
      <c r="P226" s="76" t="s">
        <v>79</v>
      </c>
      <c r="Q226" s="76" t="s">
        <v>79</v>
      </c>
      <c r="R226" s="76" t="s">
        <v>79</v>
      </c>
      <c r="S226" s="76" t="s">
        <v>79</v>
      </c>
      <c r="T226" s="76" t="s">
        <v>83</v>
      </c>
      <c r="U226" s="76" t="s">
        <v>79</v>
      </c>
      <c r="V226" s="76" t="s">
        <v>79</v>
      </c>
      <c r="W226" s="76" t="s">
        <v>79</v>
      </c>
      <c r="X226" s="76" t="s">
        <v>79</v>
      </c>
      <c r="Y226" s="76" t="s">
        <v>79</v>
      </c>
      <c r="Z226" s="77">
        <f t="shared" si="2"/>
        <v>9.16</v>
      </c>
      <c r="AA226" s="78"/>
      <c r="AB226" s="78"/>
      <c r="AC226" s="72" t="s">
        <v>47</v>
      </c>
      <c r="AE226" s="79" t="str">
        <f t="shared" si="30"/>
        <v>Jan11039</v>
      </c>
      <c r="AF226" s="80">
        <f>IF(N226="","",IF(N226="SIM",VLOOKUP($I226&amp;$J226&amp;N$1,Pesos!$A:$I,7,FALSE),VLOOKUP($I226&amp;$J226&amp;N$1,Pesos!$A:$I,9,FALSE)))</f>
        <v>0.8</v>
      </c>
      <c r="AG226" s="80">
        <f>IF(O226="","",IF(O226="SIM",VLOOKUP($I226&amp;$J226&amp;O$1,Pesos!$A:$I,7,FALSE),VLOOKUP($I226&amp;$J226&amp;O$1,Pesos!$A:$I,9,FALSE)))</f>
        <v>0.8</v>
      </c>
      <c r="AH226" s="80">
        <f>IF(P226="","",IF(P226="SIM",VLOOKUP($I226&amp;$J226&amp;P$1,Pesos!$A:$I,7,FALSE),VLOOKUP($I226&amp;$J226&amp;P$1,Pesos!$A:$I,9,FALSE)))</f>
        <v>1.2</v>
      </c>
      <c r="AI226" s="80">
        <f>IF(Q226="","",IF(Q226="SIM",VLOOKUP($I226&amp;$J226&amp;Q$1,Pesos!$A:$I,7,FALSE),VLOOKUP($I226&amp;$J226&amp;Q$1,Pesos!$A:$I,9,FALSE)))</f>
        <v>0.8</v>
      </c>
      <c r="AJ226" s="80">
        <f>IF(R226="","",IF(R226="SIM",VLOOKUP($I226&amp;$J226&amp;R$1,Pesos!$A:$I,7,FALSE),VLOOKUP($I226&amp;$J226&amp;R$1,Pesos!$A:$I,9,FALSE)))</f>
        <v>0.8</v>
      </c>
      <c r="AK226" s="80">
        <f>IF(S226="","",IF(S226="SIM",VLOOKUP($I226&amp;$J226&amp;S$1,Pesos!$A:$I,7,FALSE),VLOOKUP($I226&amp;$J226&amp;S$1,Pesos!$A:$I,9,FALSE)))</f>
        <v>0.8</v>
      </c>
      <c r="AL226" s="80">
        <f t="shared" si="31"/>
        <v>5.1999999999999993</v>
      </c>
      <c r="AM226" s="80">
        <f>IF(T226="","",IF(T226="SIM",VLOOKUP($I226&amp;$J226&amp;T$1,Pesos!$A:$I,7,FALSE),VLOOKUP($I226&amp;$J226&amp;T$1,Pesos!$A:$I,9,FALSE)))</f>
        <v>-4.0000000000000008E-2</v>
      </c>
      <c r="AN226" s="80">
        <f>IF(U226="","",IF(U226="SIM",VLOOKUP($I226&amp;$J226&amp;U$1,Pesos!$A:$I,7,FALSE),VLOOKUP($I226&amp;$J226&amp;U$1,Pesos!$A:$I,9,FALSE)))</f>
        <v>0.8</v>
      </c>
      <c r="AO226" s="80">
        <f>IF(V226="","",IF(V226="SIM",VLOOKUP($I226&amp;$J226&amp;V$1,Pesos!$A:$I,7,FALSE),VLOOKUP($I226&amp;$J226&amp;V$1,Pesos!$A:$I,9,FALSE)))</f>
        <v>0.8</v>
      </c>
      <c r="AP226" s="80">
        <f>IF(W226="","",IF(W226="SIM",VLOOKUP($I226&amp;$J226&amp;W$1,Pesos!$A:$I,7,FALSE),VLOOKUP($I226&amp;$J226&amp;W$1,Pesos!$A:$I,9,FALSE)))</f>
        <v>0.8</v>
      </c>
      <c r="AQ226" s="80">
        <f>IF(X226="","",IF(X226="SIM",VLOOKUP($I226&amp;$J226&amp;X$1,Pesos!$A:$I,7,FALSE),VLOOKUP($I226&amp;$J226&amp;X$1,Pesos!$A:$I,9,FALSE)))</f>
        <v>0.8</v>
      </c>
      <c r="AR226" s="80">
        <f>IF(Y226="","",IF(Y226="SIM",VLOOKUP($I226&amp;$J226&amp;Y$1,Pesos!$A:$I,7,FALSE),VLOOKUP($I226&amp;$J226&amp;Y$1,Pesos!$A:$I,9,FALSE)))</f>
        <v>0.8</v>
      </c>
      <c r="AS226" s="81">
        <f>IFERROR(Z226*VLOOKUP(J226,'BD Campos'!$Y$1:$Z$12,2,FALSE),"0")</f>
        <v>9.16</v>
      </c>
    </row>
    <row r="227" spans="1:45" x14ac:dyDescent="0.35">
      <c r="A227" s="68" t="str">
        <f t="shared" si="32"/>
        <v>Jan202511039MotoristaDISTRIBUIÇÃO</v>
      </c>
      <c r="B227" s="69" t="str">
        <f t="shared" si="33"/>
        <v>Jan2025110391DISTRIBUIÇÃOPADRÃO</v>
      </c>
      <c r="C227" s="70">
        <v>1</v>
      </c>
      <c r="D227" s="71">
        <v>45677.745023379626</v>
      </c>
      <c r="E227" s="112" t="s">
        <v>74</v>
      </c>
      <c r="F227" s="72">
        <v>11039</v>
      </c>
      <c r="G227" s="69" t="s">
        <v>351</v>
      </c>
      <c r="H227" s="73">
        <v>1</v>
      </c>
      <c r="I227" s="69" t="s">
        <v>123</v>
      </c>
      <c r="J227" s="69" t="s">
        <v>122</v>
      </c>
      <c r="K227" s="69" t="s">
        <v>23</v>
      </c>
      <c r="L227" s="74">
        <v>30837690</v>
      </c>
      <c r="M227" s="75">
        <v>1.4467592592592594E-3</v>
      </c>
      <c r="N227" s="76" t="s">
        <v>83</v>
      </c>
      <c r="O227" s="76" t="s">
        <v>79</v>
      </c>
      <c r="P227" s="76" t="s">
        <v>79</v>
      </c>
      <c r="Q227" s="76" t="s">
        <v>79</v>
      </c>
      <c r="R227" s="76" t="s">
        <v>79</v>
      </c>
      <c r="S227" s="76" t="s">
        <v>79</v>
      </c>
      <c r="T227" s="76" t="s">
        <v>79</v>
      </c>
      <c r="U227" s="76" t="s">
        <v>79</v>
      </c>
      <c r="V227" s="76" t="s">
        <v>79</v>
      </c>
      <c r="W227" s="76" t="s">
        <v>79</v>
      </c>
      <c r="X227" s="76"/>
      <c r="Y227" s="76"/>
      <c r="Z227" s="77">
        <f t="shared" si="2"/>
        <v>8.9499999999999993</v>
      </c>
      <c r="AA227" s="78"/>
      <c r="AB227" s="78" t="s">
        <v>1544</v>
      </c>
      <c r="AC227" s="72" t="s">
        <v>47</v>
      </c>
      <c r="AE227" s="79" t="str">
        <f t="shared" si="30"/>
        <v>Jan11039</v>
      </c>
      <c r="AF227" s="80">
        <f>IF(N227="","",IF(N227="SIM",VLOOKUP($I227&amp;$J227&amp;N$1,Pesos!$A:$I,7,FALSE),VLOOKUP($I227&amp;$J227&amp;N$1,Pesos!$A:$I,9,FALSE)))</f>
        <v>-0.05</v>
      </c>
      <c r="AG227" s="80">
        <f>IF(O227="","",IF(O227="SIM",VLOOKUP($I227&amp;$J227&amp;O$1,Pesos!$A:$I,7,FALSE),VLOOKUP($I227&amp;$J227&amp;O$1,Pesos!$A:$I,9,FALSE)))</f>
        <v>1</v>
      </c>
      <c r="AH227" s="80">
        <f>IF(P227="","",IF(P227="SIM",VLOOKUP($I227&amp;$J227&amp;P$1,Pesos!$A:$I,7,FALSE),VLOOKUP($I227&amp;$J227&amp;P$1,Pesos!$A:$I,9,FALSE)))</f>
        <v>1</v>
      </c>
      <c r="AI227" s="80">
        <f>IF(Q227="","",IF(Q227="SIM",VLOOKUP($I227&amp;$J227&amp;Q$1,Pesos!$A:$I,7,FALSE),VLOOKUP($I227&amp;$J227&amp;Q$1,Pesos!$A:$I,9,FALSE)))</f>
        <v>1</v>
      </c>
      <c r="AJ227" s="80">
        <f>IF(R227="","",IF(R227="SIM",VLOOKUP($I227&amp;$J227&amp;R$1,Pesos!$A:$I,7,FALSE),VLOOKUP($I227&amp;$J227&amp;R$1,Pesos!$A:$I,9,FALSE)))</f>
        <v>1</v>
      </c>
      <c r="AK227" s="80">
        <f>IF(S227="","",IF(S227="SIM",VLOOKUP($I227&amp;$J227&amp;S$1,Pesos!$A:$I,7,FALSE),VLOOKUP($I227&amp;$J227&amp;S$1,Pesos!$A:$I,9,FALSE)))</f>
        <v>1</v>
      </c>
      <c r="AL227" s="80">
        <f t="shared" si="31"/>
        <v>4.95</v>
      </c>
      <c r="AM227" s="80">
        <f>IF(T227="","",IF(T227="SIM",VLOOKUP($I227&amp;$J227&amp;T$1,Pesos!$A:$I,7,FALSE),VLOOKUP($I227&amp;$J227&amp;T$1,Pesos!$A:$I,9,FALSE)))</f>
        <v>1</v>
      </c>
      <c r="AN227" s="80">
        <f>IF(U227="","",IF(U227="SIM",VLOOKUP($I227&amp;$J227&amp;U$1,Pesos!$A:$I,7,FALSE),VLOOKUP($I227&amp;$J227&amp;U$1,Pesos!$A:$I,9,FALSE)))</f>
        <v>1</v>
      </c>
      <c r="AO227" s="80">
        <f>IF(V227="","",IF(V227="SIM",VLOOKUP($I227&amp;$J227&amp;V$1,Pesos!$A:$I,7,FALSE),VLOOKUP($I227&amp;$J227&amp;V$1,Pesos!$A:$I,9,FALSE)))</f>
        <v>1</v>
      </c>
      <c r="AP227" s="80">
        <f>IF(W227="","",IF(W227="SIM",VLOOKUP($I227&amp;$J227&amp;W$1,Pesos!$A:$I,7,FALSE),VLOOKUP($I227&amp;$J227&amp;W$1,Pesos!$A:$I,9,FALSE)))</f>
        <v>1</v>
      </c>
      <c r="AQ227" s="80" t="str">
        <f>IF(X227="","",IF(X227="SIM",VLOOKUP($I227&amp;$J227&amp;X$1,Pesos!$A:$I,7,FALSE),VLOOKUP($I227&amp;$J227&amp;X$1,Pesos!$A:$I,9,FALSE)))</f>
        <v/>
      </c>
      <c r="AR227" s="80" t="str">
        <f>IF(Y227="","",IF(Y227="SIM",VLOOKUP($I227&amp;$J227&amp;Y$1,Pesos!$A:$I,7,FALSE),VLOOKUP($I227&amp;$J227&amp;Y$1,Pesos!$A:$I,9,FALSE)))</f>
        <v/>
      </c>
      <c r="AS227" s="81">
        <f>IFERROR(Z227*VLOOKUP(J227,'BD Campos'!$Y$1:$Z$12,2,FALSE),"0")</f>
        <v>8.9499999999999993</v>
      </c>
    </row>
    <row r="228" spans="1:45" x14ac:dyDescent="0.35">
      <c r="A228" s="68" t="str">
        <f t="shared" si="32"/>
        <v>Jan202510941ReceptivaDISTRIBUIÇÃO</v>
      </c>
      <c r="B228" s="69" t="str">
        <f t="shared" si="33"/>
        <v>Jan2025109415DISTRIBUIÇÃOPADRÃO</v>
      </c>
      <c r="C228" s="70">
        <v>1</v>
      </c>
      <c r="D228" s="71">
        <v>45678.33971064815</v>
      </c>
      <c r="E228" s="112" t="s">
        <v>74</v>
      </c>
      <c r="F228" s="72">
        <v>10941</v>
      </c>
      <c r="G228" s="69" t="s">
        <v>102</v>
      </c>
      <c r="H228" s="73">
        <v>5</v>
      </c>
      <c r="I228" s="69" t="s">
        <v>6</v>
      </c>
      <c r="J228" s="69" t="s">
        <v>98</v>
      </c>
      <c r="K228" s="69" t="s">
        <v>23</v>
      </c>
      <c r="L228" s="74"/>
      <c r="M228" s="75">
        <v>1.7708333333333332E-3</v>
      </c>
      <c r="N228" s="76" t="s">
        <v>79</v>
      </c>
      <c r="O228" s="76" t="s">
        <v>79</v>
      </c>
      <c r="P228" s="76" t="s">
        <v>79</v>
      </c>
      <c r="Q228" s="76" t="s">
        <v>79</v>
      </c>
      <c r="R228" s="76" t="s">
        <v>79</v>
      </c>
      <c r="S228" s="76" t="s">
        <v>79</v>
      </c>
      <c r="T228" s="76" t="s">
        <v>83</v>
      </c>
      <c r="U228" s="76" t="s">
        <v>79</v>
      </c>
      <c r="V228" s="76" t="s">
        <v>79</v>
      </c>
      <c r="W228" s="76" t="s">
        <v>79</v>
      </c>
      <c r="X228" s="76" t="s">
        <v>79</v>
      </c>
      <c r="Y228" s="76" t="s">
        <v>79</v>
      </c>
      <c r="Z228" s="77">
        <f t="shared" si="2"/>
        <v>9.16</v>
      </c>
      <c r="AA228" s="78"/>
      <c r="AB228" s="78"/>
      <c r="AC228" s="72" t="s">
        <v>47</v>
      </c>
      <c r="AE228" s="79" t="str">
        <f t="shared" si="30"/>
        <v>Jan10941</v>
      </c>
      <c r="AF228" s="80">
        <f>IF(N228="","",IF(N228="SIM",VLOOKUP($I228&amp;$J228&amp;N$1,Pesos!$A:$I,7,FALSE),VLOOKUP($I228&amp;$J228&amp;N$1,Pesos!$A:$I,9,FALSE)))</f>
        <v>0.8</v>
      </c>
      <c r="AG228" s="80">
        <f>IF(O228="","",IF(O228="SIM",VLOOKUP($I228&amp;$J228&amp;O$1,Pesos!$A:$I,7,FALSE),VLOOKUP($I228&amp;$J228&amp;O$1,Pesos!$A:$I,9,FALSE)))</f>
        <v>0.8</v>
      </c>
      <c r="AH228" s="80">
        <f>IF(P228="","",IF(P228="SIM",VLOOKUP($I228&amp;$J228&amp;P$1,Pesos!$A:$I,7,FALSE),VLOOKUP($I228&amp;$J228&amp;P$1,Pesos!$A:$I,9,FALSE)))</f>
        <v>1.2</v>
      </c>
      <c r="AI228" s="80">
        <f>IF(Q228="","",IF(Q228="SIM",VLOOKUP($I228&amp;$J228&amp;Q$1,Pesos!$A:$I,7,FALSE),VLOOKUP($I228&amp;$J228&amp;Q$1,Pesos!$A:$I,9,FALSE)))</f>
        <v>0.8</v>
      </c>
      <c r="AJ228" s="80">
        <f>IF(R228="","",IF(R228="SIM",VLOOKUP($I228&amp;$J228&amp;R$1,Pesos!$A:$I,7,FALSE),VLOOKUP($I228&amp;$J228&amp;R$1,Pesos!$A:$I,9,FALSE)))</f>
        <v>0.8</v>
      </c>
      <c r="AK228" s="80">
        <f>IF(S228="","",IF(S228="SIM",VLOOKUP($I228&amp;$J228&amp;S$1,Pesos!$A:$I,7,FALSE),VLOOKUP($I228&amp;$J228&amp;S$1,Pesos!$A:$I,9,FALSE)))</f>
        <v>0.8</v>
      </c>
      <c r="AL228" s="80">
        <f t="shared" si="31"/>
        <v>5.1999999999999993</v>
      </c>
      <c r="AM228" s="80">
        <f>IF(T228="","",IF(T228="SIM",VLOOKUP($I228&amp;$J228&amp;T$1,Pesos!$A:$I,7,FALSE),VLOOKUP($I228&amp;$J228&amp;T$1,Pesos!$A:$I,9,FALSE)))</f>
        <v>-4.0000000000000008E-2</v>
      </c>
      <c r="AN228" s="80">
        <f>IF(U228="","",IF(U228="SIM",VLOOKUP($I228&amp;$J228&amp;U$1,Pesos!$A:$I,7,FALSE),VLOOKUP($I228&amp;$J228&amp;U$1,Pesos!$A:$I,9,FALSE)))</f>
        <v>0.8</v>
      </c>
      <c r="AO228" s="80">
        <f>IF(V228="","",IF(V228="SIM",VLOOKUP($I228&amp;$J228&amp;V$1,Pesos!$A:$I,7,FALSE),VLOOKUP($I228&amp;$J228&amp;V$1,Pesos!$A:$I,9,FALSE)))</f>
        <v>0.8</v>
      </c>
      <c r="AP228" s="80">
        <f>IF(W228="","",IF(W228="SIM",VLOOKUP($I228&amp;$J228&amp;W$1,Pesos!$A:$I,7,FALSE),VLOOKUP($I228&amp;$J228&amp;W$1,Pesos!$A:$I,9,FALSE)))</f>
        <v>0.8</v>
      </c>
      <c r="AQ228" s="80">
        <f>IF(X228="","",IF(X228="SIM",VLOOKUP($I228&amp;$J228&amp;X$1,Pesos!$A:$I,7,FALSE),VLOOKUP($I228&amp;$J228&amp;X$1,Pesos!$A:$I,9,FALSE)))</f>
        <v>0.8</v>
      </c>
      <c r="AR228" s="80">
        <f>IF(Y228="","",IF(Y228="SIM",VLOOKUP($I228&amp;$J228&amp;Y$1,Pesos!$A:$I,7,FALSE),VLOOKUP($I228&amp;$J228&amp;Y$1,Pesos!$A:$I,9,FALSE)))</f>
        <v>0.8</v>
      </c>
      <c r="AS228" s="81">
        <f>IFERROR(Z228*VLOOKUP(J228,'BD Campos'!$Y$1:$Z$12,2,FALSE),"0")</f>
        <v>9.16</v>
      </c>
    </row>
    <row r="229" spans="1:45" x14ac:dyDescent="0.35">
      <c r="A229" s="68" t="str">
        <f t="shared" si="32"/>
        <v>Jan202511068ReceptivaDISTRIBUIÇÃO</v>
      </c>
      <c r="B229" s="69" t="str">
        <f t="shared" si="33"/>
        <v>Jan2025110685DISTRIBUIÇÃOPADRÃO</v>
      </c>
      <c r="C229" s="70">
        <v>1</v>
      </c>
      <c r="D229" s="71">
        <v>45678.341988194443</v>
      </c>
      <c r="E229" s="112" t="s">
        <v>74</v>
      </c>
      <c r="F229" s="72">
        <v>11068</v>
      </c>
      <c r="G229" s="69" t="s">
        <v>396</v>
      </c>
      <c r="H229" s="73">
        <v>5</v>
      </c>
      <c r="I229" s="69" t="s">
        <v>6</v>
      </c>
      <c r="J229" s="69" t="s">
        <v>98</v>
      </c>
      <c r="K229" s="69" t="s">
        <v>23</v>
      </c>
      <c r="L229" s="74"/>
      <c r="M229" s="75">
        <v>1.2037037037037038E-3</v>
      </c>
      <c r="N229" s="76" t="s">
        <v>79</v>
      </c>
      <c r="O229" s="76" t="s">
        <v>79</v>
      </c>
      <c r="P229" s="76" t="s">
        <v>79</v>
      </c>
      <c r="Q229" s="76" t="s">
        <v>79</v>
      </c>
      <c r="R229" s="76" t="s">
        <v>79</v>
      </c>
      <c r="S229" s="76" t="s">
        <v>79</v>
      </c>
      <c r="T229" s="76" t="s">
        <v>79</v>
      </c>
      <c r="U229" s="76" t="s">
        <v>79</v>
      </c>
      <c r="V229" s="76" t="s">
        <v>79</v>
      </c>
      <c r="W229" s="76" t="s">
        <v>79</v>
      </c>
      <c r="X229" s="76" t="s">
        <v>79</v>
      </c>
      <c r="Y229" s="76" t="s">
        <v>79</v>
      </c>
      <c r="Z229" s="77">
        <f t="shared" si="2"/>
        <v>10</v>
      </c>
      <c r="AA229" s="78"/>
      <c r="AB229" s="78"/>
      <c r="AC229" s="72" t="s">
        <v>47</v>
      </c>
      <c r="AE229" s="79" t="str">
        <f t="shared" ref="AE229:AE250" si="34">E229&amp;F229</f>
        <v>Jan11068</v>
      </c>
      <c r="AF229" s="80">
        <f>IF(N229="","",IF(N229="SIM",VLOOKUP($I229&amp;$J229&amp;N$1,Pesos!$A:$I,7,FALSE),VLOOKUP($I229&amp;$J229&amp;N$1,Pesos!$A:$I,9,FALSE)))</f>
        <v>0.8</v>
      </c>
      <c r="AG229" s="80">
        <f>IF(O229="","",IF(O229="SIM",VLOOKUP($I229&amp;$J229&amp;O$1,Pesos!$A:$I,7,FALSE),VLOOKUP($I229&amp;$J229&amp;O$1,Pesos!$A:$I,9,FALSE)))</f>
        <v>0.8</v>
      </c>
      <c r="AH229" s="80">
        <f>IF(P229="","",IF(P229="SIM",VLOOKUP($I229&amp;$J229&amp;P$1,Pesos!$A:$I,7,FALSE),VLOOKUP($I229&amp;$J229&amp;P$1,Pesos!$A:$I,9,FALSE)))</f>
        <v>1.2</v>
      </c>
      <c r="AI229" s="80">
        <f>IF(Q229="","",IF(Q229="SIM",VLOOKUP($I229&amp;$J229&amp;Q$1,Pesos!$A:$I,7,FALSE),VLOOKUP($I229&amp;$J229&amp;Q$1,Pesos!$A:$I,9,FALSE)))</f>
        <v>0.8</v>
      </c>
      <c r="AJ229" s="80">
        <f>IF(R229="","",IF(R229="SIM",VLOOKUP($I229&amp;$J229&amp;R$1,Pesos!$A:$I,7,FALSE),VLOOKUP($I229&amp;$J229&amp;R$1,Pesos!$A:$I,9,FALSE)))</f>
        <v>0.8</v>
      </c>
      <c r="AK229" s="80">
        <f>IF(S229="","",IF(S229="SIM",VLOOKUP($I229&amp;$J229&amp;S$1,Pesos!$A:$I,7,FALSE),VLOOKUP($I229&amp;$J229&amp;S$1,Pesos!$A:$I,9,FALSE)))</f>
        <v>0.8</v>
      </c>
      <c r="AL229" s="80">
        <f t="shared" ref="AL229:AL250" si="35">SUM(AF229:AK229)</f>
        <v>5.1999999999999993</v>
      </c>
      <c r="AM229" s="80">
        <f>IF(T229="","",IF(T229="SIM",VLOOKUP($I229&amp;$J229&amp;T$1,Pesos!$A:$I,7,FALSE),VLOOKUP($I229&amp;$J229&amp;T$1,Pesos!$A:$I,9,FALSE)))</f>
        <v>0.8</v>
      </c>
      <c r="AN229" s="80">
        <f>IF(U229="","",IF(U229="SIM",VLOOKUP($I229&amp;$J229&amp;U$1,Pesos!$A:$I,7,FALSE),VLOOKUP($I229&amp;$J229&amp;U$1,Pesos!$A:$I,9,FALSE)))</f>
        <v>0.8</v>
      </c>
      <c r="AO229" s="80">
        <f>IF(V229="","",IF(V229="SIM",VLOOKUP($I229&amp;$J229&amp;V$1,Pesos!$A:$I,7,FALSE),VLOOKUP($I229&amp;$J229&amp;V$1,Pesos!$A:$I,9,FALSE)))</f>
        <v>0.8</v>
      </c>
      <c r="AP229" s="80">
        <f>IF(W229="","",IF(W229="SIM",VLOOKUP($I229&amp;$J229&amp;W$1,Pesos!$A:$I,7,FALSE),VLOOKUP($I229&amp;$J229&amp;W$1,Pesos!$A:$I,9,FALSE)))</f>
        <v>0.8</v>
      </c>
      <c r="AQ229" s="80">
        <f>IF(X229="","",IF(X229="SIM",VLOOKUP($I229&amp;$J229&amp;X$1,Pesos!$A:$I,7,FALSE),VLOOKUP($I229&amp;$J229&amp;X$1,Pesos!$A:$I,9,FALSE)))</f>
        <v>0.8</v>
      </c>
      <c r="AR229" s="80">
        <f>IF(Y229="","",IF(Y229="SIM",VLOOKUP($I229&amp;$J229&amp;Y$1,Pesos!$A:$I,7,FALSE),VLOOKUP($I229&amp;$J229&amp;Y$1,Pesos!$A:$I,9,FALSE)))</f>
        <v>0.8</v>
      </c>
      <c r="AS229" s="81">
        <f>IFERROR(Z229*VLOOKUP(J229,'BD Campos'!$Y$1:$Z$12,2,FALSE),"0")</f>
        <v>10</v>
      </c>
    </row>
    <row r="230" spans="1:45" x14ac:dyDescent="0.35">
      <c r="A230" s="68" t="str">
        <f t="shared" si="32"/>
        <v>Jan202511068MotoristaDISTRIBUIÇÃO</v>
      </c>
      <c r="B230" s="69" t="str">
        <f t="shared" si="33"/>
        <v>Jan2025110681DISTRIBUIÇÃOPADRÃO</v>
      </c>
      <c r="C230" s="70">
        <v>1</v>
      </c>
      <c r="D230" s="71">
        <v>45678.344634143519</v>
      </c>
      <c r="E230" s="112" t="s">
        <v>74</v>
      </c>
      <c r="F230" s="72">
        <v>11068</v>
      </c>
      <c r="G230" s="69" t="s">
        <v>396</v>
      </c>
      <c r="H230" s="73">
        <v>1</v>
      </c>
      <c r="I230" s="69" t="s">
        <v>123</v>
      </c>
      <c r="J230" s="69" t="s">
        <v>122</v>
      </c>
      <c r="K230" s="69" t="s">
        <v>23</v>
      </c>
      <c r="L230" s="74">
        <v>30814308</v>
      </c>
      <c r="M230" s="75">
        <v>9.9537037037037042E-4</v>
      </c>
      <c r="N230" s="76" t="s">
        <v>79</v>
      </c>
      <c r="O230" s="76" t="s">
        <v>79</v>
      </c>
      <c r="P230" s="76" t="s">
        <v>79</v>
      </c>
      <c r="Q230" s="76" t="s">
        <v>79</v>
      </c>
      <c r="R230" s="76" t="s">
        <v>79</v>
      </c>
      <c r="S230" s="76" t="s">
        <v>79</v>
      </c>
      <c r="T230" s="76" t="s">
        <v>79</v>
      </c>
      <c r="U230" s="76" t="s">
        <v>79</v>
      </c>
      <c r="V230" s="76" t="s">
        <v>79</v>
      </c>
      <c r="W230" s="76" t="s">
        <v>79</v>
      </c>
      <c r="X230" s="76"/>
      <c r="Y230" s="76"/>
      <c r="Z230" s="77">
        <f t="shared" si="2"/>
        <v>10</v>
      </c>
      <c r="AA230" s="78"/>
      <c r="AB230" s="78" t="s">
        <v>1545</v>
      </c>
      <c r="AC230" s="72" t="s">
        <v>47</v>
      </c>
      <c r="AE230" s="79" t="str">
        <f t="shared" si="34"/>
        <v>Jan11068</v>
      </c>
      <c r="AF230" s="80">
        <f>IF(N230="","",IF(N230="SIM",VLOOKUP($I230&amp;$J230&amp;N$1,Pesos!$A:$I,7,FALSE),VLOOKUP($I230&amp;$J230&amp;N$1,Pesos!$A:$I,9,FALSE)))</f>
        <v>1</v>
      </c>
      <c r="AG230" s="80">
        <f>IF(O230="","",IF(O230="SIM",VLOOKUP($I230&amp;$J230&amp;O$1,Pesos!$A:$I,7,FALSE),VLOOKUP($I230&amp;$J230&amp;O$1,Pesos!$A:$I,9,FALSE)))</f>
        <v>1</v>
      </c>
      <c r="AH230" s="80">
        <f>IF(P230="","",IF(P230="SIM",VLOOKUP($I230&amp;$J230&amp;P$1,Pesos!$A:$I,7,FALSE),VLOOKUP($I230&amp;$J230&amp;P$1,Pesos!$A:$I,9,FALSE)))</f>
        <v>1</v>
      </c>
      <c r="AI230" s="80">
        <f>IF(Q230="","",IF(Q230="SIM",VLOOKUP($I230&amp;$J230&amp;Q$1,Pesos!$A:$I,7,FALSE),VLOOKUP($I230&amp;$J230&amp;Q$1,Pesos!$A:$I,9,FALSE)))</f>
        <v>1</v>
      </c>
      <c r="AJ230" s="80">
        <f>IF(R230="","",IF(R230="SIM",VLOOKUP($I230&amp;$J230&amp;R$1,Pesos!$A:$I,7,FALSE),VLOOKUP($I230&amp;$J230&amp;R$1,Pesos!$A:$I,9,FALSE)))</f>
        <v>1</v>
      </c>
      <c r="AK230" s="80">
        <f>IF(S230="","",IF(S230="SIM",VLOOKUP($I230&amp;$J230&amp;S$1,Pesos!$A:$I,7,FALSE),VLOOKUP($I230&amp;$J230&amp;S$1,Pesos!$A:$I,9,FALSE)))</f>
        <v>1</v>
      </c>
      <c r="AL230" s="80">
        <f t="shared" si="35"/>
        <v>6</v>
      </c>
      <c r="AM230" s="80">
        <f>IF(T230="","",IF(T230="SIM",VLOOKUP($I230&amp;$J230&amp;T$1,Pesos!$A:$I,7,FALSE),VLOOKUP($I230&amp;$J230&amp;T$1,Pesos!$A:$I,9,FALSE)))</f>
        <v>1</v>
      </c>
      <c r="AN230" s="80">
        <f>IF(U230="","",IF(U230="SIM",VLOOKUP($I230&amp;$J230&amp;U$1,Pesos!$A:$I,7,FALSE),VLOOKUP($I230&amp;$J230&amp;U$1,Pesos!$A:$I,9,FALSE)))</f>
        <v>1</v>
      </c>
      <c r="AO230" s="80">
        <f>IF(V230="","",IF(V230="SIM",VLOOKUP($I230&amp;$J230&amp;V$1,Pesos!$A:$I,7,FALSE),VLOOKUP($I230&amp;$J230&amp;V$1,Pesos!$A:$I,9,FALSE)))</f>
        <v>1</v>
      </c>
      <c r="AP230" s="80">
        <f>IF(W230="","",IF(W230="SIM",VLOOKUP($I230&amp;$J230&amp;W$1,Pesos!$A:$I,7,FALSE),VLOOKUP($I230&amp;$J230&amp;W$1,Pesos!$A:$I,9,FALSE)))</f>
        <v>1</v>
      </c>
      <c r="AQ230" s="80" t="str">
        <f>IF(X230="","",IF(X230="SIM",VLOOKUP($I230&amp;$J230&amp;X$1,Pesos!$A:$I,7,FALSE),VLOOKUP($I230&amp;$J230&amp;X$1,Pesos!$A:$I,9,FALSE)))</f>
        <v/>
      </c>
      <c r="AR230" s="80" t="str">
        <f>IF(Y230="","",IF(Y230="SIM",VLOOKUP($I230&amp;$J230&amp;Y$1,Pesos!$A:$I,7,FALSE),VLOOKUP($I230&amp;$J230&amp;Y$1,Pesos!$A:$I,9,FALSE)))</f>
        <v/>
      </c>
      <c r="AS230" s="81">
        <f>IFERROR(Z230*VLOOKUP(J230,'BD Campos'!$Y$1:$Z$12,2,FALSE),"0")</f>
        <v>10</v>
      </c>
    </row>
    <row r="231" spans="1:45" x14ac:dyDescent="0.35">
      <c r="A231" s="68" t="str">
        <f t="shared" si="32"/>
        <v>Jan202511091MotoristaDISTRIBUIÇÃO</v>
      </c>
      <c r="B231" s="69" t="str">
        <f t="shared" si="33"/>
        <v>Jan2025110911DISTRIBUIÇÃOPADRÃO</v>
      </c>
      <c r="C231" s="70">
        <v>1</v>
      </c>
      <c r="D231" s="71">
        <v>45678.355443402776</v>
      </c>
      <c r="E231" s="112" t="s">
        <v>74</v>
      </c>
      <c r="F231" s="72">
        <v>11091</v>
      </c>
      <c r="G231" s="69" t="s">
        <v>423</v>
      </c>
      <c r="H231" s="73">
        <v>1</v>
      </c>
      <c r="I231" s="69" t="s">
        <v>123</v>
      </c>
      <c r="J231" s="69" t="s">
        <v>122</v>
      </c>
      <c r="K231" s="69" t="s">
        <v>23</v>
      </c>
      <c r="L231" s="74">
        <v>30933093</v>
      </c>
      <c r="M231" s="75">
        <v>1.2384259259259258E-3</v>
      </c>
      <c r="N231" s="76" t="s">
        <v>79</v>
      </c>
      <c r="O231" s="76" t="s">
        <v>79</v>
      </c>
      <c r="P231" s="76" t="s">
        <v>79</v>
      </c>
      <c r="Q231" s="76" t="s">
        <v>79</v>
      </c>
      <c r="R231" s="76" t="s">
        <v>79</v>
      </c>
      <c r="S231" s="76" t="s">
        <v>79</v>
      </c>
      <c r="T231" s="76" t="s">
        <v>79</v>
      </c>
      <c r="U231" s="76" t="s">
        <v>79</v>
      </c>
      <c r="V231" s="76" t="s">
        <v>79</v>
      </c>
      <c r="W231" s="76" t="s">
        <v>83</v>
      </c>
      <c r="X231" s="76"/>
      <c r="Y231" s="76"/>
      <c r="Z231" s="77">
        <f t="shared" si="2"/>
        <v>8.9499999999999993</v>
      </c>
      <c r="AA231" s="78"/>
      <c r="AB231" s="78" t="s">
        <v>1546</v>
      </c>
      <c r="AC231" s="72" t="s">
        <v>47</v>
      </c>
      <c r="AE231" s="79" t="str">
        <f t="shared" si="34"/>
        <v>Jan11091</v>
      </c>
      <c r="AF231" s="80">
        <f>IF(N231="","",IF(N231="SIM",VLOOKUP($I231&amp;$J231&amp;N$1,Pesos!$A:$I,7,FALSE),VLOOKUP($I231&amp;$J231&amp;N$1,Pesos!$A:$I,9,FALSE)))</f>
        <v>1</v>
      </c>
      <c r="AG231" s="80">
        <f>IF(O231="","",IF(O231="SIM",VLOOKUP($I231&amp;$J231&amp;O$1,Pesos!$A:$I,7,FALSE),VLOOKUP($I231&amp;$J231&amp;O$1,Pesos!$A:$I,9,FALSE)))</f>
        <v>1</v>
      </c>
      <c r="AH231" s="80">
        <f>IF(P231="","",IF(P231="SIM",VLOOKUP($I231&amp;$J231&amp;P$1,Pesos!$A:$I,7,FALSE),VLOOKUP($I231&amp;$J231&amp;P$1,Pesos!$A:$I,9,FALSE)))</f>
        <v>1</v>
      </c>
      <c r="AI231" s="80">
        <f>IF(Q231="","",IF(Q231="SIM",VLOOKUP($I231&amp;$J231&amp;Q$1,Pesos!$A:$I,7,FALSE),VLOOKUP($I231&amp;$J231&amp;Q$1,Pesos!$A:$I,9,FALSE)))</f>
        <v>1</v>
      </c>
      <c r="AJ231" s="80">
        <f>IF(R231="","",IF(R231="SIM",VLOOKUP($I231&amp;$J231&amp;R$1,Pesos!$A:$I,7,FALSE),VLOOKUP($I231&amp;$J231&amp;R$1,Pesos!$A:$I,9,FALSE)))</f>
        <v>1</v>
      </c>
      <c r="AK231" s="80">
        <f>IF(S231="","",IF(S231="SIM",VLOOKUP($I231&amp;$J231&amp;S$1,Pesos!$A:$I,7,FALSE),VLOOKUP($I231&amp;$J231&amp;S$1,Pesos!$A:$I,9,FALSE)))</f>
        <v>1</v>
      </c>
      <c r="AL231" s="80">
        <f t="shared" si="35"/>
        <v>6</v>
      </c>
      <c r="AM231" s="80">
        <f>IF(T231="","",IF(T231="SIM",VLOOKUP($I231&amp;$J231&amp;T$1,Pesos!$A:$I,7,FALSE),VLOOKUP($I231&amp;$J231&amp;T$1,Pesos!$A:$I,9,FALSE)))</f>
        <v>1</v>
      </c>
      <c r="AN231" s="80">
        <f>IF(U231="","",IF(U231="SIM",VLOOKUP($I231&amp;$J231&amp;U$1,Pesos!$A:$I,7,FALSE),VLOOKUP($I231&amp;$J231&amp;U$1,Pesos!$A:$I,9,FALSE)))</f>
        <v>1</v>
      </c>
      <c r="AO231" s="80">
        <f>IF(V231="","",IF(V231="SIM",VLOOKUP($I231&amp;$J231&amp;V$1,Pesos!$A:$I,7,FALSE),VLOOKUP($I231&amp;$J231&amp;V$1,Pesos!$A:$I,9,FALSE)))</f>
        <v>1</v>
      </c>
      <c r="AP231" s="80">
        <f>IF(W231="","",IF(W231="SIM",VLOOKUP($I231&amp;$J231&amp;W$1,Pesos!$A:$I,7,FALSE),VLOOKUP($I231&amp;$J231&amp;W$1,Pesos!$A:$I,9,FALSE)))</f>
        <v>-0.05</v>
      </c>
      <c r="AQ231" s="80" t="str">
        <f>IF(X231="","",IF(X231="SIM",VLOOKUP($I231&amp;$J231&amp;X$1,Pesos!$A:$I,7,FALSE),VLOOKUP($I231&amp;$J231&amp;X$1,Pesos!$A:$I,9,FALSE)))</f>
        <v/>
      </c>
      <c r="AR231" s="80" t="str">
        <f>IF(Y231="","",IF(Y231="SIM",VLOOKUP($I231&amp;$J231&amp;Y$1,Pesos!$A:$I,7,FALSE),VLOOKUP($I231&amp;$J231&amp;Y$1,Pesos!$A:$I,9,FALSE)))</f>
        <v/>
      </c>
      <c r="AS231" s="81">
        <f>IFERROR(Z231*VLOOKUP(J231,'BD Campos'!$Y$1:$Z$12,2,FALSE),"0")</f>
        <v>8.9499999999999993</v>
      </c>
    </row>
    <row r="232" spans="1:45" x14ac:dyDescent="0.35">
      <c r="A232" s="68" t="str">
        <f t="shared" si="32"/>
        <v>Jan202511091ReceptivaDISTRIBUIÇÃO</v>
      </c>
      <c r="B232" s="69" t="str">
        <f t="shared" si="33"/>
        <v>Jan2025110915DISTRIBUIÇÃOPADRÃO</v>
      </c>
      <c r="C232" s="70">
        <v>1</v>
      </c>
      <c r="D232" s="71">
        <v>45678.35811666667</v>
      </c>
      <c r="E232" s="112" t="s">
        <v>74</v>
      </c>
      <c r="F232" s="72">
        <v>11091</v>
      </c>
      <c r="G232" s="69" t="s">
        <v>423</v>
      </c>
      <c r="H232" s="73">
        <v>5</v>
      </c>
      <c r="I232" s="69" t="s">
        <v>6</v>
      </c>
      <c r="J232" s="69" t="s">
        <v>98</v>
      </c>
      <c r="K232" s="69" t="s">
        <v>23</v>
      </c>
      <c r="L232" s="74"/>
      <c r="M232" s="75">
        <v>9.3750000000000007E-4</v>
      </c>
      <c r="N232" s="76" t="s">
        <v>79</v>
      </c>
      <c r="O232" s="76" t="s">
        <v>79</v>
      </c>
      <c r="P232" s="76" t="s">
        <v>79</v>
      </c>
      <c r="Q232" s="76" t="s">
        <v>79</v>
      </c>
      <c r="R232" s="76" t="s">
        <v>79</v>
      </c>
      <c r="S232" s="76" t="s">
        <v>79</v>
      </c>
      <c r="T232" s="76" t="s">
        <v>79</v>
      </c>
      <c r="U232" s="76" t="s">
        <v>79</v>
      </c>
      <c r="V232" s="76" t="s">
        <v>79</v>
      </c>
      <c r="W232" s="76" t="s">
        <v>79</v>
      </c>
      <c r="X232" s="76" t="s">
        <v>79</v>
      </c>
      <c r="Y232" s="76" t="s">
        <v>79</v>
      </c>
      <c r="Z232" s="77">
        <f t="shared" si="2"/>
        <v>10</v>
      </c>
      <c r="AA232" s="78"/>
      <c r="AB232" s="78"/>
      <c r="AC232" s="72" t="s">
        <v>47</v>
      </c>
      <c r="AE232" s="79" t="str">
        <f t="shared" si="34"/>
        <v>Jan11091</v>
      </c>
      <c r="AF232" s="80">
        <f>IF(N232="","",IF(N232="SIM",VLOOKUP($I232&amp;$J232&amp;N$1,Pesos!$A:$I,7,FALSE),VLOOKUP($I232&amp;$J232&amp;N$1,Pesos!$A:$I,9,FALSE)))</f>
        <v>0.8</v>
      </c>
      <c r="AG232" s="80">
        <f>IF(O232="","",IF(O232="SIM",VLOOKUP($I232&amp;$J232&amp;O$1,Pesos!$A:$I,7,FALSE),VLOOKUP($I232&amp;$J232&amp;O$1,Pesos!$A:$I,9,FALSE)))</f>
        <v>0.8</v>
      </c>
      <c r="AH232" s="80">
        <f>IF(P232="","",IF(P232="SIM",VLOOKUP($I232&amp;$J232&amp;P$1,Pesos!$A:$I,7,FALSE),VLOOKUP($I232&amp;$J232&amp;P$1,Pesos!$A:$I,9,FALSE)))</f>
        <v>1.2</v>
      </c>
      <c r="AI232" s="80">
        <f>IF(Q232="","",IF(Q232="SIM",VLOOKUP($I232&amp;$J232&amp;Q$1,Pesos!$A:$I,7,FALSE),VLOOKUP($I232&amp;$J232&amp;Q$1,Pesos!$A:$I,9,FALSE)))</f>
        <v>0.8</v>
      </c>
      <c r="AJ232" s="80">
        <f>IF(R232="","",IF(R232="SIM",VLOOKUP($I232&amp;$J232&amp;R$1,Pesos!$A:$I,7,FALSE),VLOOKUP($I232&amp;$J232&amp;R$1,Pesos!$A:$I,9,FALSE)))</f>
        <v>0.8</v>
      </c>
      <c r="AK232" s="80">
        <f>IF(S232="","",IF(S232="SIM",VLOOKUP($I232&amp;$J232&amp;S$1,Pesos!$A:$I,7,FALSE),VLOOKUP($I232&amp;$J232&amp;S$1,Pesos!$A:$I,9,FALSE)))</f>
        <v>0.8</v>
      </c>
      <c r="AL232" s="80">
        <f t="shared" si="35"/>
        <v>5.1999999999999993</v>
      </c>
      <c r="AM232" s="80">
        <f>IF(T232="","",IF(T232="SIM",VLOOKUP($I232&amp;$J232&amp;T$1,Pesos!$A:$I,7,FALSE),VLOOKUP($I232&amp;$J232&amp;T$1,Pesos!$A:$I,9,FALSE)))</f>
        <v>0.8</v>
      </c>
      <c r="AN232" s="80">
        <f>IF(U232="","",IF(U232="SIM",VLOOKUP($I232&amp;$J232&amp;U$1,Pesos!$A:$I,7,FALSE),VLOOKUP($I232&amp;$J232&amp;U$1,Pesos!$A:$I,9,FALSE)))</f>
        <v>0.8</v>
      </c>
      <c r="AO232" s="80">
        <f>IF(V232="","",IF(V232="SIM",VLOOKUP($I232&amp;$J232&amp;V$1,Pesos!$A:$I,7,FALSE),VLOOKUP($I232&amp;$J232&amp;V$1,Pesos!$A:$I,9,FALSE)))</f>
        <v>0.8</v>
      </c>
      <c r="AP232" s="80">
        <f>IF(W232="","",IF(W232="SIM",VLOOKUP($I232&amp;$J232&amp;W$1,Pesos!$A:$I,7,FALSE),VLOOKUP($I232&amp;$J232&amp;W$1,Pesos!$A:$I,9,FALSE)))</f>
        <v>0.8</v>
      </c>
      <c r="AQ232" s="80">
        <f>IF(X232="","",IF(X232="SIM",VLOOKUP($I232&amp;$J232&amp;X$1,Pesos!$A:$I,7,FALSE),VLOOKUP($I232&amp;$J232&amp;X$1,Pesos!$A:$I,9,FALSE)))</f>
        <v>0.8</v>
      </c>
      <c r="AR232" s="80">
        <f>IF(Y232="","",IF(Y232="SIM",VLOOKUP($I232&amp;$J232&amp;Y$1,Pesos!$A:$I,7,FALSE),VLOOKUP($I232&amp;$J232&amp;Y$1,Pesos!$A:$I,9,FALSE)))</f>
        <v>0.8</v>
      </c>
      <c r="AS232" s="81">
        <f>IFERROR(Z232*VLOOKUP(J232,'BD Campos'!$Y$1:$Z$12,2,FALSE),"0")</f>
        <v>10</v>
      </c>
    </row>
    <row r="233" spans="1:45" x14ac:dyDescent="0.35">
      <c r="A233" s="68" t="str">
        <f t="shared" si="32"/>
        <v>Jan202511112ReceptivaDISTRIBUIÇÃO</v>
      </c>
      <c r="B233" s="69" t="str">
        <f t="shared" si="33"/>
        <v>Jan2025111125DISTRIBUIÇÃOPADRÃO</v>
      </c>
      <c r="C233" s="70">
        <v>1</v>
      </c>
      <c r="D233" s="71">
        <v>45678.36573229167</v>
      </c>
      <c r="E233" s="112" t="s">
        <v>74</v>
      </c>
      <c r="F233" s="72">
        <v>11112</v>
      </c>
      <c r="G233" s="69" t="s">
        <v>1367</v>
      </c>
      <c r="H233" s="73">
        <v>5</v>
      </c>
      <c r="I233" s="69" t="s">
        <v>6</v>
      </c>
      <c r="J233" s="69" t="s">
        <v>98</v>
      </c>
      <c r="K233" s="69" t="s">
        <v>23</v>
      </c>
      <c r="L233" s="74"/>
      <c r="M233" s="75">
        <v>1.8634259259259261E-3</v>
      </c>
      <c r="N233" s="76" t="s">
        <v>79</v>
      </c>
      <c r="O233" s="76" t="s">
        <v>79</v>
      </c>
      <c r="P233" s="76" t="s">
        <v>79</v>
      </c>
      <c r="Q233" s="76" t="s">
        <v>79</v>
      </c>
      <c r="R233" s="76" t="s">
        <v>79</v>
      </c>
      <c r="S233" s="76" t="s">
        <v>83</v>
      </c>
      <c r="T233" s="76" t="s">
        <v>79</v>
      </c>
      <c r="U233" s="76" t="s">
        <v>79</v>
      </c>
      <c r="V233" s="76" t="s">
        <v>79</v>
      </c>
      <c r="W233" s="76" t="s">
        <v>79</v>
      </c>
      <c r="X233" s="76" t="s">
        <v>79</v>
      </c>
      <c r="Y233" s="76" t="s">
        <v>79</v>
      </c>
      <c r="Z233" s="77">
        <f t="shared" si="2"/>
        <v>9.16</v>
      </c>
      <c r="AA233" s="78"/>
      <c r="AB233" s="78"/>
      <c r="AC233" s="72" t="s">
        <v>47</v>
      </c>
      <c r="AE233" s="79" t="str">
        <f t="shared" si="34"/>
        <v>Jan11112</v>
      </c>
      <c r="AF233" s="80">
        <f>IF(N233="","",IF(N233="SIM",VLOOKUP($I233&amp;$J233&amp;N$1,Pesos!$A:$I,7,FALSE),VLOOKUP($I233&amp;$J233&amp;N$1,Pesos!$A:$I,9,FALSE)))</f>
        <v>0.8</v>
      </c>
      <c r="AG233" s="80">
        <f>IF(O233="","",IF(O233="SIM",VLOOKUP($I233&amp;$J233&amp;O$1,Pesos!$A:$I,7,FALSE),VLOOKUP($I233&amp;$J233&amp;O$1,Pesos!$A:$I,9,FALSE)))</f>
        <v>0.8</v>
      </c>
      <c r="AH233" s="80">
        <f>IF(P233="","",IF(P233="SIM",VLOOKUP($I233&amp;$J233&amp;P$1,Pesos!$A:$I,7,FALSE),VLOOKUP($I233&amp;$J233&amp;P$1,Pesos!$A:$I,9,FALSE)))</f>
        <v>1.2</v>
      </c>
      <c r="AI233" s="80">
        <f>IF(Q233="","",IF(Q233="SIM",VLOOKUP($I233&amp;$J233&amp;Q$1,Pesos!$A:$I,7,FALSE),VLOOKUP($I233&amp;$J233&amp;Q$1,Pesos!$A:$I,9,FALSE)))</f>
        <v>0.8</v>
      </c>
      <c r="AJ233" s="80">
        <f>IF(R233="","",IF(R233="SIM",VLOOKUP($I233&amp;$J233&amp;R$1,Pesos!$A:$I,7,FALSE),VLOOKUP($I233&amp;$J233&amp;R$1,Pesos!$A:$I,9,FALSE)))</f>
        <v>0.8</v>
      </c>
      <c r="AK233" s="80">
        <f>IF(S233="","",IF(S233="SIM",VLOOKUP($I233&amp;$J233&amp;S$1,Pesos!$A:$I,7,FALSE),VLOOKUP($I233&amp;$J233&amp;S$1,Pesos!$A:$I,9,FALSE)))</f>
        <v>-4.0000000000000008E-2</v>
      </c>
      <c r="AL233" s="80">
        <f t="shared" si="35"/>
        <v>4.3599999999999994</v>
      </c>
      <c r="AM233" s="80">
        <f>IF(T233="","",IF(T233="SIM",VLOOKUP($I233&amp;$J233&amp;T$1,Pesos!$A:$I,7,FALSE),VLOOKUP($I233&amp;$J233&amp;T$1,Pesos!$A:$I,9,FALSE)))</f>
        <v>0.8</v>
      </c>
      <c r="AN233" s="80">
        <f>IF(U233="","",IF(U233="SIM",VLOOKUP($I233&amp;$J233&amp;U$1,Pesos!$A:$I,7,FALSE),VLOOKUP($I233&amp;$J233&amp;U$1,Pesos!$A:$I,9,FALSE)))</f>
        <v>0.8</v>
      </c>
      <c r="AO233" s="80">
        <f>IF(V233="","",IF(V233="SIM",VLOOKUP($I233&amp;$J233&amp;V$1,Pesos!$A:$I,7,FALSE),VLOOKUP($I233&amp;$J233&amp;V$1,Pesos!$A:$I,9,FALSE)))</f>
        <v>0.8</v>
      </c>
      <c r="AP233" s="80">
        <f>IF(W233="","",IF(W233="SIM",VLOOKUP($I233&amp;$J233&amp;W$1,Pesos!$A:$I,7,FALSE),VLOOKUP($I233&amp;$J233&amp;W$1,Pesos!$A:$I,9,FALSE)))</f>
        <v>0.8</v>
      </c>
      <c r="AQ233" s="80">
        <f>IF(X233="","",IF(X233="SIM",VLOOKUP($I233&amp;$J233&amp;X$1,Pesos!$A:$I,7,FALSE),VLOOKUP($I233&amp;$J233&amp;X$1,Pesos!$A:$I,9,FALSE)))</f>
        <v>0.8</v>
      </c>
      <c r="AR233" s="80">
        <f>IF(Y233="","",IF(Y233="SIM",VLOOKUP($I233&amp;$J233&amp;Y$1,Pesos!$A:$I,7,FALSE),VLOOKUP($I233&amp;$J233&amp;Y$1,Pesos!$A:$I,9,FALSE)))</f>
        <v>0.8</v>
      </c>
      <c r="AS233" s="81">
        <f>IFERROR(Z233*VLOOKUP(J233,'BD Campos'!$Y$1:$Z$12,2,FALSE),"0")</f>
        <v>9.16</v>
      </c>
    </row>
    <row r="234" spans="1:45" x14ac:dyDescent="0.35">
      <c r="A234" s="68" t="str">
        <f t="shared" si="32"/>
        <v>Jan202511112MotoristaDISTRIBUIÇÃO</v>
      </c>
      <c r="B234" s="69" t="str">
        <f t="shared" si="33"/>
        <v>Jan2025111121DISTRIBUIÇÃOPADRÃO</v>
      </c>
      <c r="C234" s="70">
        <v>1</v>
      </c>
      <c r="D234" s="71">
        <v>45678.368911111109</v>
      </c>
      <c r="E234" s="112" t="s">
        <v>74</v>
      </c>
      <c r="F234" s="72">
        <v>11112</v>
      </c>
      <c r="G234" s="69" t="s">
        <v>1367</v>
      </c>
      <c r="H234" s="73">
        <v>1</v>
      </c>
      <c r="I234" s="69" t="s">
        <v>121</v>
      </c>
      <c r="J234" s="69" t="s">
        <v>122</v>
      </c>
      <c r="K234" s="69" t="s">
        <v>23</v>
      </c>
      <c r="L234" s="74">
        <v>30933280</v>
      </c>
      <c r="M234" s="75">
        <v>9.0277777777777784E-4</v>
      </c>
      <c r="N234" s="76" t="s">
        <v>79</v>
      </c>
      <c r="O234" s="76" t="s">
        <v>79</v>
      </c>
      <c r="P234" s="76" t="s">
        <v>79</v>
      </c>
      <c r="Q234" s="76" t="s">
        <v>79</v>
      </c>
      <c r="R234" s="76" t="s">
        <v>79</v>
      </c>
      <c r="S234" s="76" t="s">
        <v>83</v>
      </c>
      <c r="T234" s="76" t="s">
        <v>79</v>
      </c>
      <c r="U234" s="76" t="s">
        <v>79</v>
      </c>
      <c r="V234" s="76" t="s">
        <v>83</v>
      </c>
      <c r="W234" s="76" t="s">
        <v>83</v>
      </c>
      <c r="X234" s="76" t="s">
        <v>83</v>
      </c>
      <c r="Y234" s="76"/>
      <c r="Z234" s="77">
        <f t="shared" si="2"/>
        <v>6.1412500000000003</v>
      </c>
      <c r="AA234" s="78"/>
      <c r="AB234" s="78" t="s">
        <v>1547</v>
      </c>
      <c r="AC234" s="72" t="s">
        <v>47</v>
      </c>
      <c r="AE234" s="79" t="str">
        <f t="shared" si="34"/>
        <v>Jan11112</v>
      </c>
      <c r="AF234" s="80">
        <f>IF(N234="","",IF(N234="SIM",VLOOKUP($I234&amp;$J234&amp;N$1,Pesos!$A:$I,7,FALSE),VLOOKUP($I234&amp;$J234&amp;N$1,Pesos!$A:$I,9,FALSE)))</f>
        <v>0.89999999999999991</v>
      </c>
      <c r="AG234" s="80">
        <f>IF(O234="","",IF(O234="SIM",VLOOKUP($I234&amp;$J234&amp;O$1,Pesos!$A:$I,7,FALSE),VLOOKUP($I234&amp;$J234&amp;O$1,Pesos!$A:$I,9,FALSE)))</f>
        <v>0.89999999999999991</v>
      </c>
      <c r="AH234" s="80">
        <f>IF(P234="","",IF(P234="SIM",VLOOKUP($I234&amp;$J234&amp;P$1,Pesos!$A:$I,7,FALSE),VLOOKUP($I234&amp;$J234&amp;P$1,Pesos!$A:$I,9,FALSE)))</f>
        <v>0.89999999999999991</v>
      </c>
      <c r="AI234" s="80">
        <f>IF(Q234="","",IF(Q234="SIM",VLOOKUP($I234&amp;$J234&amp;Q$1,Pesos!$A:$I,7,FALSE),VLOOKUP($I234&amp;$J234&amp;Q$1,Pesos!$A:$I,9,FALSE)))</f>
        <v>0.89999999999999991</v>
      </c>
      <c r="AJ234" s="80">
        <f>IF(R234="","",IF(R234="SIM",VLOOKUP($I234&amp;$J234&amp;R$1,Pesos!$A:$I,7,FALSE),VLOOKUP($I234&amp;$J234&amp;R$1,Pesos!$A:$I,9,FALSE)))</f>
        <v>0.89999999999999991</v>
      </c>
      <c r="AK234" s="80">
        <f>IF(S234="","",IF(S234="SIM",VLOOKUP($I234&amp;$J234&amp;S$1,Pesos!$A:$I,7,FALSE),VLOOKUP($I234&amp;$J234&amp;S$1,Pesos!$A:$I,9,FALSE)))</f>
        <v>-4.4999999999999998E-2</v>
      </c>
      <c r="AL234" s="80">
        <f t="shared" si="35"/>
        <v>4.4550000000000001</v>
      </c>
      <c r="AM234" s="80">
        <f>IF(T234="","",IF(T234="SIM",VLOOKUP($I234&amp;$J234&amp;T$1,Pesos!$A:$I,7,FALSE),VLOOKUP($I234&amp;$J234&amp;T$1,Pesos!$A:$I,9,FALSE)))</f>
        <v>0.89999999999999991</v>
      </c>
      <c r="AN234" s="80">
        <f>IF(U234="","",IF(U234="SIM",VLOOKUP($I234&amp;$J234&amp;U$1,Pesos!$A:$I,7,FALSE),VLOOKUP($I234&amp;$J234&amp;U$1,Pesos!$A:$I,9,FALSE)))</f>
        <v>0.92500000000000004</v>
      </c>
      <c r="AO234" s="80">
        <f>IF(V234="","",IF(V234="SIM",VLOOKUP($I234&amp;$J234&amp;V$1,Pesos!$A:$I,7,FALSE),VLOOKUP($I234&amp;$J234&amp;V$1,Pesos!$A:$I,9,FALSE)))</f>
        <v>-4.6250000000000006E-2</v>
      </c>
      <c r="AP234" s="80">
        <f>IF(W234="","",IF(W234="SIM",VLOOKUP($I234&amp;$J234&amp;W$1,Pesos!$A:$I,7,FALSE),VLOOKUP($I234&amp;$J234&amp;W$1,Pesos!$A:$I,9,FALSE)))</f>
        <v>-4.4999999999999998E-2</v>
      </c>
      <c r="AQ234" s="80">
        <f>IF(X234="","",IF(X234="SIM",VLOOKUP($I234&amp;$J234&amp;X$1,Pesos!$A:$I,7,FALSE),VLOOKUP($I234&amp;$J234&amp;X$1,Pesos!$A:$I,9,FALSE)))</f>
        <v>-4.7500000000000001E-2</v>
      </c>
      <c r="AR234" s="80" t="str">
        <f>IF(Y234="","",IF(Y234="SIM",VLOOKUP($I234&amp;$J234&amp;Y$1,Pesos!$A:$I,7,FALSE),VLOOKUP($I234&amp;$J234&amp;Y$1,Pesos!$A:$I,9,FALSE)))</f>
        <v/>
      </c>
      <c r="AS234" s="81">
        <f>IFERROR(Z234*VLOOKUP(J234,'BD Campos'!$Y$1:$Z$12,2,FALSE),"0")</f>
        <v>6.1412500000000003</v>
      </c>
    </row>
    <row r="235" spans="1:45" x14ac:dyDescent="0.35">
      <c r="A235" s="68" t="str">
        <f t="shared" si="32"/>
        <v>Jan202511188MotoristaDISTRIBUIÇÃO</v>
      </c>
      <c r="B235" s="69" t="str">
        <f t="shared" si="33"/>
        <v>Jan2025111881DISTRIBUIÇÃOPADRÃO</v>
      </c>
      <c r="C235" s="70">
        <v>1</v>
      </c>
      <c r="D235" s="71">
        <v>45678.37343576389</v>
      </c>
      <c r="E235" s="112" t="s">
        <v>74</v>
      </c>
      <c r="F235" s="72">
        <v>11188</v>
      </c>
      <c r="G235" s="69" t="s">
        <v>1377</v>
      </c>
      <c r="H235" s="73">
        <v>1</v>
      </c>
      <c r="I235" s="69" t="s">
        <v>126</v>
      </c>
      <c r="J235" s="69" t="s">
        <v>122</v>
      </c>
      <c r="K235" s="69" t="s">
        <v>23</v>
      </c>
      <c r="L235" s="74">
        <v>30933437</v>
      </c>
      <c r="M235" s="75">
        <v>1.6319444444444445E-3</v>
      </c>
      <c r="N235" s="76" t="s">
        <v>79</v>
      </c>
      <c r="O235" s="76" t="s">
        <v>79</v>
      </c>
      <c r="P235" s="76" t="s">
        <v>79</v>
      </c>
      <c r="Q235" s="76" t="s">
        <v>79</v>
      </c>
      <c r="R235" s="76" t="s">
        <v>79</v>
      </c>
      <c r="S235" s="76" t="s">
        <v>79</v>
      </c>
      <c r="T235" s="76" t="s">
        <v>79</v>
      </c>
      <c r="U235" s="76" t="s">
        <v>79</v>
      </c>
      <c r="V235" s="76" t="s">
        <v>79</v>
      </c>
      <c r="W235" s="76" t="s">
        <v>83</v>
      </c>
      <c r="X235" s="76" t="s">
        <v>79</v>
      </c>
      <c r="Y235" s="76" t="s">
        <v>83</v>
      </c>
      <c r="Z235" s="77">
        <f t="shared" si="2"/>
        <v>8.11</v>
      </c>
      <c r="AA235" s="78"/>
      <c r="AB235" s="78" t="s">
        <v>1548</v>
      </c>
      <c r="AC235" s="72" t="s">
        <v>47</v>
      </c>
      <c r="AE235" s="79" t="str">
        <f t="shared" si="34"/>
        <v>Jan11188</v>
      </c>
      <c r="AF235" s="80">
        <f>IF(N235="","",IF(N235="SIM",VLOOKUP($I235&amp;$J235&amp;N$1,Pesos!$A:$I,7,FALSE),VLOOKUP($I235&amp;$J235&amp;N$1,Pesos!$A:$I,9,FALSE)))</f>
        <v>0.8</v>
      </c>
      <c r="AG235" s="80">
        <f>IF(O235="","",IF(O235="SIM",VLOOKUP($I235&amp;$J235&amp;O$1,Pesos!$A:$I,7,FALSE),VLOOKUP($I235&amp;$J235&amp;O$1,Pesos!$A:$I,9,FALSE)))</f>
        <v>0.8</v>
      </c>
      <c r="AH235" s="80">
        <f>IF(P235="","",IF(P235="SIM",VLOOKUP($I235&amp;$J235&amp;P$1,Pesos!$A:$I,7,FALSE),VLOOKUP($I235&amp;$J235&amp;P$1,Pesos!$A:$I,9,FALSE)))</f>
        <v>0.8</v>
      </c>
      <c r="AI235" s="80">
        <f>IF(Q235="","",IF(Q235="SIM",VLOOKUP($I235&amp;$J235&amp;Q$1,Pesos!$A:$I,7,FALSE),VLOOKUP($I235&amp;$J235&amp;Q$1,Pesos!$A:$I,9,FALSE)))</f>
        <v>0.8</v>
      </c>
      <c r="AJ235" s="80">
        <f>IF(R235="","",IF(R235="SIM",VLOOKUP($I235&amp;$J235&amp;R$1,Pesos!$A:$I,7,FALSE),VLOOKUP($I235&amp;$J235&amp;R$1,Pesos!$A:$I,9,FALSE)))</f>
        <v>0.8</v>
      </c>
      <c r="AK235" s="80">
        <f>IF(S235="","",IF(S235="SIM",VLOOKUP($I235&amp;$J235&amp;S$1,Pesos!$A:$I,7,FALSE),VLOOKUP($I235&amp;$J235&amp;S$1,Pesos!$A:$I,9,FALSE)))</f>
        <v>0.8</v>
      </c>
      <c r="AL235" s="80">
        <f t="shared" si="35"/>
        <v>4.8</v>
      </c>
      <c r="AM235" s="80">
        <f>IF(T235="","",IF(T235="SIM",VLOOKUP($I235&amp;$J235&amp;T$1,Pesos!$A:$I,7,FALSE),VLOOKUP($I235&amp;$J235&amp;T$1,Pesos!$A:$I,9,FALSE)))</f>
        <v>0.8</v>
      </c>
      <c r="AN235" s="80">
        <f>IF(U235="","",IF(U235="SIM",VLOOKUP($I235&amp;$J235&amp;U$1,Pesos!$A:$I,7,FALSE),VLOOKUP($I235&amp;$J235&amp;U$1,Pesos!$A:$I,9,FALSE)))</f>
        <v>0.8</v>
      </c>
      <c r="AO235" s="80">
        <f>IF(V235="","",IF(V235="SIM",VLOOKUP($I235&amp;$J235&amp;V$1,Pesos!$A:$I,7,FALSE),VLOOKUP($I235&amp;$J235&amp;V$1,Pesos!$A:$I,9,FALSE)))</f>
        <v>0.8</v>
      </c>
      <c r="AP235" s="80">
        <f>IF(W235="","",IF(W235="SIM",VLOOKUP($I235&amp;$J235&amp;W$1,Pesos!$A:$I,7,FALSE),VLOOKUP($I235&amp;$J235&amp;W$1,Pesos!$A:$I,9,FALSE)))</f>
        <v>-4.0000000000000008E-2</v>
      </c>
      <c r="AQ235" s="80">
        <f>IF(X235="","",IF(X235="SIM",VLOOKUP($I235&amp;$J235&amp;X$1,Pesos!$A:$I,7,FALSE),VLOOKUP($I235&amp;$J235&amp;X$1,Pesos!$A:$I,9,FALSE)))</f>
        <v>1</v>
      </c>
      <c r="AR235" s="80">
        <f>IF(Y235="","",IF(Y235="SIM",VLOOKUP($I235&amp;$J235&amp;Y$1,Pesos!$A:$I,7,FALSE),VLOOKUP($I235&amp;$J235&amp;Y$1,Pesos!$A:$I,9,FALSE)))</f>
        <v>-0.05</v>
      </c>
      <c r="AS235" s="81">
        <f>IFERROR(Z235*VLOOKUP(J235,'BD Campos'!$Y$1:$Z$12,2,FALSE),"0")</f>
        <v>8.11</v>
      </c>
    </row>
    <row r="236" spans="1:45" x14ac:dyDescent="0.35">
      <c r="A236" s="68" t="str">
        <f t="shared" si="32"/>
        <v>Jan202511188MotoristaDISTRIBUIÇÃO</v>
      </c>
      <c r="B236" s="69" t="str">
        <f t="shared" si="33"/>
        <v>Jan2025111885DISTRIBUIÇÃOPADRÃO</v>
      </c>
      <c r="C236" s="70">
        <v>1</v>
      </c>
      <c r="D236" s="71">
        <v>45678.376681597219</v>
      </c>
      <c r="E236" s="112" t="s">
        <v>74</v>
      </c>
      <c r="F236" s="72">
        <v>11188</v>
      </c>
      <c r="G236" s="69" t="s">
        <v>1377</v>
      </c>
      <c r="H236" s="73">
        <v>5</v>
      </c>
      <c r="I236" s="69" t="s">
        <v>6</v>
      </c>
      <c r="J236" s="69" t="s">
        <v>122</v>
      </c>
      <c r="K236" s="69" t="s">
        <v>23</v>
      </c>
      <c r="L236" s="74"/>
      <c r="M236" s="75">
        <v>1.9328703703703704E-3</v>
      </c>
      <c r="N236" s="76"/>
      <c r="O236" s="76"/>
      <c r="P236" s="76"/>
      <c r="Q236" s="76"/>
      <c r="R236" s="76"/>
      <c r="S236" s="76"/>
      <c r="T236" s="76"/>
      <c r="U236" s="76"/>
      <c r="V236" s="76"/>
      <c r="W236" s="76"/>
      <c r="X236" s="76"/>
      <c r="Y236" s="76"/>
      <c r="Z236" s="77">
        <f t="shared" si="2"/>
        <v>0</v>
      </c>
      <c r="AA236" s="78" t="s">
        <v>1549</v>
      </c>
      <c r="AB236" s="78"/>
      <c r="AC236" s="72" t="s">
        <v>47</v>
      </c>
      <c r="AE236" s="79" t="str">
        <f t="shared" si="34"/>
        <v>Jan11188</v>
      </c>
      <c r="AF236" s="80" t="str">
        <f>IF(N236="","",IF(N236="SIM",VLOOKUP($I236&amp;$J236&amp;N$1,Pesos!$A:$I,7,FALSE),VLOOKUP($I236&amp;$J236&amp;N$1,Pesos!$A:$I,9,FALSE)))</f>
        <v/>
      </c>
      <c r="AG236" s="80" t="str">
        <f>IF(O236="","",IF(O236="SIM",VLOOKUP($I236&amp;$J236&amp;O$1,Pesos!$A:$I,7,FALSE),VLOOKUP($I236&amp;$J236&amp;O$1,Pesos!$A:$I,9,FALSE)))</f>
        <v/>
      </c>
      <c r="AH236" s="80" t="str">
        <f>IF(P236="","",IF(P236="SIM",VLOOKUP($I236&amp;$J236&amp;P$1,Pesos!$A:$I,7,FALSE),VLOOKUP($I236&amp;$J236&amp;P$1,Pesos!$A:$I,9,FALSE)))</f>
        <v/>
      </c>
      <c r="AI236" s="80" t="str">
        <f>IF(Q236="","",IF(Q236="SIM",VLOOKUP($I236&amp;$J236&amp;Q$1,Pesos!$A:$I,7,FALSE),VLOOKUP($I236&amp;$J236&amp;Q$1,Pesos!$A:$I,9,FALSE)))</f>
        <v/>
      </c>
      <c r="AJ236" s="80" t="str">
        <f>IF(R236="","",IF(R236="SIM",VLOOKUP($I236&amp;$J236&amp;R$1,Pesos!$A:$I,7,FALSE),VLOOKUP($I236&amp;$J236&amp;R$1,Pesos!$A:$I,9,FALSE)))</f>
        <v/>
      </c>
      <c r="AK236" s="80" t="str">
        <f>IF(S236="","",IF(S236="SIM",VLOOKUP($I236&amp;$J236&amp;S$1,Pesos!$A:$I,7,FALSE),VLOOKUP($I236&amp;$J236&amp;S$1,Pesos!$A:$I,9,FALSE)))</f>
        <v/>
      </c>
      <c r="AL236" s="80">
        <f t="shared" si="35"/>
        <v>0</v>
      </c>
      <c r="AM236" s="80" t="str">
        <f>IF(T236="","",IF(T236="SIM",VLOOKUP($I236&amp;$J236&amp;T$1,Pesos!$A:$I,7,FALSE),VLOOKUP($I236&amp;$J236&amp;T$1,Pesos!$A:$I,9,FALSE)))</f>
        <v/>
      </c>
      <c r="AN236" s="80" t="str">
        <f>IF(U236="","",IF(U236="SIM",VLOOKUP($I236&amp;$J236&amp;U$1,Pesos!$A:$I,7,FALSE),VLOOKUP($I236&amp;$J236&amp;U$1,Pesos!$A:$I,9,FALSE)))</f>
        <v/>
      </c>
      <c r="AO236" s="80" t="str">
        <f>IF(V236="","",IF(V236="SIM",VLOOKUP($I236&amp;$J236&amp;V$1,Pesos!$A:$I,7,FALSE),VLOOKUP($I236&amp;$J236&amp;V$1,Pesos!$A:$I,9,FALSE)))</f>
        <v/>
      </c>
      <c r="AP236" s="80" t="str">
        <f>IF(W236="","",IF(W236="SIM",VLOOKUP($I236&amp;$J236&amp;W$1,Pesos!$A:$I,7,FALSE),VLOOKUP($I236&amp;$J236&amp;W$1,Pesos!$A:$I,9,FALSE)))</f>
        <v/>
      </c>
      <c r="AQ236" s="80" t="str">
        <f>IF(X236="","",IF(X236="SIM",VLOOKUP($I236&amp;$J236&amp;X$1,Pesos!$A:$I,7,FALSE),VLOOKUP($I236&amp;$J236&amp;X$1,Pesos!$A:$I,9,FALSE)))</f>
        <v/>
      </c>
      <c r="AR236" s="80" t="str">
        <f>IF(Y236="","",IF(Y236="SIM",VLOOKUP($I236&amp;$J236&amp;Y$1,Pesos!$A:$I,7,FALSE),VLOOKUP($I236&amp;$J236&amp;Y$1,Pesos!$A:$I,9,FALSE)))</f>
        <v/>
      </c>
      <c r="AS236" s="81">
        <f>IFERROR(Z236*VLOOKUP(J236,'BD Campos'!$Y$1:$Z$12,2,FALSE),"0")</f>
        <v>0</v>
      </c>
    </row>
    <row r="237" spans="1:45" x14ac:dyDescent="0.35">
      <c r="A237" s="68" t="str">
        <f t="shared" si="32"/>
        <v>Jan202511169ReceptivaDISTRIBUIÇÃO</v>
      </c>
      <c r="B237" s="69" t="str">
        <f t="shared" si="33"/>
        <v>Jan2025111695DISTRIBUIÇÃOPADRÃO</v>
      </c>
      <c r="C237" s="70">
        <v>1</v>
      </c>
      <c r="D237" s="71">
        <v>45678.395756481485</v>
      </c>
      <c r="E237" s="112" t="s">
        <v>74</v>
      </c>
      <c r="F237" s="72">
        <v>11169</v>
      </c>
      <c r="G237" s="69" t="s">
        <v>1366</v>
      </c>
      <c r="H237" s="73">
        <v>5</v>
      </c>
      <c r="I237" s="69" t="s">
        <v>6</v>
      </c>
      <c r="J237" s="69" t="s">
        <v>98</v>
      </c>
      <c r="K237" s="69" t="s">
        <v>23</v>
      </c>
      <c r="L237" s="74"/>
      <c r="M237" s="75">
        <v>1.5162037037037036E-3</v>
      </c>
      <c r="N237" s="76" t="s">
        <v>79</v>
      </c>
      <c r="O237" s="76" t="s">
        <v>79</v>
      </c>
      <c r="P237" s="76" t="s">
        <v>79</v>
      </c>
      <c r="Q237" s="76" t="s">
        <v>79</v>
      </c>
      <c r="R237" s="76" t="s">
        <v>79</v>
      </c>
      <c r="S237" s="76" t="s">
        <v>79</v>
      </c>
      <c r="T237" s="76" t="s">
        <v>79</v>
      </c>
      <c r="U237" s="76" t="s">
        <v>79</v>
      </c>
      <c r="V237" s="76" t="s">
        <v>79</v>
      </c>
      <c r="W237" s="76" t="s">
        <v>79</v>
      </c>
      <c r="X237" s="76" t="s">
        <v>79</v>
      </c>
      <c r="Y237" s="76" t="s">
        <v>79</v>
      </c>
      <c r="Z237" s="77">
        <f t="shared" si="2"/>
        <v>10</v>
      </c>
      <c r="AA237" s="78"/>
      <c r="AB237" s="78"/>
      <c r="AC237" s="72" t="s">
        <v>47</v>
      </c>
      <c r="AE237" s="79" t="str">
        <f t="shared" si="34"/>
        <v>Jan11169</v>
      </c>
      <c r="AF237" s="80">
        <f>IF(N237="","",IF(N237="SIM",VLOOKUP($I237&amp;$J237&amp;N$1,Pesos!$A:$I,7,FALSE),VLOOKUP($I237&amp;$J237&amp;N$1,Pesos!$A:$I,9,FALSE)))</f>
        <v>0.8</v>
      </c>
      <c r="AG237" s="80">
        <f>IF(O237="","",IF(O237="SIM",VLOOKUP($I237&amp;$J237&amp;O$1,Pesos!$A:$I,7,FALSE),VLOOKUP($I237&amp;$J237&amp;O$1,Pesos!$A:$I,9,FALSE)))</f>
        <v>0.8</v>
      </c>
      <c r="AH237" s="80">
        <f>IF(P237="","",IF(P237="SIM",VLOOKUP($I237&amp;$J237&amp;P$1,Pesos!$A:$I,7,FALSE),VLOOKUP($I237&amp;$J237&amp;P$1,Pesos!$A:$I,9,FALSE)))</f>
        <v>1.2</v>
      </c>
      <c r="AI237" s="80">
        <f>IF(Q237="","",IF(Q237="SIM",VLOOKUP($I237&amp;$J237&amp;Q$1,Pesos!$A:$I,7,FALSE),VLOOKUP($I237&amp;$J237&amp;Q$1,Pesos!$A:$I,9,FALSE)))</f>
        <v>0.8</v>
      </c>
      <c r="AJ237" s="80">
        <f>IF(R237="","",IF(R237="SIM",VLOOKUP($I237&amp;$J237&amp;R$1,Pesos!$A:$I,7,FALSE),VLOOKUP($I237&amp;$J237&amp;R$1,Pesos!$A:$I,9,FALSE)))</f>
        <v>0.8</v>
      </c>
      <c r="AK237" s="80">
        <f>IF(S237="","",IF(S237="SIM",VLOOKUP($I237&amp;$J237&amp;S$1,Pesos!$A:$I,7,FALSE),VLOOKUP($I237&amp;$J237&amp;S$1,Pesos!$A:$I,9,FALSE)))</f>
        <v>0.8</v>
      </c>
      <c r="AL237" s="80">
        <f t="shared" si="35"/>
        <v>5.1999999999999993</v>
      </c>
      <c r="AM237" s="80">
        <f>IF(T237="","",IF(T237="SIM",VLOOKUP($I237&amp;$J237&amp;T$1,Pesos!$A:$I,7,FALSE),VLOOKUP($I237&amp;$J237&amp;T$1,Pesos!$A:$I,9,FALSE)))</f>
        <v>0.8</v>
      </c>
      <c r="AN237" s="80">
        <f>IF(U237="","",IF(U237="SIM",VLOOKUP($I237&amp;$J237&amp;U$1,Pesos!$A:$I,7,FALSE),VLOOKUP($I237&amp;$J237&amp;U$1,Pesos!$A:$I,9,FALSE)))</f>
        <v>0.8</v>
      </c>
      <c r="AO237" s="80">
        <f>IF(V237="","",IF(V237="SIM",VLOOKUP($I237&amp;$J237&amp;V$1,Pesos!$A:$I,7,FALSE),VLOOKUP($I237&amp;$J237&amp;V$1,Pesos!$A:$I,9,FALSE)))</f>
        <v>0.8</v>
      </c>
      <c r="AP237" s="80">
        <f>IF(W237="","",IF(W237="SIM",VLOOKUP($I237&amp;$J237&amp;W$1,Pesos!$A:$I,7,FALSE),VLOOKUP($I237&amp;$J237&amp;W$1,Pesos!$A:$I,9,FALSE)))</f>
        <v>0.8</v>
      </c>
      <c r="AQ237" s="80">
        <f>IF(X237="","",IF(X237="SIM",VLOOKUP($I237&amp;$J237&amp;X$1,Pesos!$A:$I,7,FALSE),VLOOKUP($I237&amp;$J237&amp;X$1,Pesos!$A:$I,9,FALSE)))</f>
        <v>0.8</v>
      </c>
      <c r="AR237" s="80">
        <f>IF(Y237="","",IF(Y237="SIM",VLOOKUP($I237&amp;$J237&amp;Y$1,Pesos!$A:$I,7,FALSE),VLOOKUP($I237&amp;$J237&amp;Y$1,Pesos!$A:$I,9,FALSE)))</f>
        <v>0.8</v>
      </c>
      <c r="AS237" s="81">
        <f>IFERROR(Z237*VLOOKUP(J237,'BD Campos'!$Y$1:$Z$12,2,FALSE),"0")</f>
        <v>10</v>
      </c>
    </row>
    <row r="238" spans="1:45" x14ac:dyDescent="0.35">
      <c r="A238" s="68" t="str">
        <f t="shared" si="32"/>
        <v>Jan202511169MotoristaDISTRIBUIÇÃO</v>
      </c>
      <c r="B238" s="69" t="str">
        <f t="shared" si="33"/>
        <v>Jan2025111691DISTRIBUIÇÃOPADRÃO</v>
      </c>
      <c r="C238" s="70">
        <v>1</v>
      </c>
      <c r="D238" s="71">
        <v>45678.398443287035</v>
      </c>
      <c r="E238" s="112" t="s">
        <v>74</v>
      </c>
      <c r="F238" s="72">
        <v>11169</v>
      </c>
      <c r="G238" s="69" t="s">
        <v>1366</v>
      </c>
      <c r="H238" s="73">
        <v>1</v>
      </c>
      <c r="I238" s="69" t="s">
        <v>123</v>
      </c>
      <c r="J238" s="69" t="s">
        <v>122</v>
      </c>
      <c r="K238" s="69" t="s">
        <v>23</v>
      </c>
      <c r="L238" s="74">
        <v>30878641</v>
      </c>
      <c r="M238" s="75">
        <v>1.2384259259259258E-3</v>
      </c>
      <c r="N238" s="76" t="s">
        <v>79</v>
      </c>
      <c r="O238" s="76" t="s">
        <v>79</v>
      </c>
      <c r="P238" s="76" t="s">
        <v>79</v>
      </c>
      <c r="Q238" s="76" t="s">
        <v>79</v>
      </c>
      <c r="R238" s="76" t="s">
        <v>79</v>
      </c>
      <c r="S238" s="76" t="s">
        <v>79</v>
      </c>
      <c r="T238" s="76" t="s">
        <v>79</v>
      </c>
      <c r="U238" s="76" t="s">
        <v>79</v>
      </c>
      <c r="V238" s="76" t="s">
        <v>83</v>
      </c>
      <c r="W238" s="76" t="s">
        <v>79</v>
      </c>
      <c r="X238" s="76"/>
      <c r="Y238" s="76"/>
      <c r="Z238" s="77">
        <f t="shared" si="2"/>
        <v>8.9499999999999993</v>
      </c>
      <c r="AA238" s="78"/>
      <c r="AB238" s="78" t="s">
        <v>1550</v>
      </c>
      <c r="AC238" s="72" t="s">
        <v>47</v>
      </c>
      <c r="AE238" s="79" t="str">
        <f t="shared" si="34"/>
        <v>Jan11169</v>
      </c>
      <c r="AF238" s="80">
        <f>IF(N238="","",IF(N238="SIM",VLOOKUP($I238&amp;$J238&amp;N$1,Pesos!$A:$I,7,FALSE),VLOOKUP($I238&amp;$J238&amp;N$1,Pesos!$A:$I,9,FALSE)))</f>
        <v>1</v>
      </c>
      <c r="AG238" s="80">
        <f>IF(O238="","",IF(O238="SIM",VLOOKUP($I238&amp;$J238&amp;O$1,Pesos!$A:$I,7,FALSE),VLOOKUP($I238&amp;$J238&amp;O$1,Pesos!$A:$I,9,FALSE)))</f>
        <v>1</v>
      </c>
      <c r="AH238" s="80">
        <f>IF(P238="","",IF(P238="SIM",VLOOKUP($I238&amp;$J238&amp;P$1,Pesos!$A:$I,7,FALSE),VLOOKUP($I238&amp;$J238&amp;P$1,Pesos!$A:$I,9,FALSE)))</f>
        <v>1</v>
      </c>
      <c r="AI238" s="80">
        <f>IF(Q238="","",IF(Q238="SIM",VLOOKUP($I238&amp;$J238&amp;Q$1,Pesos!$A:$I,7,FALSE),VLOOKUP($I238&amp;$J238&amp;Q$1,Pesos!$A:$I,9,FALSE)))</f>
        <v>1</v>
      </c>
      <c r="AJ238" s="80">
        <f>IF(R238="","",IF(R238="SIM",VLOOKUP($I238&amp;$J238&amp;R$1,Pesos!$A:$I,7,FALSE),VLOOKUP($I238&amp;$J238&amp;R$1,Pesos!$A:$I,9,FALSE)))</f>
        <v>1</v>
      </c>
      <c r="AK238" s="80">
        <f>IF(S238="","",IF(S238="SIM",VLOOKUP($I238&amp;$J238&amp;S$1,Pesos!$A:$I,7,FALSE),VLOOKUP($I238&amp;$J238&amp;S$1,Pesos!$A:$I,9,FALSE)))</f>
        <v>1</v>
      </c>
      <c r="AL238" s="80">
        <f t="shared" si="35"/>
        <v>6</v>
      </c>
      <c r="AM238" s="80">
        <f>IF(T238="","",IF(T238="SIM",VLOOKUP($I238&amp;$J238&amp;T$1,Pesos!$A:$I,7,FALSE),VLOOKUP($I238&amp;$J238&amp;T$1,Pesos!$A:$I,9,FALSE)))</f>
        <v>1</v>
      </c>
      <c r="AN238" s="80">
        <f>IF(U238="","",IF(U238="SIM",VLOOKUP($I238&amp;$J238&amp;U$1,Pesos!$A:$I,7,FALSE),VLOOKUP($I238&amp;$J238&amp;U$1,Pesos!$A:$I,9,FALSE)))</f>
        <v>1</v>
      </c>
      <c r="AO238" s="80">
        <f>IF(V238="","",IF(V238="SIM",VLOOKUP($I238&amp;$J238&amp;V$1,Pesos!$A:$I,7,FALSE),VLOOKUP($I238&amp;$J238&amp;V$1,Pesos!$A:$I,9,FALSE)))</f>
        <v>-0.05</v>
      </c>
      <c r="AP238" s="80">
        <f>IF(W238="","",IF(W238="SIM",VLOOKUP($I238&amp;$J238&amp;W$1,Pesos!$A:$I,7,FALSE),VLOOKUP($I238&amp;$J238&amp;W$1,Pesos!$A:$I,9,FALSE)))</f>
        <v>1</v>
      </c>
      <c r="AQ238" s="80" t="str">
        <f>IF(X238="","",IF(X238="SIM",VLOOKUP($I238&amp;$J238&amp;X$1,Pesos!$A:$I,7,FALSE),VLOOKUP($I238&amp;$J238&amp;X$1,Pesos!$A:$I,9,FALSE)))</f>
        <v/>
      </c>
      <c r="AR238" s="80" t="str">
        <f>IF(Y238="","",IF(Y238="SIM",VLOOKUP($I238&amp;$J238&amp;Y$1,Pesos!$A:$I,7,FALSE),VLOOKUP($I238&amp;$J238&amp;Y$1,Pesos!$A:$I,9,FALSE)))</f>
        <v/>
      </c>
      <c r="AS238" s="81">
        <f>IFERROR(Z238*VLOOKUP(J238,'BD Campos'!$Y$1:$Z$12,2,FALSE),"0")</f>
        <v>8.9499999999999993</v>
      </c>
    </row>
    <row r="239" spans="1:45" x14ac:dyDescent="0.35">
      <c r="A239" s="68" t="str">
        <f t="shared" si="32"/>
        <v>Jan202511202MotoristaDISTRIBUIÇÃO</v>
      </c>
      <c r="B239" s="69" t="str">
        <f t="shared" si="33"/>
        <v>Jan2025112021DISTRIBUIÇÃOPADRÃO</v>
      </c>
      <c r="C239" s="70">
        <v>1</v>
      </c>
      <c r="D239" s="71">
        <v>45678.401337731484</v>
      </c>
      <c r="E239" s="112" t="s">
        <v>74</v>
      </c>
      <c r="F239" s="72">
        <v>11202</v>
      </c>
      <c r="G239" s="69" t="s">
        <v>1378</v>
      </c>
      <c r="H239" s="73">
        <v>1</v>
      </c>
      <c r="I239" s="69" t="s">
        <v>121</v>
      </c>
      <c r="J239" s="69" t="s">
        <v>122</v>
      </c>
      <c r="K239" s="69" t="s">
        <v>23</v>
      </c>
      <c r="L239" s="74">
        <v>30924359</v>
      </c>
      <c r="M239" s="75">
        <v>1.423611111111111E-3</v>
      </c>
      <c r="N239" s="76"/>
      <c r="O239" s="76"/>
      <c r="P239" s="76"/>
      <c r="Q239" s="76"/>
      <c r="R239" s="76"/>
      <c r="S239" s="76"/>
      <c r="T239" s="76"/>
      <c r="U239" s="76"/>
      <c r="V239" s="76"/>
      <c r="W239" s="76"/>
      <c r="X239" s="76"/>
      <c r="Y239" s="76"/>
      <c r="Z239" s="77">
        <f t="shared" si="2"/>
        <v>0</v>
      </c>
      <c r="AA239" s="78" t="s">
        <v>1552</v>
      </c>
      <c r="AB239" s="78" t="s">
        <v>1551</v>
      </c>
      <c r="AC239" s="72" t="s">
        <v>47</v>
      </c>
      <c r="AE239" s="79" t="str">
        <f t="shared" si="34"/>
        <v>Jan11202</v>
      </c>
      <c r="AF239" s="80" t="str">
        <f>IF(N239="","",IF(N239="SIM",VLOOKUP($I239&amp;$J239&amp;N$1,Pesos!$A:$I,7,FALSE),VLOOKUP($I239&amp;$J239&amp;N$1,Pesos!$A:$I,9,FALSE)))</f>
        <v/>
      </c>
      <c r="AG239" s="80" t="str">
        <f>IF(O239="","",IF(O239="SIM",VLOOKUP($I239&amp;$J239&amp;O$1,Pesos!$A:$I,7,FALSE),VLOOKUP($I239&amp;$J239&amp;O$1,Pesos!$A:$I,9,FALSE)))</f>
        <v/>
      </c>
      <c r="AH239" s="80" t="str">
        <f>IF(P239="","",IF(P239="SIM",VLOOKUP($I239&amp;$J239&amp;P$1,Pesos!$A:$I,7,FALSE),VLOOKUP($I239&amp;$J239&amp;P$1,Pesos!$A:$I,9,FALSE)))</f>
        <v/>
      </c>
      <c r="AI239" s="80" t="str">
        <f>IF(Q239="","",IF(Q239="SIM",VLOOKUP($I239&amp;$J239&amp;Q$1,Pesos!$A:$I,7,FALSE),VLOOKUP($I239&amp;$J239&amp;Q$1,Pesos!$A:$I,9,FALSE)))</f>
        <v/>
      </c>
      <c r="AJ239" s="80" t="str">
        <f>IF(R239="","",IF(R239="SIM",VLOOKUP($I239&amp;$J239&amp;R$1,Pesos!$A:$I,7,FALSE),VLOOKUP($I239&amp;$J239&amp;R$1,Pesos!$A:$I,9,FALSE)))</f>
        <v/>
      </c>
      <c r="AK239" s="80" t="str">
        <f>IF(S239="","",IF(S239="SIM",VLOOKUP($I239&amp;$J239&amp;S$1,Pesos!$A:$I,7,FALSE),VLOOKUP($I239&amp;$J239&amp;S$1,Pesos!$A:$I,9,FALSE)))</f>
        <v/>
      </c>
      <c r="AL239" s="80">
        <f t="shared" si="35"/>
        <v>0</v>
      </c>
      <c r="AM239" s="80" t="str">
        <f>IF(T239="","",IF(T239="SIM",VLOOKUP($I239&amp;$J239&amp;T$1,Pesos!$A:$I,7,FALSE),VLOOKUP($I239&amp;$J239&amp;T$1,Pesos!$A:$I,9,FALSE)))</f>
        <v/>
      </c>
      <c r="AN239" s="80" t="str">
        <f>IF(U239="","",IF(U239="SIM",VLOOKUP($I239&amp;$J239&amp;U$1,Pesos!$A:$I,7,FALSE),VLOOKUP($I239&amp;$J239&amp;U$1,Pesos!$A:$I,9,FALSE)))</f>
        <v/>
      </c>
      <c r="AO239" s="80" t="str">
        <f>IF(V239="","",IF(V239="SIM",VLOOKUP($I239&amp;$J239&amp;V$1,Pesos!$A:$I,7,FALSE),VLOOKUP($I239&amp;$J239&amp;V$1,Pesos!$A:$I,9,FALSE)))</f>
        <v/>
      </c>
      <c r="AP239" s="80" t="str">
        <f>IF(W239="","",IF(W239="SIM",VLOOKUP($I239&amp;$J239&amp;W$1,Pesos!$A:$I,7,FALSE),VLOOKUP($I239&amp;$J239&amp;W$1,Pesos!$A:$I,9,FALSE)))</f>
        <v/>
      </c>
      <c r="AQ239" s="80" t="str">
        <f>IF(X239="","",IF(X239="SIM",VLOOKUP($I239&amp;$J239&amp;X$1,Pesos!$A:$I,7,FALSE),VLOOKUP($I239&amp;$J239&amp;X$1,Pesos!$A:$I,9,FALSE)))</f>
        <v/>
      </c>
      <c r="AR239" s="80" t="str">
        <f>IF(Y239="","",IF(Y239="SIM",VLOOKUP($I239&amp;$J239&amp;Y$1,Pesos!$A:$I,7,FALSE),VLOOKUP($I239&amp;$J239&amp;Y$1,Pesos!$A:$I,9,FALSE)))</f>
        <v/>
      </c>
      <c r="AS239" s="81">
        <f>IFERROR(Z239*VLOOKUP(J239,'BD Campos'!$Y$1:$Z$12,2,FALSE),"0")</f>
        <v>0</v>
      </c>
    </row>
    <row r="240" spans="1:45" x14ac:dyDescent="0.35">
      <c r="A240" s="68" t="str">
        <f t="shared" si="32"/>
        <v>Jan202511202ReceptivaDISTRIBUIÇÃO</v>
      </c>
      <c r="B240" s="69" t="str">
        <f t="shared" si="33"/>
        <v>Jan2025112025DISTRIBUIÇÃOPADRÃO</v>
      </c>
      <c r="C240" s="70">
        <v>1</v>
      </c>
      <c r="D240" s="71">
        <v>45678.404006365738</v>
      </c>
      <c r="E240" s="112" t="s">
        <v>74</v>
      </c>
      <c r="F240" s="72">
        <v>11202</v>
      </c>
      <c r="G240" s="69" t="s">
        <v>1378</v>
      </c>
      <c r="H240" s="73">
        <v>5</v>
      </c>
      <c r="I240" s="69" t="s">
        <v>6</v>
      </c>
      <c r="J240" s="69" t="s">
        <v>98</v>
      </c>
      <c r="K240" s="69" t="s">
        <v>23</v>
      </c>
      <c r="L240" s="74"/>
      <c r="M240" s="75">
        <v>1.6435185185185183E-3</v>
      </c>
      <c r="N240" s="76" t="s">
        <v>79</v>
      </c>
      <c r="O240" s="76" t="s">
        <v>79</v>
      </c>
      <c r="P240" s="76" t="s">
        <v>79</v>
      </c>
      <c r="Q240" s="76" t="s">
        <v>79</v>
      </c>
      <c r="R240" s="76" t="s">
        <v>79</v>
      </c>
      <c r="S240" s="76" t="s">
        <v>79</v>
      </c>
      <c r="T240" s="76" t="s">
        <v>79</v>
      </c>
      <c r="U240" s="76" t="s">
        <v>79</v>
      </c>
      <c r="V240" s="76" t="s">
        <v>79</v>
      </c>
      <c r="W240" s="76" t="s">
        <v>83</v>
      </c>
      <c r="X240" s="76" t="s">
        <v>79</v>
      </c>
      <c r="Y240" s="76" t="s">
        <v>79</v>
      </c>
      <c r="Z240" s="77">
        <f t="shared" si="2"/>
        <v>9.16</v>
      </c>
      <c r="AA240" s="78"/>
      <c r="AB240" s="78"/>
      <c r="AC240" s="72" t="s">
        <v>47</v>
      </c>
      <c r="AE240" s="79" t="str">
        <f t="shared" si="34"/>
        <v>Jan11202</v>
      </c>
      <c r="AF240" s="80">
        <f>IF(N240="","",IF(N240="SIM",VLOOKUP($I240&amp;$J240&amp;N$1,Pesos!$A:$I,7,FALSE),VLOOKUP($I240&amp;$J240&amp;N$1,Pesos!$A:$I,9,FALSE)))</f>
        <v>0.8</v>
      </c>
      <c r="AG240" s="80">
        <f>IF(O240="","",IF(O240="SIM",VLOOKUP($I240&amp;$J240&amp;O$1,Pesos!$A:$I,7,FALSE),VLOOKUP($I240&amp;$J240&amp;O$1,Pesos!$A:$I,9,FALSE)))</f>
        <v>0.8</v>
      </c>
      <c r="AH240" s="80">
        <f>IF(P240="","",IF(P240="SIM",VLOOKUP($I240&amp;$J240&amp;P$1,Pesos!$A:$I,7,FALSE),VLOOKUP($I240&amp;$J240&amp;P$1,Pesos!$A:$I,9,FALSE)))</f>
        <v>1.2</v>
      </c>
      <c r="AI240" s="80">
        <f>IF(Q240="","",IF(Q240="SIM",VLOOKUP($I240&amp;$J240&amp;Q$1,Pesos!$A:$I,7,FALSE),VLOOKUP($I240&amp;$J240&amp;Q$1,Pesos!$A:$I,9,FALSE)))</f>
        <v>0.8</v>
      </c>
      <c r="AJ240" s="80">
        <f>IF(R240="","",IF(R240="SIM",VLOOKUP($I240&amp;$J240&amp;R$1,Pesos!$A:$I,7,FALSE),VLOOKUP($I240&amp;$J240&amp;R$1,Pesos!$A:$I,9,FALSE)))</f>
        <v>0.8</v>
      </c>
      <c r="AK240" s="80">
        <f>IF(S240="","",IF(S240="SIM",VLOOKUP($I240&amp;$J240&amp;S$1,Pesos!$A:$I,7,FALSE),VLOOKUP($I240&amp;$J240&amp;S$1,Pesos!$A:$I,9,FALSE)))</f>
        <v>0.8</v>
      </c>
      <c r="AL240" s="80">
        <f t="shared" si="35"/>
        <v>5.1999999999999993</v>
      </c>
      <c r="AM240" s="80">
        <f>IF(T240="","",IF(T240="SIM",VLOOKUP($I240&amp;$J240&amp;T$1,Pesos!$A:$I,7,FALSE),VLOOKUP($I240&amp;$J240&amp;T$1,Pesos!$A:$I,9,FALSE)))</f>
        <v>0.8</v>
      </c>
      <c r="AN240" s="80">
        <f>IF(U240="","",IF(U240="SIM",VLOOKUP($I240&amp;$J240&amp;U$1,Pesos!$A:$I,7,FALSE),VLOOKUP($I240&amp;$J240&amp;U$1,Pesos!$A:$I,9,FALSE)))</f>
        <v>0.8</v>
      </c>
      <c r="AO240" s="80">
        <f>IF(V240="","",IF(V240="SIM",VLOOKUP($I240&amp;$J240&amp;V$1,Pesos!$A:$I,7,FALSE),VLOOKUP($I240&amp;$J240&amp;V$1,Pesos!$A:$I,9,FALSE)))</f>
        <v>0.8</v>
      </c>
      <c r="AP240" s="80">
        <f>IF(W240="","",IF(W240="SIM",VLOOKUP($I240&amp;$J240&amp;W$1,Pesos!$A:$I,7,FALSE),VLOOKUP($I240&amp;$J240&amp;W$1,Pesos!$A:$I,9,FALSE)))</f>
        <v>-4.0000000000000008E-2</v>
      </c>
      <c r="AQ240" s="80">
        <f>IF(X240="","",IF(X240="SIM",VLOOKUP($I240&amp;$J240&amp;X$1,Pesos!$A:$I,7,FALSE),VLOOKUP($I240&amp;$J240&amp;X$1,Pesos!$A:$I,9,FALSE)))</f>
        <v>0.8</v>
      </c>
      <c r="AR240" s="80">
        <f>IF(Y240="","",IF(Y240="SIM",VLOOKUP($I240&amp;$J240&amp;Y$1,Pesos!$A:$I,7,FALSE),VLOOKUP($I240&amp;$J240&amp;Y$1,Pesos!$A:$I,9,FALSE)))</f>
        <v>0.8</v>
      </c>
      <c r="AS240" s="81">
        <f>IFERROR(Z240*VLOOKUP(J240,'BD Campos'!$Y$1:$Z$12,2,FALSE),"0")</f>
        <v>9.16</v>
      </c>
    </row>
    <row r="241" spans="1:45" x14ac:dyDescent="0.35">
      <c r="A241" s="68" t="str">
        <f t="shared" si="32"/>
        <v>Jan202511203ReceptivaDISTRIBUIÇÃO</v>
      </c>
      <c r="B241" s="69" t="str">
        <f t="shared" si="33"/>
        <v>Jan2025112035DISTRIBUIÇÃOPADRÃO</v>
      </c>
      <c r="C241" s="70">
        <v>1</v>
      </c>
      <c r="D241" s="71">
        <v>45678.406289120372</v>
      </c>
      <c r="E241" s="112" t="s">
        <v>74</v>
      </c>
      <c r="F241" s="72">
        <v>11203</v>
      </c>
      <c r="G241" s="69" t="s">
        <v>1379</v>
      </c>
      <c r="H241" s="73">
        <v>5</v>
      </c>
      <c r="I241" s="69" t="s">
        <v>6</v>
      </c>
      <c r="J241" s="69" t="s">
        <v>98</v>
      </c>
      <c r="K241" s="69" t="s">
        <v>23</v>
      </c>
      <c r="L241" s="74"/>
      <c r="M241" s="75">
        <v>1.5046296296296294E-3</v>
      </c>
      <c r="N241" s="76" t="s">
        <v>83</v>
      </c>
      <c r="O241" s="76" t="s">
        <v>79</v>
      </c>
      <c r="P241" s="76" t="s">
        <v>79</v>
      </c>
      <c r="Q241" s="76" t="s">
        <v>79</v>
      </c>
      <c r="R241" s="76" t="s">
        <v>79</v>
      </c>
      <c r="S241" s="76" t="s">
        <v>79</v>
      </c>
      <c r="T241" s="76" t="s">
        <v>79</v>
      </c>
      <c r="U241" s="76" t="s">
        <v>79</v>
      </c>
      <c r="V241" s="76" t="s">
        <v>79</v>
      </c>
      <c r="W241" s="76" t="s">
        <v>79</v>
      </c>
      <c r="X241" s="76" t="s">
        <v>79</v>
      </c>
      <c r="Y241" s="76" t="s">
        <v>79</v>
      </c>
      <c r="Z241" s="77">
        <f t="shared" si="2"/>
        <v>9.16</v>
      </c>
      <c r="AA241" s="78"/>
      <c r="AB241" s="78"/>
      <c r="AC241" s="72" t="s">
        <v>47</v>
      </c>
      <c r="AE241" s="79" t="str">
        <f t="shared" si="34"/>
        <v>Jan11203</v>
      </c>
      <c r="AF241" s="80">
        <f>IF(N241="","",IF(N241="SIM",VLOOKUP($I241&amp;$J241&amp;N$1,Pesos!$A:$I,7,FALSE),VLOOKUP($I241&amp;$J241&amp;N$1,Pesos!$A:$I,9,FALSE)))</f>
        <v>-4.0000000000000008E-2</v>
      </c>
      <c r="AG241" s="80">
        <f>IF(O241="","",IF(O241="SIM",VLOOKUP($I241&amp;$J241&amp;O$1,Pesos!$A:$I,7,FALSE),VLOOKUP($I241&amp;$J241&amp;O$1,Pesos!$A:$I,9,FALSE)))</f>
        <v>0.8</v>
      </c>
      <c r="AH241" s="80">
        <f>IF(P241="","",IF(P241="SIM",VLOOKUP($I241&amp;$J241&amp;P$1,Pesos!$A:$I,7,FALSE),VLOOKUP($I241&amp;$J241&amp;P$1,Pesos!$A:$I,9,FALSE)))</f>
        <v>1.2</v>
      </c>
      <c r="AI241" s="80">
        <f>IF(Q241="","",IF(Q241="SIM",VLOOKUP($I241&amp;$J241&amp;Q$1,Pesos!$A:$I,7,FALSE),VLOOKUP($I241&amp;$J241&amp;Q$1,Pesos!$A:$I,9,FALSE)))</f>
        <v>0.8</v>
      </c>
      <c r="AJ241" s="80">
        <f>IF(R241="","",IF(R241="SIM",VLOOKUP($I241&amp;$J241&amp;R$1,Pesos!$A:$I,7,FALSE),VLOOKUP($I241&amp;$J241&amp;R$1,Pesos!$A:$I,9,FALSE)))</f>
        <v>0.8</v>
      </c>
      <c r="AK241" s="80">
        <f>IF(S241="","",IF(S241="SIM",VLOOKUP($I241&amp;$J241&amp;S$1,Pesos!$A:$I,7,FALSE),VLOOKUP($I241&amp;$J241&amp;S$1,Pesos!$A:$I,9,FALSE)))</f>
        <v>0.8</v>
      </c>
      <c r="AL241" s="80">
        <f t="shared" si="35"/>
        <v>4.3599999999999994</v>
      </c>
      <c r="AM241" s="80">
        <f>IF(T241="","",IF(T241="SIM",VLOOKUP($I241&amp;$J241&amp;T$1,Pesos!$A:$I,7,FALSE),VLOOKUP($I241&amp;$J241&amp;T$1,Pesos!$A:$I,9,FALSE)))</f>
        <v>0.8</v>
      </c>
      <c r="AN241" s="80">
        <f>IF(U241="","",IF(U241="SIM",VLOOKUP($I241&amp;$J241&amp;U$1,Pesos!$A:$I,7,FALSE),VLOOKUP($I241&amp;$J241&amp;U$1,Pesos!$A:$I,9,FALSE)))</f>
        <v>0.8</v>
      </c>
      <c r="AO241" s="80">
        <f>IF(V241="","",IF(V241="SIM",VLOOKUP($I241&amp;$J241&amp;V$1,Pesos!$A:$I,7,FALSE),VLOOKUP($I241&amp;$J241&amp;V$1,Pesos!$A:$I,9,FALSE)))</f>
        <v>0.8</v>
      </c>
      <c r="AP241" s="80">
        <f>IF(W241="","",IF(W241="SIM",VLOOKUP($I241&amp;$J241&amp;W$1,Pesos!$A:$I,7,FALSE),VLOOKUP($I241&amp;$J241&amp;W$1,Pesos!$A:$I,9,FALSE)))</f>
        <v>0.8</v>
      </c>
      <c r="AQ241" s="80">
        <f>IF(X241="","",IF(X241="SIM",VLOOKUP($I241&amp;$J241&amp;X$1,Pesos!$A:$I,7,FALSE),VLOOKUP($I241&amp;$J241&amp;X$1,Pesos!$A:$I,9,FALSE)))</f>
        <v>0.8</v>
      </c>
      <c r="AR241" s="80">
        <f>IF(Y241="","",IF(Y241="SIM",VLOOKUP($I241&amp;$J241&amp;Y$1,Pesos!$A:$I,7,FALSE),VLOOKUP($I241&amp;$J241&amp;Y$1,Pesos!$A:$I,9,FALSE)))</f>
        <v>0.8</v>
      </c>
      <c r="AS241" s="81">
        <f>IFERROR(Z241*VLOOKUP(J241,'BD Campos'!$Y$1:$Z$12,2,FALSE),"0")</f>
        <v>9.16</v>
      </c>
    </row>
    <row r="242" spans="1:45" x14ac:dyDescent="0.35">
      <c r="A242" s="68" t="str">
        <f t="shared" si="32"/>
        <v>Jan202511203MotoristaDISTRIBUIÇÃO</v>
      </c>
      <c r="B242" s="69" t="str">
        <f t="shared" si="33"/>
        <v>Jan2025112031DISTRIBUIÇÃOPADRÃO</v>
      </c>
      <c r="C242" s="70">
        <v>1</v>
      </c>
      <c r="D242" s="71">
        <v>45678.416939930554</v>
      </c>
      <c r="E242" s="112" t="s">
        <v>74</v>
      </c>
      <c r="F242" s="72">
        <v>11203</v>
      </c>
      <c r="G242" s="69" t="s">
        <v>1379</v>
      </c>
      <c r="H242" s="73">
        <v>1</v>
      </c>
      <c r="I242" s="69" t="s">
        <v>123</v>
      </c>
      <c r="J242" s="69" t="s">
        <v>122</v>
      </c>
      <c r="K242" s="69" t="s">
        <v>23</v>
      </c>
      <c r="L242" s="74">
        <v>30799002</v>
      </c>
      <c r="M242" s="75">
        <v>5.0578703703703706E-3</v>
      </c>
      <c r="N242" s="76" t="s">
        <v>79</v>
      </c>
      <c r="O242" s="76" t="s">
        <v>79</v>
      </c>
      <c r="P242" s="76" t="s">
        <v>79</v>
      </c>
      <c r="Q242" s="76" t="s">
        <v>79</v>
      </c>
      <c r="R242" s="76" t="s">
        <v>79</v>
      </c>
      <c r="S242" s="76" t="s">
        <v>83</v>
      </c>
      <c r="T242" s="76" t="s">
        <v>79</v>
      </c>
      <c r="U242" s="76" t="s">
        <v>79</v>
      </c>
      <c r="V242" s="76" t="s">
        <v>83</v>
      </c>
      <c r="W242" s="76" t="s">
        <v>83</v>
      </c>
      <c r="X242" s="76"/>
      <c r="Y242" s="76"/>
      <c r="Z242" s="77">
        <f t="shared" si="2"/>
        <v>6.8500000000000005</v>
      </c>
      <c r="AA242" s="78" t="s">
        <v>1554</v>
      </c>
      <c r="AB242" s="78" t="s">
        <v>1553</v>
      </c>
      <c r="AC242" s="72" t="s">
        <v>47</v>
      </c>
      <c r="AE242" s="79" t="str">
        <f t="shared" si="34"/>
        <v>Jan11203</v>
      </c>
      <c r="AF242" s="80">
        <f>IF(N242="","",IF(N242="SIM",VLOOKUP($I242&amp;$J242&amp;N$1,Pesos!$A:$I,7,FALSE),VLOOKUP($I242&amp;$J242&amp;N$1,Pesos!$A:$I,9,FALSE)))</f>
        <v>1</v>
      </c>
      <c r="AG242" s="80">
        <f>IF(O242="","",IF(O242="SIM",VLOOKUP($I242&amp;$J242&amp;O$1,Pesos!$A:$I,7,FALSE),VLOOKUP($I242&amp;$J242&amp;O$1,Pesos!$A:$I,9,FALSE)))</f>
        <v>1</v>
      </c>
      <c r="AH242" s="80">
        <f>IF(P242="","",IF(P242="SIM",VLOOKUP($I242&amp;$J242&amp;P$1,Pesos!$A:$I,7,FALSE),VLOOKUP($I242&amp;$J242&amp;P$1,Pesos!$A:$I,9,FALSE)))</f>
        <v>1</v>
      </c>
      <c r="AI242" s="80">
        <f>IF(Q242="","",IF(Q242="SIM",VLOOKUP($I242&amp;$J242&amp;Q$1,Pesos!$A:$I,7,FALSE),VLOOKUP($I242&amp;$J242&amp;Q$1,Pesos!$A:$I,9,FALSE)))</f>
        <v>1</v>
      </c>
      <c r="AJ242" s="80">
        <f>IF(R242="","",IF(R242="SIM",VLOOKUP($I242&amp;$J242&amp;R$1,Pesos!$A:$I,7,FALSE),VLOOKUP($I242&amp;$J242&amp;R$1,Pesos!$A:$I,9,FALSE)))</f>
        <v>1</v>
      </c>
      <c r="AK242" s="80">
        <f>IF(S242="","",IF(S242="SIM",VLOOKUP($I242&amp;$J242&amp;S$1,Pesos!$A:$I,7,FALSE),VLOOKUP($I242&amp;$J242&amp;S$1,Pesos!$A:$I,9,FALSE)))</f>
        <v>-0.05</v>
      </c>
      <c r="AL242" s="80">
        <f t="shared" si="35"/>
        <v>4.95</v>
      </c>
      <c r="AM242" s="80">
        <f>IF(T242="","",IF(T242="SIM",VLOOKUP($I242&amp;$J242&amp;T$1,Pesos!$A:$I,7,FALSE),VLOOKUP($I242&amp;$J242&amp;T$1,Pesos!$A:$I,9,FALSE)))</f>
        <v>1</v>
      </c>
      <c r="AN242" s="80">
        <f>IF(U242="","",IF(U242="SIM",VLOOKUP($I242&amp;$J242&amp;U$1,Pesos!$A:$I,7,FALSE),VLOOKUP($I242&amp;$J242&amp;U$1,Pesos!$A:$I,9,FALSE)))</f>
        <v>1</v>
      </c>
      <c r="AO242" s="80">
        <f>IF(V242="","",IF(V242="SIM",VLOOKUP($I242&amp;$J242&amp;V$1,Pesos!$A:$I,7,FALSE),VLOOKUP($I242&amp;$J242&amp;V$1,Pesos!$A:$I,9,FALSE)))</f>
        <v>-0.05</v>
      </c>
      <c r="AP242" s="80">
        <f>IF(W242="","",IF(W242="SIM",VLOOKUP($I242&amp;$J242&amp;W$1,Pesos!$A:$I,7,FALSE),VLOOKUP($I242&amp;$J242&amp;W$1,Pesos!$A:$I,9,FALSE)))</f>
        <v>-0.05</v>
      </c>
      <c r="AQ242" s="80" t="str">
        <f>IF(X242="","",IF(X242="SIM",VLOOKUP($I242&amp;$J242&amp;X$1,Pesos!$A:$I,7,FALSE),VLOOKUP($I242&amp;$J242&amp;X$1,Pesos!$A:$I,9,FALSE)))</f>
        <v/>
      </c>
      <c r="AR242" s="80" t="str">
        <f>IF(Y242="","",IF(Y242="SIM",VLOOKUP($I242&amp;$J242&amp;Y$1,Pesos!$A:$I,7,FALSE),VLOOKUP($I242&amp;$J242&amp;Y$1,Pesos!$A:$I,9,FALSE)))</f>
        <v/>
      </c>
      <c r="AS242" s="81">
        <f>IFERROR(Z242*VLOOKUP(J242,'BD Campos'!$Y$1:$Z$12,2,FALSE),"0")</f>
        <v>6.8500000000000005</v>
      </c>
    </row>
    <row r="243" spans="1:45" x14ac:dyDescent="0.35">
      <c r="A243" s="68" t="str">
        <f t="shared" si="32"/>
        <v>Jan202511165MotoristaDISTRIBUIÇÃO</v>
      </c>
      <c r="B243" s="69" t="str">
        <f t="shared" si="33"/>
        <v>Jan2025111651DISTRIBUIÇÃOPADRÃO</v>
      </c>
      <c r="C243" s="70">
        <v>1</v>
      </c>
      <c r="D243" s="71">
        <v>45678.433936574074</v>
      </c>
      <c r="E243" s="112" t="s">
        <v>74</v>
      </c>
      <c r="F243" s="72">
        <v>11165</v>
      </c>
      <c r="G243" s="69" t="s">
        <v>1365</v>
      </c>
      <c r="H243" s="73">
        <v>1</v>
      </c>
      <c r="I243" s="69" t="s">
        <v>123</v>
      </c>
      <c r="J243" s="69" t="s">
        <v>122</v>
      </c>
      <c r="K243" s="69" t="s">
        <v>23</v>
      </c>
      <c r="L243" s="74">
        <v>30899327</v>
      </c>
      <c r="M243" s="75">
        <v>1.0300925925925926E-3</v>
      </c>
      <c r="N243" s="76"/>
      <c r="O243" s="76"/>
      <c r="P243" s="76"/>
      <c r="Q243" s="76"/>
      <c r="R243" s="76"/>
      <c r="S243" s="76"/>
      <c r="T243" s="76"/>
      <c r="U243" s="76"/>
      <c r="V243" s="76"/>
      <c r="W243" s="76"/>
      <c r="X243" s="76"/>
      <c r="Y243" s="76"/>
      <c r="Z243" s="77">
        <f t="shared" si="2"/>
        <v>0</v>
      </c>
      <c r="AA243" s="78" t="s">
        <v>1541</v>
      </c>
      <c r="AB243" s="78" t="s">
        <v>1555</v>
      </c>
      <c r="AC243" s="72" t="s">
        <v>47</v>
      </c>
      <c r="AE243" s="79" t="str">
        <f t="shared" si="34"/>
        <v>Jan11165</v>
      </c>
      <c r="AF243" s="80" t="str">
        <f>IF(N243="","",IF(N243="SIM",VLOOKUP($I243&amp;$J243&amp;N$1,Pesos!$A:$I,7,FALSE),VLOOKUP($I243&amp;$J243&amp;N$1,Pesos!$A:$I,9,FALSE)))</f>
        <v/>
      </c>
      <c r="AG243" s="80" t="str">
        <f>IF(O243="","",IF(O243="SIM",VLOOKUP($I243&amp;$J243&amp;O$1,Pesos!$A:$I,7,FALSE),VLOOKUP($I243&amp;$J243&amp;O$1,Pesos!$A:$I,9,FALSE)))</f>
        <v/>
      </c>
      <c r="AH243" s="80" t="str">
        <f>IF(P243="","",IF(P243="SIM",VLOOKUP($I243&amp;$J243&amp;P$1,Pesos!$A:$I,7,FALSE),VLOOKUP($I243&amp;$J243&amp;P$1,Pesos!$A:$I,9,FALSE)))</f>
        <v/>
      </c>
      <c r="AI243" s="80" t="str">
        <f>IF(Q243="","",IF(Q243="SIM",VLOOKUP($I243&amp;$J243&amp;Q$1,Pesos!$A:$I,7,FALSE),VLOOKUP($I243&amp;$J243&amp;Q$1,Pesos!$A:$I,9,FALSE)))</f>
        <v/>
      </c>
      <c r="AJ243" s="80" t="str">
        <f>IF(R243="","",IF(R243="SIM",VLOOKUP($I243&amp;$J243&amp;R$1,Pesos!$A:$I,7,FALSE),VLOOKUP($I243&amp;$J243&amp;R$1,Pesos!$A:$I,9,FALSE)))</f>
        <v/>
      </c>
      <c r="AK243" s="80" t="str">
        <f>IF(S243="","",IF(S243="SIM",VLOOKUP($I243&amp;$J243&amp;S$1,Pesos!$A:$I,7,FALSE),VLOOKUP($I243&amp;$J243&amp;S$1,Pesos!$A:$I,9,FALSE)))</f>
        <v/>
      </c>
      <c r="AL243" s="80">
        <f t="shared" si="35"/>
        <v>0</v>
      </c>
      <c r="AM243" s="80" t="str">
        <f>IF(T243="","",IF(T243="SIM",VLOOKUP($I243&amp;$J243&amp;T$1,Pesos!$A:$I,7,FALSE),VLOOKUP($I243&amp;$J243&amp;T$1,Pesos!$A:$I,9,FALSE)))</f>
        <v/>
      </c>
      <c r="AN243" s="80" t="str">
        <f>IF(U243="","",IF(U243="SIM",VLOOKUP($I243&amp;$J243&amp;U$1,Pesos!$A:$I,7,FALSE),VLOOKUP($I243&amp;$J243&amp;U$1,Pesos!$A:$I,9,FALSE)))</f>
        <v/>
      </c>
      <c r="AO243" s="80" t="str">
        <f>IF(V243="","",IF(V243="SIM",VLOOKUP($I243&amp;$J243&amp;V$1,Pesos!$A:$I,7,FALSE),VLOOKUP($I243&amp;$J243&amp;V$1,Pesos!$A:$I,9,FALSE)))</f>
        <v/>
      </c>
      <c r="AP243" s="80" t="str">
        <f>IF(W243="","",IF(W243="SIM",VLOOKUP($I243&amp;$J243&amp;W$1,Pesos!$A:$I,7,FALSE),VLOOKUP($I243&amp;$J243&amp;W$1,Pesos!$A:$I,9,FALSE)))</f>
        <v/>
      </c>
      <c r="AQ243" s="80" t="str">
        <f>IF(X243="","",IF(X243="SIM",VLOOKUP($I243&amp;$J243&amp;X$1,Pesos!$A:$I,7,FALSE),VLOOKUP($I243&amp;$J243&amp;X$1,Pesos!$A:$I,9,FALSE)))</f>
        <v/>
      </c>
      <c r="AR243" s="80" t="str">
        <f>IF(Y243="","",IF(Y243="SIM",VLOOKUP($I243&amp;$J243&amp;Y$1,Pesos!$A:$I,7,FALSE),VLOOKUP($I243&amp;$J243&amp;Y$1,Pesos!$A:$I,9,FALSE)))</f>
        <v/>
      </c>
      <c r="AS243" s="81">
        <f>IFERROR(Z243*VLOOKUP(J243,'BD Campos'!$Y$1:$Z$12,2,FALSE),"0")</f>
        <v>0</v>
      </c>
    </row>
    <row r="244" spans="1:45" x14ac:dyDescent="0.35">
      <c r="A244" s="68" t="str">
        <f t="shared" si="32"/>
        <v>Jan202511165ReceptivaDISTRIBUIÇÃO</v>
      </c>
      <c r="B244" s="69" t="str">
        <f t="shared" si="33"/>
        <v>Jan2025111655DISTRIBUIÇÃOPADRÃO</v>
      </c>
      <c r="C244" s="70">
        <v>1</v>
      </c>
      <c r="D244" s="71">
        <v>45678.438592939812</v>
      </c>
      <c r="E244" s="112" t="s">
        <v>74</v>
      </c>
      <c r="F244" s="72">
        <v>11165</v>
      </c>
      <c r="G244" s="69" t="s">
        <v>1365</v>
      </c>
      <c r="H244" s="73">
        <v>5</v>
      </c>
      <c r="I244" s="69" t="s">
        <v>6</v>
      </c>
      <c r="J244" s="69" t="s">
        <v>98</v>
      </c>
      <c r="K244" s="69" t="s">
        <v>23</v>
      </c>
      <c r="L244" s="74"/>
      <c r="M244" s="75">
        <v>1.1805555555555556E-3</v>
      </c>
      <c r="N244" s="76" t="s">
        <v>79</v>
      </c>
      <c r="O244" s="76" t="s">
        <v>79</v>
      </c>
      <c r="P244" s="76" t="s">
        <v>79</v>
      </c>
      <c r="Q244" s="76" t="s">
        <v>79</v>
      </c>
      <c r="R244" s="76" t="s">
        <v>79</v>
      </c>
      <c r="S244" s="76" t="s">
        <v>79</v>
      </c>
      <c r="T244" s="76" t="s">
        <v>79</v>
      </c>
      <c r="U244" s="76" t="s">
        <v>79</v>
      </c>
      <c r="V244" s="76" t="s">
        <v>79</v>
      </c>
      <c r="W244" s="76" t="s">
        <v>79</v>
      </c>
      <c r="X244" s="76" t="s">
        <v>79</v>
      </c>
      <c r="Y244" s="76" t="s">
        <v>79</v>
      </c>
      <c r="Z244" s="77">
        <f t="shared" si="2"/>
        <v>10</v>
      </c>
      <c r="AA244" s="78"/>
      <c r="AB244" s="78"/>
      <c r="AC244" s="72" t="s">
        <v>47</v>
      </c>
      <c r="AE244" s="79" t="str">
        <f t="shared" si="34"/>
        <v>Jan11165</v>
      </c>
      <c r="AF244" s="80">
        <f>IF(N244="","",IF(N244="SIM",VLOOKUP($I244&amp;$J244&amp;N$1,Pesos!$A:$I,7,FALSE),VLOOKUP($I244&amp;$J244&amp;N$1,Pesos!$A:$I,9,FALSE)))</f>
        <v>0.8</v>
      </c>
      <c r="AG244" s="80">
        <f>IF(O244="","",IF(O244="SIM",VLOOKUP($I244&amp;$J244&amp;O$1,Pesos!$A:$I,7,FALSE),VLOOKUP($I244&amp;$J244&amp;O$1,Pesos!$A:$I,9,FALSE)))</f>
        <v>0.8</v>
      </c>
      <c r="AH244" s="80">
        <f>IF(P244="","",IF(P244="SIM",VLOOKUP($I244&amp;$J244&amp;P$1,Pesos!$A:$I,7,FALSE),VLOOKUP($I244&amp;$J244&amp;P$1,Pesos!$A:$I,9,FALSE)))</f>
        <v>1.2</v>
      </c>
      <c r="AI244" s="80">
        <f>IF(Q244="","",IF(Q244="SIM",VLOOKUP($I244&amp;$J244&amp;Q$1,Pesos!$A:$I,7,FALSE),VLOOKUP($I244&amp;$J244&amp;Q$1,Pesos!$A:$I,9,FALSE)))</f>
        <v>0.8</v>
      </c>
      <c r="AJ244" s="80">
        <f>IF(R244="","",IF(R244="SIM",VLOOKUP($I244&amp;$J244&amp;R$1,Pesos!$A:$I,7,FALSE),VLOOKUP($I244&amp;$J244&amp;R$1,Pesos!$A:$I,9,FALSE)))</f>
        <v>0.8</v>
      </c>
      <c r="AK244" s="80">
        <f>IF(S244="","",IF(S244="SIM",VLOOKUP($I244&amp;$J244&amp;S$1,Pesos!$A:$I,7,FALSE),VLOOKUP($I244&amp;$J244&amp;S$1,Pesos!$A:$I,9,FALSE)))</f>
        <v>0.8</v>
      </c>
      <c r="AL244" s="80">
        <f t="shared" si="35"/>
        <v>5.1999999999999993</v>
      </c>
      <c r="AM244" s="80">
        <f>IF(T244="","",IF(T244="SIM",VLOOKUP($I244&amp;$J244&amp;T$1,Pesos!$A:$I,7,FALSE),VLOOKUP($I244&amp;$J244&amp;T$1,Pesos!$A:$I,9,FALSE)))</f>
        <v>0.8</v>
      </c>
      <c r="AN244" s="80">
        <f>IF(U244="","",IF(U244="SIM",VLOOKUP($I244&amp;$J244&amp;U$1,Pesos!$A:$I,7,FALSE),VLOOKUP($I244&amp;$J244&amp;U$1,Pesos!$A:$I,9,FALSE)))</f>
        <v>0.8</v>
      </c>
      <c r="AO244" s="80">
        <f>IF(V244="","",IF(V244="SIM",VLOOKUP($I244&amp;$J244&amp;V$1,Pesos!$A:$I,7,FALSE),VLOOKUP($I244&amp;$J244&amp;V$1,Pesos!$A:$I,9,FALSE)))</f>
        <v>0.8</v>
      </c>
      <c r="AP244" s="80">
        <f>IF(W244="","",IF(W244="SIM",VLOOKUP($I244&amp;$J244&amp;W$1,Pesos!$A:$I,7,FALSE),VLOOKUP($I244&amp;$J244&amp;W$1,Pesos!$A:$I,9,FALSE)))</f>
        <v>0.8</v>
      </c>
      <c r="AQ244" s="80">
        <f>IF(X244="","",IF(X244="SIM",VLOOKUP($I244&amp;$J244&amp;X$1,Pesos!$A:$I,7,FALSE),VLOOKUP($I244&amp;$J244&amp;X$1,Pesos!$A:$I,9,FALSE)))</f>
        <v>0.8</v>
      </c>
      <c r="AR244" s="80">
        <f>IF(Y244="","",IF(Y244="SIM",VLOOKUP($I244&amp;$J244&amp;Y$1,Pesos!$A:$I,7,FALSE),VLOOKUP($I244&amp;$J244&amp;Y$1,Pesos!$A:$I,9,FALSE)))</f>
        <v>0.8</v>
      </c>
      <c r="AS244" s="81">
        <f>IFERROR(Z244*VLOOKUP(J244,'BD Campos'!$Y$1:$Z$12,2,FALSE),"0")</f>
        <v>10</v>
      </c>
    </row>
    <row r="245" spans="1:45" x14ac:dyDescent="0.35">
      <c r="A245" s="68" t="str">
        <f t="shared" si="32"/>
        <v>Jan202511159ReceptivaDISTRIBUIÇÃO</v>
      </c>
      <c r="B245" s="69" t="str">
        <f t="shared" si="33"/>
        <v>Jan2025111595DISTRIBUIÇÃOPADRÃO</v>
      </c>
      <c r="C245" s="70">
        <v>1</v>
      </c>
      <c r="D245" s="71">
        <v>45678.453362384258</v>
      </c>
      <c r="E245" s="112" t="s">
        <v>74</v>
      </c>
      <c r="F245" s="72">
        <v>11159</v>
      </c>
      <c r="G245" s="69" t="s">
        <v>454</v>
      </c>
      <c r="H245" s="73">
        <v>5</v>
      </c>
      <c r="I245" s="69" t="s">
        <v>6</v>
      </c>
      <c r="J245" s="69" t="s">
        <v>98</v>
      </c>
      <c r="K245" s="69" t="s">
        <v>23</v>
      </c>
      <c r="L245" s="74"/>
      <c r="M245" s="75">
        <v>1.8287037037037037E-3</v>
      </c>
      <c r="N245" s="76" t="s">
        <v>79</v>
      </c>
      <c r="O245" s="76" t="s">
        <v>79</v>
      </c>
      <c r="P245" s="76" t="s">
        <v>79</v>
      </c>
      <c r="Q245" s="76" t="s">
        <v>79</v>
      </c>
      <c r="R245" s="76" t="s">
        <v>79</v>
      </c>
      <c r="S245" s="76" t="s">
        <v>79</v>
      </c>
      <c r="T245" s="76" t="s">
        <v>79</v>
      </c>
      <c r="U245" s="76" t="s">
        <v>79</v>
      </c>
      <c r="V245" s="76" t="s">
        <v>79</v>
      </c>
      <c r="W245" s="76" t="s">
        <v>79</v>
      </c>
      <c r="X245" s="76" t="s">
        <v>79</v>
      </c>
      <c r="Y245" s="76" t="s">
        <v>79</v>
      </c>
      <c r="Z245" s="77">
        <f t="shared" si="2"/>
        <v>10</v>
      </c>
      <c r="AA245" s="78"/>
      <c r="AB245" s="78"/>
      <c r="AC245" s="72" t="s">
        <v>47</v>
      </c>
      <c r="AE245" s="79" t="str">
        <f t="shared" si="34"/>
        <v>Jan11159</v>
      </c>
      <c r="AF245" s="80">
        <f>IF(N245="","",IF(N245="SIM",VLOOKUP($I245&amp;$J245&amp;N$1,Pesos!$A:$I,7,FALSE),VLOOKUP($I245&amp;$J245&amp;N$1,Pesos!$A:$I,9,FALSE)))</f>
        <v>0.8</v>
      </c>
      <c r="AG245" s="80">
        <f>IF(O245="","",IF(O245="SIM",VLOOKUP($I245&amp;$J245&amp;O$1,Pesos!$A:$I,7,FALSE),VLOOKUP($I245&amp;$J245&amp;O$1,Pesos!$A:$I,9,FALSE)))</f>
        <v>0.8</v>
      </c>
      <c r="AH245" s="80">
        <f>IF(P245="","",IF(P245="SIM",VLOOKUP($I245&amp;$J245&amp;P$1,Pesos!$A:$I,7,FALSE),VLOOKUP($I245&amp;$J245&amp;P$1,Pesos!$A:$I,9,FALSE)))</f>
        <v>1.2</v>
      </c>
      <c r="AI245" s="80">
        <f>IF(Q245="","",IF(Q245="SIM",VLOOKUP($I245&amp;$J245&amp;Q$1,Pesos!$A:$I,7,FALSE),VLOOKUP($I245&amp;$J245&amp;Q$1,Pesos!$A:$I,9,FALSE)))</f>
        <v>0.8</v>
      </c>
      <c r="AJ245" s="80">
        <f>IF(R245="","",IF(R245="SIM",VLOOKUP($I245&amp;$J245&amp;R$1,Pesos!$A:$I,7,FALSE),VLOOKUP($I245&amp;$J245&amp;R$1,Pesos!$A:$I,9,FALSE)))</f>
        <v>0.8</v>
      </c>
      <c r="AK245" s="80">
        <f>IF(S245="","",IF(S245="SIM",VLOOKUP($I245&amp;$J245&amp;S$1,Pesos!$A:$I,7,FALSE),VLOOKUP($I245&amp;$J245&amp;S$1,Pesos!$A:$I,9,FALSE)))</f>
        <v>0.8</v>
      </c>
      <c r="AL245" s="80">
        <f t="shared" si="35"/>
        <v>5.1999999999999993</v>
      </c>
      <c r="AM245" s="80">
        <f>IF(T245="","",IF(T245="SIM",VLOOKUP($I245&amp;$J245&amp;T$1,Pesos!$A:$I,7,FALSE),VLOOKUP($I245&amp;$J245&amp;T$1,Pesos!$A:$I,9,FALSE)))</f>
        <v>0.8</v>
      </c>
      <c r="AN245" s="80">
        <f>IF(U245="","",IF(U245="SIM",VLOOKUP($I245&amp;$J245&amp;U$1,Pesos!$A:$I,7,FALSE),VLOOKUP($I245&amp;$J245&amp;U$1,Pesos!$A:$I,9,FALSE)))</f>
        <v>0.8</v>
      </c>
      <c r="AO245" s="80">
        <f>IF(V245="","",IF(V245="SIM",VLOOKUP($I245&amp;$J245&amp;V$1,Pesos!$A:$I,7,FALSE),VLOOKUP($I245&amp;$J245&amp;V$1,Pesos!$A:$I,9,FALSE)))</f>
        <v>0.8</v>
      </c>
      <c r="AP245" s="80">
        <f>IF(W245="","",IF(W245="SIM",VLOOKUP($I245&amp;$J245&amp;W$1,Pesos!$A:$I,7,FALSE),VLOOKUP($I245&amp;$J245&amp;W$1,Pesos!$A:$I,9,FALSE)))</f>
        <v>0.8</v>
      </c>
      <c r="AQ245" s="80">
        <f>IF(X245="","",IF(X245="SIM",VLOOKUP($I245&amp;$J245&amp;X$1,Pesos!$A:$I,7,FALSE),VLOOKUP($I245&amp;$J245&amp;X$1,Pesos!$A:$I,9,FALSE)))</f>
        <v>0.8</v>
      </c>
      <c r="AR245" s="80">
        <f>IF(Y245="","",IF(Y245="SIM",VLOOKUP($I245&amp;$J245&amp;Y$1,Pesos!$A:$I,7,FALSE),VLOOKUP($I245&amp;$J245&amp;Y$1,Pesos!$A:$I,9,FALSE)))</f>
        <v>0.8</v>
      </c>
      <c r="AS245" s="81">
        <f>IFERROR(Z245*VLOOKUP(J245,'BD Campos'!$Y$1:$Z$12,2,FALSE),"0")</f>
        <v>10</v>
      </c>
    </row>
    <row r="246" spans="1:45" x14ac:dyDescent="0.35">
      <c r="A246" s="68" t="str">
        <f t="shared" si="32"/>
        <v>Jan202511159MotoristaDISTRIBUIÇÃO</v>
      </c>
      <c r="B246" s="69" t="str">
        <f t="shared" si="33"/>
        <v>Jan2025111591DISTRIBUIÇÃOPADRÃO</v>
      </c>
      <c r="C246" s="70">
        <v>1</v>
      </c>
      <c r="D246" s="71">
        <v>45678.455894212966</v>
      </c>
      <c r="E246" s="112" t="s">
        <v>74</v>
      </c>
      <c r="F246" s="72">
        <v>11159</v>
      </c>
      <c r="G246" s="69" t="s">
        <v>454</v>
      </c>
      <c r="H246" s="73">
        <v>1</v>
      </c>
      <c r="I246" s="69" t="s">
        <v>123</v>
      </c>
      <c r="J246" s="69" t="s">
        <v>122</v>
      </c>
      <c r="K246" s="69" t="s">
        <v>23</v>
      </c>
      <c r="L246" s="74">
        <v>30877693</v>
      </c>
      <c r="M246" s="75">
        <v>1.0185185185185186E-3</v>
      </c>
      <c r="N246" s="76" t="s">
        <v>79</v>
      </c>
      <c r="O246" s="76" t="s">
        <v>79</v>
      </c>
      <c r="P246" s="76" t="s">
        <v>79</v>
      </c>
      <c r="Q246" s="76" t="s">
        <v>79</v>
      </c>
      <c r="R246" s="76" t="s">
        <v>79</v>
      </c>
      <c r="S246" s="76" t="s">
        <v>79</v>
      </c>
      <c r="T246" s="76" t="s">
        <v>79</v>
      </c>
      <c r="U246" s="76" t="s">
        <v>79</v>
      </c>
      <c r="V246" s="76" t="s">
        <v>79</v>
      </c>
      <c r="W246" s="76" t="s">
        <v>79</v>
      </c>
      <c r="X246" s="76"/>
      <c r="Y246" s="76"/>
      <c r="Z246" s="77">
        <f t="shared" si="2"/>
        <v>10</v>
      </c>
      <c r="AA246" s="78" t="s">
        <v>1467</v>
      </c>
      <c r="AB246" s="78" t="s">
        <v>1556</v>
      </c>
      <c r="AC246" s="72" t="s">
        <v>47</v>
      </c>
      <c r="AE246" s="79" t="str">
        <f t="shared" si="34"/>
        <v>Jan11159</v>
      </c>
      <c r="AF246" s="80">
        <f>IF(N246="","",IF(N246="SIM",VLOOKUP($I246&amp;$J246&amp;N$1,Pesos!$A:$I,7,FALSE),VLOOKUP($I246&amp;$J246&amp;N$1,Pesos!$A:$I,9,FALSE)))</f>
        <v>1</v>
      </c>
      <c r="AG246" s="80">
        <f>IF(O246="","",IF(O246="SIM",VLOOKUP($I246&amp;$J246&amp;O$1,Pesos!$A:$I,7,FALSE),VLOOKUP($I246&amp;$J246&amp;O$1,Pesos!$A:$I,9,FALSE)))</f>
        <v>1</v>
      </c>
      <c r="AH246" s="80">
        <f>IF(P246="","",IF(P246="SIM",VLOOKUP($I246&amp;$J246&amp;P$1,Pesos!$A:$I,7,FALSE),VLOOKUP($I246&amp;$J246&amp;P$1,Pesos!$A:$I,9,FALSE)))</f>
        <v>1</v>
      </c>
      <c r="AI246" s="80">
        <f>IF(Q246="","",IF(Q246="SIM",VLOOKUP($I246&amp;$J246&amp;Q$1,Pesos!$A:$I,7,FALSE),VLOOKUP($I246&amp;$J246&amp;Q$1,Pesos!$A:$I,9,FALSE)))</f>
        <v>1</v>
      </c>
      <c r="AJ246" s="80">
        <f>IF(R246="","",IF(R246="SIM",VLOOKUP($I246&amp;$J246&amp;R$1,Pesos!$A:$I,7,FALSE),VLOOKUP($I246&amp;$J246&amp;R$1,Pesos!$A:$I,9,FALSE)))</f>
        <v>1</v>
      </c>
      <c r="AK246" s="80">
        <f>IF(S246="","",IF(S246="SIM",VLOOKUP($I246&amp;$J246&amp;S$1,Pesos!$A:$I,7,FALSE),VLOOKUP($I246&amp;$J246&amp;S$1,Pesos!$A:$I,9,FALSE)))</f>
        <v>1</v>
      </c>
      <c r="AL246" s="80">
        <f t="shared" si="35"/>
        <v>6</v>
      </c>
      <c r="AM246" s="80">
        <f>IF(T246="","",IF(T246="SIM",VLOOKUP($I246&amp;$J246&amp;T$1,Pesos!$A:$I,7,FALSE),VLOOKUP($I246&amp;$J246&amp;T$1,Pesos!$A:$I,9,FALSE)))</f>
        <v>1</v>
      </c>
      <c r="AN246" s="80">
        <f>IF(U246="","",IF(U246="SIM",VLOOKUP($I246&amp;$J246&amp;U$1,Pesos!$A:$I,7,FALSE),VLOOKUP($I246&amp;$J246&amp;U$1,Pesos!$A:$I,9,FALSE)))</f>
        <v>1</v>
      </c>
      <c r="AO246" s="80">
        <f>IF(V246="","",IF(V246="SIM",VLOOKUP($I246&amp;$J246&amp;V$1,Pesos!$A:$I,7,FALSE),VLOOKUP($I246&amp;$J246&amp;V$1,Pesos!$A:$I,9,FALSE)))</f>
        <v>1</v>
      </c>
      <c r="AP246" s="80">
        <f>IF(W246="","",IF(W246="SIM",VLOOKUP($I246&amp;$J246&amp;W$1,Pesos!$A:$I,7,FALSE),VLOOKUP($I246&amp;$J246&amp;W$1,Pesos!$A:$I,9,FALSE)))</f>
        <v>1</v>
      </c>
      <c r="AQ246" s="80" t="str">
        <f>IF(X246="","",IF(X246="SIM",VLOOKUP($I246&amp;$J246&amp;X$1,Pesos!$A:$I,7,FALSE),VLOOKUP($I246&amp;$J246&amp;X$1,Pesos!$A:$I,9,FALSE)))</f>
        <v/>
      </c>
      <c r="AR246" s="80" t="str">
        <f>IF(Y246="","",IF(Y246="SIM",VLOOKUP($I246&amp;$J246&amp;Y$1,Pesos!$A:$I,7,FALSE),VLOOKUP($I246&amp;$J246&amp;Y$1,Pesos!$A:$I,9,FALSE)))</f>
        <v/>
      </c>
      <c r="AS246" s="81">
        <f>IFERROR(Z246*VLOOKUP(J246,'BD Campos'!$Y$1:$Z$12,2,FALSE),"0")</f>
        <v>10</v>
      </c>
    </row>
    <row r="247" spans="1:45" x14ac:dyDescent="0.35">
      <c r="A247" s="68" t="str">
        <f t="shared" si="32"/>
        <v>Jan202511228MotoristaDISTRIBUIÇÃO</v>
      </c>
      <c r="B247" s="69" t="str">
        <f t="shared" si="33"/>
        <v>Jan2025112281DISTRIBUIÇÃOPADRÃO</v>
      </c>
      <c r="C247" s="70">
        <v>1</v>
      </c>
      <c r="D247" s="71">
        <v>45678.460929398148</v>
      </c>
      <c r="E247" s="112" t="s">
        <v>74</v>
      </c>
      <c r="F247" s="72">
        <v>11228</v>
      </c>
      <c r="G247" s="69" t="s">
        <v>1557</v>
      </c>
      <c r="H247" s="73">
        <v>1</v>
      </c>
      <c r="I247" s="69" t="s">
        <v>147</v>
      </c>
      <c r="J247" s="69" t="s">
        <v>122</v>
      </c>
      <c r="K247" s="69" t="s">
        <v>23</v>
      </c>
      <c r="L247" s="74">
        <v>30928820</v>
      </c>
      <c r="M247" s="75">
        <v>1.8171296296296297E-3</v>
      </c>
      <c r="N247" s="76" t="s">
        <v>79</v>
      </c>
      <c r="O247" s="76" t="s">
        <v>83</v>
      </c>
      <c r="P247" s="76" t="s">
        <v>79</v>
      </c>
      <c r="Q247" s="76" t="s">
        <v>79</v>
      </c>
      <c r="R247" s="76" t="s">
        <v>79</v>
      </c>
      <c r="S247" s="76" t="s">
        <v>83</v>
      </c>
      <c r="T247" s="76" t="s">
        <v>79</v>
      </c>
      <c r="U247" s="76" t="s">
        <v>83</v>
      </c>
      <c r="V247" s="76"/>
      <c r="W247" s="76"/>
      <c r="X247" s="76"/>
      <c r="Y247" s="76"/>
      <c r="Z247" s="77">
        <f t="shared" si="2"/>
        <v>5.3800000000000008</v>
      </c>
      <c r="AA247" s="78"/>
      <c r="AB247" s="78" t="s">
        <v>1558</v>
      </c>
      <c r="AC247" s="72" t="s">
        <v>47</v>
      </c>
      <c r="AE247" s="79" t="str">
        <f t="shared" si="34"/>
        <v>Jan11228</v>
      </c>
      <c r="AF247" s="80">
        <f>IF(N247="","",IF(N247="SIM",VLOOKUP($I247&amp;$J247&amp;N$1,Pesos!$A:$I,7,FALSE),VLOOKUP($I247&amp;$J247&amp;N$1,Pesos!$A:$I,9,FALSE)))</f>
        <v>1.1000000000000001</v>
      </c>
      <c r="AG247" s="80">
        <f>IF(O247="","",IF(O247="SIM",VLOOKUP($I247&amp;$J247&amp;O$1,Pesos!$A:$I,7,FALSE),VLOOKUP($I247&amp;$J247&amp;O$1,Pesos!$A:$I,9,FALSE)))</f>
        <v>-5.5000000000000007E-2</v>
      </c>
      <c r="AH247" s="80">
        <f>IF(P247="","",IF(P247="SIM",VLOOKUP($I247&amp;$J247&amp;P$1,Pesos!$A:$I,7,FALSE),VLOOKUP($I247&amp;$J247&amp;P$1,Pesos!$A:$I,9,FALSE)))</f>
        <v>1.1000000000000001</v>
      </c>
      <c r="AI247" s="80">
        <f>IF(Q247="","",IF(Q247="SIM",VLOOKUP($I247&amp;$J247&amp;Q$1,Pesos!$A:$I,7,FALSE),VLOOKUP($I247&amp;$J247&amp;Q$1,Pesos!$A:$I,9,FALSE)))</f>
        <v>1.1000000000000001</v>
      </c>
      <c r="AJ247" s="80">
        <f>IF(R247="","",IF(R247="SIM",VLOOKUP($I247&amp;$J247&amp;R$1,Pesos!$A:$I,7,FALSE),VLOOKUP($I247&amp;$J247&amp;R$1,Pesos!$A:$I,9,FALSE)))</f>
        <v>1.1000000000000001</v>
      </c>
      <c r="AK247" s="80">
        <f>IF(S247="","",IF(S247="SIM",VLOOKUP($I247&amp;$J247&amp;S$1,Pesos!$A:$I,7,FALSE),VLOOKUP($I247&amp;$J247&amp;S$1,Pesos!$A:$I,9,FALSE)))</f>
        <v>-8.0000000000000016E-2</v>
      </c>
      <c r="AL247" s="80">
        <f t="shared" si="35"/>
        <v>4.2650000000000006</v>
      </c>
      <c r="AM247" s="80">
        <f>IF(T247="","",IF(T247="SIM",VLOOKUP($I247&amp;$J247&amp;T$1,Pesos!$A:$I,7,FALSE),VLOOKUP($I247&amp;$J247&amp;T$1,Pesos!$A:$I,9,FALSE)))</f>
        <v>1.2</v>
      </c>
      <c r="AN247" s="80">
        <f>IF(U247="","",IF(U247="SIM",VLOOKUP($I247&amp;$J247&amp;U$1,Pesos!$A:$I,7,FALSE),VLOOKUP($I247&amp;$J247&amp;U$1,Pesos!$A:$I,9,FALSE)))</f>
        <v>-8.500000000000002E-2</v>
      </c>
      <c r="AO247" s="80" t="str">
        <f>IF(V247="","",IF(V247="SIM",VLOOKUP($I247&amp;$J247&amp;V$1,Pesos!$A:$I,7,FALSE),VLOOKUP($I247&amp;$J247&amp;V$1,Pesos!$A:$I,9,FALSE)))</f>
        <v/>
      </c>
      <c r="AP247" s="80" t="str">
        <f>IF(W247="","",IF(W247="SIM",VLOOKUP($I247&amp;$J247&amp;W$1,Pesos!$A:$I,7,FALSE),VLOOKUP($I247&amp;$J247&amp;W$1,Pesos!$A:$I,9,FALSE)))</f>
        <v/>
      </c>
      <c r="AQ247" s="80" t="str">
        <f>IF(X247="","",IF(X247="SIM",VLOOKUP($I247&amp;$J247&amp;X$1,Pesos!$A:$I,7,FALSE),VLOOKUP($I247&amp;$J247&amp;X$1,Pesos!$A:$I,9,FALSE)))</f>
        <v/>
      </c>
      <c r="AR247" s="80" t="str">
        <f>IF(Y247="","",IF(Y247="SIM",VLOOKUP($I247&amp;$J247&amp;Y$1,Pesos!$A:$I,7,FALSE),VLOOKUP($I247&amp;$J247&amp;Y$1,Pesos!$A:$I,9,FALSE)))</f>
        <v/>
      </c>
      <c r="AS247" s="81">
        <f>IFERROR(Z247*VLOOKUP(J247,'BD Campos'!$Y$1:$Z$12,2,FALSE),"0")</f>
        <v>5.3800000000000008</v>
      </c>
    </row>
    <row r="248" spans="1:45" x14ac:dyDescent="0.35">
      <c r="A248" s="68" t="str">
        <f t="shared" si="32"/>
        <v>Jan202511228ReceptivaDISTRIBUIÇÃO</v>
      </c>
      <c r="B248" s="69" t="str">
        <f t="shared" si="33"/>
        <v>Jan2025112285DISTRIBUIÇÃOPADRÃO</v>
      </c>
      <c r="C248" s="70">
        <v>1</v>
      </c>
      <c r="D248" s="71">
        <v>45678.462909722221</v>
      </c>
      <c r="E248" s="112" t="s">
        <v>74</v>
      </c>
      <c r="F248" s="72">
        <v>11228</v>
      </c>
      <c r="G248" s="69" t="s">
        <v>1557</v>
      </c>
      <c r="H248" s="73">
        <v>5</v>
      </c>
      <c r="I248" s="69" t="s">
        <v>6</v>
      </c>
      <c r="J248" s="69" t="s">
        <v>98</v>
      </c>
      <c r="K248" s="69" t="s">
        <v>23</v>
      </c>
      <c r="L248" s="74"/>
      <c r="M248" s="75">
        <v>1.9675925925925928E-3</v>
      </c>
      <c r="N248" s="76" t="s">
        <v>79</v>
      </c>
      <c r="O248" s="76" t="s">
        <v>79</v>
      </c>
      <c r="P248" s="76" t="s">
        <v>79</v>
      </c>
      <c r="Q248" s="76" t="s">
        <v>79</v>
      </c>
      <c r="R248" s="76" t="s">
        <v>79</v>
      </c>
      <c r="S248" s="76" t="s">
        <v>79</v>
      </c>
      <c r="T248" s="76" t="s">
        <v>79</v>
      </c>
      <c r="U248" s="76" t="s">
        <v>79</v>
      </c>
      <c r="V248" s="76" t="s">
        <v>79</v>
      </c>
      <c r="W248" s="76" t="s">
        <v>79</v>
      </c>
      <c r="X248" s="76" t="s">
        <v>79</v>
      </c>
      <c r="Y248" s="76" t="s">
        <v>79</v>
      </c>
      <c r="Z248" s="77">
        <f t="shared" si="2"/>
        <v>10</v>
      </c>
      <c r="AA248" s="78"/>
      <c r="AB248" s="78"/>
      <c r="AC248" s="72" t="s">
        <v>47</v>
      </c>
      <c r="AE248" s="79" t="str">
        <f t="shared" si="34"/>
        <v>Jan11228</v>
      </c>
      <c r="AF248" s="80">
        <f>IF(N248="","",IF(N248="SIM",VLOOKUP($I248&amp;$J248&amp;N$1,Pesos!$A:$I,7,FALSE),VLOOKUP($I248&amp;$J248&amp;N$1,Pesos!$A:$I,9,FALSE)))</f>
        <v>0.8</v>
      </c>
      <c r="AG248" s="80">
        <f>IF(O248="","",IF(O248="SIM",VLOOKUP($I248&amp;$J248&amp;O$1,Pesos!$A:$I,7,FALSE),VLOOKUP($I248&amp;$J248&amp;O$1,Pesos!$A:$I,9,FALSE)))</f>
        <v>0.8</v>
      </c>
      <c r="AH248" s="80">
        <f>IF(P248="","",IF(P248="SIM",VLOOKUP($I248&amp;$J248&amp;P$1,Pesos!$A:$I,7,FALSE),VLOOKUP($I248&amp;$J248&amp;P$1,Pesos!$A:$I,9,FALSE)))</f>
        <v>1.2</v>
      </c>
      <c r="AI248" s="80">
        <f>IF(Q248="","",IF(Q248="SIM",VLOOKUP($I248&amp;$J248&amp;Q$1,Pesos!$A:$I,7,FALSE),VLOOKUP($I248&amp;$J248&amp;Q$1,Pesos!$A:$I,9,FALSE)))</f>
        <v>0.8</v>
      </c>
      <c r="AJ248" s="80">
        <f>IF(R248="","",IF(R248="SIM",VLOOKUP($I248&amp;$J248&amp;R$1,Pesos!$A:$I,7,FALSE),VLOOKUP($I248&amp;$J248&amp;R$1,Pesos!$A:$I,9,FALSE)))</f>
        <v>0.8</v>
      </c>
      <c r="AK248" s="80">
        <f>IF(S248="","",IF(S248="SIM",VLOOKUP($I248&amp;$J248&amp;S$1,Pesos!$A:$I,7,FALSE),VLOOKUP($I248&amp;$J248&amp;S$1,Pesos!$A:$I,9,FALSE)))</f>
        <v>0.8</v>
      </c>
      <c r="AL248" s="80">
        <f t="shared" si="35"/>
        <v>5.1999999999999993</v>
      </c>
      <c r="AM248" s="80">
        <f>IF(T248="","",IF(T248="SIM",VLOOKUP($I248&amp;$J248&amp;T$1,Pesos!$A:$I,7,FALSE),VLOOKUP($I248&amp;$J248&amp;T$1,Pesos!$A:$I,9,FALSE)))</f>
        <v>0.8</v>
      </c>
      <c r="AN248" s="80">
        <f>IF(U248="","",IF(U248="SIM",VLOOKUP($I248&amp;$J248&amp;U$1,Pesos!$A:$I,7,FALSE),VLOOKUP($I248&amp;$J248&amp;U$1,Pesos!$A:$I,9,FALSE)))</f>
        <v>0.8</v>
      </c>
      <c r="AO248" s="80">
        <f>IF(V248="","",IF(V248="SIM",VLOOKUP($I248&amp;$J248&amp;V$1,Pesos!$A:$I,7,FALSE),VLOOKUP($I248&amp;$J248&amp;V$1,Pesos!$A:$I,9,FALSE)))</f>
        <v>0.8</v>
      </c>
      <c r="AP248" s="80">
        <f>IF(W248="","",IF(W248="SIM",VLOOKUP($I248&amp;$J248&amp;W$1,Pesos!$A:$I,7,FALSE),VLOOKUP($I248&amp;$J248&amp;W$1,Pesos!$A:$I,9,FALSE)))</f>
        <v>0.8</v>
      </c>
      <c r="AQ248" s="80">
        <f>IF(X248="","",IF(X248="SIM",VLOOKUP($I248&amp;$J248&amp;X$1,Pesos!$A:$I,7,FALSE),VLOOKUP($I248&amp;$J248&amp;X$1,Pesos!$A:$I,9,FALSE)))</f>
        <v>0.8</v>
      </c>
      <c r="AR248" s="80">
        <f>IF(Y248="","",IF(Y248="SIM",VLOOKUP($I248&amp;$J248&amp;Y$1,Pesos!$A:$I,7,FALSE),VLOOKUP($I248&amp;$J248&amp;Y$1,Pesos!$A:$I,9,FALSE)))</f>
        <v>0.8</v>
      </c>
      <c r="AS248" s="81">
        <f>IFERROR(Z248*VLOOKUP(J248,'BD Campos'!$Y$1:$Z$12,2,FALSE),"0")</f>
        <v>10</v>
      </c>
    </row>
    <row r="249" spans="1:45" x14ac:dyDescent="0.35">
      <c r="A249" s="68" t="str">
        <f t="shared" si="32"/>
        <v>Jan202510639ReceptivaDISTRIBUIÇÃO</v>
      </c>
      <c r="B249" s="69" t="str">
        <f t="shared" si="33"/>
        <v>Jan2025106395DISTRIBUIÇÃOPADRÃO</v>
      </c>
      <c r="C249" s="70">
        <v>1</v>
      </c>
      <c r="D249" s="71">
        <v>45678.464868287039</v>
      </c>
      <c r="E249" s="112" t="s">
        <v>74</v>
      </c>
      <c r="F249" s="72">
        <v>10639</v>
      </c>
      <c r="G249" s="69" t="s">
        <v>452</v>
      </c>
      <c r="H249" s="73">
        <v>5</v>
      </c>
      <c r="I249" s="69" t="s">
        <v>6</v>
      </c>
      <c r="J249" s="69" t="s">
        <v>98</v>
      </c>
      <c r="K249" s="69" t="s">
        <v>23</v>
      </c>
      <c r="L249" s="74"/>
      <c r="M249" s="75">
        <v>1.2152777777777778E-3</v>
      </c>
      <c r="N249" s="76" t="s">
        <v>79</v>
      </c>
      <c r="O249" s="76" t="s">
        <v>79</v>
      </c>
      <c r="P249" s="76" t="s">
        <v>79</v>
      </c>
      <c r="Q249" s="76" t="s">
        <v>79</v>
      </c>
      <c r="R249" s="76" t="s">
        <v>79</v>
      </c>
      <c r="S249" s="76" t="s">
        <v>79</v>
      </c>
      <c r="T249" s="76" t="s">
        <v>79</v>
      </c>
      <c r="U249" s="76" t="s">
        <v>79</v>
      </c>
      <c r="V249" s="76" t="s">
        <v>79</v>
      </c>
      <c r="W249" s="76" t="s">
        <v>79</v>
      </c>
      <c r="X249" s="76" t="s">
        <v>79</v>
      </c>
      <c r="Y249" s="76" t="s">
        <v>79</v>
      </c>
      <c r="Z249" s="77">
        <f t="shared" si="2"/>
        <v>10</v>
      </c>
      <c r="AA249" s="78"/>
      <c r="AB249" s="78"/>
      <c r="AC249" s="72" t="s">
        <v>47</v>
      </c>
      <c r="AE249" s="79" t="str">
        <f t="shared" si="34"/>
        <v>Jan10639</v>
      </c>
      <c r="AF249" s="80">
        <f>IF(N249="","",IF(N249="SIM",VLOOKUP($I249&amp;$J249&amp;N$1,Pesos!$A:$I,7,FALSE),VLOOKUP($I249&amp;$J249&amp;N$1,Pesos!$A:$I,9,FALSE)))</f>
        <v>0.8</v>
      </c>
      <c r="AG249" s="80">
        <f>IF(O249="","",IF(O249="SIM",VLOOKUP($I249&amp;$J249&amp;O$1,Pesos!$A:$I,7,FALSE),VLOOKUP($I249&amp;$J249&amp;O$1,Pesos!$A:$I,9,FALSE)))</f>
        <v>0.8</v>
      </c>
      <c r="AH249" s="80">
        <f>IF(P249="","",IF(P249="SIM",VLOOKUP($I249&amp;$J249&amp;P$1,Pesos!$A:$I,7,FALSE),VLOOKUP($I249&amp;$J249&amp;P$1,Pesos!$A:$I,9,FALSE)))</f>
        <v>1.2</v>
      </c>
      <c r="AI249" s="80">
        <f>IF(Q249="","",IF(Q249="SIM",VLOOKUP($I249&amp;$J249&amp;Q$1,Pesos!$A:$I,7,FALSE),VLOOKUP($I249&amp;$J249&amp;Q$1,Pesos!$A:$I,9,FALSE)))</f>
        <v>0.8</v>
      </c>
      <c r="AJ249" s="80">
        <f>IF(R249="","",IF(R249="SIM",VLOOKUP($I249&amp;$J249&amp;R$1,Pesos!$A:$I,7,FALSE),VLOOKUP($I249&amp;$J249&amp;R$1,Pesos!$A:$I,9,FALSE)))</f>
        <v>0.8</v>
      </c>
      <c r="AK249" s="80">
        <f>IF(S249="","",IF(S249="SIM",VLOOKUP($I249&amp;$J249&amp;S$1,Pesos!$A:$I,7,FALSE),VLOOKUP($I249&amp;$J249&amp;S$1,Pesos!$A:$I,9,FALSE)))</f>
        <v>0.8</v>
      </c>
      <c r="AL249" s="80">
        <f t="shared" si="35"/>
        <v>5.1999999999999993</v>
      </c>
      <c r="AM249" s="80">
        <f>IF(T249="","",IF(T249="SIM",VLOOKUP($I249&amp;$J249&amp;T$1,Pesos!$A:$I,7,FALSE),VLOOKUP($I249&amp;$J249&amp;T$1,Pesos!$A:$I,9,FALSE)))</f>
        <v>0.8</v>
      </c>
      <c r="AN249" s="80">
        <f>IF(U249="","",IF(U249="SIM",VLOOKUP($I249&amp;$J249&amp;U$1,Pesos!$A:$I,7,FALSE),VLOOKUP($I249&amp;$J249&amp;U$1,Pesos!$A:$I,9,FALSE)))</f>
        <v>0.8</v>
      </c>
      <c r="AO249" s="80">
        <f>IF(V249="","",IF(V249="SIM",VLOOKUP($I249&amp;$J249&amp;V$1,Pesos!$A:$I,7,FALSE),VLOOKUP($I249&amp;$J249&amp;V$1,Pesos!$A:$I,9,FALSE)))</f>
        <v>0.8</v>
      </c>
      <c r="AP249" s="80">
        <f>IF(W249="","",IF(W249="SIM",VLOOKUP($I249&amp;$J249&amp;W$1,Pesos!$A:$I,7,FALSE),VLOOKUP($I249&amp;$J249&amp;W$1,Pesos!$A:$I,9,FALSE)))</f>
        <v>0.8</v>
      </c>
      <c r="AQ249" s="80">
        <f>IF(X249="","",IF(X249="SIM",VLOOKUP($I249&amp;$J249&amp;X$1,Pesos!$A:$I,7,FALSE),VLOOKUP($I249&amp;$J249&amp;X$1,Pesos!$A:$I,9,FALSE)))</f>
        <v>0.8</v>
      </c>
      <c r="AR249" s="80">
        <f>IF(Y249="","",IF(Y249="SIM",VLOOKUP($I249&amp;$J249&amp;Y$1,Pesos!$A:$I,7,FALSE),VLOOKUP($I249&amp;$J249&amp;Y$1,Pesos!$A:$I,9,FALSE)))</f>
        <v>0.8</v>
      </c>
      <c r="AS249" s="81">
        <f>IFERROR(Z249*VLOOKUP(J249,'BD Campos'!$Y$1:$Z$12,2,FALSE),"0")</f>
        <v>10</v>
      </c>
    </row>
    <row r="250" spans="1:45" x14ac:dyDescent="0.35">
      <c r="A250" s="68" t="str">
        <f t="shared" si="32"/>
        <v>Jan202510639MotoristaDISTRIBUIÇÃO</v>
      </c>
      <c r="B250" s="69" t="str">
        <f t="shared" si="33"/>
        <v>Jan2025106391DISTRIBUIÇÃOPADRÃO</v>
      </c>
      <c r="C250" s="70">
        <v>1</v>
      </c>
      <c r="D250" s="71">
        <v>45678.468682754632</v>
      </c>
      <c r="E250" s="112" t="s">
        <v>74</v>
      </c>
      <c r="F250" s="72">
        <v>10639</v>
      </c>
      <c r="G250" s="69" t="s">
        <v>452</v>
      </c>
      <c r="H250" s="73">
        <v>1</v>
      </c>
      <c r="I250" s="69" t="s">
        <v>123</v>
      </c>
      <c r="J250" s="69" t="s">
        <v>122</v>
      </c>
      <c r="K250" s="69" t="s">
        <v>23</v>
      </c>
      <c r="L250" s="74">
        <v>30922983</v>
      </c>
      <c r="M250" s="75">
        <v>1.3078703703703705E-3</v>
      </c>
      <c r="N250" s="76" t="s">
        <v>79</v>
      </c>
      <c r="O250" s="76" t="s">
        <v>79</v>
      </c>
      <c r="P250" s="76" t="s">
        <v>79</v>
      </c>
      <c r="Q250" s="76" t="s">
        <v>79</v>
      </c>
      <c r="R250" s="76" t="s">
        <v>79</v>
      </c>
      <c r="S250" s="76" t="s">
        <v>79</v>
      </c>
      <c r="T250" s="76" t="s">
        <v>79</v>
      </c>
      <c r="U250" s="76" t="s">
        <v>79</v>
      </c>
      <c r="V250" s="76" t="s">
        <v>79</v>
      </c>
      <c r="W250" s="76" t="s">
        <v>79</v>
      </c>
      <c r="X250" s="76"/>
      <c r="Y250" s="76"/>
      <c r="Z250" s="77">
        <f t="shared" si="2"/>
        <v>10</v>
      </c>
      <c r="AA250" s="78"/>
      <c r="AB250" s="78" t="s">
        <v>1559</v>
      </c>
      <c r="AC250" s="72" t="s">
        <v>47</v>
      </c>
      <c r="AE250" s="79" t="str">
        <f t="shared" si="34"/>
        <v>Jan10639</v>
      </c>
      <c r="AF250" s="80">
        <f>IF(N250="","",IF(N250="SIM",VLOOKUP($I250&amp;$J250&amp;N$1,Pesos!$A:$I,7,FALSE),VLOOKUP($I250&amp;$J250&amp;N$1,Pesos!$A:$I,9,FALSE)))</f>
        <v>1</v>
      </c>
      <c r="AG250" s="80">
        <f>IF(O250="","",IF(O250="SIM",VLOOKUP($I250&amp;$J250&amp;O$1,Pesos!$A:$I,7,FALSE),VLOOKUP($I250&amp;$J250&amp;O$1,Pesos!$A:$I,9,FALSE)))</f>
        <v>1</v>
      </c>
      <c r="AH250" s="80">
        <f>IF(P250="","",IF(P250="SIM",VLOOKUP($I250&amp;$J250&amp;P$1,Pesos!$A:$I,7,FALSE),VLOOKUP($I250&amp;$J250&amp;P$1,Pesos!$A:$I,9,FALSE)))</f>
        <v>1</v>
      </c>
      <c r="AI250" s="80">
        <f>IF(Q250="","",IF(Q250="SIM",VLOOKUP($I250&amp;$J250&amp;Q$1,Pesos!$A:$I,7,FALSE),VLOOKUP($I250&amp;$J250&amp;Q$1,Pesos!$A:$I,9,FALSE)))</f>
        <v>1</v>
      </c>
      <c r="AJ250" s="80">
        <f>IF(R250="","",IF(R250="SIM",VLOOKUP($I250&amp;$J250&amp;R$1,Pesos!$A:$I,7,FALSE),VLOOKUP($I250&amp;$J250&amp;R$1,Pesos!$A:$I,9,FALSE)))</f>
        <v>1</v>
      </c>
      <c r="AK250" s="80">
        <f>IF(S250="","",IF(S250="SIM",VLOOKUP($I250&amp;$J250&amp;S$1,Pesos!$A:$I,7,FALSE),VLOOKUP($I250&amp;$J250&amp;S$1,Pesos!$A:$I,9,FALSE)))</f>
        <v>1</v>
      </c>
      <c r="AL250" s="80">
        <f t="shared" si="35"/>
        <v>6</v>
      </c>
      <c r="AM250" s="80">
        <f>IF(T250="","",IF(T250="SIM",VLOOKUP($I250&amp;$J250&amp;T$1,Pesos!$A:$I,7,FALSE),VLOOKUP($I250&amp;$J250&amp;T$1,Pesos!$A:$I,9,FALSE)))</f>
        <v>1</v>
      </c>
      <c r="AN250" s="80">
        <f>IF(U250="","",IF(U250="SIM",VLOOKUP($I250&amp;$J250&amp;U$1,Pesos!$A:$I,7,FALSE),VLOOKUP($I250&amp;$J250&amp;U$1,Pesos!$A:$I,9,FALSE)))</f>
        <v>1</v>
      </c>
      <c r="AO250" s="80">
        <f>IF(V250="","",IF(V250="SIM",VLOOKUP($I250&amp;$J250&amp;V$1,Pesos!$A:$I,7,FALSE),VLOOKUP($I250&amp;$J250&amp;V$1,Pesos!$A:$I,9,FALSE)))</f>
        <v>1</v>
      </c>
      <c r="AP250" s="80">
        <f>IF(W250="","",IF(W250="SIM",VLOOKUP($I250&amp;$J250&amp;W$1,Pesos!$A:$I,7,FALSE),VLOOKUP($I250&amp;$J250&amp;W$1,Pesos!$A:$I,9,FALSE)))</f>
        <v>1</v>
      </c>
      <c r="AQ250" s="80" t="str">
        <f>IF(X250="","",IF(X250="SIM",VLOOKUP($I250&amp;$J250&amp;X$1,Pesos!$A:$I,7,FALSE),VLOOKUP($I250&amp;$J250&amp;X$1,Pesos!$A:$I,9,FALSE)))</f>
        <v/>
      </c>
      <c r="AR250" s="80" t="str">
        <f>IF(Y250="","",IF(Y250="SIM",VLOOKUP($I250&amp;$J250&amp;Y$1,Pesos!$A:$I,7,FALSE),VLOOKUP($I250&amp;$J250&amp;Y$1,Pesos!$A:$I,9,FALSE)))</f>
        <v/>
      </c>
      <c r="AS250" s="81">
        <f>IFERROR(Z250*VLOOKUP(J250,'BD Campos'!$Y$1:$Z$12,2,FALSE),"0")</f>
        <v>10</v>
      </c>
    </row>
    <row r="251" spans="1:45" x14ac:dyDescent="0.35">
      <c r="A251" s="68" t="str">
        <f t="shared" si="32"/>
        <v>Jan202511079MotoristaDISTRIBUIÇÃO</v>
      </c>
      <c r="B251" s="69" t="str">
        <f t="shared" si="33"/>
        <v>Jan2025110791DISTRIBUIÇÃOPADRÃO</v>
      </c>
      <c r="C251" s="70">
        <v>1</v>
      </c>
      <c r="D251" s="71">
        <v>45678.474980671293</v>
      </c>
      <c r="E251" s="112" t="s">
        <v>74</v>
      </c>
      <c r="F251" s="72">
        <v>11079</v>
      </c>
      <c r="G251" s="69" t="s">
        <v>410</v>
      </c>
      <c r="H251" s="73">
        <v>1</v>
      </c>
      <c r="I251" s="69" t="s">
        <v>123</v>
      </c>
      <c r="J251" s="69" t="s">
        <v>122</v>
      </c>
      <c r="K251" s="69" t="s">
        <v>23</v>
      </c>
      <c r="L251" s="74">
        <v>30763234</v>
      </c>
      <c r="M251" s="75">
        <v>9.3055555555555548E-3</v>
      </c>
      <c r="N251" s="76"/>
      <c r="O251" s="76"/>
      <c r="P251" s="76"/>
      <c r="Q251" s="76"/>
      <c r="R251" s="76"/>
      <c r="S251" s="76"/>
      <c r="T251" s="76"/>
      <c r="U251" s="76"/>
      <c r="V251" s="76"/>
      <c r="W251" s="76"/>
      <c r="X251" s="76"/>
      <c r="Y251" s="76"/>
      <c r="Z251" s="77">
        <f t="shared" si="2"/>
        <v>0</v>
      </c>
      <c r="AA251" s="78" t="s">
        <v>1561</v>
      </c>
      <c r="AB251" s="78" t="s">
        <v>1560</v>
      </c>
      <c r="AC251" s="72" t="s">
        <v>47</v>
      </c>
      <c r="AE251" s="79" t="str">
        <f>E251&amp;F251</f>
        <v>Jan11079</v>
      </c>
      <c r="AF251" s="80" t="str">
        <f>IF(N251="","",IF(N251="SIM",VLOOKUP($I251&amp;$J251&amp;N$1,Pesos!$A:$I,7,FALSE),VLOOKUP($I251&amp;$J251&amp;N$1,Pesos!$A:$I,9,FALSE)))</f>
        <v/>
      </c>
      <c r="AG251" s="80" t="str">
        <f>IF(O251="","",IF(O251="SIM",VLOOKUP($I251&amp;$J251&amp;O$1,Pesos!$A:$I,7,FALSE),VLOOKUP($I251&amp;$J251&amp;O$1,Pesos!$A:$I,9,FALSE)))</f>
        <v/>
      </c>
      <c r="AH251" s="80" t="str">
        <f>IF(P251="","",IF(P251="SIM",VLOOKUP($I251&amp;$J251&amp;P$1,Pesos!$A:$I,7,FALSE),VLOOKUP($I251&amp;$J251&amp;P$1,Pesos!$A:$I,9,FALSE)))</f>
        <v/>
      </c>
      <c r="AI251" s="80" t="str">
        <f>IF(Q251="","",IF(Q251="SIM",VLOOKUP($I251&amp;$J251&amp;Q$1,Pesos!$A:$I,7,FALSE),VLOOKUP($I251&amp;$J251&amp;Q$1,Pesos!$A:$I,9,FALSE)))</f>
        <v/>
      </c>
      <c r="AJ251" s="80" t="str">
        <f>IF(R251="","",IF(R251="SIM",VLOOKUP($I251&amp;$J251&amp;R$1,Pesos!$A:$I,7,FALSE),VLOOKUP($I251&amp;$J251&amp;R$1,Pesos!$A:$I,9,FALSE)))</f>
        <v/>
      </c>
      <c r="AK251" s="80" t="str">
        <f>IF(S251="","",IF(S251="SIM",VLOOKUP($I251&amp;$J251&amp;S$1,Pesos!$A:$I,7,FALSE),VLOOKUP($I251&amp;$J251&amp;S$1,Pesos!$A:$I,9,FALSE)))</f>
        <v/>
      </c>
      <c r="AL251" s="80">
        <f>SUM(AF251:AK251)</f>
        <v>0</v>
      </c>
      <c r="AM251" s="80" t="str">
        <f>IF(T251="","",IF(T251="SIM",VLOOKUP($I251&amp;$J251&amp;T$1,Pesos!$A:$I,7,FALSE),VLOOKUP($I251&amp;$J251&amp;T$1,Pesos!$A:$I,9,FALSE)))</f>
        <v/>
      </c>
      <c r="AN251" s="80" t="str">
        <f>IF(U251="","",IF(U251="SIM",VLOOKUP($I251&amp;$J251&amp;U$1,Pesos!$A:$I,7,FALSE),VLOOKUP($I251&amp;$J251&amp;U$1,Pesos!$A:$I,9,FALSE)))</f>
        <v/>
      </c>
      <c r="AO251" s="80" t="str">
        <f>IF(V251="","",IF(V251="SIM",VLOOKUP($I251&amp;$J251&amp;V$1,Pesos!$A:$I,7,FALSE),VLOOKUP($I251&amp;$J251&amp;V$1,Pesos!$A:$I,9,FALSE)))</f>
        <v/>
      </c>
      <c r="AP251" s="80" t="str">
        <f>IF(W251="","",IF(W251="SIM",VLOOKUP($I251&amp;$J251&amp;W$1,Pesos!$A:$I,7,FALSE),VLOOKUP($I251&amp;$J251&amp;W$1,Pesos!$A:$I,9,FALSE)))</f>
        <v/>
      </c>
      <c r="AQ251" s="80" t="str">
        <f>IF(X251="","",IF(X251="SIM",VLOOKUP($I251&amp;$J251&amp;X$1,Pesos!$A:$I,7,FALSE),VLOOKUP($I251&amp;$J251&amp;X$1,Pesos!$A:$I,9,FALSE)))</f>
        <v/>
      </c>
      <c r="AR251" s="80" t="str">
        <f>IF(Y251="","",IF(Y251="SIM",VLOOKUP($I251&amp;$J251&amp;Y$1,Pesos!$A:$I,7,FALSE),VLOOKUP($I251&amp;$J251&amp;Y$1,Pesos!$A:$I,9,FALSE)))</f>
        <v/>
      </c>
      <c r="AS251" s="81">
        <f>IFERROR(Z251*VLOOKUP(J251,'BD Campos'!$Y$1:$Z$12,2,FALSE),"0")</f>
        <v>0</v>
      </c>
    </row>
    <row r="252" spans="1:45" x14ac:dyDescent="0.35">
      <c r="A252" s="68" t="str">
        <f t="shared" si="32"/>
        <v>Jan202511079ReceptivaDISTRIBUIÇÃO</v>
      </c>
      <c r="B252" s="69" t="str">
        <f t="shared" si="33"/>
        <v>Jan2025110795DISTRIBUIÇÃOPADRÃO</v>
      </c>
      <c r="C252" s="70">
        <v>1</v>
      </c>
      <c r="D252" s="71">
        <v>45678.479777199071</v>
      </c>
      <c r="E252" s="112" t="s">
        <v>74</v>
      </c>
      <c r="F252" s="72">
        <v>11079</v>
      </c>
      <c r="G252" s="69" t="s">
        <v>410</v>
      </c>
      <c r="H252" s="73">
        <v>5</v>
      </c>
      <c r="I252" s="69" t="s">
        <v>6</v>
      </c>
      <c r="J252" s="69" t="s">
        <v>98</v>
      </c>
      <c r="K252" s="69" t="s">
        <v>23</v>
      </c>
      <c r="L252" s="74"/>
      <c r="M252" s="75">
        <v>1.2152777777777778E-3</v>
      </c>
      <c r="N252" s="76" t="s">
        <v>79</v>
      </c>
      <c r="O252" s="76" t="s">
        <v>79</v>
      </c>
      <c r="P252" s="76" t="s">
        <v>79</v>
      </c>
      <c r="Q252" s="76" t="s">
        <v>79</v>
      </c>
      <c r="R252" s="76" t="s">
        <v>79</v>
      </c>
      <c r="S252" s="76" t="s">
        <v>79</v>
      </c>
      <c r="T252" s="76" t="s">
        <v>79</v>
      </c>
      <c r="U252" s="76" t="s">
        <v>79</v>
      </c>
      <c r="V252" s="76" t="s">
        <v>79</v>
      </c>
      <c r="W252" s="76" t="s">
        <v>79</v>
      </c>
      <c r="X252" s="76" t="s">
        <v>79</v>
      </c>
      <c r="Y252" s="76" t="s">
        <v>79</v>
      </c>
      <c r="Z252" s="77">
        <f t="shared" si="2"/>
        <v>10</v>
      </c>
      <c r="AA252" s="78"/>
      <c r="AB252" s="78"/>
      <c r="AC252" s="72" t="s">
        <v>47</v>
      </c>
      <c r="AE252" s="79" t="str">
        <f t="shared" ref="AE252:AE266" si="36">E252&amp;F252</f>
        <v>Jan11079</v>
      </c>
      <c r="AF252" s="80">
        <f>IF(N252="","",IF(N252="SIM",VLOOKUP($I252&amp;$J252&amp;N$1,Pesos!$A:$I,7,FALSE),VLOOKUP($I252&amp;$J252&amp;N$1,Pesos!$A:$I,9,FALSE)))</f>
        <v>0.8</v>
      </c>
      <c r="AG252" s="80">
        <f>IF(O252="","",IF(O252="SIM",VLOOKUP($I252&amp;$J252&amp;O$1,Pesos!$A:$I,7,FALSE),VLOOKUP($I252&amp;$J252&amp;O$1,Pesos!$A:$I,9,FALSE)))</f>
        <v>0.8</v>
      </c>
      <c r="AH252" s="80">
        <f>IF(P252="","",IF(P252="SIM",VLOOKUP($I252&amp;$J252&amp;P$1,Pesos!$A:$I,7,FALSE),VLOOKUP($I252&amp;$J252&amp;P$1,Pesos!$A:$I,9,FALSE)))</f>
        <v>1.2</v>
      </c>
      <c r="AI252" s="80">
        <f>IF(Q252="","",IF(Q252="SIM",VLOOKUP($I252&amp;$J252&amp;Q$1,Pesos!$A:$I,7,FALSE),VLOOKUP($I252&amp;$J252&amp;Q$1,Pesos!$A:$I,9,FALSE)))</f>
        <v>0.8</v>
      </c>
      <c r="AJ252" s="80">
        <f>IF(R252="","",IF(R252="SIM",VLOOKUP($I252&amp;$J252&amp;R$1,Pesos!$A:$I,7,FALSE),VLOOKUP($I252&amp;$J252&amp;R$1,Pesos!$A:$I,9,FALSE)))</f>
        <v>0.8</v>
      </c>
      <c r="AK252" s="80">
        <f>IF(S252="","",IF(S252="SIM",VLOOKUP($I252&amp;$J252&amp;S$1,Pesos!$A:$I,7,FALSE),VLOOKUP($I252&amp;$J252&amp;S$1,Pesos!$A:$I,9,FALSE)))</f>
        <v>0.8</v>
      </c>
      <c r="AL252" s="80">
        <f t="shared" ref="AL252:AL266" si="37">SUM(AF252:AK252)</f>
        <v>5.1999999999999993</v>
      </c>
      <c r="AM252" s="80">
        <f>IF(T252="","",IF(T252="SIM",VLOOKUP($I252&amp;$J252&amp;T$1,Pesos!$A:$I,7,FALSE),VLOOKUP($I252&amp;$J252&amp;T$1,Pesos!$A:$I,9,FALSE)))</f>
        <v>0.8</v>
      </c>
      <c r="AN252" s="80">
        <f>IF(U252="","",IF(U252="SIM",VLOOKUP($I252&amp;$J252&amp;U$1,Pesos!$A:$I,7,FALSE),VLOOKUP($I252&amp;$J252&amp;U$1,Pesos!$A:$I,9,FALSE)))</f>
        <v>0.8</v>
      </c>
      <c r="AO252" s="80">
        <f>IF(V252="","",IF(V252="SIM",VLOOKUP($I252&amp;$J252&amp;V$1,Pesos!$A:$I,7,FALSE),VLOOKUP($I252&amp;$J252&amp;V$1,Pesos!$A:$I,9,FALSE)))</f>
        <v>0.8</v>
      </c>
      <c r="AP252" s="80">
        <f>IF(W252="","",IF(W252="SIM",VLOOKUP($I252&amp;$J252&amp;W$1,Pesos!$A:$I,7,FALSE),VLOOKUP($I252&amp;$J252&amp;W$1,Pesos!$A:$I,9,FALSE)))</f>
        <v>0.8</v>
      </c>
      <c r="AQ252" s="80">
        <f>IF(X252="","",IF(X252="SIM",VLOOKUP($I252&amp;$J252&amp;X$1,Pesos!$A:$I,7,FALSE),VLOOKUP($I252&amp;$J252&amp;X$1,Pesos!$A:$I,9,FALSE)))</f>
        <v>0.8</v>
      </c>
      <c r="AR252" s="80">
        <f>IF(Y252="","",IF(Y252="SIM",VLOOKUP($I252&amp;$J252&amp;Y$1,Pesos!$A:$I,7,FALSE),VLOOKUP($I252&amp;$J252&amp;Y$1,Pesos!$A:$I,9,FALSE)))</f>
        <v>0.8</v>
      </c>
      <c r="AS252" s="81">
        <f>IFERROR(Z252*VLOOKUP(J252,'BD Campos'!$Y$1:$Z$12,2,FALSE),"0")</f>
        <v>10</v>
      </c>
    </row>
    <row r="253" spans="1:45" x14ac:dyDescent="0.35">
      <c r="A253" s="68" t="str">
        <f t="shared" si="32"/>
        <v>Jan202511095ReceptivaDISTRIBUIÇÃO</v>
      </c>
      <c r="B253" s="69" t="str">
        <f t="shared" si="33"/>
        <v>Jan2025110955DISTRIBUIÇÃOPADRÃO</v>
      </c>
      <c r="C253" s="70">
        <v>1</v>
      </c>
      <c r="D253" s="71">
        <v>45678.481806481483</v>
      </c>
      <c r="E253" s="112" t="s">
        <v>74</v>
      </c>
      <c r="F253" s="72">
        <v>11095</v>
      </c>
      <c r="G253" s="69" t="s">
        <v>424</v>
      </c>
      <c r="H253" s="73">
        <v>5</v>
      </c>
      <c r="I253" s="69" t="s">
        <v>6</v>
      </c>
      <c r="J253" s="69" t="s">
        <v>98</v>
      </c>
      <c r="K253" s="69" t="s">
        <v>23</v>
      </c>
      <c r="L253" s="74"/>
      <c r="M253" s="75">
        <v>1.6203703703703703E-3</v>
      </c>
      <c r="N253" s="76" t="s">
        <v>79</v>
      </c>
      <c r="O253" s="76" t="s">
        <v>79</v>
      </c>
      <c r="P253" s="76" t="s">
        <v>79</v>
      </c>
      <c r="Q253" s="76" t="s">
        <v>79</v>
      </c>
      <c r="R253" s="76" t="s">
        <v>79</v>
      </c>
      <c r="S253" s="76" t="s">
        <v>79</v>
      </c>
      <c r="T253" s="76" t="s">
        <v>79</v>
      </c>
      <c r="U253" s="76" t="s">
        <v>79</v>
      </c>
      <c r="V253" s="76" t="s">
        <v>79</v>
      </c>
      <c r="W253" s="76" t="s">
        <v>79</v>
      </c>
      <c r="X253" s="76" t="s">
        <v>79</v>
      </c>
      <c r="Y253" s="76" t="s">
        <v>79</v>
      </c>
      <c r="Z253" s="77">
        <f t="shared" si="2"/>
        <v>10</v>
      </c>
      <c r="AA253" s="78"/>
      <c r="AB253" s="78"/>
      <c r="AC253" s="72" t="s">
        <v>47</v>
      </c>
      <c r="AE253" s="79" t="str">
        <f t="shared" si="36"/>
        <v>Jan11095</v>
      </c>
      <c r="AF253" s="80">
        <f>IF(N253="","",IF(N253="SIM",VLOOKUP($I253&amp;$J253&amp;N$1,Pesos!$A:$I,7,FALSE),VLOOKUP($I253&amp;$J253&amp;N$1,Pesos!$A:$I,9,FALSE)))</f>
        <v>0.8</v>
      </c>
      <c r="AG253" s="80">
        <f>IF(O253="","",IF(O253="SIM",VLOOKUP($I253&amp;$J253&amp;O$1,Pesos!$A:$I,7,FALSE),VLOOKUP($I253&amp;$J253&amp;O$1,Pesos!$A:$I,9,FALSE)))</f>
        <v>0.8</v>
      </c>
      <c r="AH253" s="80">
        <f>IF(P253="","",IF(P253="SIM",VLOOKUP($I253&amp;$J253&amp;P$1,Pesos!$A:$I,7,FALSE),VLOOKUP($I253&amp;$J253&amp;P$1,Pesos!$A:$I,9,FALSE)))</f>
        <v>1.2</v>
      </c>
      <c r="AI253" s="80">
        <f>IF(Q253="","",IF(Q253="SIM",VLOOKUP($I253&amp;$J253&amp;Q$1,Pesos!$A:$I,7,FALSE),VLOOKUP($I253&amp;$J253&amp;Q$1,Pesos!$A:$I,9,FALSE)))</f>
        <v>0.8</v>
      </c>
      <c r="AJ253" s="80">
        <f>IF(R253="","",IF(R253="SIM",VLOOKUP($I253&amp;$J253&amp;R$1,Pesos!$A:$I,7,FALSE),VLOOKUP($I253&amp;$J253&amp;R$1,Pesos!$A:$I,9,FALSE)))</f>
        <v>0.8</v>
      </c>
      <c r="AK253" s="80">
        <f>IF(S253="","",IF(S253="SIM",VLOOKUP($I253&amp;$J253&amp;S$1,Pesos!$A:$I,7,FALSE),VLOOKUP($I253&amp;$J253&amp;S$1,Pesos!$A:$I,9,FALSE)))</f>
        <v>0.8</v>
      </c>
      <c r="AL253" s="80">
        <f t="shared" si="37"/>
        <v>5.1999999999999993</v>
      </c>
      <c r="AM253" s="80">
        <f>IF(T253="","",IF(T253="SIM",VLOOKUP($I253&amp;$J253&amp;T$1,Pesos!$A:$I,7,FALSE),VLOOKUP($I253&amp;$J253&amp;T$1,Pesos!$A:$I,9,FALSE)))</f>
        <v>0.8</v>
      </c>
      <c r="AN253" s="80">
        <f>IF(U253="","",IF(U253="SIM",VLOOKUP($I253&amp;$J253&amp;U$1,Pesos!$A:$I,7,FALSE),VLOOKUP($I253&amp;$J253&amp;U$1,Pesos!$A:$I,9,FALSE)))</f>
        <v>0.8</v>
      </c>
      <c r="AO253" s="80">
        <f>IF(V253="","",IF(V253="SIM",VLOOKUP($I253&amp;$J253&amp;V$1,Pesos!$A:$I,7,FALSE),VLOOKUP($I253&amp;$J253&amp;V$1,Pesos!$A:$I,9,FALSE)))</f>
        <v>0.8</v>
      </c>
      <c r="AP253" s="80">
        <f>IF(W253="","",IF(W253="SIM",VLOOKUP($I253&amp;$J253&amp;W$1,Pesos!$A:$I,7,FALSE),VLOOKUP($I253&amp;$J253&amp;W$1,Pesos!$A:$I,9,FALSE)))</f>
        <v>0.8</v>
      </c>
      <c r="AQ253" s="80">
        <f>IF(X253="","",IF(X253="SIM",VLOOKUP($I253&amp;$J253&amp;X$1,Pesos!$A:$I,7,FALSE),VLOOKUP($I253&amp;$J253&amp;X$1,Pesos!$A:$I,9,FALSE)))</f>
        <v>0.8</v>
      </c>
      <c r="AR253" s="80">
        <f>IF(Y253="","",IF(Y253="SIM",VLOOKUP($I253&amp;$J253&amp;Y$1,Pesos!$A:$I,7,FALSE),VLOOKUP($I253&amp;$J253&amp;Y$1,Pesos!$A:$I,9,FALSE)))</f>
        <v>0.8</v>
      </c>
      <c r="AS253" s="81">
        <f>IFERROR(Z253*VLOOKUP(J253,'BD Campos'!$Y$1:$Z$12,2,FALSE),"0")</f>
        <v>10</v>
      </c>
    </row>
    <row r="254" spans="1:45" x14ac:dyDescent="0.35">
      <c r="A254" s="68" t="str">
        <f t="shared" si="32"/>
        <v>Jan202511095MotoristaDISTRIBUIÇÃO</v>
      </c>
      <c r="B254" s="69" t="str">
        <f t="shared" si="33"/>
        <v>Jan2025110951DISTRIBUIÇÃOPADRÃO</v>
      </c>
      <c r="C254" s="70">
        <v>1</v>
      </c>
      <c r="D254" s="71">
        <v>45678.48576087963</v>
      </c>
      <c r="E254" s="112" t="s">
        <v>74</v>
      </c>
      <c r="F254" s="72">
        <v>11095</v>
      </c>
      <c r="G254" s="69" t="s">
        <v>424</v>
      </c>
      <c r="H254" s="73">
        <v>1</v>
      </c>
      <c r="I254" s="69" t="s">
        <v>123</v>
      </c>
      <c r="J254" s="69" t="s">
        <v>122</v>
      </c>
      <c r="K254" s="69" t="s">
        <v>23</v>
      </c>
      <c r="L254" s="74">
        <v>30823360</v>
      </c>
      <c r="M254" s="75">
        <v>1.1689814814814816E-3</v>
      </c>
      <c r="N254" s="76" t="s">
        <v>79</v>
      </c>
      <c r="O254" s="76" t="s">
        <v>79</v>
      </c>
      <c r="P254" s="76" t="s">
        <v>79</v>
      </c>
      <c r="Q254" s="76" t="s">
        <v>79</v>
      </c>
      <c r="R254" s="76" t="s">
        <v>79</v>
      </c>
      <c r="S254" s="76" t="s">
        <v>79</v>
      </c>
      <c r="T254" s="76" t="s">
        <v>79</v>
      </c>
      <c r="U254" s="76" t="s">
        <v>79</v>
      </c>
      <c r="V254" s="76" t="s">
        <v>79</v>
      </c>
      <c r="W254" s="76" t="s">
        <v>79</v>
      </c>
      <c r="X254" s="76"/>
      <c r="Y254" s="76"/>
      <c r="Z254" s="77">
        <f t="shared" si="2"/>
        <v>10</v>
      </c>
      <c r="AA254" s="78"/>
      <c r="AB254" s="78" t="s">
        <v>1562</v>
      </c>
      <c r="AC254" s="72" t="s">
        <v>47</v>
      </c>
      <c r="AE254" s="79" t="str">
        <f t="shared" si="36"/>
        <v>Jan11095</v>
      </c>
      <c r="AF254" s="80">
        <f>IF(N254="","",IF(N254="SIM",VLOOKUP($I254&amp;$J254&amp;N$1,Pesos!$A:$I,7,FALSE),VLOOKUP($I254&amp;$J254&amp;N$1,Pesos!$A:$I,9,FALSE)))</f>
        <v>1</v>
      </c>
      <c r="AG254" s="80">
        <f>IF(O254="","",IF(O254="SIM",VLOOKUP($I254&amp;$J254&amp;O$1,Pesos!$A:$I,7,FALSE),VLOOKUP($I254&amp;$J254&amp;O$1,Pesos!$A:$I,9,FALSE)))</f>
        <v>1</v>
      </c>
      <c r="AH254" s="80">
        <f>IF(P254="","",IF(P254="SIM",VLOOKUP($I254&amp;$J254&amp;P$1,Pesos!$A:$I,7,FALSE),VLOOKUP($I254&amp;$J254&amp;P$1,Pesos!$A:$I,9,FALSE)))</f>
        <v>1</v>
      </c>
      <c r="AI254" s="80">
        <f>IF(Q254="","",IF(Q254="SIM",VLOOKUP($I254&amp;$J254&amp;Q$1,Pesos!$A:$I,7,FALSE),VLOOKUP($I254&amp;$J254&amp;Q$1,Pesos!$A:$I,9,FALSE)))</f>
        <v>1</v>
      </c>
      <c r="AJ254" s="80">
        <f>IF(R254="","",IF(R254="SIM",VLOOKUP($I254&amp;$J254&amp;R$1,Pesos!$A:$I,7,FALSE),VLOOKUP($I254&amp;$J254&amp;R$1,Pesos!$A:$I,9,FALSE)))</f>
        <v>1</v>
      </c>
      <c r="AK254" s="80">
        <f>IF(S254="","",IF(S254="SIM",VLOOKUP($I254&amp;$J254&amp;S$1,Pesos!$A:$I,7,FALSE),VLOOKUP($I254&amp;$J254&amp;S$1,Pesos!$A:$I,9,FALSE)))</f>
        <v>1</v>
      </c>
      <c r="AL254" s="80">
        <f t="shared" si="37"/>
        <v>6</v>
      </c>
      <c r="AM254" s="80">
        <f>IF(T254="","",IF(T254="SIM",VLOOKUP($I254&amp;$J254&amp;T$1,Pesos!$A:$I,7,FALSE),VLOOKUP($I254&amp;$J254&amp;T$1,Pesos!$A:$I,9,FALSE)))</f>
        <v>1</v>
      </c>
      <c r="AN254" s="80">
        <f>IF(U254="","",IF(U254="SIM",VLOOKUP($I254&amp;$J254&amp;U$1,Pesos!$A:$I,7,FALSE),VLOOKUP($I254&amp;$J254&amp;U$1,Pesos!$A:$I,9,FALSE)))</f>
        <v>1</v>
      </c>
      <c r="AO254" s="80">
        <f>IF(V254="","",IF(V254="SIM",VLOOKUP($I254&amp;$J254&amp;V$1,Pesos!$A:$I,7,FALSE),VLOOKUP($I254&amp;$J254&amp;V$1,Pesos!$A:$I,9,FALSE)))</f>
        <v>1</v>
      </c>
      <c r="AP254" s="80">
        <f>IF(W254="","",IF(W254="SIM",VLOOKUP($I254&amp;$J254&amp;W$1,Pesos!$A:$I,7,FALSE),VLOOKUP($I254&amp;$J254&amp;W$1,Pesos!$A:$I,9,FALSE)))</f>
        <v>1</v>
      </c>
      <c r="AQ254" s="80" t="str">
        <f>IF(X254="","",IF(X254="SIM",VLOOKUP($I254&amp;$J254&amp;X$1,Pesos!$A:$I,7,FALSE),VLOOKUP($I254&amp;$J254&amp;X$1,Pesos!$A:$I,9,FALSE)))</f>
        <v/>
      </c>
      <c r="AR254" s="80" t="str">
        <f>IF(Y254="","",IF(Y254="SIM",VLOOKUP($I254&amp;$J254&amp;Y$1,Pesos!$A:$I,7,FALSE),VLOOKUP($I254&amp;$J254&amp;Y$1,Pesos!$A:$I,9,FALSE)))</f>
        <v/>
      </c>
      <c r="AS254" s="81">
        <f>IFERROR(Z254*VLOOKUP(J254,'BD Campos'!$Y$1:$Z$12,2,FALSE),"0")</f>
        <v>10</v>
      </c>
    </row>
    <row r="255" spans="1:45" x14ac:dyDescent="0.35">
      <c r="A255" s="68" t="str">
        <f t="shared" si="32"/>
        <v>Jan202511016ReceptivaDISTRIBUIÇÃO</v>
      </c>
      <c r="B255" s="69" t="str">
        <f t="shared" si="33"/>
        <v>Jan2025110165DISTRIBUIÇÃOPADRÃO</v>
      </c>
      <c r="C255" s="70">
        <v>1</v>
      </c>
      <c r="D255" s="71">
        <v>45678.495404398149</v>
      </c>
      <c r="E255" s="112" t="s">
        <v>74</v>
      </c>
      <c r="F255" s="72">
        <v>11016</v>
      </c>
      <c r="G255" s="69" t="s">
        <v>261</v>
      </c>
      <c r="H255" s="73">
        <v>5</v>
      </c>
      <c r="I255" s="69" t="s">
        <v>6</v>
      </c>
      <c r="J255" s="69" t="s">
        <v>98</v>
      </c>
      <c r="K255" s="69" t="s">
        <v>23</v>
      </c>
      <c r="L255" s="74"/>
      <c r="M255" s="75">
        <v>1.1111111111111111E-3</v>
      </c>
      <c r="N255" s="76"/>
      <c r="O255" s="76"/>
      <c r="P255" s="76"/>
      <c r="Q255" s="76"/>
      <c r="R255" s="76"/>
      <c r="S255" s="76"/>
      <c r="T255" s="76"/>
      <c r="U255" s="76"/>
      <c r="V255" s="76"/>
      <c r="W255" s="76"/>
      <c r="X255" s="76"/>
      <c r="Y255" s="76"/>
      <c r="Z255" s="77">
        <f t="shared" ref="Z255:Z509" si="38">SUM(AL255:AR255)</f>
        <v>0</v>
      </c>
      <c r="AA255" s="78" t="s">
        <v>1541</v>
      </c>
      <c r="AB255" s="78"/>
      <c r="AC255" s="72" t="s">
        <v>47</v>
      </c>
      <c r="AE255" s="79" t="str">
        <f t="shared" si="36"/>
        <v>Jan11016</v>
      </c>
      <c r="AF255" s="80" t="str">
        <f>IF(N255="","",IF(N255="SIM",VLOOKUP($I255&amp;$J255&amp;N$1,Pesos!$A:$I,7,FALSE),VLOOKUP($I255&amp;$J255&amp;N$1,Pesos!$A:$I,9,FALSE)))</f>
        <v/>
      </c>
      <c r="AG255" s="80" t="str">
        <f>IF(O255="","",IF(O255="SIM",VLOOKUP($I255&amp;$J255&amp;O$1,Pesos!$A:$I,7,FALSE),VLOOKUP($I255&amp;$J255&amp;O$1,Pesos!$A:$I,9,FALSE)))</f>
        <v/>
      </c>
      <c r="AH255" s="80" t="str">
        <f>IF(P255="","",IF(P255="SIM",VLOOKUP($I255&amp;$J255&amp;P$1,Pesos!$A:$I,7,FALSE),VLOOKUP($I255&amp;$J255&amp;P$1,Pesos!$A:$I,9,FALSE)))</f>
        <v/>
      </c>
      <c r="AI255" s="80" t="str">
        <f>IF(Q255="","",IF(Q255="SIM",VLOOKUP($I255&amp;$J255&amp;Q$1,Pesos!$A:$I,7,FALSE),VLOOKUP($I255&amp;$J255&amp;Q$1,Pesos!$A:$I,9,FALSE)))</f>
        <v/>
      </c>
      <c r="AJ255" s="80" t="str">
        <f>IF(R255="","",IF(R255="SIM",VLOOKUP($I255&amp;$J255&amp;R$1,Pesos!$A:$I,7,FALSE),VLOOKUP($I255&amp;$J255&amp;R$1,Pesos!$A:$I,9,FALSE)))</f>
        <v/>
      </c>
      <c r="AK255" s="80" t="str">
        <f>IF(S255="","",IF(S255="SIM",VLOOKUP($I255&amp;$J255&amp;S$1,Pesos!$A:$I,7,FALSE),VLOOKUP($I255&amp;$J255&amp;S$1,Pesos!$A:$I,9,FALSE)))</f>
        <v/>
      </c>
      <c r="AL255" s="80">
        <f t="shared" si="37"/>
        <v>0</v>
      </c>
      <c r="AM255" s="80" t="str">
        <f>IF(T255="","",IF(T255="SIM",VLOOKUP($I255&amp;$J255&amp;T$1,Pesos!$A:$I,7,FALSE),VLOOKUP($I255&amp;$J255&amp;T$1,Pesos!$A:$I,9,FALSE)))</f>
        <v/>
      </c>
      <c r="AN255" s="80" t="str">
        <f>IF(U255="","",IF(U255="SIM",VLOOKUP($I255&amp;$J255&amp;U$1,Pesos!$A:$I,7,FALSE),VLOOKUP($I255&amp;$J255&amp;U$1,Pesos!$A:$I,9,FALSE)))</f>
        <v/>
      </c>
      <c r="AO255" s="80" t="str">
        <f>IF(V255="","",IF(V255="SIM",VLOOKUP($I255&amp;$J255&amp;V$1,Pesos!$A:$I,7,FALSE),VLOOKUP($I255&amp;$J255&amp;V$1,Pesos!$A:$I,9,FALSE)))</f>
        <v/>
      </c>
      <c r="AP255" s="80" t="str">
        <f>IF(W255="","",IF(W255="SIM",VLOOKUP($I255&amp;$J255&amp;W$1,Pesos!$A:$I,7,FALSE),VLOOKUP($I255&amp;$J255&amp;W$1,Pesos!$A:$I,9,FALSE)))</f>
        <v/>
      </c>
      <c r="AQ255" s="80" t="str">
        <f>IF(X255="","",IF(X255="SIM",VLOOKUP($I255&amp;$J255&amp;X$1,Pesos!$A:$I,7,FALSE),VLOOKUP($I255&amp;$J255&amp;X$1,Pesos!$A:$I,9,FALSE)))</f>
        <v/>
      </c>
      <c r="AR255" s="80" t="str">
        <f>IF(Y255="","",IF(Y255="SIM",VLOOKUP($I255&amp;$J255&amp;Y$1,Pesos!$A:$I,7,FALSE),VLOOKUP($I255&amp;$J255&amp;Y$1,Pesos!$A:$I,9,FALSE)))</f>
        <v/>
      </c>
      <c r="AS255" s="81">
        <f>IFERROR(Z255*VLOOKUP(J255,'BD Campos'!$Y$1:$Z$12,2,FALSE),"0")</f>
        <v>0</v>
      </c>
    </row>
    <row r="256" spans="1:45" x14ac:dyDescent="0.35">
      <c r="A256" s="68" t="str">
        <f t="shared" si="32"/>
        <v>Jan202511220ReceptivaDISTRIBUIÇÃO</v>
      </c>
      <c r="B256" s="69" t="str">
        <f t="shared" si="33"/>
        <v>Jan2025112205DISTRIBUIÇÃOPADRÃO</v>
      </c>
      <c r="C256" s="70">
        <v>1</v>
      </c>
      <c r="D256" s="71">
        <v>45678.502986689811</v>
      </c>
      <c r="E256" s="112" t="s">
        <v>74</v>
      </c>
      <c r="F256" s="72">
        <v>11220</v>
      </c>
      <c r="G256" s="69" t="s">
        <v>1399</v>
      </c>
      <c r="H256" s="73">
        <v>5</v>
      </c>
      <c r="I256" s="69" t="s">
        <v>6</v>
      </c>
      <c r="J256" s="69" t="s">
        <v>98</v>
      </c>
      <c r="K256" s="69" t="s">
        <v>23</v>
      </c>
      <c r="L256" s="74"/>
      <c r="M256" s="75">
        <v>1.7824074074074072E-3</v>
      </c>
      <c r="N256" s="76" t="s">
        <v>79</v>
      </c>
      <c r="O256" s="76" t="s">
        <v>83</v>
      </c>
      <c r="P256" s="76" t="s">
        <v>79</v>
      </c>
      <c r="Q256" s="76" t="s">
        <v>79</v>
      </c>
      <c r="R256" s="76" t="s">
        <v>79</v>
      </c>
      <c r="S256" s="76" t="s">
        <v>79</v>
      </c>
      <c r="T256" s="76" t="s">
        <v>79</v>
      </c>
      <c r="U256" s="76" t="s">
        <v>79</v>
      </c>
      <c r="V256" s="76" t="s">
        <v>79</v>
      </c>
      <c r="W256" s="76" t="s">
        <v>79</v>
      </c>
      <c r="X256" s="76" t="s">
        <v>79</v>
      </c>
      <c r="Y256" s="76" t="s">
        <v>79</v>
      </c>
      <c r="Z256" s="77">
        <f t="shared" si="38"/>
        <v>9.16</v>
      </c>
      <c r="AA256" s="78"/>
      <c r="AB256" s="78"/>
      <c r="AC256" s="72" t="s">
        <v>47</v>
      </c>
      <c r="AE256" s="79" t="str">
        <f t="shared" si="36"/>
        <v>Jan11220</v>
      </c>
      <c r="AF256" s="80">
        <f>IF(N256="","",IF(N256="SIM",VLOOKUP($I256&amp;$J256&amp;N$1,Pesos!$A:$I,7,FALSE),VLOOKUP($I256&amp;$J256&amp;N$1,Pesos!$A:$I,9,FALSE)))</f>
        <v>0.8</v>
      </c>
      <c r="AG256" s="80">
        <f>IF(O256="","",IF(O256="SIM",VLOOKUP($I256&amp;$J256&amp;O$1,Pesos!$A:$I,7,FALSE),VLOOKUP($I256&amp;$J256&amp;O$1,Pesos!$A:$I,9,FALSE)))</f>
        <v>-4.0000000000000008E-2</v>
      </c>
      <c r="AH256" s="80">
        <f>IF(P256="","",IF(P256="SIM",VLOOKUP($I256&amp;$J256&amp;P$1,Pesos!$A:$I,7,FALSE),VLOOKUP($I256&amp;$J256&amp;P$1,Pesos!$A:$I,9,FALSE)))</f>
        <v>1.2</v>
      </c>
      <c r="AI256" s="80">
        <f>IF(Q256="","",IF(Q256="SIM",VLOOKUP($I256&amp;$J256&amp;Q$1,Pesos!$A:$I,7,FALSE),VLOOKUP($I256&amp;$J256&amp;Q$1,Pesos!$A:$I,9,FALSE)))</f>
        <v>0.8</v>
      </c>
      <c r="AJ256" s="80">
        <f>IF(R256="","",IF(R256="SIM",VLOOKUP($I256&amp;$J256&amp;R$1,Pesos!$A:$I,7,FALSE),VLOOKUP($I256&amp;$J256&amp;R$1,Pesos!$A:$I,9,FALSE)))</f>
        <v>0.8</v>
      </c>
      <c r="AK256" s="80">
        <f>IF(S256="","",IF(S256="SIM",VLOOKUP($I256&amp;$J256&amp;S$1,Pesos!$A:$I,7,FALSE),VLOOKUP($I256&amp;$J256&amp;S$1,Pesos!$A:$I,9,FALSE)))</f>
        <v>0.8</v>
      </c>
      <c r="AL256" s="80">
        <f t="shared" si="37"/>
        <v>4.3599999999999994</v>
      </c>
      <c r="AM256" s="80">
        <f>IF(T256="","",IF(T256="SIM",VLOOKUP($I256&amp;$J256&amp;T$1,Pesos!$A:$I,7,FALSE),VLOOKUP($I256&amp;$J256&amp;T$1,Pesos!$A:$I,9,FALSE)))</f>
        <v>0.8</v>
      </c>
      <c r="AN256" s="80">
        <f>IF(U256="","",IF(U256="SIM",VLOOKUP($I256&amp;$J256&amp;U$1,Pesos!$A:$I,7,FALSE),VLOOKUP($I256&amp;$J256&amp;U$1,Pesos!$A:$I,9,FALSE)))</f>
        <v>0.8</v>
      </c>
      <c r="AO256" s="80">
        <f>IF(V256="","",IF(V256="SIM",VLOOKUP($I256&amp;$J256&amp;V$1,Pesos!$A:$I,7,FALSE),VLOOKUP($I256&amp;$J256&amp;V$1,Pesos!$A:$I,9,FALSE)))</f>
        <v>0.8</v>
      </c>
      <c r="AP256" s="80">
        <f>IF(W256="","",IF(W256="SIM",VLOOKUP($I256&amp;$J256&amp;W$1,Pesos!$A:$I,7,FALSE),VLOOKUP($I256&amp;$J256&amp;W$1,Pesos!$A:$I,9,FALSE)))</f>
        <v>0.8</v>
      </c>
      <c r="AQ256" s="80">
        <f>IF(X256="","",IF(X256="SIM",VLOOKUP($I256&amp;$J256&amp;X$1,Pesos!$A:$I,7,FALSE),VLOOKUP($I256&amp;$J256&amp;X$1,Pesos!$A:$I,9,FALSE)))</f>
        <v>0.8</v>
      </c>
      <c r="AR256" s="80">
        <f>IF(Y256="","",IF(Y256="SIM",VLOOKUP($I256&amp;$J256&amp;Y$1,Pesos!$A:$I,7,FALSE),VLOOKUP($I256&amp;$J256&amp;Y$1,Pesos!$A:$I,9,FALSE)))</f>
        <v>0.8</v>
      </c>
      <c r="AS256" s="81">
        <f>IFERROR(Z256*VLOOKUP(J256,'BD Campos'!$Y$1:$Z$12,2,FALSE),"0")</f>
        <v>9.16</v>
      </c>
    </row>
    <row r="257" spans="1:45" x14ac:dyDescent="0.35">
      <c r="A257" s="68" t="str">
        <f t="shared" ref="A257:A320" si="39">E257&amp;YEAR(D257)&amp;F257&amp;J257&amp;K257&amp;""</f>
        <v>Jan202511220MotoristaDISTRIBUIÇÃO</v>
      </c>
      <c r="B257" s="69" t="str">
        <f t="shared" si="33"/>
        <v>Jan2025112201DISTRIBUIÇÃOPADRÃO</v>
      </c>
      <c r="C257" s="70">
        <v>1</v>
      </c>
      <c r="D257" s="71">
        <v>45678.508363657405</v>
      </c>
      <c r="E257" s="112" t="s">
        <v>74</v>
      </c>
      <c r="F257" s="72">
        <v>11220</v>
      </c>
      <c r="G257" s="69" t="s">
        <v>1399</v>
      </c>
      <c r="H257" s="73">
        <v>1</v>
      </c>
      <c r="I257" s="69" t="s">
        <v>123</v>
      </c>
      <c r="J257" s="69" t="s">
        <v>122</v>
      </c>
      <c r="K257" s="69" t="s">
        <v>23</v>
      </c>
      <c r="L257" s="74">
        <v>30787651</v>
      </c>
      <c r="M257" s="75">
        <v>9.0277777777777784E-4</v>
      </c>
      <c r="N257" s="76" t="s">
        <v>79</v>
      </c>
      <c r="O257" s="76" t="s">
        <v>79</v>
      </c>
      <c r="P257" s="76" t="s">
        <v>79</v>
      </c>
      <c r="Q257" s="76" t="s">
        <v>79</v>
      </c>
      <c r="R257" s="76" t="s">
        <v>79</v>
      </c>
      <c r="S257" s="76" t="s">
        <v>79</v>
      </c>
      <c r="T257" s="76" t="s">
        <v>79</v>
      </c>
      <c r="U257" s="76" t="s">
        <v>79</v>
      </c>
      <c r="V257" s="76" t="s">
        <v>83</v>
      </c>
      <c r="W257" s="76" t="s">
        <v>79</v>
      </c>
      <c r="X257" s="76"/>
      <c r="Y257" s="76"/>
      <c r="Z257" s="77">
        <f t="shared" si="38"/>
        <v>8.9499999999999993</v>
      </c>
      <c r="AA257" s="78"/>
      <c r="AB257" s="78" t="s">
        <v>1563</v>
      </c>
      <c r="AC257" s="72" t="s">
        <v>47</v>
      </c>
      <c r="AE257" s="79" t="str">
        <f t="shared" si="36"/>
        <v>Jan11220</v>
      </c>
      <c r="AF257" s="80">
        <f>IF(N257="","",IF(N257="SIM",VLOOKUP($I257&amp;$J257&amp;N$1,Pesos!$A:$I,7,FALSE),VLOOKUP($I257&amp;$J257&amp;N$1,Pesos!$A:$I,9,FALSE)))</f>
        <v>1</v>
      </c>
      <c r="AG257" s="80">
        <f>IF(O257="","",IF(O257="SIM",VLOOKUP($I257&amp;$J257&amp;O$1,Pesos!$A:$I,7,FALSE),VLOOKUP($I257&amp;$J257&amp;O$1,Pesos!$A:$I,9,FALSE)))</f>
        <v>1</v>
      </c>
      <c r="AH257" s="80">
        <f>IF(P257="","",IF(P257="SIM",VLOOKUP($I257&amp;$J257&amp;P$1,Pesos!$A:$I,7,FALSE),VLOOKUP($I257&amp;$J257&amp;P$1,Pesos!$A:$I,9,FALSE)))</f>
        <v>1</v>
      </c>
      <c r="AI257" s="80">
        <f>IF(Q257="","",IF(Q257="SIM",VLOOKUP($I257&amp;$J257&amp;Q$1,Pesos!$A:$I,7,FALSE),VLOOKUP($I257&amp;$J257&amp;Q$1,Pesos!$A:$I,9,FALSE)))</f>
        <v>1</v>
      </c>
      <c r="AJ257" s="80">
        <f>IF(R257="","",IF(R257="SIM",VLOOKUP($I257&amp;$J257&amp;R$1,Pesos!$A:$I,7,FALSE),VLOOKUP($I257&amp;$J257&amp;R$1,Pesos!$A:$I,9,FALSE)))</f>
        <v>1</v>
      </c>
      <c r="AK257" s="80">
        <f>IF(S257="","",IF(S257="SIM",VLOOKUP($I257&amp;$J257&amp;S$1,Pesos!$A:$I,7,FALSE),VLOOKUP($I257&amp;$J257&amp;S$1,Pesos!$A:$I,9,FALSE)))</f>
        <v>1</v>
      </c>
      <c r="AL257" s="80">
        <f t="shared" si="37"/>
        <v>6</v>
      </c>
      <c r="AM257" s="80">
        <f>IF(T257="","",IF(T257="SIM",VLOOKUP($I257&amp;$J257&amp;T$1,Pesos!$A:$I,7,FALSE),VLOOKUP($I257&amp;$J257&amp;T$1,Pesos!$A:$I,9,FALSE)))</f>
        <v>1</v>
      </c>
      <c r="AN257" s="80">
        <f>IF(U257="","",IF(U257="SIM",VLOOKUP($I257&amp;$J257&amp;U$1,Pesos!$A:$I,7,FALSE),VLOOKUP($I257&amp;$J257&amp;U$1,Pesos!$A:$I,9,FALSE)))</f>
        <v>1</v>
      </c>
      <c r="AO257" s="80">
        <f>IF(V257="","",IF(V257="SIM",VLOOKUP($I257&amp;$J257&amp;V$1,Pesos!$A:$I,7,FALSE),VLOOKUP($I257&amp;$J257&amp;V$1,Pesos!$A:$I,9,FALSE)))</f>
        <v>-0.05</v>
      </c>
      <c r="AP257" s="80">
        <f>IF(W257="","",IF(W257="SIM",VLOOKUP($I257&amp;$J257&amp;W$1,Pesos!$A:$I,7,FALSE),VLOOKUP($I257&amp;$J257&amp;W$1,Pesos!$A:$I,9,FALSE)))</f>
        <v>1</v>
      </c>
      <c r="AQ257" s="80" t="str">
        <f>IF(X257="","",IF(X257="SIM",VLOOKUP($I257&amp;$J257&amp;X$1,Pesos!$A:$I,7,FALSE),VLOOKUP($I257&amp;$J257&amp;X$1,Pesos!$A:$I,9,FALSE)))</f>
        <v/>
      </c>
      <c r="AR257" s="80" t="str">
        <f>IF(Y257="","",IF(Y257="SIM",VLOOKUP($I257&amp;$J257&amp;Y$1,Pesos!$A:$I,7,FALSE),VLOOKUP($I257&amp;$J257&amp;Y$1,Pesos!$A:$I,9,FALSE)))</f>
        <v/>
      </c>
      <c r="AS257" s="81">
        <f>IFERROR(Z257*VLOOKUP(J257,'BD Campos'!$Y$1:$Z$12,2,FALSE),"0")</f>
        <v>8.9499999999999993</v>
      </c>
    </row>
    <row r="258" spans="1:45" x14ac:dyDescent="0.35">
      <c r="A258" s="68" t="str">
        <f t="shared" si="39"/>
        <v>Jan202511198MotoristaDISTRIBUIÇÃO</v>
      </c>
      <c r="B258" s="69" t="str">
        <f t="shared" si="33"/>
        <v>Jan2025111981DISTRIBUIÇÃOPADRÃO</v>
      </c>
      <c r="C258" s="70">
        <v>1</v>
      </c>
      <c r="D258" s="71">
        <v>45678.518601620373</v>
      </c>
      <c r="E258" s="112" t="s">
        <v>74</v>
      </c>
      <c r="F258" s="72">
        <v>11198</v>
      </c>
      <c r="G258" s="69" t="s">
        <v>1376</v>
      </c>
      <c r="H258" s="73">
        <v>1</v>
      </c>
      <c r="I258" s="69" t="s">
        <v>147</v>
      </c>
      <c r="J258" s="69" t="s">
        <v>122</v>
      </c>
      <c r="K258" s="69" t="s">
        <v>23</v>
      </c>
      <c r="L258" s="74">
        <v>30917268</v>
      </c>
      <c r="M258" s="75">
        <v>5.9143518518518521E-3</v>
      </c>
      <c r="N258" s="76" t="s">
        <v>83</v>
      </c>
      <c r="O258" s="76" t="s">
        <v>79</v>
      </c>
      <c r="P258" s="76" t="s">
        <v>79</v>
      </c>
      <c r="Q258" s="76" t="s">
        <v>79</v>
      </c>
      <c r="R258" s="76" t="s">
        <v>79</v>
      </c>
      <c r="S258" s="76" t="s">
        <v>79</v>
      </c>
      <c r="T258" s="76" t="s">
        <v>79</v>
      </c>
      <c r="U258" s="76" t="s">
        <v>79</v>
      </c>
      <c r="V258" s="76"/>
      <c r="W258" s="76"/>
      <c r="X258" s="76"/>
      <c r="Y258" s="76"/>
      <c r="Z258" s="77">
        <f t="shared" si="38"/>
        <v>8.8450000000000006</v>
      </c>
      <c r="AA258" s="78"/>
      <c r="AB258" s="78" t="s">
        <v>1564</v>
      </c>
      <c r="AC258" s="72" t="s">
        <v>47</v>
      </c>
      <c r="AE258" s="79" t="str">
        <f t="shared" si="36"/>
        <v>Jan11198</v>
      </c>
      <c r="AF258" s="80">
        <f>IF(N258="","",IF(N258="SIM",VLOOKUP($I258&amp;$J258&amp;N$1,Pesos!$A:$I,7,FALSE),VLOOKUP($I258&amp;$J258&amp;N$1,Pesos!$A:$I,9,FALSE)))</f>
        <v>-5.5000000000000007E-2</v>
      </c>
      <c r="AG258" s="80">
        <f>IF(O258="","",IF(O258="SIM",VLOOKUP($I258&amp;$J258&amp;O$1,Pesos!$A:$I,7,FALSE),VLOOKUP($I258&amp;$J258&amp;O$1,Pesos!$A:$I,9,FALSE)))</f>
        <v>1.1000000000000001</v>
      </c>
      <c r="AH258" s="80">
        <f>IF(P258="","",IF(P258="SIM",VLOOKUP($I258&amp;$J258&amp;P$1,Pesos!$A:$I,7,FALSE),VLOOKUP($I258&amp;$J258&amp;P$1,Pesos!$A:$I,9,FALSE)))</f>
        <v>1.1000000000000001</v>
      </c>
      <c r="AI258" s="80">
        <f>IF(Q258="","",IF(Q258="SIM",VLOOKUP($I258&amp;$J258&amp;Q$1,Pesos!$A:$I,7,FALSE),VLOOKUP($I258&amp;$J258&amp;Q$1,Pesos!$A:$I,9,FALSE)))</f>
        <v>1.1000000000000001</v>
      </c>
      <c r="AJ258" s="80">
        <f>IF(R258="","",IF(R258="SIM",VLOOKUP($I258&amp;$J258&amp;R$1,Pesos!$A:$I,7,FALSE),VLOOKUP($I258&amp;$J258&amp;R$1,Pesos!$A:$I,9,FALSE)))</f>
        <v>1.1000000000000001</v>
      </c>
      <c r="AK258" s="80">
        <f>IF(S258="","",IF(S258="SIM",VLOOKUP($I258&amp;$J258&amp;S$1,Pesos!$A:$I,7,FALSE),VLOOKUP($I258&amp;$J258&amp;S$1,Pesos!$A:$I,9,FALSE)))</f>
        <v>1.6</v>
      </c>
      <c r="AL258" s="80">
        <f t="shared" si="37"/>
        <v>5.9450000000000003</v>
      </c>
      <c r="AM258" s="80">
        <f>IF(T258="","",IF(T258="SIM",VLOOKUP($I258&amp;$J258&amp;T$1,Pesos!$A:$I,7,FALSE),VLOOKUP($I258&amp;$J258&amp;T$1,Pesos!$A:$I,9,FALSE)))</f>
        <v>1.2</v>
      </c>
      <c r="AN258" s="80">
        <f>IF(U258="","",IF(U258="SIM",VLOOKUP($I258&amp;$J258&amp;U$1,Pesos!$A:$I,7,FALSE),VLOOKUP($I258&amp;$J258&amp;U$1,Pesos!$A:$I,9,FALSE)))</f>
        <v>1.7000000000000002</v>
      </c>
      <c r="AO258" s="80" t="str">
        <f>IF(V258="","",IF(V258="SIM",VLOOKUP($I258&amp;$J258&amp;V$1,Pesos!$A:$I,7,FALSE),VLOOKUP($I258&amp;$J258&amp;V$1,Pesos!$A:$I,9,FALSE)))</f>
        <v/>
      </c>
      <c r="AP258" s="80" t="str">
        <f>IF(W258="","",IF(W258="SIM",VLOOKUP($I258&amp;$J258&amp;W$1,Pesos!$A:$I,7,FALSE),VLOOKUP($I258&amp;$J258&amp;W$1,Pesos!$A:$I,9,FALSE)))</f>
        <v/>
      </c>
      <c r="AQ258" s="80" t="str">
        <f>IF(X258="","",IF(X258="SIM",VLOOKUP($I258&amp;$J258&amp;X$1,Pesos!$A:$I,7,FALSE),VLOOKUP($I258&amp;$J258&amp;X$1,Pesos!$A:$I,9,FALSE)))</f>
        <v/>
      </c>
      <c r="AR258" s="80" t="str">
        <f>IF(Y258="","",IF(Y258="SIM",VLOOKUP($I258&amp;$J258&amp;Y$1,Pesos!$A:$I,7,FALSE),VLOOKUP($I258&amp;$J258&amp;Y$1,Pesos!$A:$I,9,FALSE)))</f>
        <v/>
      </c>
      <c r="AS258" s="81">
        <f>IFERROR(Z258*VLOOKUP(J258,'BD Campos'!$Y$1:$Z$12,2,FALSE),"0")</f>
        <v>8.8450000000000006</v>
      </c>
    </row>
    <row r="259" spans="1:45" x14ac:dyDescent="0.35">
      <c r="A259" s="68" t="str">
        <f t="shared" si="39"/>
        <v>Jan202511198ReceptivaDISTRIBUIÇÃO</v>
      </c>
      <c r="B259" s="69" t="str">
        <f t="shared" si="33"/>
        <v>Jan2025111985DISTRIBUIÇÃOPADRÃO</v>
      </c>
      <c r="C259" s="70">
        <v>1</v>
      </c>
      <c r="D259" s="71">
        <v>45678.591340624997</v>
      </c>
      <c r="E259" s="112" t="s">
        <v>74</v>
      </c>
      <c r="F259" s="72">
        <v>11198</v>
      </c>
      <c r="G259" s="69" t="s">
        <v>1376</v>
      </c>
      <c r="H259" s="73">
        <v>5</v>
      </c>
      <c r="I259" s="69" t="s">
        <v>6</v>
      </c>
      <c r="J259" s="69" t="s">
        <v>98</v>
      </c>
      <c r="K259" s="69" t="s">
        <v>23</v>
      </c>
      <c r="L259" s="74"/>
      <c r="M259" s="75">
        <v>1.5393518518518519E-3</v>
      </c>
      <c r="N259" s="76" t="s">
        <v>79</v>
      </c>
      <c r="O259" s="76" t="s">
        <v>79</v>
      </c>
      <c r="P259" s="76" t="s">
        <v>79</v>
      </c>
      <c r="Q259" s="76" t="s">
        <v>83</v>
      </c>
      <c r="R259" s="76" t="s">
        <v>79</v>
      </c>
      <c r="S259" s="76" t="s">
        <v>79</v>
      </c>
      <c r="T259" s="76" t="s">
        <v>79</v>
      </c>
      <c r="U259" s="76" t="s">
        <v>79</v>
      </c>
      <c r="V259" s="76" t="s">
        <v>79</v>
      </c>
      <c r="W259" s="76" t="s">
        <v>79</v>
      </c>
      <c r="X259" s="76" t="s">
        <v>79</v>
      </c>
      <c r="Y259" s="76" t="s">
        <v>79</v>
      </c>
      <c r="Z259" s="77">
        <f t="shared" si="38"/>
        <v>9.16</v>
      </c>
      <c r="AA259" s="78"/>
      <c r="AB259" s="78"/>
      <c r="AC259" s="72" t="s">
        <v>47</v>
      </c>
      <c r="AE259" s="79" t="str">
        <f t="shared" si="36"/>
        <v>Jan11198</v>
      </c>
      <c r="AF259" s="80">
        <f>IF(N259="","",IF(N259="SIM",VLOOKUP($I259&amp;$J259&amp;N$1,Pesos!$A:$I,7,FALSE),VLOOKUP($I259&amp;$J259&amp;N$1,Pesos!$A:$I,9,FALSE)))</f>
        <v>0.8</v>
      </c>
      <c r="AG259" s="80">
        <f>IF(O259="","",IF(O259="SIM",VLOOKUP($I259&amp;$J259&amp;O$1,Pesos!$A:$I,7,FALSE),VLOOKUP($I259&amp;$J259&amp;O$1,Pesos!$A:$I,9,FALSE)))</f>
        <v>0.8</v>
      </c>
      <c r="AH259" s="80">
        <f>IF(P259="","",IF(P259="SIM",VLOOKUP($I259&amp;$J259&amp;P$1,Pesos!$A:$I,7,FALSE),VLOOKUP($I259&amp;$J259&amp;P$1,Pesos!$A:$I,9,FALSE)))</f>
        <v>1.2</v>
      </c>
      <c r="AI259" s="80">
        <f>IF(Q259="","",IF(Q259="SIM",VLOOKUP($I259&amp;$J259&amp;Q$1,Pesos!$A:$I,7,FALSE),VLOOKUP($I259&amp;$J259&amp;Q$1,Pesos!$A:$I,9,FALSE)))</f>
        <v>-4.0000000000000008E-2</v>
      </c>
      <c r="AJ259" s="80">
        <f>IF(R259="","",IF(R259="SIM",VLOOKUP($I259&amp;$J259&amp;R$1,Pesos!$A:$I,7,FALSE),VLOOKUP($I259&amp;$J259&amp;R$1,Pesos!$A:$I,9,FALSE)))</f>
        <v>0.8</v>
      </c>
      <c r="AK259" s="80">
        <f>IF(S259="","",IF(S259="SIM",VLOOKUP($I259&amp;$J259&amp;S$1,Pesos!$A:$I,7,FALSE),VLOOKUP($I259&amp;$J259&amp;S$1,Pesos!$A:$I,9,FALSE)))</f>
        <v>0.8</v>
      </c>
      <c r="AL259" s="80">
        <f t="shared" si="37"/>
        <v>4.3599999999999994</v>
      </c>
      <c r="AM259" s="80">
        <f>IF(T259="","",IF(T259="SIM",VLOOKUP($I259&amp;$J259&amp;T$1,Pesos!$A:$I,7,FALSE),VLOOKUP($I259&amp;$J259&amp;T$1,Pesos!$A:$I,9,FALSE)))</f>
        <v>0.8</v>
      </c>
      <c r="AN259" s="80">
        <f>IF(U259="","",IF(U259="SIM",VLOOKUP($I259&amp;$J259&amp;U$1,Pesos!$A:$I,7,FALSE),VLOOKUP($I259&amp;$J259&amp;U$1,Pesos!$A:$I,9,FALSE)))</f>
        <v>0.8</v>
      </c>
      <c r="AO259" s="80">
        <f>IF(V259="","",IF(V259="SIM",VLOOKUP($I259&amp;$J259&amp;V$1,Pesos!$A:$I,7,FALSE),VLOOKUP($I259&amp;$J259&amp;V$1,Pesos!$A:$I,9,FALSE)))</f>
        <v>0.8</v>
      </c>
      <c r="AP259" s="80">
        <f>IF(W259="","",IF(W259="SIM",VLOOKUP($I259&amp;$J259&amp;W$1,Pesos!$A:$I,7,FALSE),VLOOKUP($I259&amp;$J259&amp;W$1,Pesos!$A:$I,9,FALSE)))</f>
        <v>0.8</v>
      </c>
      <c r="AQ259" s="80">
        <f>IF(X259="","",IF(X259="SIM",VLOOKUP($I259&amp;$J259&amp;X$1,Pesos!$A:$I,7,FALSE),VLOOKUP($I259&amp;$J259&amp;X$1,Pesos!$A:$I,9,FALSE)))</f>
        <v>0.8</v>
      </c>
      <c r="AR259" s="80">
        <f>IF(Y259="","",IF(Y259="SIM",VLOOKUP($I259&amp;$J259&amp;Y$1,Pesos!$A:$I,7,FALSE),VLOOKUP($I259&amp;$J259&amp;Y$1,Pesos!$A:$I,9,FALSE)))</f>
        <v>0.8</v>
      </c>
      <c r="AS259" s="81">
        <f>IFERROR(Z259*VLOOKUP(J259,'BD Campos'!$Y$1:$Z$12,2,FALSE),"0")</f>
        <v>9.16</v>
      </c>
    </row>
    <row r="260" spans="1:45" x14ac:dyDescent="0.35">
      <c r="A260" s="68" t="str">
        <f t="shared" si="39"/>
        <v>Jan202511226ReceptivaDISTRIBUIÇÃO</v>
      </c>
      <c r="B260" s="69" t="str">
        <f t="shared" si="33"/>
        <v>Jan2025112265DISTRIBUIÇÃOPADRÃO</v>
      </c>
      <c r="C260" s="70">
        <v>1</v>
      </c>
      <c r="D260" s="71">
        <v>45678.597547453704</v>
      </c>
      <c r="E260" s="112" t="s">
        <v>74</v>
      </c>
      <c r="F260" s="72">
        <v>11226</v>
      </c>
      <c r="G260" s="69" t="s">
        <v>1565</v>
      </c>
      <c r="H260" s="73">
        <v>5</v>
      </c>
      <c r="I260" s="69" t="s">
        <v>6</v>
      </c>
      <c r="J260" s="69" t="s">
        <v>98</v>
      </c>
      <c r="K260" s="69" t="s">
        <v>23</v>
      </c>
      <c r="L260" s="74"/>
      <c r="M260" s="75">
        <v>1.2268518518518518E-3</v>
      </c>
      <c r="N260" s="76" t="s">
        <v>83</v>
      </c>
      <c r="O260" s="76" t="s">
        <v>79</v>
      </c>
      <c r="P260" s="76" t="s">
        <v>79</v>
      </c>
      <c r="Q260" s="76" t="s">
        <v>79</v>
      </c>
      <c r="R260" s="76" t="s">
        <v>79</v>
      </c>
      <c r="S260" s="76" t="s">
        <v>79</v>
      </c>
      <c r="T260" s="76" t="s">
        <v>79</v>
      </c>
      <c r="U260" s="76" t="s">
        <v>79</v>
      </c>
      <c r="V260" s="76" t="s">
        <v>79</v>
      </c>
      <c r="W260" s="76" t="s">
        <v>79</v>
      </c>
      <c r="X260" s="76" t="s">
        <v>79</v>
      </c>
      <c r="Y260" s="76" t="s">
        <v>79</v>
      </c>
      <c r="Z260" s="77">
        <f t="shared" si="38"/>
        <v>9.16</v>
      </c>
      <c r="AA260" s="78"/>
      <c r="AB260" s="78"/>
      <c r="AC260" s="72" t="s">
        <v>47</v>
      </c>
      <c r="AE260" s="79" t="str">
        <f t="shared" si="36"/>
        <v>Jan11226</v>
      </c>
      <c r="AF260" s="80">
        <f>IF(N260="","",IF(N260="SIM",VLOOKUP($I260&amp;$J260&amp;N$1,Pesos!$A:$I,7,FALSE),VLOOKUP($I260&amp;$J260&amp;N$1,Pesos!$A:$I,9,FALSE)))</f>
        <v>-4.0000000000000008E-2</v>
      </c>
      <c r="AG260" s="80">
        <f>IF(O260="","",IF(O260="SIM",VLOOKUP($I260&amp;$J260&amp;O$1,Pesos!$A:$I,7,FALSE),VLOOKUP($I260&amp;$J260&amp;O$1,Pesos!$A:$I,9,FALSE)))</f>
        <v>0.8</v>
      </c>
      <c r="AH260" s="80">
        <f>IF(P260="","",IF(P260="SIM",VLOOKUP($I260&amp;$J260&amp;P$1,Pesos!$A:$I,7,FALSE),VLOOKUP($I260&amp;$J260&amp;P$1,Pesos!$A:$I,9,FALSE)))</f>
        <v>1.2</v>
      </c>
      <c r="AI260" s="80">
        <f>IF(Q260="","",IF(Q260="SIM",VLOOKUP($I260&amp;$J260&amp;Q$1,Pesos!$A:$I,7,FALSE),VLOOKUP($I260&amp;$J260&amp;Q$1,Pesos!$A:$I,9,FALSE)))</f>
        <v>0.8</v>
      </c>
      <c r="AJ260" s="80">
        <f>IF(R260="","",IF(R260="SIM",VLOOKUP($I260&amp;$J260&amp;R$1,Pesos!$A:$I,7,FALSE),VLOOKUP($I260&amp;$J260&amp;R$1,Pesos!$A:$I,9,FALSE)))</f>
        <v>0.8</v>
      </c>
      <c r="AK260" s="80">
        <f>IF(S260="","",IF(S260="SIM",VLOOKUP($I260&amp;$J260&amp;S$1,Pesos!$A:$I,7,FALSE),VLOOKUP($I260&amp;$J260&amp;S$1,Pesos!$A:$I,9,FALSE)))</f>
        <v>0.8</v>
      </c>
      <c r="AL260" s="80">
        <f t="shared" si="37"/>
        <v>4.3599999999999994</v>
      </c>
      <c r="AM260" s="80">
        <f>IF(T260="","",IF(T260="SIM",VLOOKUP($I260&amp;$J260&amp;T$1,Pesos!$A:$I,7,FALSE),VLOOKUP($I260&amp;$J260&amp;T$1,Pesos!$A:$I,9,FALSE)))</f>
        <v>0.8</v>
      </c>
      <c r="AN260" s="80">
        <f>IF(U260="","",IF(U260="SIM",VLOOKUP($I260&amp;$J260&amp;U$1,Pesos!$A:$I,7,FALSE),VLOOKUP($I260&amp;$J260&amp;U$1,Pesos!$A:$I,9,FALSE)))</f>
        <v>0.8</v>
      </c>
      <c r="AO260" s="80">
        <f>IF(V260="","",IF(V260="SIM",VLOOKUP($I260&amp;$J260&amp;V$1,Pesos!$A:$I,7,FALSE),VLOOKUP($I260&amp;$J260&amp;V$1,Pesos!$A:$I,9,FALSE)))</f>
        <v>0.8</v>
      </c>
      <c r="AP260" s="80">
        <f>IF(W260="","",IF(W260="SIM",VLOOKUP($I260&amp;$J260&amp;W$1,Pesos!$A:$I,7,FALSE),VLOOKUP($I260&amp;$J260&amp;W$1,Pesos!$A:$I,9,FALSE)))</f>
        <v>0.8</v>
      </c>
      <c r="AQ260" s="80">
        <f>IF(X260="","",IF(X260="SIM",VLOOKUP($I260&amp;$J260&amp;X$1,Pesos!$A:$I,7,FALSE),VLOOKUP($I260&amp;$J260&amp;X$1,Pesos!$A:$I,9,FALSE)))</f>
        <v>0.8</v>
      </c>
      <c r="AR260" s="80">
        <f>IF(Y260="","",IF(Y260="SIM",VLOOKUP($I260&amp;$J260&amp;Y$1,Pesos!$A:$I,7,FALSE),VLOOKUP($I260&amp;$J260&amp;Y$1,Pesos!$A:$I,9,FALSE)))</f>
        <v>0.8</v>
      </c>
      <c r="AS260" s="81">
        <f>IFERROR(Z260*VLOOKUP(J260,'BD Campos'!$Y$1:$Z$12,2,FALSE),"0")</f>
        <v>9.16</v>
      </c>
    </row>
    <row r="261" spans="1:45" x14ac:dyDescent="0.35">
      <c r="A261" s="68" t="str">
        <f t="shared" si="39"/>
        <v>Jan202511226MotoristaDISTRIBUIÇÃO</v>
      </c>
      <c r="B261" s="69" t="str">
        <f t="shared" si="33"/>
        <v>Jan2025112261DISTRIBUIÇÃOPADRÃO</v>
      </c>
      <c r="C261" s="70">
        <v>1</v>
      </c>
      <c r="D261" s="71">
        <v>45678.599734374999</v>
      </c>
      <c r="E261" s="112" t="s">
        <v>74</v>
      </c>
      <c r="F261" s="72">
        <v>11226</v>
      </c>
      <c r="G261" s="69" t="s">
        <v>1565</v>
      </c>
      <c r="H261" s="73">
        <v>1</v>
      </c>
      <c r="I261" s="69" t="s">
        <v>123</v>
      </c>
      <c r="J261" s="69" t="s">
        <v>122</v>
      </c>
      <c r="K261" s="69" t="s">
        <v>23</v>
      </c>
      <c r="L261" s="74">
        <v>30897723</v>
      </c>
      <c r="M261" s="75">
        <v>1.5509259259259261E-3</v>
      </c>
      <c r="N261" s="76" t="s">
        <v>79</v>
      </c>
      <c r="O261" s="76" t="s">
        <v>79</v>
      </c>
      <c r="P261" s="76" t="s">
        <v>79</v>
      </c>
      <c r="Q261" s="76" t="s">
        <v>79</v>
      </c>
      <c r="R261" s="76" t="s">
        <v>79</v>
      </c>
      <c r="S261" s="76" t="s">
        <v>79</v>
      </c>
      <c r="T261" s="76" t="s">
        <v>79</v>
      </c>
      <c r="U261" s="76" t="s">
        <v>83</v>
      </c>
      <c r="V261" s="76" t="s">
        <v>79</v>
      </c>
      <c r="W261" s="76" t="s">
        <v>79</v>
      </c>
      <c r="X261" s="76"/>
      <c r="Y261" s="76"/>
      <c r="Z261" s="77">
        <f t="shared" si="38"/>
        <v>8.9499999999999993</v>
      </c>
      <c r="AA261" s="78"/>
      <c r="AB261" s="78" t="s">
        <v>1566</v>
      </c>
      <c r="AC261" s="72" t="s">
        <v>47</v>
      </c>
      <c r="AE261" s="79" t="str">
        <f t="shared" si="36"/>
        <v>Jan11226</v>
      </c>
      <c r="AF261" s="80">
        <f>IF(N261="","",IF(N261="SIM",VLOOKUP($I261&amp;$J261&amp;N$1,Pesos!$A:$I,7,FALSE),VLOOKUP($I261&amp;$J261&amp;N$1,Pesos!$A:$I,9,FALSE)))</f>
        <v>1</v>
      </c>
      <c r="AG261" s="80">
        <f>IF(O261="","",IF(O261="SIM",VLOOKUP($I261&amp;$J261&amp;O$1,Pesos!$A:$I,7,FALSE),VLOOKUP($I261&amp;$J261&amp;O$1,Pesos!$A:$I,9,FALSE)))</f>
        <v>1</v>
      </c>
      <c r="AH261" s="80">
        <f>IF(P261="","",IF(P261="SIM",VLOOKUP($I261&amp;$J261&amp;P$1,Pesos!$A:$I,7,FALSE),VLOOKUP($I261&amp;$J261&amp;P$1,Pesos!$A:$I,9,FALSE)))</f>
        <v>1</v>
      </c>
      <c r="AI261" s="80">
        <f>IF(Q261="","",IF(Q261="SIM",VLOOKUP($I261&amp;$J261&amp;Q$1,Pesos!$A:$I,7,FALSE),VLOOKUP($I261&amp;$J261&amp;Q$1,Pesos!$A:$I,9,FALSE)))</f>
        <v>1</v>
      </c>
      <c r="AJ261" s="80">
        <f>IF(R261="","",IF(R261="SIM",VLOOKUP($I261&amp;$J261&amp;R$1,Pesos!$A:$I,7,FALSE),VLOOKUP($I261&amp;$J261&amp;R$1,Pesos!$A:$I,9,FALSE)))</f>
        <v>1</v>
      </c>
      <c r="AK261" s="80">
        <f>IF(S261="","",IF(S261="SIM",VLOOKUP($I261&amp;$J261&amp;S$1,Pesos!$A:$I,7,FALSE),VLOOKUP($I261&amp;$J261&amp;S$1,Pesos!$A:$I,9,FALSE)))</f>
        <v>1</v>
      </c>
      <c r="AL261" s="80">
        <f t="shared" si="37"/>
        <v>6</v>
      </c>
      <c r="AM261" s="80">
        <f>IF(T261="","",IF(T261="SIM",VLOOKUP($I261&amp;$J261&amp;T$1,Pesos!$A:$I,7,FALSE),VLOOKUP($I261&amp;$J261&amp;T$1,Pesos!$A:$I,9,FALSE)))</f>
        <v>1</v>
      </c>
      <c r="AN261" s="80">
        <f>IF(U261="","",IF(U261="SIM",VLOOKUP($I261&amp;$J261&amp;U$1,Pesos!$A:$I,7,FALSE),VLOOKUP($I261&amp;$J261&amp;U$1,Pesos!$A:$I,9,FALSE)))</f>
        <v>-0.05</v>
      </c>
      <c r="AO261" s="80">
        <f>IF(V261="","",IF(V261="SIM",VLOOKUP($I261&amp;$J261&amp;V$1,Pesos!$A:$I,7,FALSE),VLOOKUP($I261&amp;$J261&amp;V$1,Pesos!$A:$I,9,FALSE)))</f>
        <v>1</v>
      </c>
      <c r="AP261" s="80">
        <f>IF(W261="","",IF(W261="SIM",VLOOKUP($I261&amp;$J261&amp;W$1,Pesos!$A:$I,7,FALSE),VLOOKUP($I261&amp;$J261&amp;W$1,Pesos!$A:$I,9,FALSE)))</f>
        <v>1</v>
      </c>
      <c r="AQ261" s="80" t="str">
        <f>IF(X261="","",IF(X261="SIM",VLOOKUP($I261&amp;$J261&amp;X$1,Pesos!$A:$I,7,FALSE),VLOOKUP($I261&amp;$J261&amp;X$1,Pesos!$A:$I,9,FALSE)))</f>
        <v/>
      </c>
      <c r="AR261" s="80" t="str">
        <f>IF(Y261="","",IF(Y261="SIM",VLOOKUP($I261&amp;$J261&amp;Y$1,Pesos!$A:$I,7,FALSE),VLOOKUP($I261&amp;$J261&amp;Y$1,Pesos!$A:$I,9,FALSE)))</f>
        <v/>
      </c>
      <c r="AS261" s="81">
        <f>IFERROR(Z261*VLOOKUP(J261,'BD Campos'!$Y$1:$Z$12,2,FALSE),"0")</f>
        <v>8.9499999999999993</v>
      </c>
    </row>
    <row r="262" spans="1:45" x14ac:dyDescent="0.35">
      <c r="A262" s="68" t="str">
        <f t="shared" si="39"/>
        <v>Jan202510921MotoristaDISTRIBUIÇÃO</v>
      </c>
      <c r="B262" s="69" t="str">
        <f t="shared" si="33"/>
        <v>Jan2025109211DISTRIBUIÇÃOPADRÃO</v>
      </c>
      <c r="C262" s="70">
        <v>1</v>
      </c>
      <c r="D262" s="71">
        <v>45678.611377893518</v>
      </c>
      <c r="E262" s="112" t="s">
        <v>74</v>
      </c>
      <c r="F262" s="72">
        <v>10921</v>
      </c>
      <c r="G262" s="69" t="s">
        <v>339</v>
      </c>
      <c r="H262" s="73">
        <v>1</v>
      </c>
      <c r="I262" s="69" t="s">
        <v>123</v>
      </c>
      <c r="J262" s="69" t="s">
        <v>122</v>
      </c>
      <c r="K262" s="69" t="s">
        <v>23</v>
      </c>
      <c r="L262" s="74">
        <v>30912654</v>
      </c>
      <c r="M262" s="75">
        <v>1.4004629629629629E-3</v>
      </c>
      <c r="N262" s="76" t="s">
        <v>79</v>
      </c>
      <c r="O262" s="76" t="s">
        <v>79</v>
      </c>
      <c r="P262" s="76" t="s">
        <v>79</v>
      </c>
      <c r="Q262" s="76" t="s">
        <v>79</v>
      </c>
      <c r="R262" s="76" t="s">
        <v>79</v>
      </c>
      <c r="S262" s="76" t="s">
        <v>79</v>
      </c>
      <c r="T262" s="76" t="s">
        <v>79</v>
      </c>
      <c r="U262" s="76" t="s">
        <v>79</v>
      </c>
      <c r="V262" s="76" t="s">
        <v>79</v>
      </c>
      <c r="W262" s="76" t="s">
        <v>79</v>
      </c>
      <c r="X262" s="76"/>
      <c r="Y262" s="76"/>
      <c r="Z262" s="77">
        <f t="shared" si="38"/>
        <v>10</v>
      </c>
      <c r="AA262" s="78"/>
      <c r="AB262" s="78" t="s">
        <v>1567</v>
      </c>
      <c r="AC262" s="72" t="s">
        <v>47</v>
      </c>
      <c r="AE262" s="79" t="str">
        <f t="shared" si="36"/>
        <v>Jan10921</v>
      </c>
      <c r="AF262" s="80">
        <f>IF(N262="","",IF(N262="SIM",VLOOKUP($I262&amp;$J262&amp;N$1,Pesos!$A:$I,7,FALSE),VLOOKUP($I262&amp;$J262&amp;N$1,Pesos!$A:$I,9,FALSE)))</f>
        <v>1</v>
      </c>
      <c r="AG262" s="80">
        <f>IF(O262="","",IF(O262="SIM",VLOOKUP($I262&amp;$J262&amp;O$1,Pesos!$A:$I,7,FALSE),VLOOKUP($I262&amp;$J262&amp;O$1,Pesos!$A:$I,9,FALSE)))</f>
        <v>1</v>
      </c>
      <c r="AH262" s="80">
        <f>IF(P262="","",IF(P262="SIM",VLOOKUP($I262&amp;$J262&amp;P$1,Pesos!$A:$I,7,FALSE),VLOOKUP($I262&amp;$J262&amp;P$1,Pesos!$A:$I,9,FALSE)))</f>
        <v>1</v>
      </c>
      <c r="AI262" s="80">
        <f>IF(Q262="","",IF(Q262="SIM",VLOOKUP($I262&amp;$J262&amp;Q$1,Pesos!$A:$I,7,FALSE),VLOOKUP($I262&amp;$J262&amp;Q$1,Pesos!$A:$I,9,FALSE)))</f>
        <v>1</v>
      </c>
      <c r="AJ262" s="80">
        <f>IF(R262="","",IF(R262="SIM",VLOOKUP($I262&amp;$J262&amp;R$1,Pesos!$A:$I,7,FALSE),VLOOKUP($I262&amp;$J262&amp;R$1,Pesos!$A:$I,9,FALSE)))</f>
        <v>1</v>
      </c>
      <c r="AK262" s="80">
        <f>IF(S262="","",IF(S262="SIM",VLOOKUP($I262&amp;$J262&amp;S$1,Pesos!$A:$I,7,FALSE),VLOOKUP($I262&amp;$J262&amp;S$1,Pesos!$A:$I,9,FALSE)))</f>
        <v>1</v>
      </c>
      <c r="AL262" s="80">
        <f t="shared" si="37"/>
        <v>6</v>
      </c>
      <c r="AM262" s="80">
        <f>IF(T262="","",IF(T262="SIM",VLOOKUP($I262&amp;$J262&amp;T$1,Pesos!$A:$I,7,FALSE),VLOOKUP($I262&amp;$J262&amp;T$1,Pesos!$A:$I,9,FALSE)))</f>
        <v>1</v>
      </c>
      <c r="AN262" s="80">
        <f>IF(U262="","",IF(U262="SIM",VLOOKUP($I262&amp;$J262&amp;U$1,Pesos!$A:$I,7,FALSE),VLOOKUP($I262&amp;$J262&amp;U$1,Pesos!$A:$I,9,FALSE)))</f>
        <v>1</v>
      </c>
      <c r="AO262" s="80">
        <f>IF(V262="","",IF(V262="SIM",VLOOKUP($I262&amp;$J262&amp;V$1,Pesos!$A:$I,7,FALSE),VLOOKUP($I262&amp;$J262&amp;V$1,Pesos!$A:$I,9,FALSE)))</f>
        <v>1</v>
      </c>
      <c r="AP262" s="80">
        <f>IF(W262="","",IF(W262="SIM",VLOOKUP($I262&amp;$J262&amp;W$1,Pesos!$A:$I,7,FALSE),VLOOKUP($I262&amp;$J262&amp;W$1,Pesos!$A:$I,9,FALSE)))</f>
        <v>1</v>
      </c>
      <c r="AQ262" s="80" t="str">
        <f>IF(X262="","",IF(X262="SIM",VLOOKUP($I262&amp;$J262&amp;X$1,Pesos!$A:$I,7,FALSE),VLOOKUP($I262&amp;$J262&amp;X$1,Pesos!$A:$I,9,FALSE)))</f>
        <v/>
      </c>
      <c r="AR262" s="80" t="str">
        <f>IF(Y262="","",IF(Y262="SIM",VLOOKUP($I262&amp;$J262&amp;Y$1,Pesos!$A:$I,7,FALSE),VLOOKUP($I262&amp;$J262&amp;Y$1,Pesos!$A:$I,9,FALSE)))</f>
        <v/>
      </c>
      <c r="AS262" s="81">
        <f>IFERROR(Z262*VLOOKUP(J262,'BD Campos'!$Y$1:$Z$12,2,FALSE),"0")</f>
        <v>10</v>
      </c>
    </row>
    <row r="263" spans="1:45" x14ac:dyDescent="0.35">
      <c r="A263" s="68" t="str">
        <f t="shared" si="39"/>
        <v>Jan202510921ReceptivaDISTRIBUIÇÃO</v>
      </c>
      <c r="B263" s="69" t="str">
        <f t="shared" si="33"/>
        <v>Jan2025109215DISTRIBUIÇÃOPADRÃO</v>
      </c>
      <c r="C263" s="70">
        <v>1</v>
      </c>
      <c r="D263" s="71">
        <v>45678.614174652779</v>
      </c>
      <c r="E263" s="112" t="s">
        <v>74</v>
      </c>
      <c r="F263" s="72">
        <v>10921</v>
      </c>
      <c r="G263" s="69" t="s">
        <v>339</v>
      </c>
      <c r="H263" s="73">
        <v>5</v>
      </c>
      <c r="I263" s="69" t="s">
        <v>6</v>
      </c>
      <c r="J263" s="69" t="s">
        <v>98</v>
      </c>
      <c r="K263" s="69" t="s">
        <v>23</v>
      </c>
      <c r="L263" s="74"/>
      <c r="M263" s="75">
        <v>1.25E-3</v>
      </c>
      <c r="N263" s="76" t="s">
        <v>79</v>
      </c>
      <c r="O263" s="76" t="s">
        <v>79</v>
      </c>
      <c r="P263" s="76" t="s">
        <v>79</v>
      </c>
      <c r="Q263" s="76" t="s">
        <v>79</v>
      </c>
      <c r="R263" s="76" t="s">
        <v>79</v>
      </c>
      <c r="S263" s="76" t="s">
        <v>79</v>
      </c>
      <c r="T263" s="76" t="s">
        <v>79</v>
      </c>
      <c r="U263" s="76" t="s">
        <v>79</v>
      </c>
      <c r="V263" s="76" t="s">
        <v>79</v>
      </c>
      <c r="W263" s="76" t="s">
        <v>79</v>
      </c>
      <c r="X263" s="76" t="s">
        <v>79</v>
      </c>
      <c r="Y263" s="76" t="s">
        <v>79</v>
      </c>
      <c r="Z263" s="77">
        <f t="shared" si="38"/>
        <v>10</v>
      </c>
      <c r="AA263" s="78"/>
      <c r="AB263" s="78"/>
      <c r="AC263" s="72" t="s">
        <v>47</v>
      </c>
      <c r="AE263" s="79" t="str">
        <f t="shared" si="36"/>
        <v>Jan10921</v>
      </c>
      <c r="AF263" s="80">
        <f>IF(N263="","",IF(N263="SIM",VLOOKUP($I263&amp;$J263&amp;N$1,Pesos!$A:$I,7,FALSE),VLOOKUP($I263&amp;$J263&amp;N$1,Pesos!$A:$I,9,FALSE)))</f>
        <v>0.8</v>
      </c>
      <c r="AG263" s="80">
        <f>IF(O263="","",IF(O263="SIM",VLOOKUP($I263&amp;$J263&amp;O$1,Pesos!$A:$I,7,FALSE),VLOOKUP($I263&amp;$J263&amp;O$1,Pesos!$A:$I,9,FALSE)))</f>
        <v>0.8</v>
      </c>
      <c r="AH263" s="80">
        <f>IF(P263="","",IF(P263="SIM",VLOOKUP($I263&amp;$J263&amp;P$1,Pesos!$A:$I,7,FALSE),VLOOKUP($I263&amp;$J263&amp;P$1,Pesos!$A:$I,9,FALSE)))</f>
        <v>1.2</v>
      </c>
      <c r="AI263" s="80">
        <f>IF(Q263="","",IF(Q263="SIM",VLOOKUP($I263&amp;$J263&amp;Q$1,Pesos!$A:$I,7,FALSE),VLOOKUP($I263&amp;$J263&amp;Q$1,Pesos!$A:$I,9,FALSE)))</f>
        <v>0.8</v>
      </c>
      <c r="AJ263" s="80">
        <f>IF(R263="","",IF(R263="SIM",VLOOKUP($I263&amp;$J263&amp;R$1,Pesos!$A:$I,7,FALSE),VLOOKUP($I263&amp;$J263&amp;R$1,Pesos!$A:$I,9,FALSE)))</f>
        <v>0.8</v>
      </c>
      <c r="AK263" s="80">
        <f>IF(S263="","",IF(S263="SIM",VLOOKUP($I263&amp;$J263&amp;S$1,Pesos!$A:$I,7,FALSE),VLOOKUP($I263&amp;$J263&amp;S$1,Pesos!$A:$I,9,FALSE)))</f>
        <v>0.8</v>
      </c>
      <c r="AL263" s="80">
        <f t="shared" si="37"/>
        <v>5.1999999999999993</v>
      </c>
      <c r="AM263" s="80">
        <f>IF(T263="","",IF(T263="SIM",VLOOKUP($I263&amp;$J263&amp;T$1,Pesos!$A:$I,7,FALSE),VLOOKUP($I263&amp;$J263&amp;T$1,Pesos!$A:$I,9,FALSE)))</f>
        <v>0.8</v>
      </c>
      <c r="AN263" s="80">
        <f>IF(U263="","",IF(U263="SIM",VLOOKUP($I263&amp;$J263&amp;U$1,Pesos!$A:$I,7,FALSE),VLOOKUP($I263&amp;$J263&amp;U$1,Pesos!$A:$I,9,FALSE)))</f>
        <v>0.8</v>
      </c>
      <c r="AO263" s="80">
        <f>IF(V263="","",IF(V263="SIM",VLOOKUP($I263&amp;$J263&amp;V$1,Pesos!$A:$I,7,FALSE),VLOOKUP($I263&amp;$J263&amp;V$1,Pesos!$A:$I,9,FALSE)))</f>
        <v>0.8</v>
      </c>
      <c r="AP263" s="80">
        <f>IF(W263="","",IF(W263="SIM",VLOOKUP($I263&amp;$J263&amp;W$1,Pesos!$A:$I,7,FALSE),VLOOKUP($I263&amp;$J263&amp;W$1,Pesos!$A:$I,9,FALSE)))</f>
        <v>0.8</v>
      </c>
      <c r="AQ263" s="80">
        <f>IF(X263="","",IF(X263="SIM",VLOOKUP($I263&amp;$J263&amp;X$1,Pesos!$A:$I,7,FALSE),VLOOKUP($I263&amp;$J263&amp;X$1,Pesos!$A:$I,9,FALSE)))</f>
        <v>0.8</v>
      </c>
      <c r="AR263" s="80">
        <f>IF(Y263="","",IF(Y263="SIM",VLOOKUP($I263&amp;$J263&amp;Y$1,Pesos!$A:$I,7,FALSE),VLOOKUP($I263&amp;$J263&amp;Y$1,Pesos!$A:$I,9,FALSE)))</f>
        <v>0.8</v>
      </c>
      <c r="AS263" s="81">
        <f>IFERROR(Z263*VLOOKUP(J263,'BD Campos'!$Y$1:$Z$12,2,FALSE),"0")</f>
        <v>10</v>
      </c>
    </row>
    <row r="264" spans="1:45" x14ac:dyDescent="0.35">
      <c r="A264" s="68" t="str">
        <f t="shared" si="39"/>
        <v>Jan202511046ReceptivaDISTRIBUIÇÃO</v>
      </c>
      <c r="B264" s="69" t="str">
        <f t="shared" si="33"/>
        <v>Jan2025110465DISTRIBUIÇÃOPADRÃO</v>
      </c>
      <c r="C264" s="70">
        <v>1</v>
      </c>
      <c r="D264" s="71">
        <v>45678.620257523151</v>
      </c>
      <c r="E264" s="112" t="s">
        <v>74</v>
      </c>
      <c r="F264" s="72">
        <v>11046</v>
      </c>
      <c r="G264" s="69" t="s">
        <v>376</v>
      </c>
      <c r="H264" s="73">
        <v>5</v>
      </c>
      <c r="I264" s="69" t="s">
        <v>6</v>
      </c>
      <c r="J264" s="69" t="s">
        <v>98</v>
      </c>
      <c r="K264" s="69" t="s">
        <v>23</v>
      </c>
      <c r="L264" s="74"/>
      <c r="M264" s="75">
        <v>7.0601851851851847E-4</v>
      </c>
      <c r="N264" s="76" t="s">
        <v>79</v>
      </c>
      <c r="O264" s="76" t="s">
        <v>79</v>
      </c>
      <c r="P264" s="76" t="s">
        <v>79</v>
      </c>
      <c r="Q264" s="76" t="s">
        <v>79</v>
      </c>
      <c r="R264" s="76" t="s">
        <v>79</v>
      </c>
      <c r="S264" s="76" t="s">
        <v>79</v>
      </c>
      <c r="T264" s="76" t="s">
        <v>79</v>
      </c>
      <c r="U264" s="76" t="s">
        <v>79</v>
      </c>
      <c r="V264" s="76" t="s">
        <v>79</v>
      </c>
      <c r="W264" s="76" t="s">
        <v>79</v>
      </c>
      <c r="X264" s="76" t="s">
        <v>79</v>
      </c>
      <c r="Y264" s="76" t="s">
        <v>79</v>
      </c>
      <c r="Z264" s="77">
        <f t="shared" si="38"/>
        <v>10</v>
      </c>
      <c r="AA264" s="78"/>
      <c r="AB264" s="78"/>
      <c r="AC264" s="72" t="s">
        <v>47</v>
      </c>
      <c r="AE264" s="79" t="str">
        <f t="shared" si="36"/>
        <v>Jan11046</v>
      </c>
      <c r="AF264" s="80">
        <f>IF(N264="","",IF(N264="SIM",VLOOKUP($I264&amp;$J264&amp;N$1,Pesos!$A:$I,7,FALSE),VLOOKUP($I264&amp;$J264&amp;N$1,Pesos!$A:$I,9,FALSE)))</f>
        <v>0.8</v>
      </c>
      <c r="AG264" s="80">
        <f>IF(O264="","",IF(O264="SIM",VLOOKUP($I264&amp;$J264&amp;O$1,Pesos!$A:$I,7,FALSE),VLOOKUP($I264&amp;$J264&amp;O$1,Pesos!$A:$I,9,FALSE)))</f>
        <v>0.8</v>
      </c>
      <c r="AH264" s="80">
        <f>IF(P264="","",IF(P264="SIM",VLOOKUP($I264&amp;$J264&amp;P$1,Pesos!$A:$I,7,FALSE),VLOOKUP($I264&amp;$J264&amp;P$1,Pesos!$A:$I,9,FALSE)))</f>
        <v>1.2</v>
      </c>
      <c r="AI264" s="80">
        <f>IF(Q264="","",IF(Q264="SIM",VLOOKUP($I264&amp;$J264&amp;Q$1,Pesos!$A:$I,7,FALSE),VLOOKUP($I264&amp;$J264&amp;Q$1,Pesos!$A:$I,9,FALSE)))</f>
        <v>0.8</v>
      </c>
      <c r="AJ264" s="80">
        <f>IF(R264="","",IF(R264="SIM",VLOOKUP($I264&amp;$J264&amp;R$1,Pesos!$A:$I,7,FALSE),VLOOKUP($I264&amp;$J264&amp;R$1,Pesos!$A:$I,9,FALSE)))</f>
        <v>0.8</v>
      </c>
      <c r="AK264" s="80">
        <f>IF(S264="","",IF(S264="SIM",VLOOKUP($I264&amp;$J264&amp;S$1,Pesos!$A:$I,7,FALSE),VLOOKUP($I264&amp;$J264&amp;S$1,Pesos!$A:$I,9,FALSE)))</f>
        <v>0.8</v>
      </c>
      <c r="AL264" s="80">
        <f t="shared" si="37"/>
        <v>5.1999999999999993</v>
      </c>
      <c r="AM264" s="80">
        <f>IF(T264="","",IF(T264="SIM",VLOOKUP($I264&amp;$J264&amp;T$1,Pesos!$A:$I,7,FALSE),VLOOKUP($I264&amp;$J264&amp;T$1,Pesos!$A:$I,9,FALSE)))</f>
        <v>0.8</v>
      </c>
      <c r="AN264" s="80">
        <f>IF(U264="","",IF(U264="SIM",VLOOKUP($I264&amp;$J264&amp;U$1,Pesos!$A:$I,7,FALSE),VLOOKUP($I264&amp;$J264&amp;U$1,Pesos!$A:$I,9,FALSE)))</f>
        <v>0.8</v>
      </c>
      <c r="AO264" s="80">
        <f>IF(V264="","",IF(V264="SIM",VLOOKUP($I264&amp;$J264&amp;V$1,Pesos!$A:$I,7,FALSE),VLOOKUP($I264&amp;$J264&amp;V$1,Pesos!$A:$I,9,FALSE)))</f>
        <v>0.8</v>
      </c>
      <c r="AP264" s="80">
        <f>IF(W264="","",IF(W264="SIM",VLOOKUP($I264&amp;$J264&amp;W$1,Pesos!$A:$I,7,FALSE),VLOOKUP($I264&amp;$J264&amp;W$1,Pesos!$A:$I,9,FALSE)))</f>
        <v>0.8</v>
      </c>
      <c r="AQ264" s="80">
        <f>IF(X264="","",IF(X264="SIM",VLOOKUP($I264&amp;$J264&amp;X$1,Pesos!$A:$I,7,FALSE),VLOOKUP($I264&amp;$J264&amp;X$1,Pesos!$A:$I,9,FALSE)))</f>
        <v>0.8</v>
      </c>
      <c r="AR264" s="80">
        <f>IF(Y264="","",IF(Y264="SIM",VLOOKUP($I264&amp;$J264&amp;Y$1,Pesos!$A:$I,7,FALSE),VLOOKUP($I264&amp;$J264&amp;Y$1,Pesos!$A:$I,9,FALSE)))</f>
        <v>0.8</v>
      </c>
      <c r="AS264" s="81">
        <f>IFERROR(Z264*VLOOKUP(J264,'BD Campos'!$Y$1:$Z$12,2,FALSE),"0")</f>
        <v>10</v>
      </c>
    </row>
    <row r="265" spans="1:45" x14ac:dyDescent="0.35">
      <c r="A265" s="68" t="str">
        <f t="shared" si="39"/>
        <v>Jan202511046PoliciaDISTRIBUIÇÃO</v>
      </c>
      <c r="B265" s="69" t="str">
        <f t="shared" si="33"/>
        <v>Jan2025110461DISTRIBUIÇÃOPADRÃO</v>
      </c>
      <c r="C265" s="70">
        <v>1</v>
      </c>
      <c r="D265" s="71">
        <v>45678.62956400463</v>
      </c>
      <c r="E265" s="112" t="s">
        <v>74</v>
      </c>
      <c r="F265" s="72">
        <v>11046</v>
      </c>
      <c r="G265" s="69" t="s">
        <v>376</v>
      </c>
      <c r="H265" s="73">
        <v>1</v>
      </c>
      <c r="I265" s="69" t="s">
        <v>123</v>
      </c>
      <c r="J265" s="69" t="s">
        <v>146</v>
      </c>
      <c r="K265" s="69" t="s">
        <v>23</v>
      </c>
      <c r="L265" s="74">
        <v>30837806</v>
      </c>
      <c r="M265" s="75">
        <v>2.1296296296296298E-3</v>
      </c>
      <c r="N265" s="76" t="s">
        <v>79</v>
      </c>
      <c r="O265" s="76" t="s">
        <v>79</v>
      </c>
      <c r="P265" s="76" t="s">
        <v>79</v>
      </c>
      <c r="Q265" s="76" t="s">
        <v>79</v>
      </c>
      <c r="R265" s="76" t="s">
        <v>79</v>
      </c>
      <c r="S265" s="76" t="s">
        <v>79</v>
      </c>
      <c r="T265" s="76" t="s">
        <v>79</v>
      </c>
      <c r="U265" s="76" t="s">
        <v>79</v>
      </c>
      <c r="V265" s="76" t="s">
        <v>79</v>
      </c>
      <c r="W265" s="76" t="s">
        <v>79</v>
      </c>
      <c r="X265" s="76" t="s">
        <v>83</v>
      </c>
      <c r="Y265" s="76" t="s">
        <v>79</v>
      </c>
      <c r="Z265" s="77">
        <f t="shared" si="38"/>
        <v>8.9499999999999993</v>
      </c>
      <c r="AA265" s="78"/>
      <c r="AB265" s="78" t="s">
        <v>1568</v>
      </c>
      <c r="AC265" s="72" t="s">
        <v>47</v>
      </c>
      <c r="AE265" s="79" t="str">
        <f t="shared" si="36"/>
        <v>Jan11046</v>
      </c>
      <c r="AF265" s="80">
        <f>IF(N265="","",IF(N265="SIM",VLOOKUP($I265&amp;$J265&amp;N$1,Pesos!$A:$I,7,FALSE),VLOOKUP($I265&amp;$J265&amp;N$1,Pesos!$A:$I,9,FALSE)))</f>
        <v>0.8</v>
      </c>
      <c r="AG265" s="80">
        <f>IF(O265="","",IF(O265="SIM",VLOOKUP($I265&amp;$J265&amp;O$1,Pesos!$A:$I,7,FALSE),VLOOKUP($I265&amp;$J265&amp;O$1,Pesos!$A:$I,9,FALSE)))</f>
        <v>0.8</v>
      </c>
      <c r="AH265" s="80">
        <f>IF(P265="","",IF(P265="SIM",VLOOKUP($I265&amp;$J265&amp;P$1,Pesos!$A:$I,7,FALSE),VLOOKUP($I265&amp;$J265&amp;P$1,Pesos!$A:$I,9,FALSE)))</f>
        <v>0.8</v>
      </c>
      <c r="AI265" s="80">
        <f>IF(Q265="","",IF(Q265="SIM",VLOOKUP($I265&amp;$J265&amp;Q$1,Pesos!$A:$I,7,FALSE),VLOOKUP($I265&amp;$J265&amp;Q$1,Pesos!$A:$I,9,FALSE)))</f>
        <v>0.8</v>
      </c>
      <c r="AJ265" s="80">
        <f>IF(R265="","",IF(R265="SIM",VLOOKUP($I265&amp;$J265&amp;R$1,Pesos!$A:$I,7,FALSE),VLOOKUP($I265&amp;$J265&amp;R$1,Pesos!$A:$I,9,FALSE)))</f>
        <v>0.8</v>
      </c>
      <c r="AK265" s="80">
        <f>IF(S265="","",IF(S265="SIM",VLOOKUP($I265&amp;$J265&amp;S$1,Pesos!$A:$I,7,FALSE),VLOOKUP($I265&amp;$J265&amp;S$1,Pesos!$A:$I,9,FALSE)))</f>
        <v>0.8</v>
      </c>
      <c r="AL265" s="80">
        <f t="shared" si="37"/>
        <v>4.8</v>
      </c>
      <c r="AM265" s="80">
        <f>IF(T265="","",IF(T265="SIM",VLOOKUP($I265&amp;$J265&amp;T$1,Pesos!$A:$I,7,FALSE),VLOOKUP($I265&amp;$J265&amp;T$1,Pesos!$A:$I,9,FALSE)))</f>
        <v>0.8</v>
      </c>
      <c r="AN265" s="80">
        <f>IF(U265="","",IF(U265="SIM",VLOOKUP($I265&amp;$J265&amp;U$1,Pesos!$A:$I,7,FALSE),VLOOKUP($I265&amp;$J265&amp;U$1,Pesos!$A:$I,9,FALSE)))</f>
        <v>0.8</v>
      </c>
      <c r="AO265" s="80">
        <f>IF(V265="","",IF(V265="SIM",VLOOKUP($I265&amp;$J265&amp;V$1,Pesos!$A:$I,7,FALSE),VLOOKUP($I265&amp;$J265&amp;V$1,Pesos!$A:$I,9,FALSE)))</f>
        <v>0.8</v>
      </c>
      <c r="AP265" s="80">
        <f>IF(W265="","",IF(W265="SIM",VLOOKUP($I265&amp;$J265&amp;W$1,Pesos!$A:$I,7,FALSE),VLOOKUP($I265&amp;$J265&amp;W$1,Pesos!$A:$I,9,FALSE)))</f>
        <v>0.8</v>
      </c>
      <c r="AQ265" s="80">
        <f>IF(X265="","",IF(X265="SIM",VLOOKUP($I265&amp;$J265&amp;X$1,Pesos!$A:$I,7,FALSE),VLOOKUP($I265&amp;$J265&amp;X$1,Pesos!$A:$I,9,FALSE)))</f>
        <v>-0.05</v>
      </c>
      <c r="AR265" s="80">
        <f>IF(Y265="","",IF(Y265="SIM",VLOOKUP($I265&amp;$J265&amp;Y$1,Pesos!$A:$I,7,FALSE),VLOOKUP($I265&amp;$J265&amp;Y$1,Pesos!$A:$I,9,FALSE)))</f>
        <v>1</v>
      </c>
      <c r="AS265" s="81">
        <f>IFERROR(Z265*VLOOKUP(J265,'BD Campos'!$Y$1:$Z$12,2,FALSE),"0")</f>
        <v>8.9499999999999993</v>
      </c>
    </row>
    <row r="266" spans="1:45" x14ac:dyDescent="0.35">
      <c r="A266" s="68" t="str">
        <f t="shared" si="39"/>
        <v>Jan202510676MotoristaTRANSFERÊNCIA</v>
      </c>
      <c r="B266" s="69" t="str">
        <f t="shared" si="33"/>
        <v>Jan2025106761TRANSFERÊNCIAPADRÃO</v>
      </c>
      <c r="C266" s="70">
        <v>1</v>
      </c>
      <c r="D266" s="71">
        <v>45678.743312268518</v>
      </c>
      <c r="E266" s="112" t="s">
        <v>74</v>
      </c>
      <c r="F266" s="72">
        <v>10676</v>
      </c>
      <c r="G266" s="69" t="s">
        <v>163</v>
      </c>
      <c r="H266" s="73">
        <v>1</v>
      </c>
      <c r="I266" s="69" t="s">
        <v>123</v>
      </c>
      <c r="J266" s="69" t="s">
        <v>122</v>
      </c>
      <c r="K266" s="69" t="s">
        <v>106</v>
      </c>
      <c r="L266" s="74">
        <v>30929601</v>
      </c>
      <c r="M266" s="75">
        <v>2.685185185185185E-3</v>
      </c>
      <c r="N266" s="76" t="s">
        <v>79</v>
      </c>
      <c r="O266" s="76" t="s">
        <v>79</v>
      </c>
      <c r="P266" s="76" t="s">
        <v>79</v>
      </c>
      <c r="Q266" s="76" t="s">
        <v>79</v>
      </c>
      <c r="R266" s="76" t="s">
        <v>79</v>
      </c>
      <c r="S266" s="76" t="s">
        <v>83</v>
      </c>
      <c r="T266" s="76" t="s">
        <v>79</v>
      </c>
      <c r="U266" s="76" t="s">
        <v>83</v>
      </c>
      <c r="V266" s="76" t="s">
        <v>79</v>
      </c>
      <c r="W266" s="76" t="s">
        <v>83</v>
      </c>
      <c r="X266" s="76"/>
      <c r="Y266" s="76"/>
      <c r="Z266" s="77">
        <f t="shared" si="38"/>
        <v>6.8500000000000005</v>
      </c>
      <c r="AA266" s="78"/>
      <c r="AB266" s="78" t="s">
        <v>1570</v>
      </c>
      <c r="AC266" s="72" t="s">
        <v>47</v>
      </c>
      <c r="AE266" s="79" t="str">
        <f t="shared" si="36"/>
        <v>Jan10676</v>
      </c>
      <c r="AF266" s="80">
        <f>IF(N266="","",IF(N266="SIM",VLOOKUP($I266&amp;$J266&amp;N$1,Pesos!$A:$I,7,FALSE),VLOOKUP($I266&amp;$J266&amp;N$1,Pesos!$A:$I,9,FALSE)))</f>
        <v>1</v>
      </c>
      <c r="AG266" s="80">
        <f>IF(O266="","",IF(O266="SIM",VLOOKUP($I266&amp;$J266&amp;O$1,Pesos!$A:$I,7,FALSE),VLOOKUP($I266&amp;$J266&amp;O$1,Pesos!$A:$I,9,FALSE)))</f>
        <v>1</v>
      </c>
      <c r="AH266" s="80">
        <f>IF(P266="","",IF(P266="SIM",VLOOKUP($I266&amp;$J266&amp;P$1,Pesos!$A:$I,7,FALSE),VLOOKUP($I266&amp;$J266&amp;P$1,Pesos!$A:$I,9,FALSE)))</f>
        <v>1</v>
      </c>
      <c r="AI266" s="80">
        <f>IF(Q266="","",IF(Q266="SIM",VLOOKUP($I266&amp;$J266&amp;Q$1,Pesos!$A:$I,7,FALSE),VLOOKUP($I266&amp;$J266&amp;Q$1,Pesos!$A:$I,9,FALSE)))</f>
        <v>1</v>
      </c>
      <c r="AJ266" s="80">
        <f>IF(R266="","",IF(R266="SIM",VLOOKUP($I266&amp;$J266&amp;R$1,Pesos!$A:$I,7,FALSE),VLOOKUP($I266&amp;$J266&amp;R$1,Pesos!$A:$I,9,FALSE)))</f>
        <v>1</v>
      </c>
      <c r="AK266" s="80">
        <f>IF(S266="","",IF(S266="SIM",VLOOKUP($I266&amp;$J266&amp;S$1,Pesos!$A:$I,7,FALSE),VLOOKUP($I266&amp;$J266&amp;S$1,Pesos!$A:$I,9,FALSE)))</f>
        <v>-0.05</v>
      </c>
      <c r="AL266" s="80">
        <f t="shared" si="37"/>
        <v>4.95</v>
      </c>
      <c r="AM266" s="80">
        <f>IF(T266="","",IF(T266="SIM",VLOOKUP($I266&amp;$J266&amp;T$1,Pesos!$A:$I,7,FALSE),VLOOKUP($I266&amp;$J266&amp;T$1,Pesos!$A:$I,9,FALSE)))</f>
        <v>1</v>
      </c>
      <c r="AN266" s="80">
        <f>IF(U266="","",IF(U266="SIM",VLOOKUP($I266&amp;$J266&amp;U$1,Pesos!$A:$I,7,FALSE),VLOOKUP($I266&amp;$J266&amp;U$1,Pesos!$A:$I,9,FALSE)))</f>
        <v>-0.05</v>
      </c>
      <c r="AO266" s="80">
        <f>IF(V266="","",IF(V266="SIM",VLOOKUP($I266&amp;$J266&amp;V$1,Pesos!$A:$I,7,FALSE),VLOOKUP($I266&amp;$J266&amp;V$1,Pesos!$A:$I,9,FALSE)))</f>
        <v>1</v>
      </c>
      <c r="AP266" s="80">
        <f>IF(W266="","",IF(W266="SIM",VLOOKUP($I266&amp;$J266&amp;W$1,Pesos!$A:$I,7,FALSE),VLOOKUP($I266&amp;$J266&amp;W$1,Pesos!$A:$I,9,FALSE)))</f>
        <v>-0.05</v>
      </c>
      <c r="AQ266" s="80" t="str">
        <f>IF(X266="","",IF(X266="SIM",VLOOKUP($I266&amp;$J266&amp;X$1,Pesos!$A:$I,7,FALSE),VLOOKUP($I266&amp;$J266&amp;X$1,Pesos!$A:$I,9,FALSE)))</f>
        <v/>
      </c>
      <c r="AR266" s="80" t="str">
        <f>IF(Y266="","",IF(Y266="SIM",VLOOKUP($I266&amp;$J266&amp;Y$1,Pesos!$A:$I,7,FALSE),VLOOKUP($I266&amp;$J266&amp;Y$1,Pesos!$A:$I,9,FALSE)))</f>
        <v/>
      </c>
      <c r="AS266" s="81">
        <f>IFERROR(Z266*VLOOKUP(J266,'BD Campos'!$Y$1:$Z$12,2,FALSE),"0")</f>
        <v>6.8500000000000005</v>
      </c>
    </row>
    <row r="267" spans="1:45" x14ac:dyDescent="0.35">
      <c r="A267" s="68" t="str">
        <f t="shared" si="39"/>
        <v>Jan202511216MotoristaTRANSFERÊNCIA</v>
      </c>
      <c r="B267" s="69" t="str">
        <f t="shared" si="33"/>
        <v>Jan2025112161TRANSFERÊNCIAPADRÃO</v>
      </c>
      <c r="C267" s="70">
        <v>1</v>
      </c>
      <c r="D267" s="71">
        <v>45678.750891550924</v>
      </c>
      <c r="E267" s="112" t="s">
        <v>74</v>
      </c>
      <c r="F267" s="72">
        <v>11216</v>
      </c>
      <c r="G267" s="69" t="s">
        <v>1390</v>
      </c>
      <c r="H267" s="73">
        <v>1</v>
      </c>
      <c r="I267" s="69" t="s">
        <v>121</v>
      </c>
      <c r="J267" s="69" t="s">
        <v>122</v>
      </c>
      <c r="K267" s="69" t="s">
        <v>106</v>
      </c>
      <c r="L267" s="74">
        <v>30936819</v>
      </c>
      <c r="M267" s="75">
        <v>1.4004629629629629E-3</v>
      </c>
      <c r="N267" s="76" t="s">
        <v>79</v>
      </c>
      <c r="O267" s="76" t="s">
        <v>79</v>
      </c>
      <c r="P267" s="76" t="s">
        <v>79</v>
      </c>
      <c r="Q267" s="76" t="s">
        <v>79</v>
      </c>
      <c r="R267" s="76" t="s">
        <v>79</v>
      </c>
      <c r="S267" s="76" t="s">
        <v>79</v>
      </c>
      <c r="T267" s="76" t="s">
        <v>79</v>
      </c>
      <c r="U267" s="76" t="s">
        <v>79</v>
      </c>
      <c r="V267" s="76" t="s">
        <v>79</v>
      </c>
      <c r="W267" s="76" t="s">
        <v>83</v>
      </c>
      <c r="X267" s="76" t="s">
        <v>79</v>
      </c>
      <c r="Y267" s="76"/>
      <c r="Z267" s="77">
        <f t="shared" si="38"/>
        <v>9.0549999999999997</v>
      </c>
      <c r="AA267" s="78"/>
      <c r="AB267" s="78" t="s">
        <v>1571</v>
      </c>
      <c r="AC267" s="72" t="s">
        <v>47</v>
      </c>
      <c r="AE267" s="79" t="str">
        <f t="shared" ref="AE267:AE286" si="40">E267&amp;F267</f>
        <v>Jan11216</v>
      </c>
      <c r="AF267" s="80">
        <f>IF(N267="","",IF(N267="SIM",VLOOKUP($I267&amp;$J267&amp;N$1,Pesos!$A:$I,7,FALSE),VLOOKUP($I267&amp;$J267&amp;N$1,Pesos!$A:$I,9,FALSE)))</f>
        <v>0.89999999999999991</v>
      </c>
      <c r="AG267" s="80">
        <f>IF(O267="","",IF(O267="SIM",VLOOKUP($I267&amp;$J267&amp;O$1,Pesos!$A:$I,7,FALSE),VLOOKUP($I267&amp;$J267&amp;O$1,Pesos!$A:$I,9,FALSE)))</f>
        <v>0.89999999999999991</v>
      </c>
      <c r="AH267" s="80">
        <f>IF(P267="","",IF(P267="SIM",VLOOKUP($I267&amp;$J267&amp;P$1,Pesos!$A:$I,7,FALSE),VLOOKUP($I267&amp;$J267&amp;P$1,Pesos!$A:$I,9,FALSE)))</f>
        <v>0.89999999999999991</v>
      </c>
      <c r="AI267" s="80">
        <f>IF(Q267="","",IF(Q267="SIM",VLOOKUP($I267&amp;$J267&amp;Q$1,Pesos!$A:$I,7,FALSE),VLOOKUP($I267&amp;$J267&amp;Q$1,Pesos!$A:$I,9,FALSE)))</f>
        <v>0.89999999999999991</v>
      </c>
      <c r="AJ267" s="80">
        <f>IF(R267="","",IF(R267="SIM",VLOOKUP($I267&amp;$J267&amp;R$1,Pesos!$A:$I,7,FALSE),VLOOKUP($I267&amp;$J267&amp;R$1,Pesos!$A:$I,9,FALSE)))</f>
        <v>0.89999999999999991</v>
      </c>
      <c r="AK267" s="80">
        <f>IF(S267="","",IF(S267="SIM",VLOOKUP($I267&amp;$J267&amp;S$1,Pesos!$A:$I,7,FALSE),VLOOKUP($I267&amp;$J267&amp;S$1,Pesos!$A:$I,9,FALSE)))</f>
        <v>0.89999999999999991</v>
      </c>
      <c r="AL267" s="80">
        <f t="shared" ref="AL267:AL286" si="41">SUM(AF267:AK267)</f>
        <v>5.4</v>
      </c>
      <c r="AM267" s="80">
        <f>IF(T267="","",IF(T267="SIM",VLOOKUP($I267&amp;$J267&amp;T$1,Pesos!$A:$I,7,FALSE),VLOOKUP($I267&amp;$J267&amp;T$1,Pesos!$A:$I,9,FALSE)))</f>
        <v>0.89999999999999991</v>
      </c>
      <c r="AN267" s="80">
        <f>IF(U267="","",IF(U267="SIM",VLOOKUP($I267&amp;$J267&amp;U$1,Pesos!$A:$I,7,FALSE),VLOOKUP($I267&amp;$J267&amp;U$1,Pesos!$A:$I,9,FALSE)))</f>
        <v>0.92500000000000004</v>
      </c>
      <c r="AO267" s="80">
        <f>IF(V267="","",IF(V267="SIM",VLOOKUP($I267&amp;$J267&amp;V$1,Pesos!$A:$I,7,FALSE),VLOOKUP($I267&amp;$J267&amp;V$1,Pesos!$A:$I,9,FALSE)))</f>
        <v>0.92500000000000004</v>
      </c>
      <c r="AP267" s="80">
        <f>IF(W267="","",IF(W267="SIM",VLOOKUP($I267&amp;$J267&amp;W$1,Pesos!$A:$I,7,FALSE),VLOOKUP($I267&amp;$J267&amp;W$1,Pesos!$A:$I,9,FALSE)))</f>
        <v>-4.4999999999999998E-2</v>
      </c>
      <c r="AQ267" s="80">
        <f>IF(X267="","",IF(X267="SIM",VLOOKUP($I267&amp;$J267&amp;X$1,Pesos!$A:$I,7,FALSE),VLOOKUP($I267&amp;$J267&amp;X$1,Pesos!$A:$I,9,FALSE)))</f>
        <v>0.95</v>
      </c>
      <c r="AR267" s="80" t="str">
        <f>IF(Y267="","",IF(Y267="SIM",VLOOKUP($I267&amp;$J267&amp;Y$1,Pesos!$A:$I,7,FALSE),VLOOKUP($I267&amp;$J267&amp;Y$1,Pesos!$A:$I,9,FALSE)))</f>
        <v/>
      </c>
      <c r="AS267" s="81">
        <f>IFERROR(Z267*VLOOKUP(J267,'BD Campos'!$Y$1:$Z$12,2,FALSE),"0")</f>
        <v>9.0549999999999997</v>
      </c>
    </row>
    <row r="268" spans="1:45" x14ac:dyDescent="0.35">
      <c r="A268" s="68" t="str">
        <f t="shared" si="39"/>
        <v>Jan202510751Receptiva CadastroCADASTRO</v>
      </c>
      <c r="B268" s="69" t="str">
        <f t="shared" ref="B268:B331" si="42">E268&amp;YEAR(D268)&amp;F268&amp;H268&amp;K268&amp;AC268</f>
        <v>Jan2025107515CADASTROPADRÃO</v>
      </c>
      <c r="C268" s="70">
        <v>1</v>
      </c>
      <c r="D268" s="71">
        <v>45679.365702777781</v>
      </c>
      <c r="E268" s="112" t="s">
        <v>74</v>
      </c>
      <c r="F268" s="72">
        <v>10751</v>
      </c>
      <c r="G268" s="69" t="s">
        <v>82</v>
      </c>
      <c r="H268" s="73">
        <v>5</v>
      </c>
      <c r="I268" s="69" t="s">
        <v>76</v>
      </c>
      <c r="J268" s="69" t="s">
        <v>77</v>
      </c>
      <c r="K268" s="69" t="s">
        <v>78</v>
      </c>
      <c r="L268" s="74"/>
      <c r="M268" s="75">
        <v>4.7337962962962958E-3</v>
      </c>
      <c r="N268" s="76" t="s">
        <v>79</v>
      </c>
      <c r="O268" s="76" t="s">
        <v>79</v>
      </c>
      <c r="P268" s="76" t="s">
        <v>79</v>
      </c>
      <c r="Q268" s="76" t="s">
        <v>79</v>
      </c>
      <c r="R268" s="76" t="s">
        <v>79</v>
      </c>
      <c r="S268" s="76" t="s">
        <v>79</v>
      </c>
      <c r="T268" s="76" t="s">
        <v>79</v>
      </c>
      <c r="U268" s="76" t="s">
        <v>79</v>
      </c>
      <c r="V268" s="76" t="s">
        <v>79</v>
      </c>
      <c r="W268" s="76" t="s">
        <v>79</v>
      </c>
      <c r="X268" s="76" t="s">
        <v>79</v>
      </c>
      <c r="Y268" s="76" t="s">
        <v>79</v>
      </c>
      <c r="Z268" s="77" t="e">
        <f t="shared" si="38"/>
        <v>#N/A</v>
      </c>
      <c r="AA268" s="78"/>
      <c r="AB268" s="78"/>
      <c r="AC268" s="72" t="s">
        <v>47</v>
      </c>
      <c r="AE268" s="79" t="str">
        <f t="shared" si="40"/>
        <v>Jan10751</v>
      </c>
      <c r="AF268" s="80" t="e">
        <f>IF(N268="","",IF(N268="SIM",VLOOKUP($I268&amp;$J268&amp;N$1,Pesos!$A:$I,7,FALSE),VLOOKUP($I268&amp;$J268&amp;N$1,Pesos!$A:$I,9,FALSE)))</f>
        <v>#N/A</v>
      </c>
      <c r="AG268" s="80" t="e">
        <f>IF(O268="","",IF(O268="SIM",VLOOKUP($I268&amp;$J268&amp;O$1,Pesos!$A:$I,7,FALSE),VLOOKUP($I268&amp;$J268&amp;O$1,Pesos!$A:$I,9,FALSE)))</f>
        <v>#N/A</v>
      </c>
      <c r="AH268" s="80" t="e">
        <f>IF(P268="","",IF(P268="SIM",VLOOKUP($I268&amp;$J268&amp;P$1,Pesos!$A:$I,7,FALSE),VLOOKUP($I268&amp;$J268&amp;P$1,Pesos!$A:$I,9,FALSE)))</f>
        <v>#N/A</v>
      </c>
      <c r="AI268" s="80" t="e">
        <f>IF(Q268="","",IF(Q268="SIM",VLOOKUP($I268&amp;$J268&amp;Q$1,Pesos!$A:$I,7,FALSE),VLOOKUP($I268&amp;$J268&amp;Q$1,Pesos!$A:$I,9,FALSE)))</f>
        <v>#N/A</v>
      </c>
      <c r="AJ268" s="80" t="e">
        <f>IF(R268="","",IF(R268="SIM",VLOOKUP($I268&amp;$J268&amp;R$1,Pesos!$A:$I,7,FALSE),VLOOKUP($I268&amp;$J268&amp;R$1,Pesos!$A:$I,9,FALSE)))</f>
        <v>#N/A</v>
      </c>
      <c r="AK268" s="80" t="e">
        <f>IF(S268="","",IF(S268="SIM",VLOOKUP($I268&amp;$J268&amp;S$1,Pesos!$A:$I,7,FALSE),VLOOKUP($I268&amp;$J268&amp;S$1,Pesos!$A:$I,9,FALSE)))</f>
        <v>#N/A</v>
      </c>
      <c r="AL268" s="80" t="e">
        <f t="shared" si="41"/>
        <v>#N/A</v>
      </c>
      <c r="AM268" s="80" t="e">
        <f>IF(T268="","",IF(T268="SIM",VLOOKUP($I268&amp;$J268&amp;T$1,Pesos!$A:$I,7,FALSE),VLOOKUP($I268&amp;$J268&amp;T$1,Pesos!$A:$I,9,FALSE)))</f>
        <v>#N/A</v>
      </c>
      <c r="AN268" s="80" t="e">
        <f>IF(U268="","",IF(U268="SIM",VLOOKUP($I268&amp;$J268&amp;U$1,Pesos!$A:$I,7,FALSE),VLOOKUP($I268&amp;$J268&amp;U$1,Pesos!$A:$I,9,FALSE)))</f>
        <v>#N/A</v>
      </c>
      <c r="AO268" s="80" t="e">
        <f>IF(V268="","",IF(V268="SIM",VLOOKUP($I268&amp;$J268&amp;V$1,Pesos!$A:$I,7,FALSE),VLOOKUP($I268&amp;$J268&amp;V$1,Pesos!$A:$I,9,FALSE)))</f>
        <v>#N/A</v>
      </c>
      <c r="AP268" s="80" t="e">
        <f>IF(W268="","",IF(W268="SIM",VLOOKUP($I268&amp;$J268&amp;W$1,Pesos!$A:$I,7,FALSE),VLOOKUP($I268&amp;$J268&amp;W$1,Pesos!$A:$I,9,FALSE)))</f>
        <v>#N/A</v>
      </c>
      <c r="AQ268" s="80" t="e">
        <f>IF(X268="","",IF(X268="SIM",VLOOKUP($I268&amp;$J268&amp;X$1,Pesos!$A:$I,7,FALSE),VLOOKUP($I268&amp;$J268&amp;X$1,Pesos!$A:$I,9,FALSE)))</f>
        <v>#N/A</v>
      </c>
      <c r="AR268" s="80" t="e">
        <f>IF(Y268="","",IF(Y268="SIM",VLOOKUP($I268&amp;$J268&amp;Y$1,Pesos!$A:$I,7,FALSE),VLOOKUP($I268&amp;$J268&amp;Y$1,Pesos!$A:$I,9,FALSE)))</f>
        <v>#N/A</v>
      </c>
      <c r="AS268" s="81" t="str">
        <f>IFERROR(Z268*VLOOKUP(J268,'BD Campos'!$Y$1:$Z$12,2,FALSE),"0")</f>
        <v>0</v>
      </c>
    </row>
    <row r="269" spans="1:45" x14ac:dyDescent="0.35">
      <c r="A269" s="68" t="str">
        <f t="shared" si="39"/>
        <v>Jan202510751Receptiva Cadastro 2CADASTRO</v>
      </c>
      <c r="B269" s="69" t="str">
        <f t="shared" si="42"/>
        <v>Jan2025107516CADASTROPADRÃO</v>
      </c>
      <c r="C269" s="70">
        <v>1</v>
      </c>
      <c r="D269" s="71">
        <v>45679.37404224537</v>
      </c>
      <c r="E269" s="112" t="s">
        <v>74</v>
      </c>
      <c r="F269" s="72">
        <v>10751</v>
      </c>
      <c r="G269" s="69" t="s">
        <v>82</v>
      </c>
      <c r="H269" s="73">
        <v>6</v>
      </c>
      <c r="I269" s="69" t="s">
        <v>76</v>
      </c>
      <c r="J269" s="69" t="s">
        <v>81</v>
      </c>
      <c r="K269" s="69" t="s">
        <v>78</v>
      </c>
      <c r="L269" s="74"/>
      <c r="M269" s="75">
        <v>4.0856481481481481E-3</v>
      </c>
      <c r="N269" s="76" t="s">
        <v>79</v>
      </c>
      <c r="O269" s="76" t="s">
        <v>79</v>
      </c>
      <c r="P269" s="76" t="s">
        <v>79</v>
      </c>
      <c r="Q269" s="76" t="s">
        <v>79</v>
      </c>
      <c r="R269" s="76" t="s">
        <v>79</v>
      </c>
      <c r="S269" s="76" t="s">
        <v>79</v>
      </c>
      <c r="T269" s="76" t="s">
        <v>79</v>
      </c>
      <c r="U269" s="76" t="s">
        <v>79</v>
      </c>
      <c r="V269" s="76" t="s">
        <v>79</v>
      </c>
      <c r="W269" s="76" t="s">
        <v>79</v>
      </c>
      <c r="X269" s="76" t="s">
        <v>79</v>
      </c>
      <c r="Y269" s="76" t="s">
        <v>79</v>
      </c>
      <c r="Z269" s="77" t="e">
        <f t="shared" si="38"/>
        <v>#N/A</v>
      </c>
      <c r="AA269" s="78"/>
      <c r="AB269" s="78"/>
      <c r="AC269" s="72" t="s">
        <v>47</v>
      </c>
      <c r="AE269" s="79" t="str">
        <f t="shared" si="40"/>
        <v>Jan10751</v>
      </c>
      <c r="AF269" s="80" t="e">
        <f>IF(N269="","",IF(N269="SIM",VLOOKUP($I269&amp;$J269&amp;N$1,Pesos!$A:$I,7,FALSE),VLOOKUP($I269&amp;$J269&amp;N$1,Pesos!$A:$I,9,FALSE)))</f>
        <v>#N/A</v>
      </c>
      <c r="AG269" s="80" t="e">
        <f>IF(O269="","",IF(O269="SIM",VLOOKUP($I269&amp;$J269&amp;O$1,Pesos!$A:$I,7,FALSE),VLOOKUP($I269&amp;$J269&amp;O$1,Pesos!$A:$I,9,FALSE)))</f>
        <v>#N/A</v>
      </c>
      <c r="AH269" s="80" t="e">
        <f>IF(P269="","",IF(P269="SIM",VLOOKUP($I269&amp;$J269&amp;P$1,Pesos!$A:$I,7,FALSE),VLOOKUP($I269&amp;$J269&amp;P$1,Pesos!$A:$I,9,FALSE)))</f>
        <v>#N/A</v>
      </c>
      <c r="AI269" s="80" t="e">
        <f>IF(Q269="","",IF(Q269="SIM",VLOOKUP($I269&amp;$J269&amp;Q$1,Pesos!$A:$I,7,FALSE),VLOOKUP($I269&amp;$J269&amp;Q$1,Pesos!$A:$I,9,FALSE)))</f>
        <v>#N/A</v>
      </c>
      <c r="AJ269" s="80" t="e">
        <f>IF(R269="","",IF(R269="SIM",VLOOKUP($I269&amp;$J269&amp;R$1,Pesos!$A:$I,7,FALSE),VLOOKUP($I269&amp;$J269&amp;R$1,Pesos!$A:$I,9,FALSE)))</f>
        <v>#N/A</v>
      </c>
      <c r="AK269" s="80" t="e">
        <f>IF(S269="","",IF(S269="SIM",VLOOKUP($I269&amp;$J269&amp;S$1,Pesos!$A:$I,7,FALSE),VLOOKUP($I269&amp;$J269&amp;S$1,Pesos!$A:$I,9,FALSE)))</f>
        <v>#N/A</v>
      </c>
      <c r="AL269" s="80" t="e">
        <f t="shared" si="41"/>
        <v>#N/A</v>
      </c>
      <c r="AM269" s="80" t="e">
        <f>IF(T269="","",IF(T269="SIM",VLOOKUP($I269&amp;$J269&amp;T$1,Pesos!$A:$I,7,FALSE),VLOOKUP($I269&amp;$J269&amp;T$1,Pesos!$A:$I,9,FALSE)))</f>
        <v>#N/A</v>
      </c>
      <c r="AN269" s="80" t="e">
        <f>IF(U269="","",IF(U269="SIM",VLOOKUP($I269&amp;$J269&amp;U$1,Pesos!$A:$I,7,FALSE),VLOOKUP($I269&amp;$J269&amp;U$1,Pesos!$A:$I,9,FALSE)))</f>
        <v>#N/A</v>
      </c>
      <c r="AO269" s="80" t="e">
        <f>IF(V269="","",IF(V269="SIM",VLOOKUP($I269&amp;$J269&amp;V$1,Pesos!$A:$I,7,FALSE),VLOOKUP($I269&amp;$J269&amp;V$1,Pesos!$A:$I,9,FALSE)))</f>
        <v>#N/A</v>
      </c>
      <c r="AP269" s="80" t="e">
        <f>IF(W269="","",IF(W269="SIM",VLOOKUP($I269&amp;$J269&amp;W$1,Pesos!$A:$I,7,FALSE),VLOOKUP($I269&amp;$J269&amp;W$1,Pesos!$A:$I,9,FALSE)))</f>
        <v>#N/A</v>
      </c>
      <c r="AQ269" s="80" t="e">
        <f>IF(X269="","",IF(X269="SIM",VLOOKUP($I269&amp;$J269&amp;X$1,Pesos!$A:$I,7,FALSE),VLOOKUP($I269&amp;$J269&amp;X$1,Pesos!$A:$I,9,FALSE)))</f>
        <v>#N/A</v>
      </c>
      <c r="AR269" s="80" t="e">
        <f>IF(Y269="","",IF(Y269="SIM",VLOOKUP($I269&amp;$J269&amp;Y$1,Pesos!$A:$I,7,FALSE),VLOOKUP($I269&amp;$J269&amp;Y$1,Pesos!$A:$I,9,FALSE)))</f>
        <v>#N/A</v>
      </c>
      <c r="AS269" s="81" t="str">
        <f>IFERROR(Z269*VLOOKUP(J269,'BD Campos'!$Y$1:$Z$12,2,FALSE),"0")</f>
        <v>0</v>
      </c>
    </row>
    <row r="270" spans="1:45" x14ac:dyDescent="0.35">
      <c r="A270" s="68" t="str">
        <f t="shared" si="39"/>
        <v>Jan202510089Receptiva CadastroCADASTRO</v>
      </c>
      <c r="B270" s="69" t="str">
        <f t="shared" si="42"/>
        <v>Jan2025100895CADASTROPADRÃO</v>
      </c>
      <c r="C270" s="70">
        <v>1</v>
      </c>
      <c r="D270" s="71">
        <v>45679.408704513888</v>
      </c>
      <c r="E270" s="112" t="s">
        <v>74</v>
      </c>
      <c r="F270" s="72">
        <v>10089</v>
      </c>
      <c r="G270" s="69" t="s">
        <v>84</v>
      </c>
      <c r="H270" s="73">
        <v>5</v>
      </c>
      <c r="I270" s="69" t="s">
        <v>76</v>
      </c>
      <c r="J270" s="69" t="s">
        <v>77</v>
      </c>
      <c r="K270" s="69" t="s">
        <v>78</v>
      </c>
      <c r="L270" s="74"/>
      <c r="M270" s="75">
        <v>2.8009259259259259E-3</v>
      </c>
      <c r="N270" s="76" t="s">
        <v>79</v>
      </c>
      <c r="O270" s="76" t="s">
        <v>79</v>
      </c>
      <c r="P270" s="76" t="s">
        <v>79</v>
      </c>
      <c r="Q270" s="76" t="s">
        <v>79</v>
      </c>
      <c r="R270" s="76" t="s">
        <v>79</v>
      </c>
      <c r="S270" s="76" t="s">
        <v>79</v>
      </c>
      <c r="T270" s="76" t="s">
        <v>79</v>
      </c>
      <c r="U270" s="76" t="s">
        <v>79</v>
      </c>
      <c r="V270" s="76" t="s">
        <v>79</v>
      </c>
      <c r="W270" s="76" t="s">
        <v>79</v>
      </c>
      <c r="X270" s="76" t="s">
        <v>79</v>
      </c>
      <c r="Y270" s="76" t="s">
        <v>79</v>
      </c>
      <c r="Z270" s="77" t="e">
        <f t="shared" si="38"/>
        <v>#N/A</v>
      </c>
      <c r="AA270" s="78"/>
      <c r="AB270" s="78"/>
      <c r="AC270" s="72" t="s">
        <v>47</v>
      </c>
      <c r="AE270" s="79" t="str">
        <f t="shared" si="40"/>
        <v>Jan10089</v>
      </c>
      <c r="AF270" s="80" t="e">
        <f>IF(N270="","",IF(N270="SIM",VLOOKUP($I270&amp;$J270&amp;N$1,Pesos!$A:$I,7,FALSE),VLOOKUP($I270&amp;$J270&amp;N$1,Pesos!$A:$I,9,FALSE)))</f>
        <v>#N/A</v>
      </c>
      <c r="AG270" s="80" t="e">
        <f>IF(O270="","",IF(O270="SIM",VLOOKUP($I270&amp;$J270&amp;O$1,Pesos!$A:$I,7,FALSE),VLOOKUP($I270&amp;$J270&amp;O$1,Pesos!$A:$I,9,FALSE)))</f>
        <v>#N/A</v>
      </c>
      <c r="AH270" s="80" t="e">
        <f>IF(P270="","",IF(P270="SIM",VLOOKUP($I270&amp;$J270&amp;P$1,Pesos!$A:$I,7,FALSE),VLOOKUP($I270&amp;$J270&amp;P$1,Pesos!$A:$I,9,FALSE)))</f>
        <v>#N/A</v>
      </c>
      <c r="AI270" s="80" t="e">
        <f>IF(Q270="","",IF(Q270="SIM",VLOOKUP($I270&amp;$J270&amp;Q$1,Pesos!$A:$I,7,FALSE),VLOOKUP($I270&amp;$J270&amp;Q$1,Pesos!$A:$I,9,FALSE)))</f>
        <v>#N/A</v>
      </c>
      <c r="AJ270" s="80" t="e">
        <f>IF(R270="","",IF(R270="SIM",VLOOKUP($I270&amp;$J270&amp;R$1,Pesos!$A:$I,7,FALSE),VLOOKUP($I270&amp;$J270&amp;R$1,Pesos!$A:$I,9,FALSE)))</f>
        <v>#N/A</v>
      </c>
      <c r="AK270" s="80" t="e">
        <f>IF(S270="","",IF(S270="SIM",VLOOKUP($I270&amp;$J270&amp;S$1,Pesos!$A:$I,7,FALSE),VLOOKUP($I270&amp;$J270&amp;S$1,Pesos!$A:$I,9,FALSE)))</f>
        <v>#N/A</v>
      </c>
      <c r="AL270" s="80" t="e">
        <f t="shared" si="41"/>
        <v>#N/A</v>
      </c>
      <c r="AM270" s="80" t="e">
        <f>IF(T270="","",IF(T270="SIM",VLOOKUP($I270&amp;$J270&amp;T$1,Pesos!$A:$I,7,FALSE),VLOOKUP($I270&amp;$J270&amp;T$1,Pesos!$A:$I,9,FALSE)))</f>
        <v>#N/A</v>
      </c>
      <c r="AN270" s="80" t="e">
        <f>IF(U270="","",IF(U270="SIM",VLOOKUP($I270&amp;$J270&amp;U$1,Pesos!$A:$I,7,FALSE),VLOOKUP($I270&amp;$J270&amp;U$1,Pesos!$A:$I,9,FALSE)))</f>
        <v>#N/A</v>
      </c>
      <c r="AO270" s="80" t="e">
        <f>IF(V270="","",IF(V270="SIM",VLOOKUP($I270&amp;$J270&amp;V$1,Pesos!$A:$I,7,FALSE),VLOOKUP($I270&amp;$J270&amp;V$1,Pesos!$A:$I,9,FALSE)))</f>
        <v>#N/A</v>
      </c>
      <c r="AP270" s="80" t="e">
        <f>IF(W270="","",IF(W270="SIM",VLOOKUP($I270&amp;$J270&amp;W$1,Pesos!$A:$I,7,FALSE),VLOOKUP($I270&amp;$J270&amp;W$1,Pesos!$A:$I,9,FALSE)))</f>
        <v>#N/A</v>
      </c>
      <c r="AQ270" s="80" t="e">
        <f>IF(X270="","",IF(X270="SIM",VLOOKUP($I270&amp;$J270&amp;X$1,Pesos!$A:$I,7,FALSE),VLOOKUP($I270&amp;$J270&amp;X$1,Pesos!$A:$I,9,FALSE)))</f>
        <v>#N/A</v>
      </c>
      <c r="AR270" s="80" t="e">
        <f>IF(Y270="","",IF(Y270="SIM",VLOOKUP($I270&amp;$J270&amp;Y$1,Pesos!$A:$I,7,FALSE),VLOOKUP($I270&amp;$J270&amp;Y$1,Pesos!$A:$I,9,FALSE)))</f>
        <v>#N/A</v>
      </c>
      <c r="AS270" s="81" t="str">
        <f>IFERROR(Z270*VLOOKUP(J270,'BD Campos'!$Y$1:$Z$12,2,FALSE),"0")</f>
        <v>0</v>
      </c>
    </row>
    <row r="271" spans="1:45" x14ac:dyDescent="0.35">
      <c r="A271" s="68" t="str">
        <f t="shared" si="39"/>
        <v>Jan202510089Receptiva Cadastro 2CADASTRO</v>
      </c>
      <c r="B271" s="69" t="str">
        <f t="shared" si="42"/>
        <v>Jan2025100896CADASTROPADRÃO</v>
      </c>
      <c r="C271" s="70">
        <v>1</v>
      </c>
      <c r="D271" s="71">
        <v>45679.411862499997</v>
      </c>
      <c r="E271" s="112" t="s">
        <v>74</v>
      </c>
      <c r="F271" s="72">
        <v>10089</v>
      </c>
      <c r="G271" s="69" t="s">
        <v>84</v>
      </c>
      <c r="H271" s="73">
        <v>6</v>
      </c>
      <c r="I271" s="69" t="s">
        <v>76</v>
      </c>
      <c r="J271" s="69" t="s">
        <v>81</v>
      </c>
      <c r="K271" s="69" t="s">
        <v>78</v>
      </c>
      <c r="L271" s="74"/>
      <c r="M271" s="75">
        <v>3.37962962962963E-3</v>
      </c>
      <c r="N271" s="76" t="s">
        <v>79</v>
      </c>
      <c r="O271" s="76" t="s">
        <v>79</v>
      </c>
      <c r="P271" s="76" t="s">
        <v>79</v>
      </c>
      <c r="Q271" s="76" t="s">
        <v>79</v>
      </c>
      <c r="R271" s="76" t="s">
        <v>79</v>
      </c>
      <c r="S271" s="76" t="s">
        <v>79</v>
      </c>
      <c r="T271" s="76" t="s">
        <v>79</v>
      </c>
      <c r="U271" s="76" t="s">
        <v>79</v>
      </c>
      <c r="V271" s="76" t="s">
        <v>79</v>
      </c>
      <c r="W271" s="76" t="s">
        <v>79</v>
      </c>
      <c r="X271" s="76" t="s">
        <v>79</v>
      </c>
      <c r="Y271" s="76" t="s">
        <v>79</v>
      </c>
      <c r="Z271" s="77" t="e">
        <f t="shared" si="38"/>
        <v>#N/A</v>
      </c>
      <c r="AA271" s="78"/>
      <c r="AB271" s="78"/>
      <c r="AC271" s="72" t="s">
        <v>47</v>
      </c>
      <c r="AE271" s="79" t="str">
        <f t="shared" si="40"/>
        <v>Jan10089</v>
      </c>
      <c r="AF271" s="80" t="e">
        <f>IF(N271="","",IF(N271="SIM",VLOOKUP($I271&amp;$J271&amp;N$1,Pesos!$A:$I,7,FALSE),VLOOKUP($I271&amp;$J271&amp;N$1,Pesos!$A:$I,9,FALSE)))</f>
        <v>#N/A</v>
      </c>
      <c r="AG271" s="80" t="e">
        <f>IF(O271="","",IF(O271="SIM",VLOOKUP($I271&amp;$J271&amp;O$1,Pesos!$A:$I,7,FALSE),VLOOKUP($I271&amp;$J271&amp;O$1,Pesos!$A:$I,9,FALSE)))</f>
        <v>#N/A</v>
      </c>
      <c r="AH271" s="80" t="e">
        <f>IF(P271="","",IF(P271="SIM",VLOOKUP($I271&amp;$J271&amp;P$1,Pesos!$A:$I,7,FALSE),VLOOKUP($I271&amp;$J271&amp;P$1,Pesos!$A:$I,9,FALSE)))</f>
        <v>#N/A</v>
      </c>
      <c r="AI271" s="80" t="e">
        <f>IF(Q271="","",IF(Q271="SIM",VLOOKUP($I271&amp;$J271&amp;Q$1,Pesos!$A:$I,7,FALSE),VLOOKUP($I271&amp;$J271&amp;Q$1,Pesos!$A:$I,9,FALSE)))</f>
        <v>#N/A</v>
      </c>
      <c r="AJ271" s="80" t="e">
        <f>IF(R271="","",IF(R271="SIM",VLOOKUP($I271&amp;$J271&amp;R$1,Pesos!$A:$I,7,FALSE),VLOOKUP($I271&amp;$J271&amp;R$1,Pesos!$A:$I,9,FALSE)))</f>
        <v>#N/A</v>
      </c>
      <c r="AK271" s="80" t="e">
        <f>IF(S271="","",IF(S271="SIM",VLOOKUP($I271&amp;$J271&amp;S$1,Pesos!$A:$I,7,FALSE),VLOOKUP($I271&amp;$J271&amp;S$1,Pesos!$A:$I,9,FALSE)))</f>
        <v>#N/A</v>
      </c>
      <c r="AL271" s="80" t="e">
        <f t="shared" si="41"/>
        <v>#N/A</v>
      </c>
      <c r="AM271" s="80" t="e">
        <f>IF(T271="","",IF(T271="SIM",VLOOKUP($I271&amp;$J271&amp;T$1,Pesos!$A:$I,7,FALSE),VLOOKUP($I271&amp;$J271&amp;T$1,Pesos!$A:$I,9,FALSE)))</f>
        <v>#N/A</v>
      </c>
      <c r="AN271" s="80" t="e">
        <f>IF(U271="","",IF(U271="SIM",VLOOKUP($I271&amp;$J271&amp;U$1,Pesos!$A:$I,7,FALSE),VLOOKUP($I271&amp;$J271&amp;U$1,Pesos!$A:$I,9,FALSE)))</f>
        <v>#N/A</v>
      </c>
      <c r="AO271" s="80" t="e">
        <f>IF(V271="","",IF(V271="SIM",VLOOKUP($I271&amp;$J271&amp;V$1,Pesos!$A:$I,7,FALSE),VLOOKUP($I271&amp;$J271&amp;V$1,Pesos!$A:$I,9,FALSE)))</f>
        <v>#N/A</v>
      </c>
      <c r="AP271" s="80" t="e">
        <f>IF(W271="","",IF(W271="SIM",VLOOKUP($I271&amp;$J271&amp;W$1,Pesos!$A:$I,7,FALSE),VLOOKUP($I271&amp;$J271&amp;W$1,Pesos!$A:$I,9,FALSE)))</f>
        <v>#N/A</v>
      </c>
      <c r="AQ271" s="80" t="e">
        <f>IF(X271="","",IF(X271="SIM",VLOOKUP($I271&amp;$J271&amp;X$1,Pesos!$A:$I,7,FALSE),VLOOKUP($I271&amp;$J271&amp;X$1,Pesos!$A:$I,9,FALSE)))</f>
        <v>#N/A</v>
      </c>
      <c r="AR271" s="80" t="e">
        <f>IF(Y271="","",IF(Y271="SIM",VLOOKUP($I271&amp;$J271&amp;Y$1,Pesos!$A:$I,7,FALSE),VLOOKUP($I271&amp;$J271&amp;Y$1,Pesos!$A:$I,9,FALSE)))</f>
        <v>#N/A</v>
      </c>
      <c r="AS271" s="81" t="str">
        <f>IFERROR(Z271*VLOOKUP(J271,'BD Campos'!$Y$1:$Z$12,2,FALSE),"0")</f>
        <v>0</v>
      </c>
    </row>
    <row r="272" spans="1:45" x14ac:dyDescent="0.35">
      <c r="A272" s="68" t="str">
        <f t="shared" si="39"/>
        <v>Jan202510891Receptiva CadastroCADASTRO</v>
      </c>
      <c r="B272" s="69" t="str">
        <f t="shared" si="42"/>
        <v>Jan2025108915CADASTROPADRÃO</v>
      </c>
      <c r="C272" s="70">
        <v>1</v>
      </c>
      <c r="D272" s="71">
        <v>45679.426007060189</v>
      </c>
      <c r="E272" s="112" t="s">
        <v>74</v>
      </c>
      <c r="F272" s="72">
        <v>10891</v>
      </c>
      <c r="G272" s="69" t="s">
        <v>87</v>
      </c>
      <c r="H272" s="73">
        <v>5</v>
      </c>
      <c r="I272" s="69" t="s">
        <v>76</v>
      </c>
      <c r="J272" s="69" t="s">
        <v>77</v>
      </c>
      <c r="K272" s="69" t="s">
        <v>78</v>
      </c>
      <c r="L272" s="74"/>
      <c r="M272" s="75">
        <v>2.9050925925925928E-3</v>
      </c>
      <c r="N272" s="76" t="s">
        <v>79</v>
      </c>
      <c r="O272" s="76" t="s">
        <v>79</v>
      </c>
      <c r="P272" s="76" t="s">
        <v>79</v>
      </c>
      <c r="Q272" s="76" t="s">
        <v>79</v>
      </c>
      <c r="R272" s="76" t="s">
        <v>79</v>
      </c>
      <c r="S272" s="76" t="s">
        <v>79</v>
      </c>
      <c r="T272" s="76" t="s">
        <v>79</v>
      </c>
      <c r="U272" s="76" t="s">
        <v>79</v>
      </c>
      <c r="V272" s="76" t="s">
        <v>83</v>
      </c>
      <c r="W272" s="76" t="s">
        <v>79</v>
      </c>
      <c r="X272" s="76" t="s">
        <v>79</v>
      </c>
      <c r="Y272" s="76" t="s">
        <v>79</v>
      </c>
      <c r="Z272" s="77" t="e">
        <f t="shared" si="38"/>
        <v>#N/A</v>
      </c>
      <c r="AA272" s="78"/>
      <c r="AB272" s="78"/>
      <c r="AC272" s="72" t="s">
        <v>47</v>
      </c>
      <c r="AE272" s="79" t="str">
        <f t="shared" si="40"/>
        <v>Jan10891</v>
      </c>
      <c r="AF272" s="80" t="e">
        <f>IF(N272="","",IF(N272="SIM",VLOOKUP($I272&amp;$J272&amp;N$1,Pesos!$A:$I,7,FALSE),VLOOKUP($I272&amp;$J272&amp;N$1,Pesos!$A:$I,9,FALSE)))</f>
        <v>#N/A</v>
      </c>
      <c r="AG272" s="80" t="e">
        <f>IF(O272="","",IF(O272="SIM",VLOOKUP($I272&amp;$J272&amp;O$1,Pesos!$A:$I,7,FALSE),VLOOKUP($I272&amp;$J272&amp;O$1,Pesos!$A:$I,9,FALSE)))</f>
        <v>#N/A</v>
      </c>
      <c r="AH272" s="80" t="e">
        <f>IF(P272="","",IF(P272="SIM",VLOOKUP($I272&amp;$J272&amp;P$1,Pesos!$A:$I,7,FALSE),VLOOKUP($I272&amp;$J272&amp;P$1,Pesos!$A:$I,9,FALSE)))</f>
        <v>#N/A</v>
      </c>
      <c r="AI272" s="80" t="e">
        <f>IF(Q272="","",IF(Q272="SIM",VLOOKUP($I272&amp;$J272&amp;Q$1,Pesos!$A:$I,7,FALSE),VLOOKUP($I272&amp;$J272&amp;Q$1,Pesos!$A:$I,9,FALSE)))</f>
        <v>#N/A</v>
      </c>
      <c r="AJ272" s="80" t="e">
        <f>IF(R272="","",IF(R272="SIM",VLOOKUP($I272&amp;$J272&amp;R$1,Pesos!$A:$I,7,FALSE),VLOOKUP($I272&amp;$J272&amp;R$1,Pesos!$A:$I,9,FALSE)))</f>
        <v>#N/A</v>
      </c>
      <c r="AK272" s="80" t="e">
        <f>IF(S272="","",IF(S272="SIM",VLOOKUP($I272&amp;$J272&amp;S$1,Pesos!$A:$I,7,FALSE),VLOOKUP($I272&amp;$J272&amp;S$1,Pesos!$A:$I,9,FALSE)))</f>
        <v>#N/A</v>
      </c>
      <c r="AL272" s="80" t="e">
        <f t="shared" si="41"/>
        <v>#N/A</v>
      </c>
      <c r="AM272" s="80" t="e">
        <f>IF(T272="","",IF(T272="SIM",VLOOKUP($I272&amp;$J272&amp;T$1,Pesos!$A:$I,7,FALSE),VLOOKUP($I272&amp;$J272&amp;T$1,Pesos!$A:$I,9,FALSE)))</f>
        <v>#N/A</v>
      </c>
      <c r="AN272" s="80" t="e">
        <f>IF(U272="","",IF(U272="SIM",VLOOKUP($I272&amp;$J272&amp;U$1,Pesos!$A:$I,7,FALSE),VLOOKUP($I272&amp;$J272&amp;U$1,Pesos!$A:$I,9,FALSE)))</f>
        <v>#N/A</v>
      </c>
      <c r="AO272" s="80" t="e">
        <f>IF(V272="","",IF(V272="SIM",VLOOKUP($I272&amp;$J272&amp;V$1,Pesos!$A:$I,7,FALSE),VLOOKUP($I272&amp;$J272&amp;V$1,Pesos!$A:$I,9,FALSE)))</f>
        <v>#N/A</v>
      </c>
      <c r="AP272" s="80" t="e">
        <f>IF(W272="","",IF(W272="SIM",VLOOKUP($I272&amp;$J272&amp;W$1,Pesos!$A:$I,7,FALSE),VLOOKUP($I272&amp;$J272&amp;W$1,Pesos!$A:$I,9,FALSE)))</f>
        <v>#N/A</v>
      </c>
      <c r="AQ272" s="80" t="e">
        <f>IF(X272="","",IF(X272="SIM",VLOOKUP($I272&amp;$J272&amp;X$1,Pesos!$A:$I,7,FALSE),VLOOKUP($I272&amp;$J272&amp;X$1,Pesos!$A:$I,9,FALSE)))</f>
        <v>#N/A</v>
      </c>
      <c r="AR272" s="80" t="e">
        <f>IF(Y272="","",IF(Y272="SIM",VLOOKUP($I272&amp;$J272&amp;Y$1,Pesos!$A:$I,7,FALSE),VLOOKUP($I272&amp;$J272&amp;Y$1,Pesos!$A:$I,9,FALSE)))</f>
        <v>#N/A</v>
      </c>
      <c r="AS272" s="81" t="str">
        <f>IFERROR(Z272*VLOOKUP(J272,'BD Campos'!$Y$1:$Z$12,2,FALSE),"0")</f>
        <v>0</v>
      </c>
    </row>
    <row r="273" spans="1:45" x14ac:dyDescent="0.35">
      <c r="A273" s="68" t="str">
        <f t="shared" si="39"/>
        <v>Jan202510891Receptiva Cadastro 2CADASTRO</v>
      </c>
      <c r="B273" s="69" t="str">
        <f t="shared" si="42"/>
        <v>Jan2025108916CADASTROPADRÃO</v>
      </c>
      <c r="C273" s="70">
        <v>1</v>
      </c>
      <c r="D273" s="71">
        <v>45679.430596296297</v>
      </c>
      <c r="E273" s="112" t="s">
        <v>74</v>
      </c>
      <c r="F273" s="72">
        <v>10891</v>
      </c>
      <c r="G273" s="69" t="s">
        <v>87</v>
      </c>
      <c r="H273" s="73">
        <v>6</v>
      </c>
      <c r="I273" s="69" t="s">
        <v>76</v>
      </c>
      <c r="J273" s="69" t="s">
        <v>81</v>
      </c>
      <c r="K273" s="69" t="s">
        <v>78</v>
      </c>
      <c r="L273" s="74"/>
      <c r="M273" s="75">
        <v>5.6018518518518518E-3</v>
      </c>
      <c r="N273" s="76" t="s">
        <v>79</v>
      </c>
      <c r="O273" s="76" t="s">
        <v>79</v>
      </c>
      <c r="P273" s="76" t="s">
        <v>79</v>
      </c>
      <c r="Q273" s="76" t="s">
        <v>79</v>
      </c>
      <c r="R273" s="76" t="s">
        <v>79</v>
      </c>
      <c r="S273" s="76" t="s">
        <v>79</v>
      </c>
      <c r="T273" s="76" t="s">
        <v>79</v>
      </c>
      <c r="U273" s="76" t="s">
        <v>79</v>
      </c>
      <c r="V273" s="76" t="s">
        <v>83</v>
      </c>
      <c r="W273" s="76" t="s">
        <v>79</v>
      </c>
      <c r="X273" s="76" t="s">
        <v>79</v>
      </c>
      <c r="Y273" s="76" t="s">
        <v>79</v>
      </c>
      <c r="Z273" s="77" t="e">
        <f t="shared" si="38"/>
        <v>#N/A</v>
      </c>
      <c r="AA273" s="78"/>
      <c r="AB273" s="78"/>
      <c r="AC273" s="72" t="s">
        <v>47</v>
      </c>
      <c r="AE273" s="79" t="str">
        <f t="shared" si="40"/>
        <v>Jan10891</v>
      </c>
      <c r="AF273" s="80" t="e">
        <f>IF(N273="","",IF(N273="SIM",VLOOKUP($I273&amp;$J273&amp;N$1,Pesos!$A:$I,7,FALSE),VLOOKUP($I273&amp;$J273&amp;N$1,Pesos!$A:$I,9,FALSE)))</f>
        <v>#N/A</v>
      </c>
      <c r="AG273" s="80" t="e">
        <f>IF(O273="","",IF(O273="SIM",VLOOKUP($I273&amp;$J273&amp;O$1,Pesos!$A:$I,7,FALSE),VLOOKUP($I273&amp;$J273&amp;O$1,Pesos!$A:$I,9,FALSE)))</f>
        <v>#N/A</v>
      </c>
      <c r="AH273" s="80" t="e">
        <f>IF(P273="","",IF(P273="SIM",VLOOKUP($I273&amp;$J273&amp;P$1,Pesos!$A:$I,7,FALSE),VLOOKUP($I273&amp;$J273&amp;P$1,Pesos!$A:$I,9,FALSE)))</f>
        <v>#N/A</v>
      </c>
      <c r="AI273" s="80" t="e">
        <f>IF(Q273="","",IF(Q273="SIM",VLOOKUP($I273&amp;$J273&amp;Q$1,Pesos!$A:$I,7,FALSE),VLOOKUP($I273&amp;$J273&amp;Q$1,Pesos!$A:$I,9,FALSE)))</f>
        <v>#N/A</v>
      </c>
      <c r="AJ273" s="80" t="e">
        <f>IF(R273="","",IF(R273="SIM",VLOOKUP($I273&amp;$J273&amp;R$1,Pesos!$A:$I,7,FALSE),VLOOKUP($I273&amp;$J273&amp;R$1,Pesos!$A:$I,9,FALSE)))</f>
        <v>#N/A</v>
      </c>
      <c r="AK273" s="80" t="e">
        <f>IF(S273="","",IF(S273="SIM",VLOOKUP($I273&amp;$J273&amp;S$1,Pesos!$A:$I,7,FALSE),VLOOKUP($I273&amp;$J273&amp;S$1,Pesos!$A:$I,9,FALSE)))</f>
        <v>#N/A</v>
      </c>
      <c r="AL273" s="80" t="e">
        <f t="shared" si="41"/>
        <v>#N/A</v>
      </c>
      <c r="AM273" s="80" t="e">
        <f>IF(T273="","",IF(T273="SIM",VLOOKUP($I273&amp;$J273&amp;T$1,Pesos!$A:$I,7,FALSE),VLOOKUP($I273&amp;$J273&amp;T$1,Pesos!$A:$I,9,FALSE)))</f>
        <v>#N/A</v>
      </c>
      <c r="AN273" s="80" t="e">
        <f>IF(U273="","",IF(U273="SIM",VLOOKUP($I273&amp;$J273&amp;U$1,Pesos!$A:$I,7,FALSE),VLOOKUP($I273&amp;$J273&amp;U$1,Pesos!$A:$I,9,FALSE)))</f>
        <v>#N/A</v>
      </c>
      <c r="AO273" s="80" t="e">
        <f>IF(V273="","",IF(V273="SIM",VLOOKUP($I273&amp;$J273&amp;V$1,Pesos!$A:$I,7,FALSE),VLOOKUP($I273&amp;$J273&amp;V$1,Pesos!$A:$I,9,FALSE)))</f>
        <v>#N/A</v>
      </c>
      <c r="AP273" s="80" t="e">
        <f>IF(W273="","",IF(W273="SIM",VLOOKUP($I273&amp;$J273&amp;W$1,Pesos!$A:$I,7,FALSE),VLOOKUP($I273&amp;$J273&amp;W$1,Pesos!$A:$I,9,FALSE)))</f>
        <v>#N/A</v>
      </c>
      <c r="AQ273" s="80" t="e">
        <f>IF(X273="","",IF(X273="SIM",VLOOKUP($I273&amp;$J273&amp;X$1,Pesos!$A:$I,7,FALSE),VLOOKUP($I273&amp;$J273&amp;X$1,Pesos!$A:$I,9,FALSE)))</f>
        <v>#N/A</v>
      </c>
      <c r="AR273" s="80" t="e">
        <f>IF(Y273="","",IF(Y273="SIM",VLOOKUP($I273&amp;$J273&amp;Y$1,Pesos!$A:$I,7,FALSE),VLOOKUP($I273&amp;$J273&amp;Y$1,Pesos!$A:$I,9,FALSE)))</f>
        <v>#N/A</v>
      </c>
      <c r="AS273" s="81" t="str">
        <f>IFERROR(Z273*VLOOKUP(J273,'BD Campos'!$Y$1:$Z$12,2,FALSE),"0")</f>
        <v>0</v>
      </c>
    </row>
    <row r="274" spans="1:45" x14ac:dyDescent="0.35">
      <c r="A274" s="68" t="str">
        <f t="shared" si="39"/>
        <v>Jan202510674Receptiva CadastroCADASTRO</v>
      </c>
      <c r="B274" s="69" t="str">
        <f t="shared" si="42"/>
        <v>Jan2025106745CADASTROPADRÃO</v>
      </c>
      <c r="C274" s="70">
        <v>1</v>
      </c>
      <c r="D274" s="71">
        <v>45679.437800694446</v>
      </c>
      <c r="E274" s="112" t="s">
        <v>74</v>
      </c>
      <c r="F274" s="72">
        <v>10674</v>
      </c>
      <c r="G274" s="69" t="s">
        <v>88</v>
      </c>
      <c r="H274" s="73">
        <v>5</v>
      </c>
      <c r="I274" s="69" t="s">
        <v>76</v>
      </c>
      <c r="J274" s="69" t="s">
        <v>77</v>
      </c>
      <c r="K274" s="69" t="s">
        <v>78</v>
      </c>
      <c r="L274" s="74"/>
      <c r="M274" s="75">
        <v>3.0208333333333333E-3</v>
      </c>
      <c r="N274" s="76" t="s">
        <v>79</v>
      </c>
      <c r="O274" s="76" t="s">
        <v>79</v>
      </c>
      <c r="P274" s="76" t="s">
        <v>79</v>
      </c>
      <c r="Q274" s="76" t="s">
        <v>79</v>
      </c>
      <c r="R274" s="76" t="s">
        <v>79</v>
      </c>
      <c r="S274" s="76" t="s">
        <v>79</v>
      </c>
      <c r="T274" s="76" t="s">
        <v>83</v>
      </c>
      <c r="U274" s="76" t="s">
        <v>79</v>
      </c>
      <c r="V274" s="76" t="s">
        <v>79</v>
      </c>
      <c r="W274" s="76" t="s">
        <v>79</v>
      </c>
      <c r="X274" s="76" t="s">
        <v>79</v>
      </c>
      <c r="Y274" s="76" t="s">
        <v>79</v>
      </c>
      <c r="Z274" s="77" t="e">
        <f t="shared" si="38"/>
        <v>#N/A</v>
      </c>
      <c r="AA274" s="78"/>
      <c r="AB274" s="78"/>
      <c r="AC274" s="72" t="s">
        <v>47</v>
      </c>
      <c r="AE274" s="79" t="str">
        <f t="shared" si="40"/>
        <v>Jan10674</v>
      </c>
      <c r="AF274" s="80" t="e">
        <f>IF(N274="","",IF(N274="SIM",VLOOKUP($I274&amp;$J274&amp;N$1,Pesos!$A:$I,7,FALSE),VLOOKUP($I274&amp;$J274&amp;N$1,Pesos!$A:$I,9,FALSE)))</f>
        <v>#N/A</v>
      </c>
      <c r="AG274" s="80" t="e">
        <f>IF(O274="","",IF(O274="SIM",VLOOKUP($I274&amp;$J274&amp;O$1,Pesos!$A:$I,7,FALSE),VLOOKUP($I274&amp;$J274&amp;O$1,Pesos!$A:$I,9,FALSE)))</f>
        <v>#N/A</v>
      </c>
      <c r="AH274" s="80" t="e">
        <f>IF(P274="","",IF(P274="SIM",VLOOKUP($I274&amp;$J274&amp;P$1,Pesos!$A:$I,7,FALSE),VLOOKUP($I274&amp;$J274&amp;P$1,Pesos!$A:$I,9,FALSE)))</f>
        <v>#N/A</v>
      </c>
      <c r="AI274" s="80" t="e">
        <f>IF(Q274="","",IF(Q274="SIM",VLOOKUP($I274&amp;$J274&amp;Q$1,Pesos!$A:$I,7,FALSE),VLOOKUP($I274&amp;$J274&amp;Q$1,Pesos!$A:$I,9,FALSE)))</f>
        <v>#N/A</v>
      </c>
      <c r="AJ274" s="80" t="e">
        <f>IF(R274="","",IF(R274="SIM",VLOOKUP($I274&amp;$J274&amp;R$1,Pesos!$A:$I,7,FALSE),VLOOKUP($I274&amp;$J274&amp;R$1,Pesos!$A:$I,9,FALSE)))</f>
        <v>#N/A</v>
      </c>
      <c r="AK274" s="80" t="e">
        <f>IF(S274="","",IF(S274="SIM",VLOOKUP($I274&amp;$J274&amp;S$1,Pesos!$A:$I,7,FALSE),VLOOKUP($I274&amp;$J274&amp;S$1,Pesos!$A:$I,9,FALSE)))</f>
        <v>#N/A</v>
      </c>
      <c r="AL274" s="80" t="e">
        <f t="shared" si="41"/>
        <v>#N/A</v>
      </c>
      <c r="AM274" s="80" t="e">
        <f>IF(T274="","",IF(T274="SIM",VLOOKUP($I274&amp;$J274&amp;T$1,Pesos!$A:$I,7,FALSE),VLOOKUP($I274&amp;$J274&amp;T$1,Pesos!$A:$I,9,FALSE)))</f>
        <v>#N/A</v>
      </c>
      <c r="AN274" s="80" t="e">
        <f>IF(U274="","",IF(U274="SIM",VLOOKUP($I274&amp;$J274&amp;U$1,Pesos!$A:$I,7,FALSE),VLOOKUP($I274&amp;$J274&amp;U$1,Pesos!$A:$I,9,FALSE)))</f>
        <v>#N/A</v>
      </c>
      <c r="AO274" s="80" t="e">
        <f>IF(V274="","",IF(V274="SIM",VLOOKUP($I274&amp;$J274&amp;V$1,Pesos!$A:$I,7,FALSE),VLOOKUP($I274&amp;$J274&amp;V$1,Pesos!$A:$I,9,FALSE)))</f>
        <v>#N/A</v>
      </c>
      <c r="AP274" s="80" t="e">
        <f>IF(W274="","",IF(W274="SIM",VLOOKUP($I274&amp;$J274&amp;W$1,Pesos!$A:$I,7,FALSE),VLOOKUP($I274&amp;$J274&amp;W$1,Pesos!$A:$I,9,FALSE)))</f>
        <v>#N/A</v>
      </c>
      <c r="AQ274" s="80" t="e">
        <f>IF(X274="","",IF(X274="SIM",VLOOKUP($I274&amp;$J274&amp;X$1,Pesos!$A:$I,7,FALSE),VLOOKUP($I274&amp;$J274&amp;X$1,Pesos!$A:$I,9,FALSE)))</f>
        <v>#N/A</v>
      </c>
      <c r="AR274" s="80" t="e">
        <f>IF(Y274="","",IF(Y274="SIM",VLOOKUP($I274&amp;$J274&amp;Y$1,Pesos!$A:$I,7,FALSE),VLOOKUP($I274&amp;$J274&amp;Y$1,Pesos!$A:$I,9,FALSE)))</f>
        <v>#N/A</v>
      </c>
      <c r="AS274" s="81" t="str">
        <f>IFERROR(Z274*VLOOKUP(J274,'BD Campos'!$Y$1:$Z$12,2,FALSE),"0")</f>
        <v>0</v>
      </c>
    </row>
    <row r="275" spans="1:45" x14ac:dyDescent="0.35">
      <c r="A275" s="68" t="str">
        <f t="shared" si="39"/>
        <v>Jan202510674Receptiva Cadastro 2CADASTRO</v>
      </c>
      <c r="B275" s="69" t="str">
        <f t="shared" si="42"/>
        <v>Jan2025106746CADASTROPADRÃO</v>
      </c>
      <c r="C275" s="70">
        <v>1</v>
      </c>
      <c r="D275" s="71">
        <v>45679.44343078704</v>
      </c>
      <c r="E275" s="112" t="s">
        <v>74</v>
      </c>
      <c r="F275" s="72">
        <v>10674</v>
      </c>
      <c r="G275" s="69" t="s">
        <v>88</v>
      </c>
      <c r="H275" s="73">
        <v>6</v>
      </c>
      <c r="I275" s="69" t="s">
        <v>76</v>
      </c>
      <c r="J275" s="69" t="s">
        <v>81</v>
      </c>
      <c r="K275" s="69" t="s">
        <v>78</v>
      </c>
      <c r="L275" s="74"/>
      <c r="M275" s="75">
        <v>2.8472222222222219E-3</v>
      </c>
      <c r="N275" s="76" t="s">
        <v>79</v>
      </c>
      <c r="O275" s="76" t="s">
        <v>79</v>
      </c>
      <c r="P275" s="76" t="s">
        <v>79</v>
      </c>
      <c r="Q275" s="76" t="s">
        <v>79</v>
      </c>
      <c r="R275" s="76" t="s">
        <v>79</v>
      </c>
      <c r="S275" s="76" t="s">
        <v>79</v>
      </c>
      <c r="T275" s="76" t="s">
        <v>79</v>
      </c>
      <c r="U275" s="76" t="s">
        <v>79</v>
      </c>
      <c r="V275" s="76" t="s">
        <v>79</v>
      </c>
      <c r="W275" s="76" t="s">
        <v>79</v>
      </c>
      <c r="X275" s="76" t="s">
        <v>79</v>
      </c>
      <c r="Y275" s="76" t="s">
        <v>79</v>
      </c>
      <c r="Z275" s="77" t="e">
        <f t="shared" si="38"/>
        <v>#N/A</v>
      </c>
      <c r="AA275" s="78"/>
      <c r="AB275" s="78"/>
      <c r="AC275" s="72" t="s">
        <v>47</v>
      </c>
      <c r="AE275" s="79" t="str">
        <f t="shared" si="40"/>
        <v>Jan10674</v>
      </c>
      <c r="AF275" s="80" t="e">
        <f>IF(N275="","",IF(N275="SIM",VLOOKUP($I275&amp;$J275&amp;N$1,Pesos!$A:$I,7,FALSE),VLOOKUP($I275&amp;$J275&amp;N$1,Pesos!$A:$I,9,FALSE)))</f>
        <v>#N/A</v>
      </c>
      <c r="AG275" s="80" t="e">
        <f>IF(O275="","",IF(O275="SIM",VLOOKUP($I275&amp;$J275&amp;O$1,Pesos!$A:$I,7,FALSE),VLOOKUP($I275&amp;$J275&amp;O$1,Pesos!$A:$I,9,FALSE)))</f>
        <v>#N/A</v>
      </c>
      <c r="AH275" s="80" t="e">
        <f>IF(P275="","",IF(P275="SIM",VLOOKUP($I275&amp;$J275&amp;P$1,Pesos!$A:$I,7,FALSE),VLOOKUP($I275&amp;$J275&amp;P$1,Pesos!$A:$I,9,FALSE)))</f>
        <v>#N/A</v>
      </c>
      <c r="AI275" s="80" t="e">
        <f>IF(Q275="","",IF(Q275="SIM",VLOOKUP($I275&amp;$J275&amp;Q$1,Pesos!$A:$I,7,FALSE),VLOOKUP($I275&amp;$J275&amp;Q$1,Pesos!$A:$I,9,FALSE)))</f>
        <v>#N/A</v>
      </c>
      <c r="AJ275" s="80" t="e">
        <f>IF(R275="","",IF(R275="SIM",VLOOKUP($I275&amp;$J275&amp;R$1,Pesos!$A:$I,7,FALSE),VLOOKUP($I275&amp;$J275&amp;R$1,Pesos!$A:$I,9,FALSE)))</f>
        <v>#N/A</v>
      </c>
      <c r="AK275" s="80" t="e">
        <f>IF(S275="","",IF(S275="SIM",VLOOKUP($I275&amp;$J275&amp;S$1,Pesos!$A:$I,7,FALSE),VLOOKUP($I275&amp;$J275&amp;S$1,Pesos!$A:$I,9,FALSE)))</f>
        <v>#N/A</v>
      </c>
      <c r="AL275" s="80" t="e">
        <f t="shared" si="41"/>
        <v>#N/A</v>
      </c>
      <c r="AM275" s="80" t="e">
        <f>IF(T275="","",IF(T275="SIM",VLOOKUP($I275&amp;$J275&amp;T$1,Pesos!$A:$I,7,FALSE),VLOOKUP($I275&amp;$J275&amp;T$1,Pesos!$A:$I,9,FALSE)))</f>
        <v>#N/A</v>
      </c>
      <c r="AN275" s="80" t="e">
        <f>IF(U275="","",IF(U275="SIM",VLOOKUP($I275&amp;$J275&amp;U$1,Pesos!$A:$I,7,FALSE),VLOOKUP($I275&amp;$J275&amp;U$1,Pesos!$A:$I,9,FALSE)))</f>
        <v>#N/A</v>
      </c>
      <c r="AO275" s="80" t="e">
        <f>IF(V275="","",IF(V275="SIM",VLOOKUP($I275&amp;$J275&amp;V$1,Pesos!$A:$I,7,FALSE),VLOOKUP($I275&amp;$J275&amp;V$1,Pesos!$A:$I,9,FALSE)))</f>
        <v>#N/A</v>
      </c>
      <c r="AP275" s="80" t="e">
        <f>IF(W275="","",IF(W275="SIM",VLOOKUP($I275&amp;$J275&amp;W$1,Pesos!$A:$I,7,FALSE),VLOOKUP($I275&amp;$J275&amp;W$1,Pesos!$A:$I,9,FALSE)))</f>
        <v>#N/A</v>
      </c>
      <c r="AQ275" s="80" t="e">
        <f>IF(X275="","",IF(X275="SIM",VLOOKUP($I275&amp;$J275&amp;X$1,Pesos!$A:$I,7,FALSE),VLOOKUP($I275&amp;$J275&amp;X$1,Pesos!$A:$I,9,FALSE)))</f>
        <v>#N/A</v>
      </c>
      <c r="AR275" s="80" t="e">
        <f>IF(Y275="","",IF(Y275="SIM",VLOOKUP($I275&amp;$J275&amp;Y$1,Pesos!$A:$I,7,FALSE),VLOOKUP($I275&amp;$J275&amp;Y$1,Pesos!$A:$I,9,FALSE)))</f>
        <v>#N/A</v>
      </c>
      <c r="AS275" s="81" t="str">
        <f>IFERROR(Z275*VLOOKUP(J275,'BD Campos'!$Y$1:$Z$12,2,FALSE),"0")</f>
        <v>0</v>
      </c>
    </row>
    <row r="276" spans="1:45" x14ac:dyDescent="0.35">
      <c r="A276" s="68" t="str">
        <f t="shared" si="39"/>
        <v>Jan202510667Receptiva CadastroCADASTRO</v>
      </c>
      <c r="B276" s="69" t="str">
        <f t="shared" si="42"/>
        <v>Jan2025106675CADASTROPADRÃO</v>
      </c>
      <c r="C276" s="70">
        <v>1</v>
      </c>
      <c r="D276" s="71">
        <v>45679.447901041669</v>
      </c>
      <c r="E276" s="112" t="s">
        <v>74</v>
      </c>
      <c r="F276" s="72">
        <v>10667</v>
      </c>
      <c r="G276" s="69" t="s">
        <v>90</v>
      </c>
      <c r="H276" s="73">
        <v>5</v>
      </c>
      <c r="I276" s="69" t="s">
        <v>76</v>
      </c>
      <c r="J276" s="69" t="s">
        <v>77</v>
      </c>
      <c r="K276" s="69" t="s">
        <v>78</v>
      </c>
      <c r="L276" s="74"/>
      <c r="M276" s="75">
        <v>2.5694444444444445E-3</v>
      </c>
      <c r="N276" s="76" t="s">
        <v>79</v>
      </c>
      <c r="O276" s="76" t="s">
        <v>79</v>
      </c>
      <c r="P276" s="76" t="s">
        <v>79</v>
      </c>
      <c r="Q276" s="76" t="s">
        <v>79</v>
      </c>
      <c r="R276" s="76" t="s">
        <v>79</v>
      </c>
      <c r="S276" s="76" t="s">
        <v>79</v>
      </c>
      <c r="T276" s="76" t="s">
        <v>79</v>
      </c>
      <c r="U276" s="76" t="s">
        <v>79</v>
      </c>
      <c r="V276" s="76" t="s">
        <v>79</v>
      </c>
      <c r="W276" s="76" t="s">
        <v>79</v>
      </c>
      <c r="X276" s="76" t="s">
        <v>79</v>
      </c>
      <c r="Y276" s="76" t="s">
        <v>79</v>
      </c>
      <c r="Z276" s="77" t="e">
        <f t="shared" si="38"/>
        <v>#N/A</v>
      </c>
      <c r="AA276" s="78"/>
      <c r="AB276" s="78"/>
      <c r="AC276" s="72" t="s">
        <v>47</v>
      </c>
      <c r="AE276" s="79" t="str">
        <f t="shared" si="40"/>
        <v>Jan10667</v>
      </c>
      <c r="AF276" s="80" t="e">
        <f>IF(N276="","",IF(N276="SIM",VLOOKUP($I276&amp;$J276&amp;N$1,Pesos!$A:$I,7,FALSE),VLOOKUP($I276&amp;$J276&amp;N$1,Pesos!$A:$I,9,FALSE)))</f>
        <v>#N/A</v>
      </c>
      <c r="AG276" s="80" t="e">
        <f>IF(O276="","",IF(O276="SIM",VLOOKUP($I276&amp;$J276&amp;O$1,Pesos!$A:$I,7,FALSE),VLOOKUP($I276&amp;$J276&amp;O$1,Pesos!$A:$I,9,FALSE)))</f>
        <v>#N/A</v>
      </c>
      <c r="AH276" s="80" t="e">
        <f>IF(P276="","",IF(P276="SIM",VLOOKUP($I276&amp;$J276&amp;P$1,Pesos!$A:$I,7,FALSE),VLOOKUP($I276&amp;$J276&amp;P$1,Pesos!$A:$I,9,FALSE)))</f>
        <v>#N/A</v>
      </c>
      <c r="AI276" s="80" t="e">
        <f>IF(Q276="","",IF(Q276="SIM",VLOOKUP($I276&amp;$J276&amp;Q$1,Pesos!$A:$I,7,FALSE),VLOOKUP($I276&amp;$J276&amp;Q$1,Pesos!$A:$I,9,FALSE)))</f>
        <v>#N/A</v>
      </c>
      <c r="AJ276" s="80" t="e">
        <f>IF(R276="","",IF(R276="SIM",VLOOKUP($I276&amp;$J276&amp;R$1,Pesos!$A:$I,7,FALSE),VLOOKUP($I276&amp;$J276&amp;R$1,Pesos!$A:$I,9,FALSE)))</f>
        <v>#N/A</v>
      </c>
      <c r="AK276" s="80" t="e">
        <f>IF(S276="","",IF(S276="SIM",VLOOKUP($I276&amp;$J276&amp;S$1,Pesos!$A:$I,7,FALSE),VLOOKUP($I276&amp;$J276&amp;S$1,Pesos!$A:$I,9,FALSE)))</f>
        <v>#N/A</v>
      </c>
      <c r="AL276" s="80" t="e">
        <f t="shared" si="41"/>
        <v>#N/A</v>
      </c>
      <c r="AM276" s="80" t="e">
        <f>IF(T276="","",IF(T276="SIM",VLOOKUP($I276&amp;$J276&amp;T$1,Pesos!$A:$I,7,FALSE),VLOOKUP($I276&amp;$J276&amp;T$1,Pesos!$A:$I,9,FALSE)))</f>
        <v>#N/A</v>
      </c>
      <c r="AN276" s="80" t="e">
        <f>IF(U276="","",IF(U276="SIM",VLOOKUP($I276&amp;$J276&amp;U$1,Pesos!$A:$I,7,FALSE),VLOOKUP($I276&amp;$J276&amp;U$1,Pesos!$A:$I,9,FALSE)))</f>
        <v>#N/A</v>
      </c>
      <c r="AO276" s="80" t="e">
        <f>IF(V276="","",IF(V276="SIM",VLOOKUP($I276&amp;$J276&amp;V$1,Pesos!$A:$I,7,FALSE),VLOOKUP($I276&amp;$J276&amp;V$1,Pesos!$A:$I,9,FALSE)))</f>
        <v>#N/A</v>
      </c>
      <c r="AP276" s="80" t="e">
        <f>IF(W276="","",IF(W276="SIM",VLOOKUP($I276&amp;$J276&amp;W$1,Pesos!$A:$I,7,FALSE),VLOOKUP($I276&amp;$J276&amp;W$1,Pesos!$A:$I,9,FALSE)))</f>
        <v>#N/A</v>
      </c>
      <c r="AQ276" s="80" t="e">
        <f>IF(X276="","",IF(X276="SIM",VLOOKUP($I276&amp;$J276&amp;X$1,Pesos!$A:$I,7,FALSE),VLOOKUP($I276&amp;$J276&amp;X$1,Pesos!$A:$I,9,FALSE)))</f>
        <v>#N/A</v>
      </c>
      <c r="AR276" s="80" t="e">
        <f>IF(Y276="","",IF(Y276="SIM",VLOOKUP($I276&amp;$J276&amp;Y$1,Pesos!$A:$I,7,FALSE),VLOOKUP($I276&amp;$J276&amp;Y$1,Pesos!$A:$I,9,FALSE)))</f>
        <v>#N/A</v>
      </c>
      <c r="AS276" s="81" t="str">
        <f>IFERROR(Z276*VLOOKUP(J276,'BD Campos'!$Y$1:$Z$12,2,FALSE),"0")</f>
        <v>0</v>
      </c>
    </row>
    <row r="277" spans="1:45" x14ac:dyDescent="0.35">
      <c r="A277" s="68" t="str">
        <f t="shared" si="39"/>
        <v>Jan202510667Receptiva Cadastro 2CADASTRO</v>
      </c>
      <c r="B277" s="69" t="str">
        <f t="shared" si="42"/>
        <v>Jan2025106676CADASTROPADRÃO</v>
      </c>
      <c r="C277" s="70">
        <v>1</v>
      </c>
      <c r="D277" s="71">
        <v>45679.455612847225</v>
      </c>
      <c r="E277" s="112" t="s">
        <v>74</v>
      </c>
      <c r="F277" s="72">
        <v>10667</v>
      </c>
      <c r="G277" s="69" t="s">
        <v>90</v>
      </c>
      <c r="H277" s="73">
        <v>6</v>
      </c>
      <c r="I277" s="69" t="s">
        <v>76</v>
      </c>
      <c r="J277" s="69" t="s">
        <v>81</v>
      </c>
      <c r="K277" s="69" t="s">
        <v>78</v>
      </c>
      <c r="L277" s="74"/>
      <c r="M277" s="75">
        <v>4.3749999999999995E-3</v>
      </c>
      <c r="N277" s="76" t="s">
        <v>79</v>
      </c>
      <c r="O277" s="76" t="s">
        <v>79</v>
      </c>
      <c r="P277" s="76" t="s">
        <v>79</v>
      </c>
      <c r="Q277" s="76" t="s">
        <v>79</v>
      </c>
      <c r="R277" s="76" t="s">
        <v>79</v>
      </c>
      <c r="S277" s="76" t="s">
        <v>79</v>
      </c>
      <c r="T277" s="76" t="s">
        <v>79</v>
      </c>
      <c r="U277" s="76" t="s">
        <v>79</v>
      </c>
      <c r="V277" s="76" t="s">
        <v>79</v>
      </c>
      <c r="W277" s="76" t="s">
        <v>79</v>
      </c>
      <c r="X277" s="76" t="s">
        <v>79</v>
      </c>
      <c r="Y277" s="76" t="s">
        <v>79</v>
      </c>
      <c r="Z277" s="77" t="e">
        <f t="shared" si="38"/>
        <v>#N/A</v>
      </c>
      <c r="AA277" s="78"/>
      <c r="AB277" s="78"/>
      <c r="AC277" s="72" t="s">
        <v>47</v>
      </c>
      <c r="AE277" s="79" t="str">
        <f t="shared" si="40"/>
        <v>Jan10667</v>
      </c>
      <c r="AF277" s="80" t="e">
        <f>IF(N277="","",IF(N277="SIM",VLOOKUP($I277&amp;$J277&amp;N$1,Pesos!$A:$I,7,FALSE),VLOOKUP($I277&amp;$J277&amp;N$1,Pesos!$A:$I,9,FALSE)))</f>
        <v>#N/A</v>
      </c>
      <c r="AG277" s="80" t="e">
        <f>IF(O277="","",IF(O277="SIM",VLOOKUP($I277&amp;$J277&amp;O$1,Pesos!$A:$I,7,FALSE),VLOOKUP($I277&amp;$J277&amp;O$1,Pesos!$A:$I,9,FALSE)))</f>
        <v>#N/A</v>
      </c>
      <c r="AH277" s="80" t="e">
        <f>IF(P277="","",IF(P277="SIM",VLOOKUP($I277&amp;$J277&amp;P$1,Pesos!$A:$I,7,FALSE),VLOOKUP($I277&amp;$J277&amp;P$1,Pesos!$A:$I,9,FALSE)))</f>
        <v>#N/A</v>
      </c>
      <c r="AI277" s="80" t="e">
        <f>IF(Q277="","",IF(Q277="SIM",VLOOKUP($I277&amp;$J277&amp;Q$1,Pesos!$A:$I,7,FALSE),VLOOKUP($I277&amp;$J277&amp;Q$1,Pesos!$A:$I,9,FALSE)))</f>
        <v>#N/A</v>
      </c>
      <c r="AJ277" s="80" t="e">
        <f>IF(R277="","",IF(R277="SIM",VLOOKUP($I277&amp;$J277&amp;R$1,Pesos!$A:$I,7,FALSE),VLOOKUP($I277&amp;$J277&amp;R$1,Pesos!$A:$I,9,FALSE)))</f>
        <v>#N/A</v>
      </c>
      <c r="AK277" s="80" t="e">
        <f>IF(S277="","",IF(S277="SIM",VLOOKUP($I277&amp;$J277&amp;S$1,Pesos!$A:$I,7,FALSE),VLOOKUP($I277&amp;$J277&amp;S$1,Pesos!$A:$I,9,FALSE)))</f>
        <v>#N/A</v>
      </c>
      <c r="AL277" s="80" t="e">
        <f t="shared" si="41"/>
        <v>#N/A</v>
      </c>
      <c r="AM277" s="80" t="e">
        <f>IF(T277="","",IF(T277="SIM",VLOOKUP($I277&amp;$J277&amp;T$1,Pesos!$A:$I,7,FALSE),VLOOKUP($I277&amp;$J277&amp;T$1,Pesos!$A:$I,9,FALSE)))</f>
        <v>#N/A</v>
      </c>
      <c r="AN277" s="80" t="e">
        <f>IF(U277="","",IF(U277="SIM",VLOOKUP($I277&amp;$J277&amp;U$1,Pesos!$A:$I,7,FALSE),VLOOKUP($I277&amp;$J277&amp;U$1,Pesos!$A:$I,9,FALSE)))</f>
        <v>#N/A</v>
      </c>
      <c r="AO277" s="80" t="e">
        <f>IF(V277="","",IF(V277="SIM",VLOOKUP($I277&amp;$J277&amp;V$1,Pesos!$A:$I,7,FALSE),VLOOKUP($I277&amp;$J277&amp;V$1,Pesos!$A:$I,9,FALSE)))</f>
        <v>#N/A</v>
      </c>
      <c r="AP277" s="80" t="e">
        <f>IF(W277="","",IF(W277="SIM",VLOOKUP($I277&amp;$J277&amp;W$1,Pesos!$A:$I,7,FALSE),VLOOKUP($I277&amp;$J277&amp;W$1,Pesos!$A:$I,9,FALSE)))</f>
        <v>#N/A</v>
      </c>
      <c r="AQ277" s="80" t="e">
        <f>IF(X277="","",IF(X277="SIM",VLOOKUP($I277&amp;$J277&amp;X$1,Pesos!$A:$I,7,FALSE),VLOOKUP($I277&amp;$J277&amp;X$1,Pesos!$A:$I,9,FALSE)))</f>
        <v>#N/A</v>
      </c>
      <c r="AR277" s="80" t="e">
        <f>IF(Y277="","",IF(Y277="SIM",VLOOKUP($I277&amp;$J277&amp;Y$1,Pesos!$A:$I,7,FALSE),VLOOKUP($I277&amp;$J277&amp;Y$1,Pesos!$A:$I,9,FALSE)))</f>
        <v>#N/A</v>
      </c>
      <c r="AS277" s="81" t="str">
        <f>IFERROR(Z277*VLOOKUP(J277,'BD Campos'!$Y$1:$Z$12,2,FALSE),"0")</f>
        <v>0</v>
      </c>
    </row>
    <row r="278" spans="1:45" x14ac:dyDescent="0.35">
      <c r="A278" s="68" t="str">
        <f t="shared" si="39"/>
        <v>Jan20251600Receptiva CadastroCADASTRO</v>
      </c>
      <c r="B278" s="69" t="str">
        <f t="shared" si="42"/>
        <v>Jan202516005CADASTROPADRÃO</v>
      </c>
      <c r="C278" s="70">
        <v>1</v>
      </c>
      <c r="D278" s="71">
        <v>45679.465059027774</v>
      </c>
      <c r="E278" s="112" t="s">
        <v>74</v>
      </c>
      <c r="F278" s="72">
        <v>1600</v>
      </c>
      <c r="G278" s="69" t="s">
        <v>93</v>
      </c>
      <c r="H278" s="73">
        <v>5</v>
      </c>
      <c r="I278" s="69" t="s">
        <v>76</v>
      </c>
      <c r="J278" s="69" t="s">
        <v>77</v>
      </c>
      <c r="K278" s="69" t="s">
        <v>78</v>
      </c>
      <c r="L278" s="74"/>
      <c r="M278" s="75">
        <v>3.425925925925926E-3</v>
      </c>
      <c r="N278" s="76" t="s">
        <v>79</v>
      </c>
      <c r="O278" s="76" t="s">
        <v>79</v>
      </c>
      <c r="P278" s="76" t="s">
        <v>79</v>
      </c>
      <c r="Q278" s="76" t="s">
        <v>79</v>
      </c>
      <c r="R278" s="76" t="s">
        <v>79</v>
      </c>
      <c r="S278" s="76" t="s">
        <v>79</v>
      </c>
      <c r="T278" s="76" t="s">
        <v>79</v>
      </c>
      <c r="U278" s="76" t="s">
        <v>79</v>
      </c>
      <c r="V278" s="76" t="s">
        <v>79</v>
      </c>
      <c r="W278" s="76" t="s">
        <v>79</v>
      </c>
      <c r="X278" s="76" t="s">
        <v>79</v>
      </c>
      <c r="Y278" s="76" t="s">
        <v>79</v>
      </c>
      <c r="Z278" s="77" t="e">
        <f t="shared" si="38"/>
        <v>#N/A</v>
      </c>
      <c r="AA278" s="78"/>
      <c r="AB278" s="78"/>
      <c r="AC278" s="72" t="s">
        <v>47</v>
      </c>
      <c r="AE278" s="79" t="str">
        <f t="shared" si="40"/>
        <v>Jan1600</v>
      </c>
      <c r="AF278" s="80" t="e">
        <f>IF(N278="","",IF(N278="SIM",VLOOKUP($I278&amp;$J278&amp;N$1,Pesos!$A:$I,7,FALSE),VLOOKUP($I278&amp;$J278&amp;N$1,Pesos!$A:$I,9,FALSE)))</f>
        <v>#N/A</v>
      </c>
      <c r="AG278" s="80" t="e">
        <f>IF(O278="","",IF(O278="SIM",VLOOKUP($I278&amp;$J278&amp;O$1,Pesos!$A:$I,7,FALSE),VLOOKUP($I278&amp;$J278&amp;O$1,Pesos!$A:$I,9,FALSE)))</f>
        <v>#N/A</v>
      </c>
      <c r="AH278" s="80" t="e">
        <f>IF(P278="","",IF(P278="SIM",VLOOKUP($I278&amp;$J278&amp;P$1,Pesos!$A:$I,7,FALSE),VLOOKUP($I278&amp;$J278&amp;P$1,Pesos!$A:$I,9,FALSE)))</f>
        <v>#N/A</v>
      </c>
      <c r="AI278" s="80" t="e">
        <f>IF(Q278="","",IF(Q278="SIM",VLOOKUP($I278&amp;$J278&amp;Q$1,Pesos!$A:$I,7,FALSE),VLOOKUP($I278&amp;$J278&amp;Q$1,Pesos!$A:$I,9,FALSE)))</f>
        <v>#N/A</v>
      </c>
      <c r="AJ278" s="80" t="e">
        <f>IF(R278="","",IF(R278="SIM",VLOOKUP($I278&amp;$J278&amp;R$1,Pesos!$A:$I,7,FALSE),VLOOKUP($I278&amp;$J278&amp;R$1,Pesos!$A:$I,9,FALSE)))</f>
        <v>#N/A</v>
      </c>
      <c r="AK278" s="80" t="e">
        <f>IF(S278="","",IF(S278="SIM",VLOOKUP($I278&amp;$J278&amp;S$1,Pesos!$A:$I,7,FALSE),VLOOKUP($I278&amp;$J278&amp;S$1,Pesos!$A:$I,9,FALSE)))</f>
        <v>#N/A</v>
      </c>
      <c r="AL278" s="80" t="e">
        <f t="shared" si="41"/>
        <v>#N/A</v>
      </c>
      <c r="AM278" s="80" t="e">
        <f>IF(T278="","",IF(T278="SIM",VLOOKUP($I278&amp;$J278&amp;T$1,Pesos!$A:$I,7,FALSE),VLOOKUP($I278&amp;$J278&amp;T$1,Pesos!$A:$I,9,FALSE)))</f>
        <v>#N/A</v>
      </c>
      <c r="AN278" s="80" t="e">
        <f>IF(U278="","",IF(U278="SIM",VLOOKUP($I278&amp;$J278&amp;U$1,Pesos!$A:$I,7,FALSE),VLOOKUP($I278&amp;$J278&amp;U$1,Pesos!$A:$I,9,FALSE)))</f>
        <v>#N/A</v>
      </c>
      <c r="AO278" s="80" t="e">
        <f>IF(V278="","",IF(V278="SIM",VLOOKUP($I278&amp;$J278&amp;V$1,Pesos!$A:$I,7,FALSE),VLOOKUP($I278&amp;$J278&amp;V$1,Pesos!$A:$I,9,FALSE)))</f>
        <v>#N/A</v>
      </c>
      <c r="AP278" s="80" t="e">
        <f>IF(W278="","",IF(W278="SIM",VLOOKUP($I278&amp;$J278&amp;W$1,Pesos!$A:$I,7,FALSE),VLOOKUP($I278&amp;$J278&amp;W$1,Pesos!$A:$I,9,FALSE)))</f>
        <v>#N/A</v>
      </c>
      <c r="AQ278" s="80" t="e">
        <f>IF(X278="","",IF(X278="SIM",VLOOKUP($I278&amp;$J278&amp;X$1,Pesos!$A:$I,7,FALSE),VLOOKUP($I278&amp;$J278&amp;X$1,Pesos!$A:$I,9,FALSE)))</f>
        <v>#N/A</v>
      </c>
      <c r="AR278" s="80" t="e">
        <f>IF(Y278="","",IF(Y278="SIM",VLOOKUP($I278&amp;$J278&amp;Y$1,Pesos!$A:$I,7,FALSE),VLOOKUP($I278&amp;$J278&amp;Y$1,Pesos!$A:$I,9,FALSE)))</f>
        <v>#N/A</v>
      </c>
      <c r="AS278" s="81" t="str">
        <f>IFERROR(Z278*VLOOKUP(J278,'BD Campos'!$Y$1:$Z$12,2,FALSE),"0")</f>
        <v>0</v>
      </c>
    </row>
    <row r="279" spans="1:45" x14ac:dyDescent="0.35">
      <c r="A279" s="68" t="str">
        <f t="shared" si="39"/>
        <v>Jan20251600Receptiva Cadastro 2CADASTRO</v>
      </c>
      <c r="B279" s="69" t="str">
        <f t="shared" si="42"/>
        <v>Jan202516006CADASTROPADRÃO</v>
      </c>
      <c r="C279" s="70">
        <v>1</v>
      </c>
      <c r="D279" s="71">
        <v>45679.469602083336</v>
      </c>
      <c r="E279" s="112" t="s">
        <v>74</v>
      </c>
      <c r="F279" s="72">
        <v>1600</v>
      </c>
      <c r="G279" s="69" t="s">
        <v>93</v>
      </c>
      <c r="H279" s="73">
        <v>6</v>
      </c>
      <c r="I279" s="69" t="s">
        <v>76</v>
      </c>
      <c r="J279" s="69" t="s">
        <v>81</v>
      </c>
      <c r="K279" s="69" t="s">
        <v>78</v>
      </c>
      <c r="L279" s="74"/>
      <c r="M279" s="75">
        <v>3.9467592592592592E-3</v>
      </c>
      <c r="N279" s="76" t="s">
        <v>79</v>
      </c>
      <c r="O279" s="76" t="s">
        <v>79</v>
      </c>
      <c r="P279" s="76" t="s">
        <v>79</v>
      </c>
      <c r="Q279" s="76" t="s">
        <v>79</v>
      </c>
      <c r="R279" s="76" t="s">
        <v>79</v>
      </c>
      <c r="S279" s="76" t="s">
        <v>79</v>
      </c>
      <c r="T279" s="76" t="s">
        <v>83</v>
      </c>
      <c r="U279" s="76" t="s">
        <v>79</v>
      </c>
      <c r="V279" s="76" t="s">
        <v>79</v>
      </c>
      <c r="W279" s="76" t="s">
        <v>79</v>
      </c>
      <c r="X279" s="76" t="s">
        <v>79</v>
      </c>
      <c r="Y279" s="76" t="s">
        <v>79</v>
      </c>
      <c r="Z279" s="77" t="e">
        <f t="shared" si="38"/>
        <v>#N/A</v>
      </c>
      <c r="AA279" s="78"/>
      <c r="AB279" s="78"/>
      <c r="AC279" s="72" t="s">
        <v>47</v>
      </c>
      <c r="AE279" s="79" t="str">
        <f t="shared" si="40"/>
        <v>Jan1600</v>
      </c>
      <c r="AF279" s="80" t="e">
        <f>IF(N279="","",IF(N279="SIM",VLOOKUP($I279&amp;$J279&amp;N$1,Pesos!$A:$I,7,FALSE),VLOOKUP($I279&amp;$J279&amp;N$1,Pesos!$A:$I,9,FALSE)))</f>
        <v>#N/A</v>
      </c>
      <c r="AG279" s="80" t="e">
        <f>IF(O279="","",IF(O279="SIM",VLOOKUP($I279&amp;$J279&amp;O$1,Pesos!$A:$I,7,FALSE),VLOOKUP($I279&amp;$J279&amp;O$1,Pesos!$A:$I,9,FALSE)))</f>
        <v>#N/A</v>
      </c>
      <c r="AH279" s="80" t="e">
        <f>IF(P279="","",IF(P279="SIM",VLOOKUP($I279&amp;$J279&amp;P$1,Pesos!$A:$I,7,FALSE),VLOOKUP($I279&amp;$J279&amp;P$1,Pesos!$A:$I,9,FALSE)))</f>
        <v>#N/A</v>
      </c>
      <c r="AI279" s="80" t="e">
        <f>IF(Q279="","",IF(Q279="SIM",VLOOKUP($I279&amp;$J279&amp;Q$1,Pesos!$A:$I,7,FALSE),VLOOKUP($I279&amp;$J279&amp;Q$1,Pesos!$A:$I,9,FALSE)))</f>
        <v>#N/A</v>
      </c>
      <c r="AJ279" s="80" t="e">
        <f>IF(R279="","",IF(R279="SIM",VLOOKUP($I279&amp;$J279&amp;R$1,Pesos!$A:$I,7,FALSE),VLOOKUP($I279&amp;$J279&amp;R$1,Pesos!$A:$I,9,FALSE)))</f>
        <v>#N/A</v>
      </c>
      <c r="AK279" s="80" t="e">
        <f>IF(S279="","",IF(S279="SIM",VLOOKUP($I279&amp;$J279&amp;S$1,Pesos!$A:$I,7,FALSE),VLOOKUP($I279&amp;$J279&amp;S$1,Pesos!$A:$I,9,FALSE)))</f>
        <v>#N/A</v>
      </c>
      <c r="AL279" s="80" t="e">
        <f t="shared" si="41"/>
        <v>#N/A</v>
      </c>
      <c r="AM279" s="80" t="e">
        <f>IF(T279="","",IF(T279="SIM",VLOOKUP($I279&amp;$J279&amp;T$1,Pesos!$A:$I,7,FALSE),VLOOKUP($I279&amp;$J279&amp;T$1,Pesos!$A:$I,9,FALSE)))</f>
        <v>#N/A</v>
      </c>
      <c r="AN279" s="80" t="e">
        <f>IF(U279="","",IF(U279="SIM",VLOOKUP($I279&amp;$J279&amp;U$1,Pesos!$A:$I,7,FALSE),VLOOKUP($I279&amp;$J279&amp;U$1,Pesos!$A:$I,9,FALSE)))</f>
        <v>#N/A</v>
      </c>
      <c r="AO279" s="80" t="e">
        <f>IF(V279="","",IF(V279="SIM",VLOOKUP($I279&amp;$J279&amp;V$1,Pesos!$A:$I,7,FALSE),VLOOKUP($I279&amp;$J279&amp;V$1,Pesos!$A:$I,9,FALSE)))</f>
        <v>#N/A</v>
      </c>
      <c r="AP279" s="80" t="e">
        <f>IF(W279="","",IF(W279="SIM",VLOOKUP($I279&amp;$J279&amp;W$1,Pesos!$A:$I,7,FALSE),VLOOKUP($I279&amp;$J279&amp;W$1,Pesos!$A:$I,9,FALSE)))</f>
        <v>#N/A</v>
      </c>
      <c r="AQ279" s="80" t="e">
        <f>IF(X279="","",IF(X279="SIM",VLOOKUP($I279&amp;$J279&amp;X$1,Pesos!$A:$I,7,FALSE),VLOOKUP($I279&amp;$J279&amp;X$1,Pesos!$A:$I,9,FALSE)))</f>
        <v>#N/A</v>
      </c>
      <c r="AR279" s="80" t="e">
        <f>IF(Y279="","",IF(Y279="SIM",VLOOKUP($I279&amp;$J279&amp;Y$1,Pesos!$A:$I,7,FALSE),VLOOKUP($I279&amp;$J279&amp;Y$1,Pesos!$A:$I,9,FALSE)))</f>
        <v>#N/A</v>
      </c>
      <c r="AS279" s="81" t="str">
        <f>IFERROR(Z279*VLOOKUP(J279,'BD Campos'!$Y$1:$Z$12,2,FALSE),"0")</f>
        <v>0</v>
      </c>
    </row>
    <row r="280" spans="1:45" x14ac:dyDescent="0.35">
      <c r="A280" s="68" t="str">
        <f t="shared" si="39"/>
        <v>Jan202510362Receptiva CadastroCADASTRO</v>
      </c>
      <c r="B280" s="69" t="str">
        <f t="shared" si="42"/>
        <v>Jan2025103625CADASTROPADRÃO</v>
      </c>
      <c r="C280" s="70">
        <v>1</v>
      </c>
      <c r="D280" s="71">
        <v>45679.547166782409</v>
      </c>
      <c r="E280" s="112" t="s">
        <v>74</v>
      </c>
      <c r="F280" s="72">
        <v>10362</v>
      </c>
      <c r="G280" s="69" t="s">
        <v>94</v>
      </c>
      <c r="H280" s="73">
        <v>5</v>
      </c>
      <c r="I280" s="69" t="s">
        <v>76</v>
      </c>
      <c r="J280" s="69" t="s">
        <v>77</v>
      </c>
      <c r="K280" s="69" t="s">
        <v>78</v>
      </c>
      <c r="L280" s="74"/>
      <c r="M280" s="75">
        <v>2.9050925925925928E-3</v>
      </c>
      <c r="N280" s="76" t="s">
        <v>79</v>
      </c>
      <c r="O280" s="76" t="s">
        <v>79</v>
      </c>
      <c r="P280" s="76" t="s">
        <v>79</v>
      </c>
      <c r="Q280" s="76" t="s">
        <v>79</v>
      </c>
      <c r="R280" s="76" t="s">
        <v>79</v>
      </c>
      <c r="S280" s="76" t="s">
        <v>79</v>
      </c>
      <c r="T280" s="76" t="s">
        <v>79</v>
      </c>
      <c r="U280" s="76" t="s">
        <v>83</v>
      </c>
      <c r="V280" s="76" t="s">
        <v>83</v>
      </c>
      <c r="W280" s="76" t="s">
        <v>79</v>
      </c>
      <c r="X280" s="76" t="s">
        <v>79</v>
      </c>
      <c r="Y280" s="76" t="s">
        <v>79</v>
      </c>
      <c r="Z280" s="77" t="e">
        <f t="shared" si="38"/>
        <v>#N/A</v>
      </c>
      <c r="AA280" s="78"/>
      <c r="AB280" s="78"/>
      <c r="AC280" s="72" t="s">
        <v>47</v>
      </c>
      <c r="AE280" s="79" t="str">
        <f t="shared" si="40"/>
        <v>Jan10362</v>
      </c>
      <c r="AF280" s="80" t="e">
        <f>IF(N280="","",IF(N280="SIM",VLOOKUP($I280&amp;$J280&amp;N$1,Pesos!$A:$I,7,FALSE),VLOOKUP($I280&amp;$J280&amp;N$1,Pesos!$A:$I,9,FALSE)))</f>
        <v>#N/A</v>
      </c>
      <c r="AG280" s="80" t="e">
        <f>IF(O280="","",IF(O280="SIM",VLOOKUP($I280&amp;$J280&amp;O$1,Pesos!$A:$I,7,FALSE),VLOOKUP($I280&amp;$J280&amp;O$1,Pesos!$A:$I,9,FALSE)))</f>
        <v>#N/A</v>
      </c>
      <c r="AH280" s="80" t="e">
        <f>IF(P280="","",IF(P280="SIM",VLOOKUP($I280&amp;$J280&amp;P$1,Pesos!$A:$I,7,FALSE),VLOOKUP($I280&amp;$J280&amp;P$1,Pesos!$A:$I,9,FALSE)))</f>
        <v>#N/A</v>
      </c>
      <c r="AI280" s="80" t="e">
        <f>IF(Q280="","",IF(Q280="SIM",VLOOKUP($I280&amp;$J280&amp;Q$1,Pesos!$A:$I,7,FALSE),VLOOKUP($I280&amp;$J280&amp;Q$1,Pesos!$A:$I,9,FALSE)))</f>
        <v>#N/A</v>
      </c>
      <c r="AJ280" s="80" t="e">
        <f>IF(R280="","",IF(R280="SIM",VLOOKUP($I280&amp;$J280&amp;R$1,Pesos!$A:$I,7,FALSE),VLOOKUP($I280&amp;$J280&amp;R$1,Pesos!$A:$I,9,FALSE)))</f>
        <v>#N/A</v>
      </c>
      <c r="AK280" s="80" t="e">
        <f>IF(S280="","",IF(S280="SIM",VLOOKUP($I280&amp;$J280&amp;S$1,Pesos!$A:$I,7,FALSE),VLOOKUP($I280&amp;$J280&amp;S$1,Pesos!$A:$I,9,FALSE)))</f>
        <v>#N/A</v>
      </c>
      <c r="AL280" s="80" t="e">
        <f t="shared" si="41"/>
        <v>#N/A</v>
      </c>
      <c r="AM280" s="80" t="e">
        <f>IF(T280="","",IF(T280="SIM",VLOOKUP($I280&amp;$J280&amp;T$1,Pesos!$A:$I,7,FALSE),VLOOKUP($I280&amp;$J280&amp;T$1,Pesos!$A:$I,9,FALSE)))</f>
        <v>#N/A</v>
      </c>
      <c r="AN280" s="80" t="e">
        <f>IF(U280="","",IF(U280="SIM",VLOOKUP($I280&amp;$J280&amp;U$1,Pesos!$A:$I,7,FALSE),VLOOKUP($I280&amp;$J280&amp;U$1,Pesos!$A:$I,9,FALSE)))</f>
        <v>#N/A</v>
      </c>
      <c r="AO280" s="80" t="e">
        <f>IF(V280="","",IF(V280="SIM",VLOOKUP($I280&amp;$J280&amp;V$1,Pesos!$A:$I,7,FALSE),VLOOKUP($I280&amp;$J280&amp;V$1,Pesos!$A:$I,9,FALSE)))</f>
        <v>#N/A</v>
      </c>
      <c r="AP280" s="80" t="e">
        <f>IF(W280="","",IF(W280="SIM",VLOOKUP($I280&amp;$J280&amp;W$1,Pesos!$A:$I,7,FALSE),VLOOKUP($I280&amp;$J280&amp;W$1,Pesos!$A:$I,9,FALSE)))</f>
        <v>#N/A</v>
      </c>
      <c r="AQ280" s="80" t="e">
        <f>IF(X280="","",IF(X280="SIM",VLOOKUP($I280&amp;$J280&amp;X$1,Pesos!$A:$I,7,FALSE),VLOOKUP($I280&amp;$J280&amp;X$1,Pesos!$A:$I,9,FALSE)))</f>
        <v>#N/A</v>
      </c>
      <c r="AR280" s="80" t="e">
        <f>IF(Y280="","",IF(Y280="SIM",VLOOKUP($I280&amp;$J280&amp;Y$1,Pesos!$A:$I,7,FALSE),VLOOKUP($I280&amp;$J280&amp;Y$1,Pesos!$A:$I,9,FALSE)))</f>
        <v>#N/A</v>
      </c>
      <c r="AS280" s="81" t="str">
        <f>IFERROR(Z280*VLOOKUP(J280,'BD Campos'!$Y$1:$Z$12,2,FALSE),"0")</f>
        <v>0</v>
      </c>
    </row>
    <row r="281" spans="1:45" x14ac:dyDescent="0.35">
      <c r="A281" s="68" t="str">
        <f t="shared" si="39"/>
        <v>Jan202510362Receptiva Cadastro 2CADASTRO</v>
      </c>
      <c r="B281" s="69" t="str">
        <f t="shared" si="42"/>
        <v>Jan2025103626CADASTROPADRÃO</v>
      </c>
      <c r="C281" s="70">
        <v>1</v>
      </c>
      <c r="D281" s="71">
        <v>45679.550376504631</v>
      </c>
      <c r="E281" s="112" t="s">
        <v>74</v>
      </c>
      <c r="F281" s="72">
        <v>10362</v>
      </c>
      <c r="G281" s="69" t="s">
        <v>94</v>
      </c>
      <c r="H281" s="73">
        <v>6</v>
      </c>
      <c r="I281" s="69" t="s">
        <v>76</v>
      </c>
      <c r="J281" s="69" t="s">
        <v>81</v>
      </c>
      <c r="K281" s="69" t="s">
        <v>78</v>
      </c>
      <c r="L281" s="74"/>
      <c r="M281" s="75">
        <v>3.3101851851851851E-3</v>
      </c>
      <c r="N281" s="76" t="s">
        <v>79</v>
      </c>
      <c r="O281" s="76" t="s">
        <v>79</v>
      </c>
      <c r="P281" s="76" t="s">
        <v>79</v>
      </c>
      <c r="Q281" s="76" t="s">
        <v>79</v>
      </c>
      <c r="R281" s="76" t="s">
        <v>79</v>
      </c>
      <c r="S281" s="76" t="s">
        <v>79</v>
      </c>
      <c r="T281" s="76" t="s">
        <v>79</v>
      </c>
      <c r="U281" s="76" t="s">
        <v>79</v>
      </c>
      <c r="V281" s="76" t="s">
        <v>83</v>
      </c>
      <c r="W281" s="76" t="s">
        <v>79</v>
      </c>
      <c r="X281" s="76" t="s">
        <v>79</v>
      </c>
      <c r="Y281" s="76" t="s">
        <v>79</v>
      </c>
      <c r="Z281" s="77" t="e">
        <f t="shared" si="38"/>
        <v>#N/A</v>
      </c>
      <c r="AA281" s="78"/>
      <c r="AB281" s="78"/>
      <c r="AC281" s="72" t="s">
        <v>47</v>
      </c>
      <c r="AE281" s="79" t="str">
        <f t="shared" si="40"/>
        <v>Jan10362</v>
      </c>
      <c r="AF281" s="80" t="e">
        <f>IF(N281="","",IF(N281="SIM",VLOOKUP($I281&amp;$J281&amp;N$1,Pesos!$A:$I,7,FALSE),VLOOKUP($I281&amp;$J281&amp;N$1,Pesos!$A:$I,9,FALSE)))</f>
        <v>#N/A</v>
      </c>
      <c r="AG281" s="80" t="e">
        <f>IF(O281="","",IF(O281="SIM",VLOOKUP($I281&amp;$J281&amp;O$1,Pesos!$A:$I,7,FALSE),VLOOKUP($I281&amp;$J281&amp;O$1,Pesos!$A:$I,9,FALSE)))</f>
        <v>#N/A</v>
      </c>
      <c r="AH281" s="80" t="e">
        <f>IF(P281="","",IF(P281="SIM",VLOOKUP($I281&amp;$J281&amp;P$1,Pesos!$A:$I,7,FALSE),VLOOKUP($I281&amp;$J281&amp;P$1,Pesos!$A:$I,9,FALSE)))</f>
        <v>#N/A</v>
      </c>
      <c r="AI281" s="80" t="e">
        <f>IF(Q281="","",IF(Q281="SIM",VLOOKUP($I281&amp;$J281&amp;Q$1,Pesos!$A:$I,7,FALSE),VLOOKUP($I281&amp;$J281&amp;Q$1,Pesos!$A:$I,9,FALSE)))</f>
        <v>#N/A</v>
      </c>
      <c r="AJ281" s="80" t="e">
        <f>IF(R281="","",IF(R281="SIM",VLOOKUP($I281&amp;$J281&amp;R$1,Pesos!$A:$I,7,FALSE),VLOOKUP($I281&amp;$J281&amp;R$1,Pesos!$A:$I,9,FALSE)))</f>
        <v>#N/A</v>
      </c>
      <c r="AK281" s="80" t="e">
        <f>IF(S281="","",IF(S281="SIM",VLOOKUP($I281&amp;$J281&amp;S$1,Pesos!$A:$I,7,FALSE),VLOOKUP($I281&amp;$J281&amp;S$1,Pesos!$A:$I,9,FALSE)))</f>
        <v>#N/A</v>
      </c>
      <c r="AL281" s="80" t="e">
        <f t="shared" si="41"/>
        <v>#N/A</v>
      </c>
      <c r="AM281" s="80" t="e">
        <f>IF(T281="","",IF(T281="SIM",VLOOKUP($I281&amp;$J281&amp;T$1,Pesos!$A:$I,7,FALSE),VLOOKUP($I281&amp;$J281&amp;T$1,Pesos!$A:$I,9,FALSE)))</f>
        <v>#N/A</v>
      </c>
      <c r="AN281" s="80" t="e">
        <f>IF(U281="","",IF(U281="SIM",VLOOKUP($I281&amp;$J281&amp;U$1,Pesos!$A:$I,7,FALSE),VLOOKUP($I281&amp;$J281&amp;U$1,Pesos!$A:$I,9,FALSE)))</f>
        <v>#N/A</v>
      </c>
      <c r="AO281" s="80" t="e">
        <f>IF(V281="","",IF(V281="SIM",VLOOKUP($I281&amp;$J281&amp;V$1,Pesos!$A:$I,7,FALSE),VLOOKUP($I281&amp;$J281&amp;V$1,Pesos!$A:$I,9,FALSE)))</f>
        <v>#N/A</v>
      </c>
      <c r="AP281" s="80" t="e">
        <f>IF(W281="","",IF(W281="SIM",VLOOKUP($I281&amp;$J281&amp;W$1,Pesos!$A:$I,7,FALSE),VLOOKUP($I281&amp;$J281&amp;W$1,Pesos!$A:$I,9,FALSE)))</f>
        <v>#N/A</v>
      </c>
      <c r="AQ281" s="80" t="e">
        <f>IF(X281="","",IF(X281="SIM",VLOOKUP($I281&amp;$J281&amp;X$1,Pesos!$A:$I,7,FALSE),VLOOKUP($I281&amp;$J281&amp;X$1,Pesos!$A:$I,9,FALSE)))</f>
        <v>#N/A</v>
      </c>
      <c r="AR281" s="80" t="e">
        <f>IF(Y281="","",IF(Y281="SIM",VLOOKUP($I281&amp;$J281&amp;Y$1,Pesos!$A:$I,7,FALSE),VLOOKUP($I281&amp;$J281&amp;Y$1,Pesos!$A:$I,9,FALSE)))</f>
        <v>#N/A</v>
      </c>
      <c r="AS281" s="81" t="str">
        <f>IFERROR(Z281*VLOOKUP(J281,'BD Campos'!$Y$1:$Z$12,2,FALSE),"0")</f>
        <v>0</v>
      </c>
    </row>
    <row r="282" spans="1:45" x14ac:dyDescent="0.35">
      <c r="A282" s="68" t="str">
        <f t="shared" si="39"/>
        <v>Jan202510876Receptiva CadastroCADASTRO</v>
      </c>
      <c r="B282" s="69" t="str">
        <f t="shared" si="42"/>
        <v>Jan2025108765CADASTROPADRÃO</v>
      </c>
      <c r="C282" s="70">
        <v>1</v>
      </c>
      <c r="D282" s="71">
        <v>45679.558689467594</v>
      </c>
      <c r="E282" s="112" t="s">
        <v>74</v>
      </c>
      <c r="F282" s="72">
        <v>10876</v>
      </c>
      <c r="G282" s="69" t="s">
        <v>431</v>
      </c>
      <c r="H282" s="73">
        <v>5</v>
      </c>
      <c r="I282" s="69" t="s">
        <v>76</v>
      </c>
      <c r="J282" s="69" t="s">
        <v>77</v>
      </c>
      <c r="K282" s="69" t="s">
        <v>78</v>
      </c>
      <c r="L282" s="74"/>
      <c r="M282" s="75">
        <v>3.7731481481481483E-3</v>
      </c>
      <c r="N282" s="76" t="s">
        <v>79</v>
      </c>
      <c r="O282" s="76" t="s">
        <v>83</v>
      </c>
      <c r="P282" s="76" t="s">
        <v>79</v>
      </c>
      <c r="Q282" s="76" t="s">
        <v>79</v>
      </c>
      <c r="R282" s="76" t="s">
        <v>79</v>
      </c>
      <c r="S282" s="76" t="s">
        <v>79</v>
      </c>
      <c r="T282" s="76" t="s">
        <v>79</v>
      </c>
      <c r="U282" s="76" t="s">
        <v>79</v>
      </c>
      <c r="V282" s="76" t="s">
        <v>79</v>
      </c>
      <c r="W282" s="76" t="s">
        <v>79</v>
      </c>
      <c r="X282" s="76" t="s">
        <v>79</v>
      </c>
      <c r="Y282" s="76" t="s">
        <v>79</v>
      </c>
      <c r="Z282" s="77" t="e">
        <f t="shared" si="38"/>
        <v>#N/A</v>
      </c>
      <c r="AA282" s="78"/>
      <c r="AB282" s="78"/>
      <c r="AC282" s="72" t="s">
        <v>47</v>
      </c>
      <c r="AE282" s="79" t="str">
        <f t="shared" si="40"/>
        <v>Jan10876</v>
      </c>
      <c r="AF282" s="80" t="e">
        <f>IF(N282="","",IF(N282="SIM",VLOOKUP($I282&amp;$J282&amp;N$1,Pesos!$A:$I,7,FALSE),VLOOKUP($I282&amp;$J282&amp;N$1,Pesos!$A:$I,9,FALSE)))</f>
        <v>#N/A</v>
      </c>
      <c r="AG282" s="80" t="e">
        <f>IF(O282="","",IF(O282="SIM",VLOOKUP($I282&amp;$J282&amp;O$1,Pesos!$A:$I,7,FALSE),VLOOKUP($I282&amp;$J282&amp;O$1,Pesos!$A:$I,9,FALSE)))</f>
        <v>#N/A</v>
      </c>
      <c r="AH282" s="80" t="e">
        <f>IF(P282="","",IF(P282="SIM",VLOOKUP($I282&amp;$J282&amp;P$1,Pesos!$A:$I,7,FALSE),VLOOKUP($I282&amp;$J282&amp;P$1,Pesos!$A:$I,9,FALSE)))</f>
        <v>#N/A</v>
      </c>
      <c r="AI282" s="80" t="e">
        <f>IF(Q282="","",IF(Q282="SIM",VLOOKUP($I282&amp;$J282&amp;Q$1,Pesos!$A:$I,7,FALSE),VLOOKUP($I282&amp;$J282&amp;Q$1,Pesos!$A:$I,9,FALSE)))</f>
        <v>#N/A</v>
      </c>
      <c r="AJ282" s="80" t="e">
        <f>IF(R282="","",IF(R282="SIM",VLOOKUP($I282&amp;$J282&amp;R$1,Pesos!$A:$I,7,FALSE),VLOOKUP($I282&amp;$J282&amp;R$1,Pesos!$A:$I,9,FALSE)))</f>
        <v>#N/A</v>
      </c>
      <c r="AK282" s="80" t="e">
        <f>IF(S282="","",IF(S282="SIM",VLOOKUP($I282&amp;$J282&amp;S$1,Pesos!$A:$I,7,FALSE),VLOOKUP($I282&amp;$J282&amp;S$1,Pesos!$A:$I,9,FALSE)))</f>
        <v>#N/A</v>
      </c>
      <c r="AL282" s="80" t="e">
        <f t="shared" si="41"/>
        <v>#N/A</v>
      </c>
      <c r="AM282" s="80" t="e">
        <f>IF(T282="","",IF(T282="SIM",VLOOKUP($I282&amp;$J282&amp;T$1,Pesos!$A:$I,7,FALSE),VLOOKUP($I282&amp;$J282&amp;T$1,Pesos!$A:$I,9,FALSE)))</f>
        <v>#N/A</v>
      </c>
      <c r="AN282" s="80" t="e">
        <f>IF(U282="","",IF(U282="SIM",VLOOKUP($I282&amp;$J282&amp;U$1,Pesos!$A:$I,7,FALSE),VLOOKUP($I282&amp;$J282&amp;U$1,Pesos!$A:$I,9,FALSE)))</f>
        <v>#N/A</v>
      </c>
      <c r="AO282" s="80" t="e">
        <f>IF(V282="","",IF(V282="SIM",VLOOKUP($I282&amp;$J282&amp;V$1,Pesos!$A:$I,7,FALSE),VLOOKUP($I282&amp;$J282&amp;V$1,Pesos!$A:$I,9,FALSE)))</f>
        <v>#N/A</v>
      </c>
      <c r="AP282" s="80" t="e">
        <f>IF(W282="","",IF(W282="SIM",VLOOKUP($I282&amp;$J282&amp;W$1,Pesos!$A:$I,7,FALSE),VLOOKUP($I282&amp;$J282&amp;W$1,Pesos!$A:$I,9,FALSE)))</f>
        <v>#N/A</v>
      </c>
      <c r="AQ282" s="80" t="e">
        <f>IF(X282="","",IF(X282="SIM",VLOOKUP($I282&amp;$J282&amp;X$1,Pesos!$A:$I,7,FALSE),VLOOKUP($I282&amp;$J282&amp;X$1,Pesos!$A:$I,9,FALSE)))</f>
        <v>#N/A</v>
      </c>
      <c r="AR282" s="80" t="e">
        <f>IF(Y282="","",IF(Y282="SIM",VLOOKUP($I282&amp;$J282&amp;Y$1,Pesos!$A:$I,7,FALSE),VLOOKUP($I282&amp;$J282&amp;Y$1,Pesos!$A:$I,9,FALSE)))</f>
        <v>#N/A</v>
      </c>
      <c r="AS282" s="81" t="str">
        <f>IFERROR(Z282*VLOOKUP(J282,'BD Campos'!$Y$1:$Z$12,2,FALSE),"0")</f>
        <v>0</v>
      </c>
    </row>
    <row r="283" spans="1:45" x14ac:dyDescent="0.35">
      <c r="A283" s="68" t="str">
        <f t="shared" si="39"/>
        <v>Jan202510876Receptiva Cadastro 2CADASTRO</v>
      </c>
      <c r="B283" s="69" t="str">
        <f t="shared" si="42"/>
        <v>Jan2025108766CADASTROPADRÃO</v>
      </c>
      <c r="C283" s="70">
        <v>1</v>
      </c>
      <c r="D283" s="71">
        <v>45679.571589583335</v>
      </c>
      <c r="E283" s="112" t="s">
        <v>74</v>
      </c>
      <c r="F283" s="72">
        <v>10876</v>
      </c>
      <c r="G283" s="69" t="s">
        <v>431</v>
      </c>
      <c r="H283" s="73">
        <v>6</v>
      </c>
      <c r="I283" s="69" t="s">
        <v>76</v>
      </c>
      <c r="J283" s="69" t="s">
        <v>81</v>
      </c>
      <c r="K283" s="69" t="s">
        <v>78</v>
      </c>
      <c r="L283" s="74"/>
      <c r="M283" s="75">
        <v>3.4027777777777784E-3</v>
      </c>
      <c r="N283" s="76" t="s">
        <v>79</v>
      </c>
      <c r="O283" s="76" t="s">
        <v>79</v>
      </c>
      <c r="P283" s="76" t="s">
        <v>79</v>
      </c>
      <c r="Q283" s="76" t="s">
        <v>83</v>
      </c>
      <c r="R283" s="76" t="s">
        <v>79</v>
      </c>
      <c r="S283" s="76" t="s">
        <v>79</v>
      </c>
      <c r="T283" s="76" t="s">
        <v>79</v>
      </c>
      <c r="U283" s="76" t="s">
        <v>79</v>
      </c>
      <c r="V283" s="76" t="s">
        <v>79</v>
      </c>
      <c r="W283" s="76" t="s">
        <v>79</v>
      </c>
      <c r="X283" s="76" t="s">
        <v>79</v>
      </c>
      <c r="Y283" s="76" t="s">
        <v>79</v>
      </c>
      <c r="Z283" s="77" t="e">
        <f t="shared" si="38"/>
        <v>#N/A</v>
      </c>
      <c r="AA283" s="78"/>
      <c r="AB283" s="78"/>
      <c r="AC283" s="72" t="s">
        <v>47</v>
      </c>
      <c r="AE283" s="79" t="str">
        <f t="shared" si="40"/>
        <v>Jan10876</v>
      </c>
      <c r="AF283" s="80" t="e">
        <f>IF(N283="","",IF(N283="SIM",VLOOKUP($I283&amp;$J283&amp;N$1,Pesos!$A:$I,7,FALSE),VLOOKUP($I283&amp;$J283&amp;N$1,Pesos!$A:$I,9,FALSE)))</f>
        <v>#N/A</v>
      </c>
      <c r="AG283" s="80" t="e">
        <f>IF(O283="","",IF(O283="SIM",VLOOKUP($I283&amp;$J283&amp;O$1,Pesos!$A:$I,7,FALSE),VLOOKUP($I283&amp;$J283&amp;O$1,Pesos!$A:$I,9,FALSE)))</f>
        <v>#N/A</v>
      </c>
      <c r="AH283" s="80" t="e">
        <f>IF(P283="","",IF(P283="SIM",VLOOKUP($I283&amp;$J283&amp;P$1,Pesos!$A:$I,7,FALSE),VLOOKUP($I283&amp;$J283&amp;P$1,Pesos!$A:$I,9,FALSE)))</f>
        <v>#N/A</v>
      </c>
      <c r="AI283" s="80" t="e">
        <f>IF(Q283="","",IF(Q283="SIM",VLOOKUP($I283&amp;$J283&amp;Q$1,Pesos!$A:$I,7,FALSE),VLOOKUP($I283&amp;$J283&amp;Q$1,Pesos!$A:$I,9,FALSE)))</f>
        <v>#N/A</v>
      </c>
      <c r="AJ283" s="80" t="e">
        <f>IF(R283="","",IF(R283="SIM",VLOOKUP($I283&amp;$J283&amp;R$1,Pesos!$A:$I,7,FALSE),VLOOKUP($I283&amp;$J283&amp;R$1,Pesos!$A:$I,9,FALSE)))</f>
        <v>#N/A</v>
      </c>
      <c r="AK283" s="80" t="e">
        <f>IF(S283="","",IF(S283="SIM",VLOOKUP($I283&amp;$J283&amp;S$1,Pesos!$A:$I,7,FALSE),VLOOKUP($I283&amp;$J283&amp;S$1,Pesos!$A:$I,9,FALSE)))</f>
        <v>#N/A</v>
      </c>
      <c r="AL283" s="80" t="e">
        <f t="shared" si="41"/>
        <v>#N/A</v>
      </c>
      <c r="AM283" s="80" t="e">
        <f>IF(T283="","",IF(T283="SIM",VLOOKUP($I283&amp;$J283&amp;T$1,Pesos!$A:$I,7,FALSE),VLOOKUP($I283&amp;$J283&amp;T$1,Pesos!$A:$I,9,FALSE)))</f>
        <v>#N/A</v>
      </c>
      <c r="AN283" s="80" t="e">
        <f>IF(U283="","",IF(U283="SIM",VLOOKUP($I283&amp;$J283&amp;U$1,Pesos!$A:$I,7,FALSE),VLOOKUP($I283&amp;$J283&amp;U$1,Pesos!$A:$I,9,FALSE)))</f>
        <v>#N/A</v>
      </c>
      <c r="AO283" s="80" t="e">
        <f>IF(V283="","",IF(V283="SIM",VLOOKUP($I283&amp;$J283&amp;V$1,Pesos!$A:$I,7,FALSE),VLOOKUP($I283&amp;$J283&amp;V$1,Pesos!$A:$I,9,FALSE)))</f>
        <v>#N/A</v>
      </c>
      <c r="AP283" s="80" t="e">
        <f>IF(W283="","",IF(W283="SIM",VLOOKUP($I283&amp;$J283&amp;W$1,Pesos!$A:$I,7,FALSE),VLOOKUP($I283&amp;$J283&amp;W$1,Pesos!$A:$I,9,FALSE)))</f>
        <v>#N/A</v>
      </c>
      <c r="AQ283" s="80" t="e">
        <f>IF(X283="","",IF(X283="SIM",VLOOKUP($I283&amp;$J283&amp;X$1,Pesos!$A:$I,7,FALSE),VLOOKUP($I283&amp;$J283&amp;X$1,Pesos!$A:$I,9,FALSE)))</f>
        <v>#N/A</v>
      </c>
      <c r="AR283" s="80" t="e">
        <f>IF(Y283="","",IF(Y283="SIM",VLOOKUP($I283&amp;$J283&amp;Y$1,Pesos!$A:$I,7,FALSE),VLOOKUP($I283&amp;$J283&amp;Y$1,Pesos!$A:$I,9,FALSE)))</f>
        <v>#N/A</v>
      </c>
      <c r="AS283" s="81" t="str">
        <f>IFERROR(Z283*VLOOKUP(J283,'BD Campos'!$Y$1:$Z$12,2,FALSE),"0")</f>
        <v>0</v>
      </c>
    </row>
    <row r="284" spans="1:45" x14ac:dyDescent="0.35">
      <c r="A284" s="68" t="str">
        <f t="shared" si="39"/>
        <v>Jan2025911169Receptiva CadastroCADASTRO</v>
      </c>
      <c r="B284" s="69" t="str">
        <f t="shared" si="42"/>
        <v>Jan20259111695CADASTROPADRÃO</v>
      </c>
      <c r="C284" s="70">
        <v>1</v>
      </c>
      <c r="D284" s="71">
        <v>45679.577436458334</v>
      </c>
      <c r="E284" s="112" t="s">
        <v>74</v>
      </c>
      <c r="F284" s="72">
        <v>911169</v>
      </c>
      <c r="G284" s="69" t="s">
        <v>1368</v>
      </c>
      <c r="H284" s="73">
        <v>5</v>
      </c>
      <c r="I284" s="69" t="s">
        <v>76</v>
      </c>
      <c r="J284" s="69" t="s">
        <v>77</v>
      </c>
      <c r="K284" s="69" t="s">
        <v>78</v>
      </c>
      <c r="L284" s="74"/>
      <c r="M284" s="75">
        <v>4.1435185185185186E-3</v>
      </c>
      <c r="N284" s="76" t="s">
        <v>79</v>
      </c>
      <c r="O284" s="76" t="s">
        <v>79</v>
      </c>
      <c r="P284" s="76" t="s">
        <v>79</v>
      </c>
      <c r="Q284" s="76" t="s">
        <v>79</v>
      </c>
      <c r="R284" s="76" t="s">
        <v>79</v>
      </c>
      <c r="S284" s="76" t="s">
        <v>79</v>
      </c>
      <c r="T284" s="76" t="s">
        <v>83</v>
      </c>
      <c r="U284" s="76" t="s">
        <v>79</v>
      </c>
      <c r="V284" s="76" t="s">
        <v>79</v>
      </c>
      <c r="W284" s="76" t="s">
        <v>79</v>
      </c>
      <c r="X284" s="76" t="s">
        <v>79</v>
      </c>
      <c r="Y284" s="76" t="s">
        <v>79</v>
      </c>
      <c r="Z284" s="77" t="e">
        <f t="shared" si="38"/>
        <v>#N/A</v>
      </c>
      <c r="AA284" s="78"/>
      <c r="AB284" s="78"/>
      <c r="AC284" s="72" t="s">
        <v>47</v>
      </c>
      <c r="AE284" s="79" t="str">
        <f t="shared" si="40"/>
        <v>Jan911169</v>
      </c>
      <c r="AF284" s="80" t="e">
        <f>IF(N284="","",IF(N284="SIM",VLOOKUP($I284&amp;$J284&amp;N$1,Pesos!$A:$I,7,FALSE),VLOOKUP($I284&amp;$J284&amp;N$1,Pesos!$A:$I,9,FALSE)))</f>
        <v>#N/A</v>
      </c>
      <c r="AG284" s="80" t="e">
        <f>IF(O284="","",IF(O284="SIM",VLOOKUP($I284&amp;$J284&amp;O$1,Pesos!$A:$I,7,FALSE),VLOOKUP($I284&amp;$J284&amp;O$1,Pesos!$A:$I,9,FALSE)))</f>
        <v>#N/A</v>
      </c>
      <c r="AH284" s="80" t="e">
        <f>IF(P284="","",IF(P284="SIM",VLOOKUP($I284&amp;$J284&amp;P$1,Pesos!$A:$I,7,FALSE),VLOOKUP($I284&amp;$J284&amp;P$1,Pesos!$A:$I,9,FALSE)))</f>
        <v>#N/A</v>
      </c>
      <c r="AI284" s="80" t="e">
        <f>IF(Q284="","",IF(Q284="SIM",VLOOKUP($I284&amp;$J284&amp;Q$1,Pesos!$A:$I,7,FALSE),VLOOKUP($I284&amp;$J284&amp;Q$1,Pesos!$A:$I,9,FALSE)))</f>
        <v>#N/A</v>
      </c>
      <c r="AJ284" s="80" t="e">
        <f>IF(R284="","",IF(R284="SIM",VLOOKUP($I284&amp;$J284&amp;R$1,Pesos!$A:$I,7,FALSE),VLOOKUP($I284&amp;$J284&amp;R$1,Pesos!$A:$I,9,FALSE)))</f>
        <v>#N/A</v>
      </c>
      <c r="AK284" s="80" t="e">
        <f>IF(S284="","",IF(S284="SIM",VLOOKUP($I284&amp;$J284&amp;S$1,Pesos!$A:$I,7,FALSE),VLOOKUP($I284&amp;$J284&amp;S$1,Pesos!$A:$I,9,FALSE)))</f>
        <v>#N/A</v>
      </c>
      <c r="AL284" s="80" t="e">
        <f t="shared" si="41"/>
        <v>#N/A</v>
      </c>
      <c r="AM284" s="80" t="e">
        <f>IF(T284="","",IF(T284="SIM",VLOOKUP($I284&amp;$J284&amp;T$1,Pesos!$A:$I,7,FALSE),VLOOKUP($I284&amp;$J284&amp;T$1,Pesos!$A:$I,9,FALSE)))</f>
        <v>#N/A</v>
      </c>
      <c r="AN284" s="80" t="e">
        <f>IF(U284="","",IF(U284="SIM",VLOOKUP($I284&amp;$J284&amp;U$1,Pesos!$A:$I,7,FALSE),VLOOKUP($I284&amp;$J284&amp;U$1,Pesos!$A:$I,9,FALSE)))</f>
        <v>#N/A</v>
      </c>
      <c r="AO284" s="80" t="e">
        <f>IF(V284="","",IF(V284="SIM",VLOOKUP($I284&amp;$J284&amp;V$1,Pesos!$A:$I,7,FALSE),VLOOKUP($I284&amp;$J284&amp;V$1,Pesos!$A:$I,9,FALSE)))</f>
        <v>#N/A</v>
      </c>
      <c r="AP284" s="80" t="e">
        <f>IF(W284="","",IF(W284="SIM",VLOOKUP($I284&amp;$J284&amp;W$1,Pesos!$A:$I,7,FALSE),VLOOKUP($I284&amp;$J284&amp;W$1,Pesos!$A:$I,9,FALSE)))</f>
        <v>#N/A</v>
      </c>
      <c r="AQ284" s="80" t="e">
        <f>IF(X284="","",IF(X284="SIM",VLOOKUP($I284&amp;$J284&amp;X$1,Pesos!$A:$I,7,FALSE),VLOOKUP($I284&amp;$J284&amp;X$1,Pesos!$A:$I,9,FALSE)))</f>
        <v>#N/A</v>
      </c>
      <c r="AR284" s="80" t="e">
        <f>IF(Y284="","",IF(Y284="SIM",VLOOKUP($I284&amp;$J284&amp;Y$1,Pesos!$A:$I,7,FALSE),VLOOKUP($I284&amp;$J284&amp;Y$1,Pesos!$A:$I,9,FALSE)))</f>
        <v>#N/A</v>
      </c>
      <c r="AS284" s="81" t="str">
        <f>IFERROR(Z284*VLOOKUP(J284,'BD Campos'!$Y$1:$Z$12,2,FALSE),"0")</f>
        <v>0</v>
      </c>
    </row>
    <row r="285" spans="1:45" x14ac:dyDescent="0.35">
      <c r="A285" s="68" t="str">
        <f t="shared" si="39"/>
        <v>Jan2025911169Receptiva Cadastro 2CADASTRO</v>
      </c>
      <c r="B285" s="69" t="str">
        <f t="shared" si="42"/>
        <v>Jan20259111696CADASTROPADRÃO</v>
      </c>
      <c r="C285" s="70">
        <v>1</v>
      </c>
      <c r="D285" s="71">
        <v>45679.588455787038</v>
      </c>
      <c r="E285" s="112" t="s">
        <v>74</v>
      </c>
      <c r="F285" s="72">
        <v>911169</v>
      </c>
      <c r="G285" s="69" t="s">
        <v>1368</v>
      </c>
      <c r="H285" s="73">
        <v>6</v>
      </c>
      <c r="I285" s="69" t="s">
        <v>76</v>
      </c>
      <c r="J285" s="69" t="s">
        <v>81</v>
      </c>
      <c r="K285" s="69" t="s">
        <v>78</v>
      </c>
      <c r="L285" s="74"/>
      <c r="M285" s="75">
        <v>3.0671296296296297E-3</v>
      </c>
      <c r="N285" s="76" t="s">
        <v>79</v>
      </c>
      <c r="O285" s="76" t="s">
        <v>79</v>
      </c>
      <c r="P285" s="76" t="s">
        <v>79</v>
      </c>
      <c r="Q285" s="76" t="s">
        <v>79</v>
      </c>
      <c r="R285" s="76" t="s">
        <v>79</v>
      </c>
      <c r="S285" s="76" t="s">
        <v>79</v>
      </c>
      <c r="T285" s="76" t="s">
        <v>83</v>
      </c>
      <c r="U285" s="76" t="s">
        <v>79</v>
      </c>
      <c r="V285" s="76" t="s">
        <v>79</v>
      </c>
      <c r="W285" s="76" t="s">
        <v>79</v>
      </c>
      <c r="X285" s="76" t="s">
        <v>79</v>
      </c>
      <c r="Y285" s="76" t="s">
        <v>79</v>
      </c>
      <c r="Z285" s="77" t="e">
        <f t="shared" si="38"/>
        <v>#N/A</v>
      </c>
      <c r="AA285" s="78"/>
      <c r="AB285" s="78"/>
      <c r="AC285" s="72" t="s">
        <v>47</v>
      </c>
      <c r="AE285" s="79" t="str">
        <f t="shared" si="40"/>
        <v>Jan911169</v>
      </c>
      <c r="AF285" s="80" t="e">
        <f>IF(N285="","",IF(N285="SIM",VLOOKUP($I285&amp;$J285&amp;N$1,Pesos!$A:$I,7,FALSE),VLOOKUP($I285&amp;$J285&amp;N$1,Pesos!$A:$I,9,FALSE)))</f>
        <v>#N/A</v>
      </c>
      <c r="AG285" s="80" t="e">
        <f>IF(O285="","",IF(O285="SIM",VLOOKUP($I285&amp;$J285&amp;O$1,Pesos!$A:$I,7,FALSE),VLOOKUP($I285&amp;$J285&amp;O$1,Pesos!$A:$I,9,FALSE)))</f>
        <v>#N/A</v>
      </c>
      <c r="AH285" s="80" t="e">
        <f>IF(P285="","",IF(P285="SIM",VLOOKUP($I285&amp;$J285&amp;P$1,Pesos!$A:$I,7,FALSE),VLOOKUP($I285&amp;$J285&amp;P$1,Pesos!$A:$I,9,FALSE)))</f>
        <v>#N/A</v>
      </c>
      <c r="AI285" s="80" t="e">
        <f>IF(Q285="","",IF(Q285="SIM",VLOOKUP($I285&amp;$J285&amp;Q$1,Pesos!$A:$I,7,FALSE),VLOOKUP($I285&amp;$J285&amp;Q$1,Pesos!$A:$I,9,FALSE)))</f>
        <v>#N/A</v>
      </c>
      <c r="AJ285" s="80" t="e">
        <f>IF(R285="","",IF(R285="SIM",VLOOKUP($I285&amp;$J285&amp;R$1,Pesos!$A:$I,7,FALSE),VLOOKUP($I285&amp;$J285&amp;R$1,Pesos!$A:$I,9,FALSE)))</f>
        <v>#N/A</v>
      </c>
      <c r="AK285" s="80" t="e">
        <f>IF(S285="","",IF(S285="SIM",VLOOKUP($I285&amp;$J285&amp;S$1,Pesos!$A:$I,7,FALSE),VLOOKUP($I285&amp;$J285&amp;S$1,Pesos!$A:$I,9,FALSE)))</f>
        <v>#N/A</v>
      </c>
      <c r="AL285" s="80" t="e">
        <f t="shared" si="41"/>
        <v>#N/A</v>
      </c>
      <c r="AM285" s="80" t="e">
        <f>IF(T285="","",IF(T285="SIM",VLOOKUP($I285&amp;$J285&amp;T$1,Pesos!$A:$I,7,FALSE),VLOOKUP($I285&amp;$J285&amp;T$1,Pesos!$A:$I,9,FALSE)))</f>
        <v>#N/A</v>
      </c>
      <c r="AN285" s="80" t="e">
        <f>IF(U285="","",IF(U285="SIM",VLOOKUP($I285&amp;$J285&amp;U$1,Pesos!$A:$I,7,FALSE),VLOOKUP($I285&amp;$J285&amp;U$1,Pesos!$A:$I,9,FALSE)))</f>
        <v>#N/A</v>
      </c>
      <c r="AO285" s="80" t="e">
        <f>IF(V285="","",IF(V285="SIM",VLOOKUP($I285&amp;$J285&amp;V$1,Pesos!$A:$I,7,FALSE),VLOOKUP($I285&amp;$J285&amp;V$1,Pesos!$A:$I,9,FALSE)))</f>
        <v>#N/A</v>
      </c>
      <c r="AP285" s="80" t="e">
        <f>IF(W285="","",IF(W285="SIM",VLOOKUP($I285&amp;$J285&amp;W$1,Pesos!$A:$I,7,FALSE),VLOOKUP($I285&amp;$J285&amp;W$1,Pesos!$A:$I,9,FALSE)))</f>
        <v>#N/A</v>
      </c>
      <c r="AQ285" s="80" t="e">
        <f>IF(X285="","",IF(X285="SIM",VLOOKUP($I285&amp;$J285&amp;X$1,Pesos!$A:$I,7,FALSE),VLOOKUP($I285&amp;$J285&amp;X$1,Pesos!$A:$I,9,FALSE)))</f>
        <v>#N/A</v>
      </c>
      <c r="AR285" s="80" t="e">
        <f>IF(Y285="","",IF(Y285="SIM",VLOOKUP($I285&amp;$J285&amp;Y$1,Pesos!$A:$I,7,FALSE),VLOOKUP($I285&amp;$J285&amp;Y$1,Pesos!$A:$I,9,FALSE)))</f>
        <v>#N/A</v>
      </c>
      <c r="AS285" s="81" t="str">
        <f>IFERROR(Z285*VLOOKUP(J285,'BD Campos'!$Y$1:$Z$12,2,FALSE),"0")</f>
        <v>0</v>
      </c>
    </row>
    <row r="286" spans="1:45" x14ac:dyDescent="0.35">
      <c r="A286" s="68" t="str">
        <f t="shared" si="39"/>
        <v>Jan202511214Receptiva CadastroCADASTRO</v>
      </c>
      <c r="B286" s="69" t="str">
        <f t="shared" si="42"/>
        <v>Jan2025112145CADASTROPADRÃO</v>
      </c>
      <c r="C286" s="70">
        <v>1</v>
      </c>
      <c r="D286" s="71">
        <v>45679.622342824077</v>
      </c>
      <c r="E286" s="112" t="s">
        <v>74</v>
      </c>
      <c r="F286" s="72">
        <v>11214</v>
      </c>
      <c r="G286" s="69" t="s">
        <v>1389</v>
      </c>
      <c r="H286" s="73">
        <v>5</v>
      </c>
      <c r="I286" s="69" t="s">
        <v>76</v>
      </c>
      <c r="J286" s="69" t="s">
        <v>77</v>
      </c>
      <c r="K286" s="69" t="s">
        <v>78</v>
      </c>
      <c r="L286" s="74"/>
      <c r="M286" s="75">
        <v>3.5069444444444445E-3</v>
      </c>
      <c r="N286" s="76" t="s">
        <v>79</v>
      </c>
      <c r="O286" s="76" t="s">
        <v>79</v>
      </c>
      <c r="P286" s="76" t="s">
        <v>79</v>
      </c>
      <c r="Q286" s="76" t="s">
        <v>79</v>
      </c>
      <c r="R286" s="76" t="s">
        <v>79</v>
      </c>
      <c r="S286" s="76" t="s">
        <v>79</v>
      </c>
      <c r="T286" s="76" t="s">
        <v>83</v>
      </c>
      <c r="U286" s="76" t="s">
        <v>79</v>
      </c>
      <c r="V286" s="76" t="s">
        <v>79</v>
      </c>
      <c r="W286" s="76" t="s">
        <v>79</v>
      </c>
      <c r="X286" s="76" t="s">
        <v>79</v>
      </c>
      <c r="Y286" s="76" t="s">
        <v>79</v>
      </c>
      <c r="Z286" s="77" t="e">
        <f t="shared" si="38"/>
        <v>#N/A</v>
      </c>
      <c r="AA286" s="78"/>
      <c r="AB286" s="78"/>
      <c r="AC286" s="72" t="s">
        <v>47</v>
      </c>
      <c r="AE286" s="79" t="str">
        <f t="shared" si="40"/>
        <v>Jan11214</v>
      </c>
      <c r="AF286" s="80" t="e">
        <f>IF(N286="","",IF(N286="SIM",VLOOKUP($I286&amp;$J286&amp;N$1,Pesos!$A:$I,7,FALSE),VLOOKUP($I286&amp;$J286&amp;N$1,Pesos!$A:$I,9,FALSE)))</f>
        <v>#N/A</v>
      </c>
      <c r="AG286" s="80" t="e">
        <f>IF(O286="","",IF(O286="SIM",VLOOKUP($I286&amp;$J286&amp;O$1,Pesos!$A:$I,7,FALSE),VLOOKUP($I286&amp;$J286&amp;O$1,Pesos!$A:$I,9,FALSE)))</f>
        <v>#N/A</v>
      </c>
      <c r="AH286" s="80" t="e">
        <f>IF(P286="","",IF(P286="SIM",VLOOKUP($I286&amp;$J286&amp;P$1,Pesos!$A:$I,7,FALSE),VLOOKUP($I286&amp;$J286&amp;P$1,Pesos!$A:$I,9,FALSE)))</f>
        <v>#N/A</v>
      </c>
      <c r="AI286" s="80" t="e">
        <f>IF(Q286="","",IF(Q286="SIM",VLOOKUP($I286&amp;$J286&amp;Q$1,Pesos!$A:$I,7,FALSE),VLOOKUP($I286&amp;$J286&amp;Q$1,Pesos!$A:$I,9,FALSE)))</f>
        <v>#N/A</v>
      </c>
      <c r="AJ286" s="80" t="e">
        <f>IF(R286="","",IF(R286="SIM",VLOOKUP($I286&amp;$J286&amp;R$1,Pesos!$A:$I,7,FALSE),VLOOKUP($I286&amp;$J286&amp;R$1,Pesos!$A:$I,9,FALSE)))</f>
        <v>#N/A</v>
      </c>
      <c r="AK286" s="80" t="e">
        <f>IF(S286="","",IF(S286="SIM",VLOOKUP($I286&amp;$J286&amp;S$1,Pesos!$A:$I,7,FALSE),VLOOKUP($I286&amp;$J286&amp;S$1,Pesos!$A:$I,9,FALSE)))</f>
        <v>#N/A</v>
      </c>
      <c r="AL286" s="80" t="e">
        <f t="shared" si="41"/>
        <v>#N/A</v>
      </c>
      <c r="AM286" s="80" t="e">
        <f>IF(T286="","",IF(T286="SIM",VLOOKUP($I286&amp;$J286&amp;T$1,Pesos!$A:$I,7,FALSE),VLOOKUP($I286&amp;$J286&amp;T$1,Pesos!$A:$I,9,FALSE)))</f>
        <v>#N/A</v>
      </c>
      <c r="AN286" s="80" t="e">
        <f>IF(U286="","",IF(U286="SIM",VLOOKUP($I286&amp;$J286&amp;U$1,Pesos!$A:$I,7,FALSE),VLOOKUP($I286&amp;$J286&amp;U$1,Pesos!$A:$I,9,FALSE)))</f>
        <v>#N/A</v>
      </c>
      <c r="AO286" s="80" t="e">
        <f>IF(V286="","",IF(V286="SIM",VLOOKUP($I286&amp;$J286&amp;V$1,Pesos!$A:$I,7,FALSE),VLOOKUP($I286&amp;$J286&amp;V$1,Pesos!$A:$I,9,FALSE)))</f>
        <v>#N/A</v>
      </c>
      <c r="AP286" s="80" t="e">
        <f>IF(W286="","",IF(W286="SIM",VLOOKUP($I286&amp;$J286&amp;W$1,Pesos!$A:$I,7,FALSE),VLOOKUP($I286&amp;$J286&amp;W$1,Pesos!$A:$I,9,FALSE)))</f>
        <v>#N/A</v>
      </c>
      <c r="AQ286" s="80" t="e">
        <f>IF(X286="","",IF(X286="SIM",VLOOKUP($I286&amp;$J286&amp;X$1,Pesos!$A:$I,7,FALSE),VLOOKUP($I286&amp;$J286&amp;X$1,Pesos!$A:$I,9,FALSE)))</f>
        <v>#N/A</v>
      </c>
      <c r="AR286" s="80" t="e">
        <f>IF(Y286="","",IF(Y286="SIM",VLOOKUP($I286&amp;$J286&amp;Y$1,Pesos!$A:$I,7,FALSE),VLOOKUP($I286&amp;$J286&amp;Y$1,Pesos!$A:$I,9,FALSE)))</f>
        <v>#N/A</v>
      </c>
      <c r="AS286" s="81" t="str">
        <f>IFERROR(Z286*VLOOKUP(J286,'BD Campos'!$Y$1:$Z$12,2,FALSE),"0")</f>
        <v>0</v>
      </c>
    </row>
    <row r="287" spans="1:45" x14ac:dyDescent="0.35">
      <c r="A287" s="68" t="str">
        <f t="shared" si="39"/>
        <v>Jan202511214Receptiva Cadastro 2CADASTRO</v>
      </c>
      <c r="B287" s="69" t="str">
        <f t="shared" si="42"/>
        <v>Jan2025112146CADASTROPADRÃO</v>
      </c>
      <c r="C287" s="70">
        <v>1</v>
      </c>
      <c r="D287" s="71">
        <v>45679.625515162035</v>
      </c>
      <c r="E287" s="112" t="s">
        <v>74</v>
      </c>
      <c r="F287" s="72">
        <v>11214</v>
      </c>
      <c r="G287" s="69" t="s">
        <v>1389</v>
      </c>
      <c r="H287" s="73">
        <v>6</v>
      </c>
      <c r="I287" s="69" t="s">
        <v>76</v>
      </c>
      <c r="J287" s="69" t="s">
        <v>81</v>
      </c>
      <c r="K287" s="69" t="s">
        <v>78</v>
      </c>
      <c r="L287" s="74"/>
      <c r="M287" s="75">
        <v>3.414351851851852E-3</v>
      </c>
      <c r="N287" s="76" t="s">
        <v>79</v>
      </c>
      <c r="O287" s="76" t="s">
        <v>83</v>
      </c>
      <c r="P287" s="76" t="s">
        <v>79</v>
      </c>
      <c r="Q287" s="76" t="s">
        <v>79</v>
      </c>
      <c r="R287" s="76" t="s">
        <v>79</v>
      </c>
      <c r="S287" s="76" t="s">
        <v>79</v>
      </c>
      <c r="T287" s="76" t="s">
        <v>79</v>
      </c>
      <c r="U287" s="76" t="s">
        <v>79</v>
      </c>
      <c r="V287" s="76" t="s">
        <v>79</v>
      </c>
      <c r="W287" s="76" t="s">
        <v>79</v>
      </c>
      <c r="X287" s="76" t="s">
        <v>79</v>
      </c>
      <c r="Y287" s="76" t="s">
        <v>79</v>
      </c>
      <c r="Z287" s="77" t="e">
        <f t="shared" si="38"/>
        <v>#N/A</v>
      </c>
      <c r="AA287" s="78"/>
      <c r="AB287" s="78"/>
      <c r="AC287" s="72" t="s">
        <v>47</v>
      </c>
      <c r="AE287" s="79" t="str">
        <f t="shared" ref="AE287:AE302" si="43">E287&amp;F287</f>
        <v>Jan11214</v>
      </c>
      <c r="AF287" s="80" t="e">
        <f>IF(N287="","",IF(N287="SIM",VLOOKUP($I287&amp;$J287&amp;N$1,Pesos!$A:$I,7,FALSE),VLOOKUP($I287&amp;$J287&amp;N$1,Pesos!$A:$I,9,FALSE)))</f>
        <v>#N/A</v>
      </c>
      <c r="AG287" s="80" t="e">
        <f>IF(O287="","",IF(O287="SIM",VLOOKUP($I287&amp;$J287&amp;O$1,Pesos!$A:$I,7,FALSE),VLOOKUP($I287&amp;$J287&amp;O$1,Pesos!$A:$I,9,FALSE)))</f>
        <v>#N/A</v>
      </c>
      <c r="AH287" s="80" t="e">
        <f>IF(P287="","",IF(P287="SIM",VLOOKUP($I287&amp;$J287&amp;P$1,Pesos!$A:$I,7,FALSE),VLOOKUP($I287&amp;$J287&amp;P$1,Pesos!$A:$I,9,FALSE)))</f>
        <v>#N/A</v>
      </c>
      <c r="AI287" s="80" t="e">
        <f>IF(Q287="","",IF(Q287="SIM",VLOOKUP($I287&amp;$J287&amp;Q$1,Pesos!$A:$I,7,FALSE),VLOOKUP($I287&amp;$J287&amp;Q$1,Pesos!$A:$I,9,FALSE)))</f>
        <v>#N/A</v>
      </c>
      <c r="AJ287" s="80" t="e">
        <f>IF(R287="","",IF(R287="SIM",VLOOKUP($I287&amp;$J287&amp;R$1,Pesos!$A:$I,7,FALSE),VLOOKUP($I287&amp;$J287&amp;R$1,Pesos!$A:$I,9,FALSE)))</f>
        <v>#N/A</v>
      </c>
      <c r="AK287" s="80" t="e">
        <f>IF(S287="","",IF(S287="SIM",VLOOKUP($I287&amp;$J287&amp;S$1,Pesos!$A:$I,7,FALSE),VLOOKUP($I287&amp;$J287&amp;S$1,Pesos!$A:$I,9,FALSE)))</f>
        <v>#N/A</v>
      </c>
      <c r="AL287" s="80" t="e">
        <f t="shared" ref="AL287:AL302" si="44">SUM(AF287:AK287)</f>
        <v>#N/A</v>
      </c>
      <c r="AM287" s="80" t="e">
        <f>IF(T287="","",IF(T287="SIM",VLOOKUP($I287&amp;$J287&amp;T$1,Pesos!$A:$I,7,FALSE),VLOOKUP($I287&amp;$J287&amp;T$1,Pesos!$A:$I,9,FALSE)))</f>
        <v>#N/A</v>
      </c>
      <c r="AN287" s="80" t="e">
        <f>IF(U287="","",IF(U287="SIM",VLOOKUP($I287&amp;$J287&amp;U$1,Pesos!$A:$I,7,FALSE),VLOOKUP($I287&amp;$J287&amp;U$1,Pesos!$A:$I,9,FALSE)))</f>
        <v>#N/A</v>
      </c>
      <c r="AO287" s="80" t="e">
        <f>IF(V287="","",IF(V287="SIM",VLOOKUP($I287&amp;$J287&amp;V$1,Pesos!$A:$I,7,FALSE),VLOOKUP($I287&amp;$J287&amp;V$1,Pesos!$A:$I,9,FALSE)))</f>
        <v>#N/A</v>
      </c>
      <c r="AP287" s="80" t="e">
        <f>IF(W287="","",IF(W287="SIM",VLOOKUP($I287&amp;$J287&amp;W$1,Pesos!$A:$I,7,FALSE),VLOOKUP($I287&amp;$J287&amp;W$1,Pesos!$A:$I,9,FALSE)))</f>
        <v>#N/A</v>
      </c>
      <c r="AQ287" s="80" t="e">
        <f>IF(X287="","",IF(X287="SIM",VLOOKUP($I287&amp;$J287&amp;X$1,Pesos!$A:$I,7,FALSE),VLOOKUP($I287&amp;$J287&amp;X$1,Pesos!$A:$I,9,FALSE)))</f>
        <v>#N/A</v>
      </c>
      <c r="AR287" s="80" t="e">
        <f>IF(Y287="","",IF(Y287="SIM",VLOOKUP($I287&amp;$J287&amp;Y$1,Pesos!$A:$I,7,FALSE),VLOOKUP($I287&amp;$J287&amp;Y$1,Pesos!$A:$I,9,FALSE)))</f>
        <v>#N/A</v>
      </c>
      <c r="AS287" s="81" t="str">
        <f>IFERROR(Z287*VLOOKUP(J287,'BD Campos'!$Y$1:$Z$12,2,FALSE),"0")</f>
        <v>0</v>
      </c>
    </row>
    <row r="288" spans="1:45" x14ac:dyDescent="0.35">
      <c r="A288" s="68" t="str">
        <f t="shared" si="39"/>
        <v>Jan202511152ClienteLOGÍSTICA</v>
      </c>
      <c r="B288" s="69" t="str">
        <f t="shared" si="42"/>
        <v>Jan2025111521LOGÍSTICAPADRÃO</v>
      </c>
      <c r="C288" s="70">
        <v>1</v>
      </c>
      <c r="D288" s="71">
        <v>45679.652005787037</v>
      </c>
      <c r="E288" s="112" t="s">
        <v>74</v>
      </c>
      <c r="F288" s="72">
        <v>11152</v>
      </c>
      <c r="G288" s="69" t="s">
        <v>447</v>
      </c>
      <c r="H288" s="73">
        <v>1</v>
      </c>
      <c r="I288" s="69" t="s">
        <v>183</v>
      </c>
      <c r="J288" s="69" t="s">
        <v>124</v>
      </c>
      <c r="K288" s="69" t="s">
        <v>184</v>
      </c>
      <c r="L288" s="74"/>
      <c r="M288" s="75">
        <v>8.564814814814815E-4</v>
      </c>
      <c r="N288" s="76" t="s">
        <v>79</v>
      </c>
      <c r="O288" s="76" t="s">
        <v>79</v>
      </c>
      <c r="P288" s="76" t="s">
        <v>79</v>
      </c>
      <c r="Q288" s="76" t="s">
        <v>79</v>
      </c>
      <c r="R288" s="76" t="s">
        <v>79</v>
      </c>
      <c r="S288" s="76" t="s">
        <v>79</v>
      </c>
      <c r="T288" s="76" t="s">
        <v>79</v>
      </c>
      <c r="U288" s="76" t="s">
        <v>79</v>
      </c>
      <c r="V288" s="76" t="s">
        <v>79</v>
      </c>
      <c r="W288" s="76" t="s">
        <v>79</v>
      </c>
      <c r="X288" s="76" t="s">
        <v>79</v>
      </c>
      <c r="Y288" s="76" t="s">
        <v>83</v>
      </c>
      <c r="Z288" s="77">
        <f t="shared" si="38"/>
        <v>8.9499999999999993</v>
      </c>
      <c r="AA288" s="78"/>
      <c r="AB288" s="78"/>
      <c r="AC288" s="72" t="s">
        <v>47</v>
      </c>
      <c r="AE288" s="79" t="str">
        <f t="shared" si="43"/>
        <v>Jan11152</v>
      </c>
      <c r="AF288" s="80">
        <f>IF(N288="","",IF(N288="SIM",VLOOKUP($I288&amp;$J288&amp;N$1,Pesos!$A:$I,7,FALSE),VLOOKUP($I288&amp;$J288&amp;N$1,Pesos!$A:$I,9,FALSE)))</f>
        <v>0.8</v>
      </c>
      <c r="AG288" s="80">
        <f>IF(O288="","",IF(O288="SIM",VLOOKUP($I288&amp;$J288&amp;O$1,Pesos!$A:$I,7,FALSE),VLOOKUP($I288&amp;$J288&amp;O$1,Pesos!$A:$I,9,FALSE)))</f>
        <v>0.8</v>
      </c>
      <c r="AH288" s="80">
        <f>IF(P288="","",IF(P288="SIM",VLOOKUP($I288&amp;$J288&amp;P$1,Pesos!$A:$I,7,FALSE),VLOOKUP($I288&amp;$J288&amp;P$1,Pesos!$A:$I,9,FALSE)))</f>
        <v>0.8</v>
      </c>
      <c r="AI288" s="80">
        <f>IF(Q288="","",IF(Q288="SIM",VLOOKUP($I288&amp;$J288&amp;Q$1,Pesos!$A:$I,7,FALSE),VLOOKUP($I288&amp;$J288&amp;Q$1,Pesos!$A:$I,9,FALSE)))</f>
        <v>0.8</v>
      </c>
      <c r="AJ288" s="80">
        <f>IF(R288="","",IF(R288="SIM",VLOOKUP($I288&amp;$J288&amp;R$1,Pesos!$A:$I,7,FALSE),VLOOKUP($I288&amp;$J288&amp;R$1,Pesos!$A:$I,9,FALSE)))</f>
        <v>0.8</v>
      </c>
      <c r="AK288" s="80">
        <f>IF(S288="","",IF(S288="SIM",VLOOKUP($I288&amp;$J288&amp;S$1,Pesos!$A:$I,7,FALSE),VLOOKUP($I288&amp;$J288&amp;S$1,Pesos!$A:$I,9,FALSE)))</f>
        <v>0.5</v>
      </c>
      <c r="AL288" s="80">
        <f t="shared" si="44"/>
        <v>4.5</v>
      </c>
      <c r="AM288" s="80">
        <f>IF(T288="","",IF(T288="SIM",VLOOKUP($I288&amp;$J288&amp;T$1,Pesos!$A:$I,7,FALSE),VLOOKUP($I288&amp;$J288&amp;T$1,Pesos!$A:$I,9,FALSE)))</f>
        <v>0.5</v>
      </c>
      <c r="AN288" s="80">
        <f>IF(U288="","",IF(U288="SIM",VLOOKUP($I288&amp;$J288&amp;U$1,Pesos!$A:$I,7,FALSE),VLOOKUP($I288&amp;$J288&amp;U$1,Pesos!$A:$I,9,FALSE)))</f>
        <v>1</v>
      </c>
      <c r="AO288" s="80">
        <f>IF(V288="","",IF(V288="SIM",VLOOKUP($I288&amp;$J288&amp;V$1,Pesos!$A:$I,7,FALSE),VLOOKUP($I288&amp;$J288&amp;V$1,Pesos!$A:$I,9,FALSE)))</f>
        <v>1</v>
      </c>
      <c r="AP288" s="80">
        <f>IF(W288="","",IF(W288="SIM",VLOOKUP($I288&amp;$J288&amp;W$1,Pesos!$A:$I,7,FALSE),VLOOKUP($I288&amp;$J288&amp;W$1,Pesos!$A:$I,9,FALSE)))</f>
        <v>1</v>
      </c>
      <c r="AQ288" s="80">
        <f>IF(X288="","",IF(X288="SIM",VLOOKUP($I288&amp;$J288&amp;X$1,Pesos!$A:$I,7,FALSE),VLOOKUP($I288&amp;$J288&amp;X$1,Pesos!$A:$I,9,FALSE)))</f>
        <v>1</v>
      </c>
      <c r="AR288" s="80">
        <f>IF(Y288="","",IF(Y288="SIM",VLOOKUP($I288&amp;$J288&amp;Y$1,Pesos!$A:$I,7,FALSE),VLOOKUP($I288&amp;$J288&amp;Y$1,Pesos!$A:$I,9,FALSE)))</f>
        <v>-0.05</v>
      </c>
      <c r="AS288" s="81">
        <f>IFERROR(Z288*VLOOKUP(J288,'BD Campos'!$Y$1:$Z$12,2,FALSE),"0")</f>
        <v>8.9499999999999993</v>
      </c>
    </row>
    <row r="289" spans="1:45" x14ac:dyDescent="0.35">
      <c r="A289" s="68" t="str">
        <f t="shared" si="39"/>
        <v>Jan202511152Cliente 2LOGÍSTICA</v>
      </c>
      <c r="B289" s="69" t="str">
        <f t="shared" si="42"/>
        <v>Jan2025111522LOGÍSTICAPADRÃO</v>
      </c>
      <c r="C289" s="70">
        <v>1</v>
      </c>
      <c r="D289" s="71">
        <v>45679.656353819446</v>
      </c>
      <c r="E289" s="112" t="s">
        <v>74</v>
      </c>
      <c r="F289" s="72">
        <v>11152</v>
      </c>
      <c r="G289" s="69" t="s">
        <v>447</v>
      </c>
      <c r="H289" s="73">
        <v>2</v>
      </c>
      <c r="I289" s="69" t="s">
        <v>183</v>
      </c>
      <c r="J289" s="69" t="s">
        <v>185</v>
      </c>
      <c r="K289" s="69" t="s">
        <v>184</v>
      </c>
      <c r="L289" s="74"/>
      <c r="M289" s="75">
        <v>1.0185185185185186E-3</v>
      </c>
      <c r="N289" s="76" t="s">
        <v>79</v>
      </c>
      <c r="O289" s="76" t="s">
        <v>79</v>
      </c>
      <c r="P289" s="76" t="s">
        <v>79</v>
      </c>
      <c r="Q289" s="76" t="s">
        <v>79</v>
      </c>
      <c r="R289" s="76" t="s">
        <v>79</v>
      </c>
      <c r="S289" s="76" t="s">
        <v>79</v>
      </c>
      <c r="T289" s="76" t="s">
        <v>79</v>
      </c>
      <c r="U289" s="76" t="s">
        <v>79</v>
      </c>
      <c r="V289" s="76" t="s">
        <v>79</v>
      </c>
      <c r="W289" s="76" t="s">
        <v>79</v>
      </c>
      <c r="X289" s="76" t="s">
        <v>79</v>
      </c>
      <c r="Y289" s="76" t="s">
        <v>79</v>
      </c>
      <c r="Z289" s="77">
        <f t="shared" si="38"/>
        <v>10</v>
      </c>
      <c r="AA289" s="78" t="s">
        <v>1572</v>
      </c>
      <c r="AB289" s="78"/>
      <c r="AC289" s="72" t="s">
        <v>47</v>
      </c>
      <c r="AE289" s="79" t="str">
        <f t="shared" si="43"/>
        <v>Jan11152</v>
      </c>
      <c r="AF289" s="80">
        <f>IF(N289="","",IF(N289="SIM",VLOOKUP($I289&amp;$J289&amp;N$1,Pesos!$A:$I,7,FALSE),VLOOKUP($I289&amp;$J289&amp;N$1,Pesos!$A:$I,9,FALSE)))</f>
        <v>0.8</v>
      </c>
      <c r="AG289" s="80">
        <f>IF(O289="","",IF(O289="SIM",VLOOKUP($I289&amp;$J289&amp;O$1,Pesos!$A:$I,7,FALSE),VLOOKUP($I289&amp;$J289&amp;O$1,Pesos!$A:$I,9,FALSE)))</f>
        <v>0.8</v>
      </c>
      <c r="AH289" s="80">
        <f>IF(P289="","",IF(P289="SIM",VLOOKUP($I289&amp;$J289&amp;P$1,Pesos!$A:$I,7,FALSE),VLOOKUP($I289&amp;$J289&amp;P$1,Pesos!$A:$I,9,FALSE)))</f>
        <v>0.8</v>
      </c>
      <c r="AI289" s="80">
        <f>IF(Q289="","",IF(Q289="SIM",VLOOKUP($I289&amp;$J289&amp;Q$1,Pesos!$A:$I,7,FALSE),VLOOKUP($I289&amp;$J289&amp;Q$1,Pesos!$A:$I,9,FALSE)))</f>
        <v>0.8</v>
      </c>
      <c r="AJ289" s="80">
        <f>IF(R289="","",IF(R289="SIM",VLOOKUP($I289&amp;$J289&amp;R$1,Pesos!$A:$I,7,FALSE),VLOOKUP($I289&amp;$J289&amp;R$1,Pesos!$A:$I,9,FALSE)))</f>
        <v>0.8</v>
      </c>
      <c r="AK289" s="80">
        <f>IF(S289="","",IF(S289="SIM",VLOOKUP($I289&amp;$J289&amp;S$1,Pesos!$A:$I,7,FALSE),VLOOKUP($I289&amp;$J289&amp;S$1,Pesos!$A:$I,9,FALSE)))</f>
        <v>0.5</v>
      </c>
      <c r="AL289" s="80">
        <f t="shared" si="44"/>
        <v>4.5</v>
      </c>
      <c r="AM289" s="80">
        <f>IF(T289="","",IF(T289="SIM",VLOOKUP($I289&amp;$J289&amp;T$1,Pesos!$A:$I,7,FALSE),VLOOKUP($I289&amp;$J289&amp;T$1,Pesos!$A:$I,9,FALSE)))</f>
        <v>0.5</v>
      </c>
      <c r="AN289" s="80">
        <f>IF(U289="","",IF(U289="SIM",VLOOKUP($I289&amp;$J289&amp;U$1,Pesos!$A:$I,7,FALSE),VLOOKUP($I289&amp;$J289&amp;U$1,Pesos!$A:$I,9,FALSE)))</f>
        <v>1</v>
      </c>
      <c r="AO289" s="80">
        <f>IF(V289="","",IF(V289="SIM",VLOOKUP($I289&amp;$J289&amp;V$1,Pesos!$A:$I,7,FALSE),VLOOKUP($I289&amp;$J289&amp;V$1,Pesos!$A:$I,9,FALSE)))</f>
        <v>1</v>
      </c>
      <c r="AP289" s="80">
        <f>IF(W289="","",IF(W289="SIM",VLOOKUP($I289&amp;$J289&amp;W$1,Pesos!$A:$I,7,FALSE),VLOOKUP($I289&amp;$J289&amp;W$1,Pesos!$A:$I,9,FALSE)))</f>
        <v>1</v>
      </c>
      <c r="AQ289" s="80">
        <f>IF(X289="","",IF(X289="SIM",VLOOKUP($I289&amp;$J289&amp;X$1,Pesos!$A:$I,7,FALSE),VLOOKUP($I289&amp;$J289&amp;X$1,Pesos!$A:$I,9,FALSE)))</f>
        <v>1</v>
      </c>
      <c r="AR289" s="80">
        <f>IF(Y289="","",IF(Y289="SIM",VLOOKUP($I289&amp;$J289&amp;Y$1,Pesos!$A:$I,7,FALSE),VLOOKUP($I289&amp;$J289&amp;Y$1,Pesos!$A:$I,9,FALSE)))</f>
        <v>1</v>
      </c>
      <c r="AS289" s="81">
        <f>IFERROR(Z289*VLOOKUP(J289,'BD Campos'!$Y$1:$Z$12,2,FALSE),"0")</f>
        <v>10</v>
      </c>
    </row>
    <row r="290" spans="1:45" x14ac:dyDescent="0.35">
      <c r="A290" s="68" t="str">
        <f t="shared" si="39"/>
        <v>Jan202511049ClienteLOGÍSTICA</v>
      </c>
      <c r="B290" s="69" t="str">
        <f t="shared" si="42"/>
        <v>Jan2025110491LOGÍSTICAPADRÃO</v>
      </c>
      <c r="C290" s="70">
        <v>1</v>
      </c>
      <c r="D290" s="71">
        <v>45679.659276851853</v>
      </c>
      <c r="E290" s="112" t="s">
        <v>74</v>
      </c>
      <c r="F290" s="72">
        <v>11049</v>
      </c>
      <c r="G290" s="69" t="s">
        <v>384</v>
      </c>
      <c r="H290" s="73">
        <v>1</v>
      </c>
      <c r="I290" s="69" t="s">
        <v>183</v>
      </c>
      <c r="J290" s="69" t="s">
        <v>124</v>
      </c>
      <c r="K290" s="69" t="s">
        <v>184</v>
      </c>
      <c r="L290" s="74"/>
      <c r="M290" s="75">
        <v>1.3541666666666667E-3</v>
      </c>
      <c r="N290" s="76" t="s">
        <v>79</v>
      </c>
      <c r="O290" s="76" t="s">
        <v>79</v>
      </c>
      <c r="P290" s="76" t="s">
        <v>79</v>
      </c>
      <c r="Q290" s="76" t="s">
        <v>79</v>
      </c>
      <c r="R290" s="76" t="s">
        <v>79</v>
      </c>
      <c r="S290" s="76" t="s">
        <v>79</v>
      </c>
      <c r="T290" s="76" t="s">
        <v>79</v>
      </c>
      <c r="U290" s="76" t="s">
        <v>79</v>
      </c>
      <c r="V290" s="76" t="s">
        <v>79</v>
      </c>
      <c r="W290" s="76" t="s">
        <v>79</v>
      </c>
      <c r="X290" s="76" t="s">
        <v>79</v>
      </c>
      <c r="Y290" s="76" t="s">
        <v>83</v>
      </c>
      <c r="Z290" s="77">
        <f t="shared" si="38"/>
        <v>8.9499999999999993</v>
      </c>
      <c r="AA290" s="78" t="s">
        <v>1572</v>
      </c>
      <c r="AB290" s="78"/>
      <c r="AC290" s="72" t="s">
        <v>47</v>
      </c>
      <c r="AE290" s="79" t="str">
        <f t="shared" si="43"/>
        <v>Jan11049</v>
      </c>
      <c r="AF290" s="80">
        <f>IF(N290="","",IF(N290="SIM",VLOOKUP($I290&amp;$J290&amp;N$1,Pesos!$A:$I,7,FALSE),VLOOKUP($I290&amp;$J290&amp;N$1,Pesos!$A:$I,9,FALSE)))</f>
        <v>0.8</v>
      </c>
      <c r="AG290" s="80">
        <f>IF(O290="","",IF(O290="SIM",VLOOKUP($I290&amp;$J290&amp;O$1,Pesos!$A:$I,7,FALSE),VLOOKUP($I290&amp;$J290&amp;O$1,Pesos!$A:$I,9,FALSE)))</f>
        <v>0.8</v>
      </c>
      <c r="AH290" s="80">
        <f>IF(P290="","",IF(P290="SIM",VLOOKUP($I290&amp;$J290&amp;P$1,Pesos!$A:$I,7,FALSE),VLOOKUP($I290&amp;$J290&amp;P$1,Pesos!$A:$I,9,FALSE)))</f>
        <v>0.8</v>
      </c>
      <c r="AI290" s="80">
        <f>IF(Q290="","",IF(Q290="SIM",VLOOKUP($I290&amp;$J290&amp;Q$1,Pesos!$A:$I,7,FALSE),VLOOKUP($I290&amp;$J290&amp;Q$1,Pesos!$A:$I,9,FALSE)))</f>
        <v>0.8</v>
      </c>
      <c r="AJ290" s="80">
        <f>IF(R290="","",IF(R290="SIM",VLOOKUP($I290&amp;$J290&amp;R$1,Pesos!$A:$I,7,FALSE),VLOOKUP($I290&amp;$J290&amp;R$1,Pesos!$A:$I,9,FALSE)))</f>
        <v>0.8</v>
      </c>
      <c r="AK290" s="80">
        <f>IF(S290="","",IF(S290="SIM",VLOOKUP($I290&amp;$J290&amp;S$1,Pesos!$A:$I,7,FALSE),VLOOKUP($I290&amp;$J290&amp;S$1,Pesos!$A:$I,9,FALSE)))</f>
        <v>0.5</v>
      </c>
      <c r="AL290" s="80">
        <f t="shared" si="44"/>
        <v>4.5</v>
      </c>
      <c r="AM290" s="80">
        <f>IF(T290="","",IF(T290="SIM",VLOOKUP($I290&amp;$J290&amp;T$1,Pesos!$A:$I,7,FALSE),VLOOKUP($I290&amp;$J290&amp;T$1,Pesos!$A:$I,9,FALSE)))</f>
        <v>0.5</v>
      </c>
      <c r="AN290" s="80">
        <f>IF(U290="","",IF(U290="SIM",VLOOKUP($I290&amp;$J290&amp;U$1,Pesos!$A:$I,7,FALSE),VLOOKUP($I290&amp;$J290&amp;U$1,Pesos!$A:$I,9,FALSE)))</f>
        <v>1</v>
      </c>
      <c r="AO290" s="80">
        <f>IF(V290="","",IF(V290="SIM",VLOOKUP($I290&amp;$J290&amp;V$1,Pesos!$A:$I,7,FALSE),VLOOKUP($I290&amp;$J290&amp;V$1,Pesos!$A:$I,9,FALSE)))</f>
        <v>1</v>
      </c>
      <c r="AP290" s="80">
        <f>IF(W290="","",IF(W290="SIM",VLOOKUP($I290&amp;$J290&amp;W$1,Pesos!$A:$I,7,FALSE),VLOOKUP($I290&amp;$J290&amp;W$1,Pesos!$A:$I,9,FALSE)))</f>
        <v>1</v>
      </c>
      <c r="AQ290" s="80">
        <f>IF(X290="","",IF(X290="SIM",VLOOKUP($I290&amp;$J290&amp;X$1,Pesos!$A:$I,7,FALSE),VLOOKUP($I290&amp;$J290&amp;X$1,Pesos!$A:$I,9,FALSE)))</f>
        <v>1</v>
      </c>
      <c r="AR290" s="80">
        <f>IF(Y290="","",IF(Y290="SIM",VLOOKUP($I290&amp;$J290&amp;Y$1,Pesos!$A:$I,7,FALSE),VLOOKUP($I290&amp;$J290&amp;Y$1,Pesos!$A:$I,9,FALSE)))</f>
        <v>-0.05</v>
      </c>
      <c r="AS290" s="81">
        <f>IFERROR(Z290*VLOOKUP(J290,'BD Campos'!$Y$1:$Z$12,2,FALSE),"0")</f>
        <v>8.9499999999999993</v>
      </c>
    </row>
    <row r="291" spans="1:45" x14ac:dyDescent="0.35">
      <c r="A291" s="68" t="str">
        <f t="shared" si="39"/>
        <v>Jan202511049Cliente 2LOGÍSTICA</v>
      </c>
      <c r="B291" s="69" t="str">
        <f t="shared" si="42"/>
        <v>Jan2025110492LOGÍSTICAPADRÃO</v>
      </c>
      <c r="C291" s="70">
        <v>1</v>
      </c>
      <c r="D291" s="71">
        <v>45679.663577777777</v>
      </c>
      <c r="E291" s="112" t="s">
        <v>74</v>
      </c>
      <c r="F291" s="72">
        <v>11049</v>
      </c>
      <c r="G291" s="69" t="s">
        <v>384</v>
      </c>
      <c r="H291" s="73">
        <v>2</v>
      </c>
      <c r="I291" s="69" t="s">
        <v>187</v>
      </c>
      <c r="J291" s="69" t="s">
        <v>185</v>
      </c>
      <c r="K291" s="69" t="s">
        <v>184</v>
      </c>
      <c r="L291" s="74"/>
      <c r="M291" s="75">
        <v>1.5856481481481479E-3</v>
      </c>
      <c r="N291" s="76" t="s">
        <v>79</v>
      </c>
      <c r="O291" s="76" t="s">
        <v>79</v>
      </c>
      <c r="P291" s="76" t="s">
        <v>79</v>
      </c>
      <c r="Q291" s="76" t="s">
        <v>79</v>
      </c>
      <c r="R291" s="76" t="s">
        <v>79</v>
      </c>
      <c r="S291" s="76" t="s">
        <v>79</v>
      </c>
      <c r="T291" s="76" t="s">
        <v>79</v>
      </c>
      <c r="U291" s="76" t="s">
        <v>79</v>
      </c>
      <c r="V291" s="76" t="s">
        <v>79</v>
      </c>
      <c r="W291" s="76" t="s">
        <v>79</v>
      </c>
      <c r="X291" s="76"/>
      <c r="Y291" s="76"/>
      <c r="Z291" s="77">
        <f t="shared" si="38"/>
        <v>10</v>
      </c>
      <c r="AA291" s="78"/>
      <c r="AB291" s="78"/>
      <c r="AC291" s="72" t="s">
        <v>47</v>
      </c>
      <c r="AE291" s="79" t="str">
        <f t="shared" si="43"/>
        <v>Jan11049</v>
      </c>
      <c r="AF291" s="80">
        <f>IF(N291="","",IF(N291="SIM",VLOOKUP($I291&amp;$J291&amp;N$1,Pesos!$A:$I,7,FALSE),VLOOKUP($I291&amp;$J291&amp;N$1,Pesos!$A:$I,9,FALSE)))</f>
        <v>1</v>
      </c>
      <c r="AG291" s="80">
        <f>IF(O291="","",IF(O291="SIM",VLOOKUP($I291&amp;$J291&amp;O$1,Pesos!$A:$I,7,FALSE),VLOOKUP($I291&amp;$J291&amp;O$1,Pesos!$A:$I,9,FALSE)))</f>
        <v>1</v>
      </c>
      <c r="AH291" s="80">
        <f>IF(P291="","",IF(P291="SIM",VLOOKUP($I291&amp;$J291&amp;P$1,Pesos!$A:$I,7,FALSE),VLOOKUP($I291&amp;$J291&amp;P$1,Pesos!$A:$I,9,FALSE)))</f>
        <v>1</v>
      </c>
      <c r="AI291" s="80">
        <f>IF(Q291="","",IF(Q291="SIM",VLOOKUP($I291&amp;$J291&amp;Q$1,Pesos!$A:$I,7,FALSE),VLOOKUP($I291&amp;$J291&amp;Q$1,Pesos!$A:$I,9,FALSE)))</f>
        <v>1</v>
      </c>
      <c r="AJ291" s="80">
        <f>IF(R291="","",IF(R291="SIM",VLOOKUP($I291&amp;$J291&amp;R$1,Pesos!$A:$I,7,FALSE),VLOOKUP($I291&amp;$J291&amp;R$1,Pesos!$A:$I,9,FALSE)))</f>
        <v>1</v>
      </c>
      <c r="AK291" s="80">
        <f>IF(S291="","",IF(S291="SIM",VLOOKUP($I291&amp;$J291&amp;S$1,Pesos!$A:$I,7,FALSE),VLOOKUP($I291&amp;$J291&amp;S$1,Pesos!$A:$I,9,FALSE)))</f>
        <v>1</v>
      </c>
      <c r="AL291" s="80">
        <f t="shared" si="44"/>
        <v>6</v>
      </c>
      <c r="AM291" s="80">
        <f>IF(T291="","",IF(T291="SIM",VLOOKUP($I291&amp;$J291&amp;T$1,Pesos!$A:$I,7,FALSE),VLOOKUP($I291&amp;$J291&amp;T$1,Pesos!$A:$I,9,FALSE)))</f>
        <v>1</v>
      </c>
      <c r="AN291" s="80">
        <f>IF(U291="","",IF(U291="SIM",VLOOKUP($I291&amp;$J291&amp;U$1,Pesos!$A:$I,7,FALSE),VLOOKUP($I291&amp;$J291&amp;U$1,Pesos!$A:$I,9,FALSE)))</f>
        <v>1</v>
      </c>
      <c r="AO291" s="80">
        <f>IF(V291="","",IF(V291="SIM",VLOOKUP($I291&amp;$J291&amp;V$1,Pesos!$A:$I,7,FALSE),VLOOKUP($I291&amp;$J291&amp;V$1,Pesos!$A:$I,9,FALSE)))</f>
        <v>1</v>
      </c>
      <c r="AP291" s="80">
        <f>IF(W291="","",IF(W291="SIM",VLOOKUP($I291&amp;$J291&amp;W$1,Pesos!$A:$I,7,FALSE),VLOOKUP($I291&amp;$J291&amp;W$1,Pesos!$A:$I,9,FALSE)))</f>
        <v>1</v>
      </c>
      <c r="AQ291" s="80" t="str">
        <f>IF(X291="","",IF(X291="SIM",VLOOKUP($I291&amp;$J291&amp;X$1,Pesos!$A:$I,7,FALSE),VLOOKUP($I291&amp;$J291&amp;X$1,Pesos!$A:$I,9,FALSE)))</f>
        <v/>
      </c>
      <c r="AR291" s="80" t="str">
        <f>IF(Y291="","",IF(Y291="SIM",VLOOKUP($I291&amp;$J291&amp;Y$1,Pesos!$A:$I,7,FALSE),VLOOKUP($I291&amp;$J291&amp;Y$1,Pesos!$A:$I,9,FALSE)))</f>
        <v/>
      </c>
      <c r="AS291" s="81">
        <f>IFERROR(Z291*VLOOKUP(J291,'BD Campos'!$Y$1:$Z$12,2,FALSE),"0")</f>
        <v>10</v>
      </c>
    </row>
    <row r="292" spans="1:45" x14ac:dyDescent="0.35">
      <c r="A292" s="68" t="str">
        <f t="shared" si="39"/>
        <v>Jan202511231ClienteLOGÍSTICA</v>
      </c>
      <c r="B292" s="69" t="str">
        <f t="shared" si="42"/>
        <v>Jan2025112311LOGÍSTICAPADRÃO</v>
      </c>
      <c r="C292" s="70">
        <v>1</v>
      </c>
      <c r="D292" s="71">
        <v>45679.666638194445</v>
      </c>
      <c r="E292" s="112" t="s">
        <v>74</v>
      </c>
      <c r="F292" s="72">
        <v>11231</v>
      </c>
      <c r="G292" s="69" t="s">
        <v>1573</v>
      </c>
      <c r="H292" s="73">
        <v>1</v>
      </c>
      <c r="I292" s="69" t="s">
        <v>183</v>
      </c>
      <c r="J292" s="69" t="s">
        <v>124</v>
      </c>
      <c r="K292" s="69" t="s">
        <v>184</v>
      </c>
      <c r="L292" s="74"/>
      <c r="M292" s="75">
        <v>1.4814814814814814E-3</v>
      </c>
      <c r="N292" s="76" t="s">
        <v>79</v>
      </c>
      <c r="O292" s="76" t="s">
        <v>79</v>
      </c>
      <c r="P292" s="76" t="s">
        <v>79</v>
      </c>
      <c r="Q292" s="76" t="s">
        <v>79</v>
      </c>
      <c r="R292" s="76" t="s">
        <v>79</v>
      </c>
      <c r="S292" s="76" t="s">
        <v>79</v>
      </c>
      <c r="T292" s="76" t="s">
        <v>79</v>
      </c>
      <c r="U292" s="76" t="s">
        <v>79</v>
      </c>
      <c r="V292" s="76" t="s">
        <v>79</v>
      </c>
      <c r="W292" s="76" t="s">
        <v>79</v>
      </c>
      <c r="X292" s="76" t="s">
        <v>79</v>
      </c>
      <c r="Y292" s="76" t="s">
        <v>79</v>
      </c>
      <c r="Z292" s="77">
        <f t="shared" si="38"/>
        <v>10</v>
      </c>
      <c r="AA292" s="78"/>
      <c r="AB292" s="78"/>
      <c r="AC292" s="72" t="s">
        <v>47</v>
      </c>
      <c r="AE292" s="79" t="str">
        <f t="shared" si="43"/>
        <v>Jan11231</v>
      </c>
      <c r="AF292" s="80">
        <f>IF(N292="","",IF(N292="SIM",VLOOKUP($I292&amp;$J292&amp;N$1,Pesos!$A:$I,7,FALSE),VLOOKUP($I292&amp;$J292&amp;N$1,Pesos!$A:$I,9,FALSE)))</f>
        <v>0.8</v>
      </c>
      <c r="AG292" s="80">
        <f>IF(O292="","",IF(O292="SIM",VLOOKUP($I292&amp;$J292&amp;O$1,Pesos!$A:$I,7,FALSE),VLOOKUP($I292&amp;$J292&amp;O$1,Pesos!$A:$I,9,FALSE)))</f>
        <v>0.8</v>
      </c>
      <c r="AH292" s="80">
        <f>IF(P292="","",IF(P292="SIM",VLOOKUP($I292&amp;$J292&amp;P$1,Pesos!$A:$I,7,FALSE),VLOOKUP($I292&amp;$J292&amp;P$1,Pesos!$A:$I,9,FALSE)))</f>
        <v>0.8</v>
      </c>
      <c r="AI292" s="80">
        <f>IF(Q292="","",IF(Q292="SIM",VLOOKUP($I292&amp;$J292&amp;Q$1,Pesos!$A:$I,7,FALSE),VLOOKUP($I292&amp;$J292&amp;Q$1,Pesos!$A:$I,9,FALSE)))</f>
        <v>0.8</v>
      </c>
      <c r="AJ292" s="80">
        <f>IF(R292="","",IF(R292="SIM",VLOOKUP($I292&amp;$J292&amp;R$1,Pesos!$A:$I,7,FALSE),VLOOKUP($I292&amp;$J292&amp;R$1,Pesos!$A:$I,9,FALSE)))</f>
        <v>0.8</v>
      </c>
      <c r="AK292" s="80">
        <f>IF(S292="","",IF(S292="SIM",VLOOKUP($I292&amp;$J292&amp;S$1,Pesos!$A:$I,7,FALSE),VLOOKUP($I292&amp;$J292&amp;S$1,Pesos!$A:$I,9,FALSE)))</f>
        <v>0.5</v>
      </c>
      <c r="AL292" s="80">
        <f t="shared" si="44"/>
        <v>4.5</v>
      </c>
      <c r="AM292" s="80">
        <f>IF(T292="","",IF(T292="SIM",VLOOKUP($I292&amp;$J292&amp;T$1,Pesos!$A:$I,7,FALSE),VLOOKUP($I292&amp;$J292&amp;T$1,Pesos!$A:$I,9,FALSE)))</f>
        <v>0.5</v>
      </c>
      <c r="AN292" s="80">
        <f>IF(U292="","",IF(U292="SIM",VLOOKUP($I292&amp;$J292&amp;U$1,Pesos!$A:$I,7,FALSE),VLOOKUP($I292&amp;$J292&amp;U$1,Pesos!$A:$I,9,FALSE)))</f>
        <v>1</v>
      </c>
      <c r="AO292" s="80">
        <f>IF(V292="","",IF(V292="SIM",VLOOKUP($I292&amp;$J292&amp;V$1,Pesos!$A:$I,7,FALSE),VLOOKUP($I292&amp;$J292&amp;V$1,Pesos!$A:$I,9,FALSE)))</f>
        <v>1</v>
      </c>
      <c r="AP292" s="80">
        <f>IF(W292="","",IF(W292="SIM",VLOOKUP($I292&amp;$J292&amp;W$1,Pesos!$A:$I,7,FALSE),VLOOKUP($I292&amp;$J292&amp;W$1,Pesos!$A:$I,9,FALSE)))</f>
        <v>1</v>
      </c>
      <c r="AQ292" s="80">
        <f>IF(X292="","",IF(X292="SIM",VLOOKUP($I292&amp;$J292&amp;X$1,Pesos!$A:$I,7,FALSE),VLOOKUP($I292&amp;$J292&amp;X$1,Pesos!$A:$I,9,FALSE)))</f>
        <v>1</v>
      </c>
      <c r="AR292" s="80">
        <f>IF(Y292="","",IF(Y292="SIM",VLOOKUP($I292&amp;$J292&amp;Y$1,Pesos!$A:$I,7,FALSE),VLOOKUP($I292&amp;$J292&amp;Y$1,Pesos!$A:$I,9,FALSE)))</f>
        <v>1</v>
      </c>
      <c r="AS292" s="81">
        <f>IFERROR(Z292*VLOOKUP(J292,'BD Campos'!$Y$1:$Z$12,2,FALSE),"0")</f>
        <v>10</v>
      </c>
    </row>
    <row r="293" spans="1:45" x14ac:dyDescent="0.35">
      <c r="A293" s="68" t="str">
        <f t="shared" si="39"/>
        <v>Jan202511231Cliente 2LOGÍSTICA</v>
      </c>
      <c r="B293" s="69" t="str">
        <f t="shared" si="42"/>
        <v>Jan2025112312LOGÍSTICAPADRÃO</v>
      </c>
      <c r="C293" s="70">
        <v>1</v>
      </c>
      <c r="D293" s="71">
        <v>45679.668410416663</v>
      </c>
      <c r="E293" s="112" t="s">
        <v>74</v>
      </c>
      <c r="F293" s="72">
        <v>11231</v>
      </c>
      <c r="G293" s="69" t="s">
        <v>1573</v>
      </c>
      <c r="H293" s="73">
        <v>2</v>
      </c>
      <c r="I293" s="69" t="s">
        <v>183</v>
      </c>
      <c r="J293" s="69" t="s">
        <v>185</v>
      </c>
      <c r="K293" s="69" t="s">
        <v>184</v>
      </c>
      <c r="L293" s="74"/>
      <c r="M293" s="75">
        <v>8.2175925925925917E-4</v>
      </c>
      <c r="N293" s="76" t="s">
        <v>79</v>
      </c>
      <c r="O293" s="76" t="s">
        <v>79</v>
      </c>
      <c r="P293" s="76" t="s">
        <v>79</v>
      </c>
      <c r="Q293" s="76" t="s">
        <v>79</v>
      </c>
      <c r="R293" s="76" t="s">
        <v>79</v>
      </c>
      <c r="S293" s="76" t="s">
        <v>79</v>
      </c>
      <c r="T293" s="76" t="s">
        <v>79</v>
      </c>
      <c r="U293" s="76" t="s">
        <v>79</v>
      </c>
      <c r="V293" s="76" t="s">
        <v>79</v>
      </c>
      <c r="W293" s="76" t="s">
        <v>79</v>
      </c>
      <c r="X293" s="76" t="s">
        <v>83</v>
      </c>
      <c r="Y293" s="76" t="s">
        <v>83</v>
      </c>
      <c r="Z293" s="77">
        <f t="shared" si="38"/>
        <v>7.9</v>
      </c>
      <c r="AA293" s="78"/>
      <c r="AB293" s="78"/>
      <c r="AC293" s="72" t="s">
        <v>47</v>
      </c>
      <c r="AE293" s="79" t="str">
        <f t="shared" si="43"/>
        <v>Jan11231</v>
      </c>
      <c r="AF293" s="80">
        <f>IF(N293="","",IF(N293="SIM",VLOOKUP($I293&amp;$J293&amp;N$1,Pesos!$A:$I,7,FALSE),VLOOKUP($I293&amp;$J293&amp;N$1,Pesos!$A:$I,9,FALSE)))</f>
        <v>0.8</v>
      </c>
      <c r="AG293" s="80">
        <f>IF(O293="","",IF(O293="SIM",VLOOKUP($I293&amp;$J293&amp;O$1,Pesos!$A:$I,7,FALSE),VLOOKUP($I293&amp;$J293&amp;O$1,Pesos!$A:$I,9,FALSE)))</f>
        <v>0.8</v>
      </c>
      <c r="AH293" s="80">
        <f>IF(P293="","",IF(P293="SIM",VLOOKUP($I293&amp;$J293&amp;P$1,Pesos!$A:$I,7,FALSE),VLOOKUP($I293&amp;$J293&amp;P$1,Pesos!$A:$I,9,FALSE)))</f>
        <v>0.8</v>
      </c>
      <c r="AI293" s="80">
        <f>IF(Q293="","",IF(Q293="SIM",VLOOKUP($I293&amp;$J293&amp;Q$1,Pesos!$A:$I,7,FALSE),VLOOKUP($I293&amp;$J293&amp;Q$1,Pesos!$A:$I,9,FALSE)))</f>
        <v>0.8</v>
      </c>
      <c r="AJ293" s="80">
        <f>IF(R293="","",IF(R293="SIM",VLOOKUP($I293&amp;$J293&amp;R$1,Pesos!$A:$I,7,FALSE),VLOOKUP($I293&amp;$J293&amp;R$1,Pesos!$A:$I,9,FALSE)))</f>
        <v>0.8</v>
      </c>
      <c r="AK293" s="80">
        <f>IF(S293="","",IF(S293="SIM",VLOOKUP($I293&amp;$J293&amp;S$1,Pesos!$A:$I,7,FALSE),VLOOKUP($I293&amp;$J293&amp;S$1,Pesos!$A:$I,9,FALSE)))</f>
        <v>0.5</v>
      </c>
      <c r="AL293" s="80">
        <f t="shared" si="44"/>
        <v>4.5</v>
      </c>
      <c r="AM293" s="80">
        <f>IF(T293="","",IF(T293="SIM",VLOOKUP($I293&amp;$J293&amp;T$1,Pesos!$A:$I,7,FALSE),VLOOKUP($I293&amp;$J293&amp;T$1,Pesos!$A:$I,9,FALSE)))</f>
        <v>0.5</v>
      </c>
      <c r="AN293" s="80">
        <f>IF(U293="","",IF(U293="SIM",VLOOKUP($I293&amp;$J293&amp;U$1,Pesos!$A:$I,7,FALSE),VLOOKUP($I293&amp;$J293&amp;U$1,Pesos!$A:$I,9,FALSE)))</f>
        <v>1</v>
      </c>
      <c r="AO293" s="80">
        <f>IF(V293="","",IF(V293="SIM",VLOOKUP($I293&amp;$J293&amp;V$1,Pesos!$A:$I,7,FALSE),VLOOKUP($I293&amp;$J293&amp;V$1,Pesos!$A:$I,9,FALSE)))</f>
        <v>1</v>
      </c>
      <c r="AP293" s="80">
        <f>IF(W293="","",IF(W293="SIM",VLOOKUP($I293&amp;$J293&amp;W$1,Pesos!$A:$I,7,FALSE),VLOOKUP($I293&amp;$J293&amp;W$1,Pesos!$A:$I,9,FALSE)))</f>
        <v>1</v>
      </c>
      <c r="AQ293" s="80">
        <f>IF(X293="","",IF(X293="SIM",VLOOKUP($I293&amp;$J293&amp;X$1,Pesos!$A:$I,7,FALSE),VLOOKUP($I293&amp;$J293&amp;X$1,Pesos!$A:$I,9,FALSE)))</f>
        <v>-0.05</v>
      </c>
      <c r="AR293" s="80">
        <f>IF(Y293="","",IF(Y293="SIM",VLOOKUP($I293&amp;$J293&amp;Y$1,Pesos!$A:$I,7,FALSE),VLOOKUP($I293&amp;$J293&amp;Y$1,Pesos!$A:$I,9,FALSE)))</f>
        <v>-0.05</v>
      </c>
      <c r="AS293" s="81">
        <f>IFERROR(Z293*VLOOKUP(J293,'BD Campos'!$Y$1:$Z$12,2,FALSE),"0")</f>
        <v>7.9</v>
      </c>
    </row>
    <row r="294" spans="1:45" x14ac:dyDescent="0.35">
      <c r="A294" s="68" t="str">
        <f t="shared" si="39"/>
        <v>Jan202511018ClienteLOGÍSTICA</v>
      </c>
      <c r="B294" s="69" t="str">
        <f t="shared" si="42"/>
        <v>Jan2025110181LOGÍSTICAPADRÃO</v>
      </c>
      <c r="C294" s="70">
        <v>1</v>
      </c>
      <c r="D294" s="71">
        <v>45679.675702430555</v>
      </c>
      <c r="E294" s="112" t="s">
        <v>74</v>
      </c>
      <c r="F294" s="72">
        <v>11018</v>
      </c>
      <c r="G294" s="69" t="s">
        <v>189</v>
      </c>
      <c r="H294" s="73">
        <v>1</v>
      </c>
      <c r="I294" s="69" t="s">
        <v>183</v>
      </c>
      <c r="J294" s="69" t="s">
        <v>124</v>
      </c>
      <c r="K294" s="69" t="s">
        <v>184</v>
      </c>
      <c r="L294" s="74"/>
      <c r="M294" s="75">
        <v>9.0277777777777784E-4</v>
      </c>
      <c r="N294" s="76" t="s">
        <v>79</v>
      </c>
      <c r="O294" s="76" t="s">
        <v>79</v>
      </c>
      <c r="P294" s="76" t="s">
        <v>79</v>
      </c>
      <c r="Q294" s="76" t="s">
        <v>79</v>
      </c>
      <c r="R294" s="76" t="s">
        <v>79</v>
      </c>
      <c r="S294" s="76" t="s">
        <v>79</v>
      </c>
      <c r="T294" s="76" t="s">
        <v>79</v>
      </c>
      <c r="U294" s="76" t="s">
        <v>79</v>
      </c>
      <c r="V294" s="76" t="s">
        <v>79</v>
      </c>
      <c r="W294" s="76" t="s">
        <v>79</v>
      </c>
      <c r="X294" s="76" t="s">
        <v>79</v>
      </c>
      <c r="Y294" s="76" t="s">
        <v>79</v>
      </c>
      <c r="Z294" s="77">
        <f t="shared" si="38"/>
        <v>10</v>
      </c>
      <c r="AA294" s="78"/>
      <c r="AB294" s="78"/>
      <c r="AC294" s="72" t="s">
        <v>47</v>
      </c>
      <c r="AE294" s="79" t="str">
        <f t="shared" si="43"/>
        <v>Jan11018</v>
      </c>
      <c r="AF294" s="80">
        <f>IF(N294="","",IF(N294="SIM",VLOOKUP($I294&amp;$J294&amp;N$1,Pesos!$A:$I,7,FALSE),VLOOKUP($I294&amp;$J294&amp;N$1,Pesos!$A:$I,9,FALSE)))</f>
        <v>0.8</v>
      </c>
      <c r="AG294" s="80">
        <f>IF(O294="","",IF(O294="SIM",VLOOKUP($I294&amp;$J294&amp;O$1,Pesos!$A:$I,7,FALSE),VLOOKUP($I294&amp;$J294&amp;O$1,Pesos!$A:$I,9,FALSE)))</f>
        <v>0.8</v>
      </c>
      <c r="AH294" s="80">
        <f>IF(P294="","",IF(P294="SIM",VLOOKUP($I294&amp;$J294&amp;P$1,Pesos!$A:$I,7,FALSE),VLOOKUP($I294&amp;$J294&amp;P$1,Pesos!$A:$I,9,FALSE)))</f>
        <v>0.8</v>
      </c>
      <c r="AI294" s="80">
        <f>IF(Q294="","",IF(Q294="SIM",VLOOKUP($I294&amp;$J294&amp;Q$1,Pesos!$A:$I,7,FALSE),VLOOKUP($I294&amp;$J294&amp;Q$1,Pesos!$A:$I,9,FALSE)))</f>
        <v>0.8</v>
      </c>
      <c r="AJ294" s="80">
        <f>IF(R294="","",IF(R294="SIM",VLOOKUP($I294&amp;$J294&amp;R$1,Pesos!$A:$I,7,FALSE),VLOOKUP($I294&amp;$J294&amp;R$1,Pesos!$A:$I,9,FALSE)))</f>
        <v>0.8</v>
      </c>
      <c r="AK294" s="80">
        <f>IF(S294="","",IF(S294="SIM",VLOOKUP($I294&amp;$J294&amp;S$1,Pesos!$A:$I,7,FALSE),VLOOKUP($I294&amp;$J294&amp;S$1,Pesos!$A:$I,9,FALSE)))</f>
        <v>0.5</v>
      </c>
      <c r="AL294" s="80">
        <f t="shared" si="44"/>
        <v>4.5</v>
      </c>
      <c r="AM294" s="80">
        <f>IF(T294="","",IF(T294="SIM",VLOOKUP($I294&amp;$J294&amp;T$1,Pesos!$A:$I,7,FALSE),VLOOKUP($I294&amp;$J294&amp;T$1,Pesos!$A:$I,9,FALSE)))</f>
        <v>0.5</v>
      </c>
      <c r="AN294" s="80">
        <f>IF(U294="","",IF(U294="SIM",VLOOKUP($I294&amp;$J294&amp;U$1,Pesos!$A:$I,7,FALSE),VLOOKUP($I294&amp;$J294&amp;U$1,Pesos!$A:$I,9,FALSE)))</f>
        <v>1</v>
      </c>
      <c r="AO294" s="80">
        <f>IF(V294="","",IF(V294="SIM",VLOOKUP($I294&amp;$J294&amp;V$1,Pesos!$A:$I,7,FALSE),VLOOKUP($I294&amp;$J294&amp;V$1,Pesos!$A:$I,9,FALSE)))</f>
        <v>1</v>
      </c>
      <c r="AP294" s="80">
        <f>IF(W294="","",IF(W294="SIM",VLOOKUP($I294&amp;$J294&amp;W$1,Pesos!$A:$I,7,FALSE),VLOOKUP($I294&amp;$J294&amp;W$1,Pesos!$A:$I,9,FALSE)))</f>
        <v>1</v>
      </c>
      <c r="AQ294" s="80">
        <f>IF(X294="","",IF(X294="SIM",VLOOKUP($I294&amp;$J294&amp;X$1,Pesos!$A:$I,7,FALSE),VLOOKUP($I294&amp;$J294&amp;X$1,Pesos!$A:$I,9,FALSE)))</f>
        <v>1</v>
      </c>
      <c r="AR294" s="80">
        <f>IF(Y294="","",IF(Y294="SIM",VLOOKUP($I294&amp;$J294&amp;Y$1,Pesos!$A:$I,7,FALSE),VLOOKUP($I294&amp;$J294&amp;Y$1,Pesos!$A:$I,9,FALSE)))</f>
        <v>1</v>
      </c>
      <c r="AS294" s="81">
        <f>IFERROR(Z294*VLOOKUP(J294,'BD Campos'!$Y$1:$Z$12,2,FALSE),"0")</f>
        <v>10</v>
      </c>
    </row>
    <row r="295" spans="1:45" x14ac:dyDescent="0.35">
      <c r="A295" s="68" t="str">
        <f t="shared" si="39"/>
        <v>Jan202511018Cliente 2LOGÍSTICA</v>
      </c>
      <c r="B295" s="69" t="str">
        <f t="shared" si="42"/>
        <v>Jan2025110182LOGÍSTICAPADRÃO</v>
      </c>
      <c r="C295" s="70">
        <v>1</v>
      </c>
      <c r="D295" s="71">
        <v>45679.67689224537</v>
      </c>
      <c r="E295" s="112" t="s">
        <v>74</v>
      </c>
      <c r="F295" s="72">
        <v>11018</v>
      </c>
      <c r="G295" s="69" t="s">
        <v>189</v>
      </c>
      <c r="H295" s="73">
        <v>2</v>
      </c>
      <c r="I295" s="69" t="s">
        <v>183</v>
      </c>
      <c r="J295" s="69" t="s">
        <v>185</v>
      </c>
      <c r="K295" s="69" t="s">
        <v>184</v>
      </c>
      <c r="L295" s="74"/>
      <c r="M295" s="75">
        <v>7.175925925925927E-4</v>
      </c>
      <c r="N295" s="76" t="s">
        <v>79</v>
      </c>
      <c r="O295" s="76" t="s">
        <v>79</v>
      </c>
      <c r="P295" s="76" t="s">
        <v>79</v>
      </c>
      <c r="Q295" s="76" t="s">
        <v>79</v>
      </c>
      <c r="R295" s="76" t="s">
        <v>79</v>
      </c>
      <c r="S295" s="76" t="s">
        <v>79</v>
      </c>
      <c r="T295" s="76" t="s">
        <v>79</v>
      </c>
      <c r="U295" s="76" t="s">
        <v>79</v>
      </c>
      <c r="V295" s="76" t="s">
        <v>79</v>
      </c>
      <c r="W295" s="76" t="s">
        <v>79</v>
      </c>
      <c r="X295" s="76" t="s">
        <v>79</v>
      </c>
      <c r="Y295" s="76" t="s">
        <v>79</v>
      </c>
      <c r="Z295" s="77">
        <f t="shared" si="38"/>
        <v>10</v>
      </c>
      <c r="AA295" s="78"/>
      <c r="AB295" s="78"/>
      <c r="AC295" s="72" t="s">
        <v>47</v>
      </c>
      <c r="AE295" s="79" t="str">
        <f t="shared" si="43"/>
        <v>Jan11018</v>
      </c>
      <c r="AF295" s="80">
        <f>IF(N295="","",IF(N295="SIM",VLOOKUP($I295&amp;$J295&amp;N$1,Pesos!$A:$I,7,FALSE),VLOOKUP($I295&amp;$J295&amp;N$1,Pesos!$A:$I,9,FALSE)))</f>
        <v>0.8</v>
      </c>
      <c r="AG295" s="80">
        <f>IF(O295="","",IF(O295="SIM",VLOOKUP($I295&amp;$J295&amp;O$1,Pesos!$A:$I,7,FALSE),VLOOKUP($I295&amp;$J295&amp;O$1,Pesos!$A:$I,9,FALSE)))</f>
        <v>0.8</v>
      </c>
      <c r="AH295" s="80">
        <f>IF(P295="","",IF(P295="SIM",VLOOKUP($I295&amp;$J295&amp;P$1,Pesos!$A:$I,7,FALSE),VLOOKUP($I295&amp;$J295&amp;P$1,Pesos!$A:$I,9,FALSE)))</f>
        <v>0.8</v>
      </c>
      <c r="AI295" s="80">
        <f>IF(Q295="","",IF(Q295="SIM",VLOOKUP($I295&amp;$J295&amp;Q$1,Pesos!$A:$I,7,FALSE),VLOOKUP($I295&amp;$J295&amp;Q$1,Pesos!$A:$I,9,FALSE)))</f>
        <v>0.8</v>
      </c>
      <c r="AJ295" s="80">
        <f>IF(R295="","",IF(R295="SIM",VLOOKUP($I295&amp;$J295&amp;R$1,Pesos!$A:$I,7,FALSE),VLOOKUP($I295&amp;$J295&amp;R$1,Pesos!$A:$I,9,FALSE)))</f>
        <v>0.8</v>
      </c>
      <c r="AK295" s="80">
        <f>IF(S295="","",IF(S295="SIM",VLOOKUP($I295&amp;$J295&amp;S$1,Pesos!$A:$I,7,FALSE),VLOOKUP($I295&amp;$J295&amp;S$1,Pesos!$A:$I,9,FALSE)))</f>
        <v>0.5</v>
      </c>
      <c r="AL295" s="80">
        <f t="shared" si="44"/>
        <v>4.5</v>
      </c>
      <c r="AM295" s="80">
        <f>IF(T295="","",IF(T295="SIM",VLOOKUP($I295&amp;$J295&amp;T$1,Pesos!$A:$I,7,FALSE),VLOOKUP($I295&amp;$J295&amp;T$1,Pesos!$A:$I,9,FALSE)))</f>
        <v>0.5</v>
      </c>
      <c r="AN295" s="80">
        <f>IF(U295="","",IF(U295="SIM",VLOOKUP($I295&amp;$J295&amp;U$1,Pesos!$A:$I,7,FALSE),VLOOKUP($I295&amp;$J295&amp;U$1,Pesos!$A:$I,9,FALSE)))</f>
        <v>1</v>
      </c>
      <c r="AO295" s="80">
        <f>IF(V295="","",IF(V295="SIM",VLOOKUP($I295&amp;$J295&amp;V$1,Pesos!$A:$I,7,FALSE),VLOOKUP($I295&amp;$J295&amp;V$1,Pesos!$A:$I,9,FALSE)))</f>
        <v>1</v>
      </c>
      <c r="AP295" s="80">
        <f>IF(W295="","",IF(W295="SIM",VLOOKUP($I295&amp;$J295&amp;W$1,Pesos!$A:$I,7,FALSE),VLOOKUP($I295&amp;$J295&amp;W$1,Pesos!$A:$I,9,FALSE)))</f>
        <v>1</v>
      </c>
      <c r="AQ295" s="80">
        <f>IF(X295="","",IF(X295="SIM",VLOOKUP($I295&amp;$J295&amp;X$1,Pesos!$A:$I,7,FALSE),VLOOKUP($I295&amp;$J295&amp;X$1,Pesos!$A:$I,9,FALSE)))</f>
        <v>1</v>
      </c>
      <c r="AR295" s="80">
        <f>IF(Y295="","",IF(Y295="SIM",VLOOKUP($I295&amp;$J295&amp;Y$1,Pesos!$A:$I,7,FALSE),VLOOKUP($I295&amp;$J295&amp;Y$1,Pesos!$A:$I,9,FALSE)))</f>
        <v>1</v>
      </c>
      <c r="AS295" s="81">
        <f>IFERROR(Z295*VLOOKUP(J295,'BD Campos'!$Y$1:$Z$12,2,FALSE),"0")</f>
        <v>10</v>
      </c>
    </row>
    <row r="296" spans="1:45" x14ac:dyDescent="0.35">
      <c r="A296" s="68" t="str">
        <f t="shared" si="39"/>
        <v>Jan202511138ClienteLOGÍSTICA</v>
      </c>
      <c r="B296" s="69" t="str">
        <f t="shared" si="42"/>
        <v>Jan2025111381LOGÍSTICAPADRÃO</v>
      </c>
      <c r="C296" s="70">
        <v>1</v>
      </c>
      <c r="D296" s="71">
        <v>45679.679630208331</v>
      </c>
      <c r="E296" s="112" t="s">
        <v>74</v>
      </c>
      <c r="F296" s="72">
        <v>11138</v>
      </c>
      <c r="G296" s="69" t="s">
        <v>441</v>
      </c>
      <c r="H296" s="73">
        <v>1</v>
      </c>
      <c r="I296" s="69" t="s">
        <v>183</v>
      </c>
      <c r="J296" s="69" t="s">
        <v>124</v>
      </c>
      <c r="K296" s="69" t="s">
        <v>184</v>
      </c>
      <c r="L296" s="74"/>
      <c r="M296" s="75">
        <v>1.2847222222222223E-3</v>
      </c>
      <c r="N296" s="76" t="s">
        <v>79</v>
      </c>
      <c r="O296" s="76" t="s">
        <v>79</v>
      </c>
      <c r="P296" s="76" t="s">
        <v>79</v>
      </c>
      <c r="Q296" s="76" t="s">
        <v>79</v>
      </c>
      <c r="R296" s="76" t="s">
        <v>79</v>
      </c>
      <c r="S296" s="76" t="s">
        <v>79</v>
      </c>
      <c r="T296" s="76" t="s">
        <v>79</v>
      </c>
      <c r="U296" s="76" t="s">
        <v>79</v>
      </c>
      <c r="V296" s="76" t="s">
        <v>79</v>
      </c>
      <c r="W296" s="76" t="s">
        <v>79</v>
      </c>
      <c r="X296" s="76" t="s">
        <v>79</v>
      </c>
      <c r="Y296" s="76" t="s">
        <v>83</v>
      </c>
      <c r="Z296" s="77">
        <f t="shared" si="38"/>
        <v>8.9499999999999993</v>
      </c>
      <c r="AA296" s="78"/>
      <c r="AB296" s="78"/>
      <c r="AC296" s="72" t="s">
        <v>47</v>
      </c>
      <c r="AE296" s="79" t="str">
        <f t="shared" si="43"/>
        <v>Jan11138</v>
      </c>
      <c r="AF296" s="80">
        <f>IF(N296="","",IF(N296="SIM",VLOOKUP($I296&amp;$J296&amp;N$1,Pesos!$A:$I,7,FALSE),VLOOKUP($I296&amp;$J296&amp;N$1,Pesos!$A:$I,9,FALSE)))</f>
        <v>0.8</v>
      </c>
      <c r="AG296" s="80">
        <f>IF(O296="","",IF(O296="SIM",VLOOKUP($I296&amp;$J296&amp;O$1,Pesos!$A:$I,7,FALSE),VLOOKUP($I296&amp;$J296&amp;O$1,Pesos!$A:$I,9,FALSE)))</f>
        <v>0.8</v>
      </c>
      <c r="AH296" s="80">
        <f>IF(P296="","",IF(P296="SIM",VLOOKUP($I296&amp;$J296&amp;P$1,Pesos!$A:$I,7,FALSE),VLOOKUP($I296&amp;$J296&amp;P$1,Pesos!$A:$I,9,FALSE)))</f>
        <v>0.8</v>
      </c>
      <c r="AI296" s="80">
        <f>IF(Q296="","",IF(Q296="SIM",VLOOKUP($I296&amp;$J296&amp;Q$1,Pesos!$A:$I,7,FALSE),VLOOKUP($I296&amp;$J296&amp;Q$1,Pesos!$A:$I,9,FALSE)))</f>
        <v>0.8</v>
      </c>
      <c r="AJ296" s="80">
        <f>IF(R296="","",IF(R296="SIM",VLOOKUP($I296&amp;$J296&amp;R$1,Pesos!$A:$I,7,FALSE),VLOOKUP($I296&amp;$J296&amp;R$1,Pesos!$A:$I,9,FALSE)))</f>
        <v>0.8</v>
      </c>
      <c r="AK296" s="80">
        <f>IF(S296="","",IF(S296="SIM",VLOOKUP($I296&amp;$J296&amp;S$1,Pesos!$A:$I,7,FALSE),VLOOKUP($I296&amp;$J296&amp;S$1,Pesos!$A:$I,9,FALSE)))</f>
        <v>0.5</v>
      </c>
      <c r="AL296" s="80">
        <f t="shared" si="44"/>
        <v>4.5</v>
      </c>
      <c r="AM296" s="80">
        <f>IF(T296="","",IF(T296="SIM",VLOOKUP($I296&amp;$J296&amp;T$1,Pesos!$A:$I,7,FALSE),VLOOKUP($I296&amp;$J296&amp;T$1,Pesos!$A:$I,9,FALSE)))</f>
        <v>0.5</v>
      </c>
      <c r="AN296" s="80">
        <f>IF(U296="","",IF(U296="SIM",VLOOKUP($I296&amp;$J296&amp;U$1,Pesos!$A:$I,7,FALSE),VLOOKUP($I296&amp;$J296&amp;U$1,Pesos!$A:$I,9,FALSE)))</f>
        <v>1</v>
      </c>
      <c r="AO296" s="80">
        <f>IF(V296="","",IF(V296="SIM",VLOOKUP($I296&amp;$J296&amp;V$1,Pesos!$A:$I,7,FALSE),VLOOKUP($I296&amp;$J296&amp;V$1,Pesos!$A:$I,9,FALSE)))</f>
        <v>1</v>
      </c>
      <c r="AP296" s="80">
        <f>IF(W296="","",IF(W296="SIM",VLOOKUP($I296&amp;$J296&amp;W$1,Pesos!$A:$I,7,FALSE),VLOOKUP($I296&amp;$J296&amp;W$1,Pesos!$A:$I,9,FALSE)))</f>
        <v>1</v>
      </c>
      <c r="AQ296" s="80">
        <f>IF(X296="","",IF(X296="SIM",VLOOKUP($I296&amp;$J296&amp;X$1,Pesos!$A:$I,7,FALSE),VLOOKUP($I296&amp;$J296&amp;X$1,Pesos!$A:$I,9,FALSE)))</f>
        <v>1</v>
      </c>
      <c r="AR296" s="80">
        <f>IF(Y296="","",IF(Y296="SIM",VLOOKUP($I296&amp;$J296&amp;Y$1,Pesos!$A:$I,7,FALSE),VLOOKUP($I296&amp;$J296&amp;Y$1,Pesos!$A:$I,9,FALSE)))</f>
        <v>-0.05</v>
      </c>
      <c r="AS296" s="81">
        <f>IFERROR(Z296*VLOOKUP(J296,'BD Campos'!$Y$1:$Z$12,2,FALSE),"0")</f>
        <v>8.9499999999999993</v>
      </c>
    </row>
    <row r="297" spans="1:45" x14ac:dyDescent="0.35">
      <c r="A297" s="68" t="str">
        <f t="shared" si="39"/>
        <v>Jan202511138Cliente 2LOGÍSTICA</v>
      </c>
      <c r="B297" s="69" t="str">
        <f t="shared" si="42"/>
        <v>Jan2025111382LOGÍSTICAPADRÃO</v>
      </c>
      <c r="C297" s="70">
        <v>1</v>
      </c>
      <c r="D297" s="71">
        <v>45679.681238425925</v>
      </c>
      <c r="E297" s="112" t="s">
        <v>74</v>
      </c>
      <c r="F297" s="72">
        <v>11138</v>
      </c>
      <c r="G297" s="69" t="s">
        <v>441</v>
      </c>
      <c r="H297" s="73">
        <v>2</v>
      </c>
      <c r="I297" s="69" t="s">
        <v>183</v>
      </c>
      <c r="J297" s="69" t="s">
        <v>185</v>
      </c>
      <c r="K297" s="69" t="s">
        <v>184</v>
      </c>
      <c r="L297" s="74"/>
      <c r="M297" s="75">
        <v>1.1226851851851851E-3</v>
      </c>
      <c r="N297" s="76" t="s">
        <v>79</v>
      </c>
      <c r="O297" s="76" t="s">
        <v>79</v>
      </c>
      <c r="P297" s="76" t="s">
        <v>79</v>
      </c>
      <c r="Q297" s="76" t="s">
        <v>79</v>
      </c>
      <c r="R297" s="76" t="s">
        <v>79</v>
      </c>
      <c r="S297" s="76" t="s">
        <v>79</v>
      </c>
      <c r="T297" s="76" t="s">
        <v>79</v>
      </c>
      <c r="U297" s="76" t="s">
        <v>79</v>
      </c>
      <c r="V297" s="76" t="s">
        <v>79</v>
      </c>
      <c r="W297" s="76" t="s">
        <v>79</v>
      </c>
      <c r="X297" s="76" t="s">
        <v>79</v>
      </c>
      <c r="Y297" s="76" t="s">
        <v>83</v>
      </c>
      <c r="Z297" s="77">
        <f t="shared" si="38"/>
        <v>8.9499999999999993</v>
      </c>
      <c r="AA297" s="78"/>
      <c r="AB297" s="78"/>
      <c r="AC297" s="72" t="s">
        <v>47</v>
      </c>
      <c r="AE297" s="79" t="str">
        <f t="shared" si="43"/>
        <v>Jan11138</v>
      </c>
      <c r="AF297" s="80">
        <f>IF(N297="","",IF(N297="SIM",VLOOKUP($I297&amp;$J297&amp;N$1,Pesos!$A:$I,7,FALSE),VLOOKUP($I297&amp;$J297&amp;N$1,Pesos!$A:$I,9,FALSE)))</f>
        <v>0.8</v>
      </c>
      <c r="AG297" s="80">
        <f>IF(O297="","",IF(O297="SIM",VLOOKUP($I297&amp;$J297&amp;O$1,Pesos!$A:$I,7,FALSE),VLOOKUP($I297&amp;$J297&amp;O$1,Pesos!$A:$I,9,FALSE)))</f>
        <v>0.8</v>
      </c>
      <c r="AH297" s="80">
        <f>IF(P297="","",IF(P297="SIM",VLOOKUP($I297&amp;$J297&amp;P$1,Pesos!$A:$I,7,FALSE),VLOOKUP($I297&amp;$J297&amp;P$1,Pesos!$A:$I,9,FALSE)))</f>
        <v>0.8</v>
      </c>
      <c r="AI297" s="80">
        <f>IF(Q297="","",IF(Q297="SIM",VLOOKUP($I297&amp;$J297&amp;Q$1,Pesos!$A:$I,7,FALSE),VLOOKUP($I297&amp;$J297&amp;Q$1,Pesos!$A:$I,9,FALSE)))</f>
        <v>0.8</v>
      </c>
      <c r="AJ297" s="80">
        <f>IF(R297="","",IF(R297="SIM",VLOOKUP($I297&amp;$J297&amp;R$1,Pesos!$A:$I,7,FALSE),VLOOKUP($I297&amp;$J297&amp;R$1,Pesos!$A:$I,9,FALSE)))</f>
        <v>0.8</v>
      </c>
      <c r="AK297" s="80">
        <f>IF(S297="","",IF(S297="SIM",VLOOKUP($I297&amp;$J297&amp;S$1,Pesos!$A:$I,7,FALSE),VLOOKUP($I297&amp;$J297&amp;S$1,Pesos!$A:$I,9,FALSE)))</f>
        <v>0.5</v>
      </c>
      <c r="AL297" s="80">
        <f t="shared" si="44"/>
        <v>4.5</v>
      </c>
      <c r="AM297" s="80">
        <f>IF(T297="","",IF(T297="SIM",VLOOKUP($I297&amp;$J297&amp;T$1,Pesos!$A:$I,7,FALSE),VLOOKUP($I297&amp;$J297&amp;T$1,Pesos!$A:$I,9,FALSE)))</f>
        <v>0.5</v>
      </c>
      <c r="AN297" s="80">
        <f>IF(U297="","",IF(U297="SIM",VLOOKUP($I297&amp;$J297&amp;U$1,Pesos!$A:$I,7,FALSE),VLOOKUP($I297&amp;$J297&amp;U$1,Pesos!$A:$I,9,FALSE)))</f>
        <v>1</v>
      </c>
      <c r="AO297" s="80">
        <f>IF(V297="","",IF(V297="SIM",VLOOKUP($I297&amp;$J297&amp;V$1,Pesos!$A:$I,7,FALSE),VLOOKUP($I297&amp;$J297&amp;V$1,Pesos!$A:$I,9,FALSE)))</f>
        <v>1</v>
      </c>
      <c r="AP297" s="80">
        <f>IF(W297="","",IF(W297="SIM",VLOOKUP($I297&amp;$J297&amp;W$1,Pesos!$A:$I,7,FALSE),VLOOKUP($I297&amp;$J297&amp;W$1,Pesos!$A:$I,9,FALSE)))</f>
        <v>1</v>
      </c>
      <c r="AQ297" s="80">
        <f>IF(X297="","",IF(X297="SIM",VLOOKUP($I297&amp;$J297&amp;X$1,Pesos!$A:$I,7,FALSE),VLOOKUP($I297&amp;$J297&amp;X$1,Pesos!$A:$I,9,FALSE)))</f>
        <v>1</v>
      </c>
      <c r="AR297" s="80">
        <f>IF(Y297="","",IF(Y297="SIM",VLOOKUP($I297&amp;$J297&amp;Y$1,Pesos!$A:$I,7,FALSE),VLOOKUP($I297&amp;$J297&amp;Y$1,Pesos!$A:$I,9,FALSE)))</f>
        <v>-0.05</v>
      </c>
      <c r="AS297" s="81">
        <f>IFERROR(Z297*VLOOKUP(J297,'BD Campos'!$Y$1:$Z$12,2,FALSE),"0")</f>
        <v>8.9499999999999993</v>
      </c>
    </row>
    <row r="298" spans="1:45" x14ac:dyDescent="0.35">
      <c r="A298" s="68" t="str">
        <f t="shared" si="39"/>
        <v>Jan202510955CD/TransportadoraLOGÍSTICA</v>
      </c>
      <c r="B298" s="69" t="str">
        <f t="shared" si="42"/>
        <v>Jan2025109551LOGÍSTICAPADRÃO</v>
      </c>
      <c r="C298" s="70">
        <v>1</v>
      </c>
      <c r="D298" s="71">
        <v>45679.686133796298</v>
      </c>
      <c r="E298" s="112" t="s">
        <v>74</v>
      </c>
      <c r="F298" s="72">
        <v>10955</v>
      </c>
      <c r="G298" s="69" t="s">
        <v>190</v>
      </c>
      <c r="H298" s="73">
        <v>1</v>
      </c>
      <c r="I298" s="69" t="s">
        <v>352</v>
      </c>
      <c r="J298" s="69" t="s">
        <v>353</v>
      </c>
      <c r="K298" s="69" t="s">
        <v>184</v>
      </c>
      <c r="L298" s="74"/>
      <c r="M298" s="75">
        <v>1.1689814814814816E-3</v>
      </c>
      <c r="N298" s="76" t="s">
        <v>79</v>
      </c>
      <c r="O298" s="76" t="s">
        <v>83</v>
      </c>
      <c r="P298" s="76" t="s">
        <v>79</v>
      </c>
      <c r="Q298" s="76" t="s">
        <v>79</v>
      </c>
      <c r="R298" s="76" t="s">
        <v>79</v>
      </c>
      <c r="S298" s="76" t="s">
        <v>79</v>
      </c>
      <c r="T298" s="76" t="s">
        <v>79</v>
      </c>
      <c r="U298" s="76" t="s">
        <v>79</v>
      </c>
      <c r="V298" s="76" t="s">
        <v>79</v>
      </c>
      <c r="W298" s="76" t="s">
        <v>79</v>
      </c>
      <c r="X298" s="76" t="s">
        <v>79</v>
      </c>
      <c r="Y298" s="76"/>
      <c r="Z298" s="77">
        <f t="shared" si="38"/>
        <v>9.0549999999999979</v>
      </c>
      <c r="AA298" s="78"/>
      <c r="AB298" s="78"/>
      <c r="AC298" s="72" t="s">
        <v>47</v>
      </c>
      <c r="AE298" s="79" t="str">
        <f t="shared" si="43"/>
        <v>Jan10955</v>
      </c>
      <c r="AF298" s="80">
        <f>IF(N298="","",IF(N298="SIM",VLOOKUP($I298&amp;$J298&amp;N$1,Pesos!$A:$I,7,FALSE),VLOOKUP($I298&amp;$J298&amp;N$1,Pesos!$A:$I,9,FALSE)))</f>
        <v>0.89999999999999991</v>
      </c>
      <c r="AG298" s="80">
        <f>IF(O298="","",IF(O298="SIM",VLOOKUP($I298&amp;$J298&amp;O$1,Pesos!$A:$I,7,FALSE),VLOOKUP($I298&amp;$J298&amp;O$1,Pesos!$A:$I,9,FALSE)))</f>
        <v>-4.4999999999999998E-2</v>
      </c>
      <c r="AH298" s="80">
        <f>IF(P298="","",IF(P298="SIM",VLOOKUP($I298&amp;$J298&amp;P$1,Pesos!$A:$I,7,FALSE),VLOOKUP($I298&amp;$J298&amp;P$1,Pesos!$A:$I,9,FALSE)))</f>
        <v>0.89999999999999991</v>
      </c>
      <c r="AI298" s="80">
        <f>IF(Q298="","",IF(Q298="SIM",VLOOKUP($I298&amp;$J298&amp;Q$1,Pesos!$A:$I,7,FALSE),VLOOKUP($I298&amp;$J298&amp;Q$1,Pesos!$A:$I,9,FALSE)))</f>
        <v>0.89999999999999991</v>
      </c>
      <c r="AJ298" s="80">
        <f>IF(R298="","",IF(R298="SIM",VLOOKUP($I298&amp;$J298&amp;R$1,Pesos!$A:$I,7,FALSE),VLOOKUP($I298&amp;$J298&amp;R$1,Pesos!$A:$I,9,FALSE)))</f>
        <v>0.89999999999999991</v>
      </c>
      <c r="AK298" s="80">
        <f>IF(S298="","",IF(S298="SIM",VLOOKUP($I298&amp;$J298&amp;S$1,Pesos!$A:$I,7,FALSE),VLOOKUP($I298&amp;$J298&amp;S$1,Pesos!$A:$I,9,FALSE)))</f>
        <v>0.5</v>
      </c>
      <c r="AL298" s="80">
        <f t="shared" si="44"/>
        <v>4.0549999999999997</v>
      </c>
      <c r="AM298" s="80">
        <f>IF(T298="","",IF(T298="SIM",VLOOKUP($I298&amp;$J298&amp;T$1,Pesos!$A:$I,7,FALSE),VLOOKUP($I298&amp;$J298&amp;T$1,Pesos!$A:$I,9,FALSE)))</f>
        <v>0.5</v>
      </c>
      <c r="AN298" s="80">
        <f>IF(U298="","",IF(U298="SIM",VLOOKUP($I298&amp;$J298&amp;U$1,Pesos!$A:$I,7,FALSE),VLOOKUP($I298&amp;$J298&amp;U$1,Pesos!$A:$I,9,FALSE)))</f>
        <v>1.1000000000000001</v>
      </c>
      <c r="AO298" s="80">
        <f>IF(V298="","",IF(V298="SIM",VLOOKUP($I298&amp;$J298&amp;V$1,Pesos!$A:$I,7,FALSE),VLOOKUP($I298&amp;$J298&amp;V$1,Pesos!$A:$I,9,FALSE)))</f>
        <v>1.1000000000000001</v>
      </c>
      <c r="AP298" s="80">
        <f>IF(W298="","",IF(W298="SIM",VLOOKUP($I298&amp;$J298&amp;W$1,Pesos!$A:$I,7,FALSE),VLOOKUP($I298&amp;$J298&amp;W$1,Pesos!$A:$I,9,FALSE)))</f>
        <v>1.1000000000000001</v>
      </c>
      <c r="AQ298" s="80">
        <f>IF(X298="","",IF(X298="SIM",VLOOKUP($I298&amp;$J298&amp;X$1,Pesos!$A:$I,7,FALSE),VLOOKUP($I298&amp;$J298&amp;X$1,Pesos!$A:$I,9,FALSE)))</f>
        <v>1.2</v>
      </c>
      <c r="AR298" s="80" t="str">
        <f>IF(Y298="","",IF(Y298="SIM",VLOOKUP($I298&amp;$J298&amp;Y$1,Pesos!$A:$I,7,FALSE),VLOOKUP($I298&amp;$J298&amp;Y$1,Pesos!$A:$I,9,FALSE)))</f>
        <v/>
      </c>
      <c r="AS298" s="81" t="str">
        <f>IFERROR(Z298*VLOOKUP(J298,'BD Campos'!$Y$1:$Z$12,2,FALSE),"0")</f>
        <v>0</v>
      </c>
    </row>
    <row r="299" spans="1:45" x14ac:dyDescent="0.35">
      <c r="A299" s="68" t="str">
        <f t="shared" si="39"/>
        <v>Jan202510955Cliente 2LOGÍSTICA</v>
      </c>
      <c r="B299" s="69" t="str">
        <f t="shared" si="42"/>
        <v>Jan2025109552LOGÍSTICAPADRÃO</v>
      </c>
      <c r="C299" s="70">
        <v>1</v>
      </c>
      <c r="D299" s="71">
        <v>45679.694767476853</v>
      </c>
      <c r="E299" s="112" t="s">
        <v>74</v>
      </c>
      <c r="F299" s="72">
        <v>10955</v>
      </c>
      <c r="G299" s="69" t="s">
        <v>190</v>
      </c>
      <c r="H299" s="73">
        <v>2</v>
      </c>
      <c r="I299" s="69" t="s">
        <v>183</v>
      </c>
      <c r="J299" s="69" t="s">
        <v>185</v>
      </c>
      <c r="K299" s="69" t="s">
        <v>184</v>
      </c>
      <c r="L299" s="74"/>
      <c r="M299" s="75">
        <v>1.9560185185185184E-3</v>
      </c>
      <c r="N299" s="76" t="s">
        <v>79</v>
      </c>
      <c r="O299" s="76" t="s">
        <v>79</v>
      </c>
      <c r="P299" s="76" t="s">
        <v>79</v>
      </c>
      <c r="Q299" s="76" t="s">
        <v>79</v>
      </c>
      <c r="R299" s="76" t="s">
        <v>79</v>
      </c>
      <c r="S299" s="76" t="s">
        <v>79</v>
      </c>
      <c r="T299" s="76" t="s">
        <v>79</v>
      </c>
      <c r="U299" s="76" t="s">
        <v>79</v>
      </c>
      <c r="V299" s="76" t="s">
        <v>79</v>
      </c>
      <c r="W299" s="76" t="s">
        <v>79</v>
      </c>
      <c r="X299" s="76" t="s">
        <v>79</v>
      </c>
      <c r="Y299" s="76" t="s">
        <v>79</v>
      </c>
      <c r="Z299" s="77">
        <f t="shared" si="38"/>
        <v>10</v>
      </c>
      <c r="AA299" s="78"/>
      <c r="AB299" s="78"/>
      <c r="AC299" s="72" t="s">
        <v>47</v>
      </c>
      <c r="AE299" s="79" t="str">
        <f t="shared" si="43"/>
        <v>Jan10955</v>
      </c>
      <c r="AF299" s="80">
        <f>IF(N299="","",IF(N299="SIM",VLOOKUP($I299&amp;$J299&amp;N$1,Pesos!$A:$I,7,FALSE),VLOOKUP($I299&amp;$J299&amp;N$1,Pesos!$A:$I,9,FALSE)))</f>
        <v>0.8</v>
      </c>
      <c r="AG299" s="80">
        <f>IF(O299="","",IF(O299="SIM",VLOOKUP($I299&amp;$J299&amp;O$1,Pesos!$A:$I,7,FALSE),VLOOKUP($I299&amp;$J299&amp;O$1,Pesos!$A:$I,9,FALSE)))</f>
        <v>0.8</v>
      </c>
      <c r="AH299" s="80">
        <f>IF(P299="","",IF(P299="SIM",VLOOKUP($I299&amp;$J299&amp;P$1,Pesos!$A:$I,7,FALSE),VLOOKUP($I299&amp;$J299&amp;P$1,Pesos!$A:$I,9,FALSE)))</f>
        <v>0.8</v>
      </c>
      <c r="AI299" s="80">
        <f>IF(Q299="","",IF(Q299="SIM",VLOOKUP($I299&amp;$J299&amp;Q$1,Pesos!$A:$I,7,FALSE),VLOOKUP($I299&amp;$J299&amp;Q$1,Pesos!$A:$I,9,FALSE)))</f>
        <v>0.8</v>
      </c>
      <c r="AJ299" s="80">
        <f>IF(R299="","",IF(R299="SIM",VLOOKUP($I299&amp;$J299&amp;R$1,Pesos!$A:$I,7,FALSE),VLOOKUP($I299&amp;$J299&amp;R$1,Pesos!$A:$I,9,FALSE)))</f>
        <v>0.8</v>
      </c>
      <c r="AK299" s="80">
        <f>IF(S299="","",IF(S299="SIM",VLOOKUP($I299&amp;$J299&amp;S$1,Pesos!$A:$I,7,FALSE),VLOOKUP($I299&amp;$J299&amp;S$1,Pesos!$A:$I,9,FALSE)))</f>
        <v>0.5</v>
      </c>
      <c r="AL299" s="80">
        <f t="shared" si="44"/>
        <v>4.5</v>
      </c>
      <c r="AM299" s="80">
        <f>IF(T299="","",IF(T299="SIM",VLOOKUP($I299&amp;$J299&amp;T$1,Pesos!$A:$I,7,FALSE),VLOOKUP($I299&amp;$J299&amp;T$1,Pesos!$A:$I,9,FALSE)))</f>
        <v>0.5</v>
      </c>
      <c r="AN299" s="80">
        <f>IF(U299="","",IF(U299="SIM",VLOOKUP($I299&amp;$J299&amp;U$1,Pesos!$A:$I,7,FALSE),VLOOKUP($I299&amp;$J299&amp;U$1,Pesos!$A:$I,9,FALSE)))</f>
        <v>1</v>
      </c>
      <c r="AO299" s="80">
        <f>IF(V299="","",IF(V299="SIM",VLOOKUP($I299&amp;$J299&amp;V$1,Pesos!$A:$I,7,FALSE),VLOOKUP($I299&amp;$J299&amp;V$1,Pesos!$A:$I,9,FALSE)))</f>
        <v>1</v>
      </c>
      <c r="AP299" s="80">
        <f>IF(W299="","",IF(W299="SIM",VLOOKUP($I299&amp;$J299&amp;W$1,Pesos!$A:$I,7,FALSE),VLOOKUP($I299&amp;$J299&amp;W$1,Pesos!$A:$I,9,FALSE)))</f>
        <v>1</v>
      </c>
      <c r="AQ299" s="80">
        <f>IF(X299="","",IF(X299="SIM",VLOOKUP($I299&amp;$J299&amp;X$1,Pesos!$A:$I,7,FALSE),VLOOKUP($I299&amp;$J299&amp;X$1,Pesos!$A:$I,9,FALSE)))</f>
        <v>1</v>
      </c>
      <c r="AR299" s="80">
        <f>IF(Y299="","",IF(Y299="SIM",VLOOKUP($I299&amp;$J299&amp;Y$1,Pesos!$A:$I,7,FALSE),VLOOKUP($I299&amp;$J299&amp;Y$1,Pesos!$A:$I,9,FALSE)))</f>
        <v>1</v>
      </c>
      <c r="AS299" s="81">
        <f>IFERROR(Z299*VLOOKUP(J299,'BD Campos'!$Y$1:$Z$12,2,FALSE),"0")</f>
        <v>10</v>
      </c>
    </row>
    <row r="300" spans="1:45" x14ac:dyDescent="0.35">
      <c r="A300" s="68" t="str">
        <f t="shared" si="39"/>
        <v>Jan202511230ClienteLOGÍSTICA</v>
      </c>
      <c r="B300" s="69" t="str">
        <f t="shared" si="42"/>
        <v>Jan2025112301LOGÍSTICAPADRÃO</v>
      </c>
      <c r="C300" s="70">
        <v>1</v>
      </c>
      <c r="D300" s="71">
        <v>45679.69829108796</v>
      </c>
      <c r="E300" s="112" t="s">
        <v>74</v>
      </c>
      <c r="F300" s="72">
        <v>11230</v>
      </c>
      <c r="G300" s="69" t="s">
        <v>1574</v>
      </c>
      <c r="H300" s="73">
        <v>1</v>
      </c>
      <c r="I300" s="69" t="s">
        <v>183</v>
      </c>
      <c r="J300" s="69" t="s">
        <v>124</v>
      </c>
      <c r="K300" s="69" t="s">
        <v>184</v>
      </c>
      <c r="L300" s="74"/>
      <c r="M300" s="75">
        <v>1.0763888888888889E-3</v>
      </c>
      <c r="N300" s="76" t="s">
        <v>79</v>
      </c>
      <c r="O300" s="76" t="s">
        <v>79</v>
      </c>
      <c r="P300" s="76" t="s">
        <v>79</v>
      </c>
      <c r="Q300" s="76" t="s">
        <v>79</v>
      </c>
      <c r="R300" s="76" t="s">
        <v>79</v>
      </c>
      <c r="S300" s="76" t="s">
        <v>83</v>
      </c>
      <c r="T300" s="76" t="s">
        <v>79</v>
      </c>
      <c r="U300" s="76" t="s">
        <v>79</v>
      </c>
      <c r="V300" s="76" t="s">
        <v>79</v>
      </c>
      <c r="W300" s="76" t="s">
        <v>79</v>
      </c>
      <c r="X300" s="76" t="s">
        <v>79</v>
      </c>
      <c r="Y300" s="76" t="s">
        <v>79</v>
      </c>
      <c r="Z300" s="77">
        <f t="shared" si="38"/>
        <v>9.4749999999999996</v>
      </c>
      <c r="AA300" s="78"/>
      <c r="AB300" s="78"/>
      <c r="AC300" s="72" t="s">
        <v>47</v>
      </c>
      <c r="AE300" s="79" t="str">
        <f t="shared" si="43"/>
        <v>Jan11230</v>
      </c>
      <c r="AF300" s="80">
        <f>IF(N300="","",IF(N300="SIM",VLOOKUP($I300&amp;$J300&amp;N$1,Pesos!$A:$I,7,FALSE),VLOOKUP($I300&amp;$J300&amp;N$1,Pesos!$A:$I,9,FALSE)))</f>
        <v>0.8</v>
      </c>
      <c r="AG300" s="80">
        <f>IF(O300="","",IF(O300="SIM",VLOOKUP($I300&amp;$J300&amp;O$1,Pesos!$A:$I,7,FALSE),VLOOKUP($I300&amp;$J300&amp;O$1,Pesos!$A:$I,9,FALSE)))</f>
        <v>0.8</v>
      </c>
      <c r="AH300" s="80">
        <f>IF(P300="","",IF(P300="SIM",VLOOKUP($I300&amp;$J300&amp;P$1,Pesos!$A:$I,7,FALSE),VLOOKUP($I300&amp;$J300&amp;P$1,Pesos!$A:$I,9,FALSE)))</f>
        <v>0.8</v>
      </c>
      <c r="AI300" s="80">
        <f>IF(Q300="","",IF(Q300="SIM",VLOOKUP($I300&amp;$J300&amp;Q$1,Pesos!$A:$I,7,FALSE),VLOOKUP($I300&amp;$J300&amp;Q$1,Pesos!$A:$I,9,FALSE)))</f>
        <v>0.8</v>
      </c>
      <c r="AJ300" s="80">
        <f>IF(R300="","",IF(R300="SIM",VLOOKUP($I300&amp;$J300&amp;R$1,Pesos!$A:$I,7,FALSE),VLOOKUP($I300&amp;$J300&amp;R$1,Pesos!$A:$I,9,FALSE)))</f>
        <v>0.8</v>
      </c>
      <c r="AK300" s="80">
        <f>IF(S300="","",IF(S300="SIM",VLOOKUP($I300&amp;$J300&amp;S$1,Pesos!$A:$I,7,FALSE),VLOOKUP($I300&amp;$J300&amp;S$1,Pesos!$A:$I,9,FALSE)))</f>
        <v>-2.5000000000000001E-2</v>
      </c>
      <c r="AL300" s="80">
        <f t="shared" si="44"/>
        <v>3.9750000000000001</v>
      </c>
      <c r="AM300" s="80">
        <f>IF(T300="","",IF(T300="SIM",VLOOKUP($I300&amp;$J300&amp;T$1,Pesos!$A:$I,7,FALSE),VLOOKUP($I300&amp;$J300&amp;T$1,Pesos!$A:$I,9,FALSE)))</f>
        <v>0.5</v>
      </c>
      <c r="AN300" s="80">
        <f>IF(U300="","",IF(U300="SIM",VLOOKUP($I300&amp;$J300&amp;U$1,Pesos!$A:$I,7,FALSE),VLOOKUP($I300&amp;$J300&amp;U$1,Pesos!$A:$I,9,FALSE)))</f>
        <v>1</v>
      </c>
      <c r="AO300" s="80">
        <f>IF(V300="","",IF(V300="SIM",VLOOKUP($I300&amp;$J300&amp;V$1,Pesos!$A:$I,7,FALSE),VLOOKUP($I300&amp;$J300&amp;V$1,Pesos!$A:$I,9,FALSE)))</f>
        <v>1</v>
      </c>
      <c r="AP300" s="80">
        <f>IF(W300="","",IF(W300="SIM",VLOOKUP($I300&amp;$J300&amp;W$1,Pesos!$A:$I,7,FALSE),VLOOKUP($I300&amp;$J300&amp;W$1,Pesos!$A:$I,9,FALSE)))</f>
        <v>1</v>
      </c>
      <c r="AQ300" s="80">
        <f>IF(X300="","",IF(X300="SIM",VLOOKUP($I300&amp;$J300&amp;X$1,Pesos!$A:$I,7,FALSE),VLOOKUP($I300&amp;$J300&amp;X$1,Pesos!$A:$I,9,FALSE)))</f>
        <v>1</v>
      </c>
      <c r="AR300" s="80">
        <f>IF(Y300="","",IF(Y300="SIM",VLOOKUP($I300&amp;$J300&amp;Y$1,Pesos!$A:$I,7,FALSE),VLOOKUP($I300&amp;$J300&amp;Y$1,Pesos!$A:$I,9,FALSE)))</f>
        <v>1</v>
      </c>
      <c r="AS300" s="81">
        <f>IFERROR(Z300*VLOOKUP(J300,'BD Campos'!$Y$1:$Z$12,2,FALSE),"0")</f>
        <v>9.4749999999999996</v>
      </c>
    </row>
    <row r="301" spans="1:45" x14ac:dyDescent="0.35">
      <c r="A301" s="68" t="str">
        <f t="shared" si="39"/>
        <v>Jan202511230Cliente 2LOGÍSTICA</v>
      </c>
      <c r="B301" s="69" t="str">
        <f t="shared" si="42"/>
        <v>Jan2025112302LOGÍSTICAPADRÃO</v>
      </c>
      <c r="C301" s="70">
        <v>1</v>
      </c>
      <c r="D301" s="71">
        <v>45679.700072916668</v>
      </c>
      <c r="E301" s="112" t="s">
        <v>74</v>
      </c>
      <c r="F301" s="72">
        <v>11230</v>
      </c>
      <c r="G301" s="69" t="s">
        <v>1574</v>
      </c>
      <c r="H301" s="73">
        <v>2</v>
      </c>
      <c r="I301" s="69" t="s">
        <v>183</v>
      </c>
      <c r="J301" s="69" t="s">
        <v>185</v>
      </c>
      <c r="K301" s="69" t="s">
        <v>184</v>
      </c>
      <c r="L301" s="74"/>
      <c r="M301" s="75">
        <v>1.0763888888888889E-3</v>
      </c>
      <c r="N301" s="76" t="s">
        <v>79</v>
      </c>
      <c r="O301" s="76" t="s">
        <v>79</v>
      </c>
      <c r="P301" s="76" t="s">
        <v>79</v>
      </c>
      <c r="Q301" s="76" t="s">
        <v>79</v>
      </c>
      <c r="R301" s="76" t="s">
        <v>79</v>
      </c>
      <c r="S301" s="76" t="s">
        <v>79</v>
      </c>
      <c r="T301" s="76" t="s">
        <v>79</v>
      </c>
      <c r="U301" s="76" t="s">
        <v>79</v>
      </c>
      <c r="V301" s="76" t="s">
        <v>79</v>
      </c>
      <c r="W301" s="76" t="s">
        <v>79</v>
      </c>
      <c r="X301" s="76" t="s">
        <v>79</v>
      </c>
      <c r="Y301" s="76" t="s">
        <v>79</v>
      </c>
      <c r="Z301" s="77">
        <f t="shared" si="38"/>
        <v>10</v>
      </c>
      <c r="AA301" s="78"/>
      <c r="AB301" s="78"/>
      <c r="AC301" s="72" t="s">
        <v>47</v>
      </c>
      <c r="AE301" s="79" t="str">
        <f t="shared" si="43"/>
        <v>Jan11230</v>
      </c>
      <c r="AF301" s="80">
        <f>IF(N301="","",IF(N301="SIM",VLOOKUP($I301&amp;$J301&amp;N$1,Pesos!$A:$I,7,FALSE),VLOOKUP($I301&amp;$J301&amp;N$1,Pesos!$A:$I,9,FALSE)))</f>
        <v>0.8</v>
      </c>
      <c r="AG301" s="80">
        <f>IF(O301="","",IF(O301="SIM",VLOOKUP($I301&amp;$J301&amp;O$1,Pesos!$A:$I,7,FALSE),VLOOKUP($I301&amp;$J301&amp;O$1,Pesos!$A:$I,9,FALSE)))</f>
        <v>0.8</v>
      </c>
      <c r="AH301" s="80">
        <f>IF(P301="","",IF(P301="SIM",VLOOKUP($I301&amp;$J301&amp;P$1,Pesos!$A:$I,7,FALSE),VLOOKUP($I301&amp;$J301&amp;P$1,Pesos!$A:$I,9,FALSE)))</f>
        <v>0.8</v>
      </c>
      <c r="AI301" s="80">
        <f>IF(Q301="","",IF(Q301="SIM",VLOOKUP($I301&amp;$J301&amp;Q$1,Pesos!$A:$I,7,FALSE),VLOOKUP($I301&amp;$J301&amp;Q$1,Pesos!$A:$I,9,FALSE)))</f>
        <v>0.8</v>
      </c>
      <c r="AJ301" s="80">
        <f>IF(R301="","",IF(R301="SIM",VLOOKUP($I301&amp;$J301&amp;R$1,Pesos!$A:$I,7,FALSE),VLOOKUP($I301&amp;$J301&amp;R$1,Pesos!$A:$I,9,FALSE)))</f>
        <v>0.8</v>
      </c>
      <c r="AK301" s="80">
        <f>IF(S301="","",IF(S301="SIM",VLOOKUP($I301&amp;$J301&amp;S$1,Pesos!$A:$I,7,FALSE),VLOOKUP($I301&amp;$J301&amp;S$1,Pesos!$A:$I,9,FALSE)))</f>
        <v>0.5</v>
      </c>
      <c r="AL301" s="80">
        <f t="shared" si="44"/>
        <v>4.5</v>
      </c>
      <c r="AM301" s="80">
        <f>IF(T301="","",IF(T301="SIM",VLOOKUP($I301&amp;$J301&amp;T$1,Pesos!$A:$I,7,FALSE),VLOOKUP($I301&amp;$J301&amp;T$1,Pesos!$A:$I,9,FALSE)))</f>
        <v>0.5</v>
      </c>
      <c r="AN301" s="80">
        <f>IF(U301="","",IF(U301="SIM",VLOOKUP($I301&amp;$J301&amp;U$1,Pesos!$A:$I,7,FALSE),VLOOKUP($I301&amp;$J301&amp;U$1,Pesos!$A:$I,9,FALSE)))</f>
        <v>1</v>
      </c>
      <c r="AO301" s="80">
        <f>IF(V301="","",IF(V301="SIM",VLOOKUP($I301&amp;$J301&amp;V$1,Pesos!$A:$I,7,FALSE),VLOOKUP($I301&amp;$J301&amp;V$1,Pesos!$A:$I,9,FALSE)))</f>
        <v>1</v>
      </c>
      <c r="AP301" s="80">
        <f>IF(W301="","",IF(W301="SIM",VLOOKUP($I301&amp;$J301&amp;W$1,Pesos!$A:$I,7,FALSE),VLOOKUP($I301&amp;$J301&amp;W$1,Pesos!$A:$I,9,FALSE)))</f>
        <v>1</v>
      </c>
      <c r="AQ301" s="80">
        <f>IF(X301="","",IF(X301="SIM",VLOOKUP($I301&amp;$J301&amp;X$1,Pesos!$A:$I,7,FALSE),VLOOKUP($I301&amp;$J301&amp;X$1,Pesos!$A:$I,9,FALSE)))</f>
        <v>1</v>
      </c>
      <c r="AR301" s="80">
        <f>IF(Y301="","",IF(Y301="SIM",VLOOKUP($I301&amp;$J301&amp;Y$1,Pesos!$A:$I,7,FALSE),VLOOKUP($I301&amp;$J301&amp;Y$1,Pesos!$A:$I,9,FALSE)))</f>
        <v>1</v>
      </c>
      <c r="AS301" s="81">
        <f>IFERROR(Z301*VLOOKUP(J301,'BD Campos'!$Y$1:$Z$12,2,FALSE),"0")</f>
        <v>10</v>
      </c>
    </row>
    <row r="302" spans="1:45" x14ac:dyDescent="0.35">
      <c r="A302" s="68" t="str">
        <f t="shared" si="39"/>
        <v>Jan202510990ClienteLOGÍSTICA</v>
      </c>
      <c r="B302" s="69" t="str">
        <f t="shared" si="42"/>
        <v>Jan2025109901LOGÍSTICAPADRÃO</v>
      </c>
      <c r="C302" s="70">
        <v>1</v>
      </c>
      <c r="D302" s="71">
        <v>45679.705476041665</v>
      </c>
      <c r="E302" s="112" t="s">
        <v>74</v>
      </c>
      <c r="F302" s="72">
        <v>10990</v>
      </c>
      <c r="G302" s="69" t="s">
        <v>192</v>
      </c>
      <c r="H302" s="73">
        <v>1</v>
      </c>
      <c r="I302" s="69" t="s">
        <v>183</v>
      </c>
      <c r="J302" s="69" t="s">
        <v>124</v>
      </c>
      <c r="K302" s="69" t="s">
        <v>184</v>
      </c>
      <c r="L302" s="74"/>
      <c r="M302" s="75">
        <v>1.2037037037037038E-3</v>
      </c>
      <c r="N302" s="76" t="s">
        <v>79</v>
      </c>
      <c r="O302" s="76" t="s">
        <v>79</v>
      </c>
      <c r="P302" s="76" t="s">
        <v>79</v>
      </c>
      <c r="Q302" s="76" t="s">
        <v>79</v>
      </c>
      <c r="R302" s="76" t="s">
        <v>79</v>
      </c>
      <c r="S302" s="76" t="s">
        <v>79</v>
      </c>
      <c r="T302" s="76" t="s">
        <v>79</v>
      </c>
      <c r="U302" s="76" t="s">
        <v>79</v>
      </c>
      <c r="V302" s="76" t="s">
        <v>79</v>
      </c>
      <c r="W302" s="76" t="s">
        <v>79</v>
      </c>
      <c r="X302" s="76" t="s">
        <v>79</v>
      </c>
      <c r="Y302" s="76" t="s">
        <v>79</v>
      </c>
      <c r="Z302" s="77">
        <f t="shared" si="38"/>
        <v>10</v>
      </c>
      <c r="AA302" s="78"/>
      <c r="AB302" s="78"/>
      <c r="AC302" s="72" t="s">
        <v>47</v>
      </c>
      <c r="AE302" s="79" t="str">
        <f t="shared" si="43"/>
        <v>Jan10990</v>
      </c>
      <c r="AF302" s="80">
        <f>IF(N302="","",IF(N302="SIM",VLOOKUP($I302&amp;$J302&amp;N$1,Pesos!$A:$I,7,FALSE),VLOOKUP($I302&amp;$J302&amp;N$1,Pesos!$A:$I,9,FALSE)))</f>
        <v>0.8</v>
      </c>
      <c r="AG302" s="80">
        <f>IF(O302="","",IF(O302="SIM",VLOOKUP($I302&amp;$J302&amp;O$1,Pesos!$A:$I,7,FALSE),VLOOKUP($I302&amp;$J302&amp;O$1,Pesos!$A:$I,9,FALSE)))</f>
        <v>0.8</v>
      </c>
      <c r="AH302" s="80">
        <f>IF(P302="","",IF(P302="SIM",VLOOKUP($I302&amp;$J302&amp;P$1,Pesos!$A:$I,7,FALSE),VLOOKUP($I302&amp;$J302&amp;P$1,Pesos!$A:$I,9,FALSE)))</f>
        <v>0.8</v>
      </c>
      <c r="AI302" s="80">
        <f>IF(Q302="","",IF(Q302="SIM",VLOOKUP($I302&amp;$J302&amp;Q$1,Pesos!$A:$I,7,FALSE),VLOOKUP($I302&amp;$J302&amp;Q$1,Pesos!$A:$I,9,FALSE)))</f>
        <v>0.8</v>
      </c>
      <c r="AJ302" s="80">
        <f>IF(R302="","",IF(R302="SIM",VLOOKUP($I302&amp;$J302&amp;R$1,Pesos!$A:$I,7,FALSE),VLOOKUP($I302&amp;$J302&amp;R$1,Pesos!$A:$I,9,FALSE)))</f>
        <v>0.8</v>
      </c>
      <c r="AK302" s="80">
        <f>IF(S302="","",IF(S302="SIM",VLOOKUP($I302&amp;$J302&amp;S$1,Pesos!$A:$I,7,FALSE),VLOOKUP($I302&amp;$J302&amp;S$1,Pesos!$A:$I,9,FALSE)))</f>
        <v>0.5</v>
      </c>
      <c r="AL302" s="80">
        <f t="shared" si="44"/>
        <v>4.5</v>
      </c>
      <c r="AM302" s="80">
        <f>IF(T302="","",IF(T302="SIM",VLOOKUP($I302&amp;$J302&amp;T$1,Pesos!$A:$I,7,FALSE),VLOOKUP($I302&amp;$J302&amp;T$1,Pesos!$A:$I,9,FALSE)))</f>
        <v>0.5</v>
      </c>
      <c r="AN302" s="80">
        <f>IF(U302="","",IF(U302="SIM",VLOOKUP($I302&amp;$J302&amp;U$1,Pesos!$A:$I,7,FALSE),VLOOKUP($I302&amp;$J302&amp;U$1,Pesos!$A:$I,9,FALSE)))</f>
        <v>1</v>
      </c>
      <c r="AO302" s="80">
        <f>IF(V302="","",IF(V302="SIM",VLOOKUP($I302&amp;$J302&amp;V$1,Pesos!$A:$I,7,FALSE),VLOOKUP($I302&amp;$J302&amp;V$1,Pesos!$A:$I,9,FALSE)))</f>
        <v>1</v>
      </c>
      <c r="AP302" s="80">
        <f>IF(W302="","",IF(W302="SIM",VLOOKUP($I302&amp;$J302&amp;W$1,Pesos!$A:$I,7,FALSE),VLOOKUP($I302&amp;$J302&amp;W$1,Pesos!$A:$I,9,FALSE)))</f>
        <v>1</v>
      </c>
      <c r="AQ302" s="80">
        <f>IF(X302="","",IF(X302="SIM",VLOOKUP($I302&amp;$J302&amp;X$1,Pesos!$A:$I,7,FALSE),VLOOKUP($I302&amp;$J302&amp;X$1,Pesos!$A:$I,9,FALSE)))</f>
        <v>1</v>
      </c>
      <c r="AR302" s="80">
        <f>IF(Y302="","",IF(Y302="SIM",VLOOKUP($I302&amp;$J302&amp;Y$1,Pesos!$A:$I,7,FALSE),VLOOKUP($I302&amp;$J302&amp;Y$1,Pesos!$A:$I,9,FALSE)))</f>
        <v>1</v>
      </c>
      <c r="AS302" s="81">
        <f>IFERROR(Z302*VLOOKUP(J302,'BD Campos'!$Y$1:$Z$12,2,FALSE),"0")</f>
        <v>10</v>
      </c>
    </row>
    <row r="303" spans="1:45" x14ac:dyDescent="0.35">
      <c r="A303" s="68" t="str">
        <f t="shared" si="39"/>
        <v>Jan202510990Cliente 2LOGÍSTICA</v>
      </c>
      <c r="B303" s="69" t="str">
        <f t="shared" si="42"/>
        <v>Jan2025109902LOGÍSTICAPADRÃO</v>
      </c>
      <c r="C303" s="70">
        <v>1</v>
      </c>
      <c r="D303" s="71">
        <v>45679.706955208334</v>
      </c>
      <c r="E303" s="112" t="s">
        <v>74</v>
      </c>
      <c r="F303" s="72">
        <v>10990</v>
      </c>
      <c r="G303" s="69" t="s">
        <v>192</v>
      </c>
      <c r="H303" s="73">
        <v>2</v>
      </c>
      <c r="I303" s="69" t="s">
        <v>183</v>
      </c>
      <c r="J303" s="69" t="s">
        <v>185</v>
      </c>
      <c r="K303" s="69" t="s">
        <v>184</v>
      </c>
      <c r="L303" s="74"/>
      <c r="M303" s="75">
        <v>1.0879629629629629E-3</v>
      </c>
      <c r="N303" s="76" t="s">
        <v>79</v>
      </c>
      <c r="O303" s="76" t="s">
        <v>79</v>
      </c>
      <c r="P303" s="76" t="s">
        <v>79</v>
      </c>
      <c r="Q303" s="76" t="s">
        <v>79</v>
      </c>
      <c r="R303" s="76" t="s">
        <v>79</v>
      </c>
      <c r="S303" s="76" t="s">
        <v>79</v>
      </c>
      <c r="T303" s="76" t="s">
        <v>79</v>
      </c>
      <c r="U303" s="76" t="s">
        <v>79</v>
      </c>
      <c r="V303" s="76" t="s">
        <v>79</v>
      </c>
      <c r="W303" s="76" t="s">
        <v>79</v>
      </c>
      <c r="X303" s="76" t="s">
        <v>79</v>
      </c>
      <c r="Y303" s="76" t="s">
        <v>79</v>
      </c>
      <c r="Z303" s="77">
        <f t="shared" si="38"/>
        <v>10</v>
      </c>
      <c r="AA303" s="78"/>
      <c r="AB303" s="78"/>
      <c r="AC303" s="72" t="s">
        <v>47</v>
      </c>
      <c r="AE303" s="79" t="str">
        <f t="shared" ref="AE303:AE308" si="45">E303&amp;F303</f>
        <v>Jan10990</v>
      </c>
      <c r="AF303" s="80">
        <f>IF(N303="","",IF(N303="SIM",VLOOKUP($I303&amp;$J303&amp;N$1,Pesos!$A:$I,7,FALSE),VLOOKUP($I303&amp;$J303&amp;N$1,Pesos!$A:$I,9,FALSE)))</f>
        <v>0.8</v>
      </c>
      <c r="AG303" s="80">
        <f>IF(O303="","",IF(O303="SIM",VLOOKUP($I303&amp;$J303&amp;O$1,Pesos!$A:$I,7,FALSE),VLOOKUP($I303&amp;$J303&amp;O$1,Pesos!$A:$I,9,FALSE)))</f>
        <v>0.8</v>
      </c>
      <c r="AH303" s="80">
        <f>IF(P303="","",IF(P303="SIM",VLOOKUP($I303&amp;$J303&amp;P$1,Pesos!$A:$I,7,FALSE),VLOOKUP($I303&amp;$J303&amp;P$1,Pesos!$A:$I,9,FALSE)))</f>
        <v>0.8</v>
      </c>
      <c r="AI303" s="80">
        <f>IF(Q303="","",IF(Q303="SIM",VLOOKUP($I303&amp;$J303&amp;Q$1,Pesos!$A:$I,7,FALSE),VLOOKUP($I303&amp;$J303&amp;Q$1,Pesos!$A:$I,9,FALSE)))</f>
        <v>0.8</v>
      </c>
      <c r="AJ303" s="80">
        <f>IF(R303="","",IF(R303="SIM",VLOOKUP($I303&amp;$J303&amp;R$1,Pesos!$A:$I,7,FALSE),VLOOKUP($I303&amp;$J303&amp;R$1,Pesos!$A:$I,9,FALSE)))</f>
        <v>0.8</v>
      </c>
      <c r="AK303" s="80">
        <f>IF(S303="","",IF(S303="SIM",VLOOKUP($I303&amp;$J303&amp;S$1,Pesos!$A:$I,7,FALSE),VLOOKUP($I303&amp;$J303&amp;S$1,Pesos!$A:$I,9,FALSE)))</f>
        <v>0.5</v>
      </c>
      <c r="AL303" s="80">
        <f t="shared" ref="AL303:AL308" si="46">SUM(AF303:AK303)</f>
        <v>4.5</v>
      </c>
      <c r="AM303" s="80">
        <f>IF(T303="","",IF(T303="SIM",VLOOKUP($I303&amp;$J303&amp;T$1,Pesos!$A:$I,7,FALSE),VLOOKUP($I303&amp;$J303&amp;T$1,Pesos!$A:$I,9,FALSE)))</f>
        <v>0.5</v>
      </c>
      <c r="AN303" s="80">
        <f>IF(U303="","",IF(U303="SIM",VLOOKUP($I303&amp;$J303&amp;U$1,Pesos!$A:$I,7,FALSE),VLOOKUP($I303&amp;$J303&amp;U$1,Pesos!$A:$I,9,FALSE)))</f>
        <v>1</v>
      </c>
      <c r="AO303" s="80">
        <f>IF(V303="","",IF(V303="SIM",VLOOKUP($I303&amp;$J303&amp;V$1,Pesos!$A:$I,7,FALSE),VLOOKUP($I303&amp;$J303&amp;V$1,Pesos!$A:$I,9,FALSE)))</f>
        <v>1</v>
      </c>
      <c r="AP303" s="80">
        <f>IF(W303="","",IF(W303="SIM",VLOOKUP($I303&amp;$J303&amp;W$1,Pesos!$A:$I,7,FALSE),VLOOKUP($I303&amp;$J303&amp;W$1,Pesos!$A:$I,9,FALSE)))</f>
        <v>1</v>
      </c>
      <c r="AQ303" s="80">
        <f>IF(X303="","",IF(X303="SIM",VLOOKUP($I303&amp;$J303&amp;X$1,Pesos!$A:$I,7,FALSE),VLOOKUP($I303&amp;$J303&amp;X$1,Pesos!$A:$I,9,FALSE)))</f>
        <v>1</v>
      </c>
      <c r="AR303" s="80">
        <f>IF(Y303="","",IF(Y303="SIM",VLOOKUP($I303&amp;$J303&amp;Y$1,Pesos!$A:$I,7,FALSE),VLOOKUP($I303&amp;$J303&amp;Y$1,Pesos!$A:$I,9,FALSE)))</f>
        <v>1</v>
      </c>
      <c r="AS303" s="81">
        <f>IFERROR(Z303*VLOOKUP(J303,'BD Campos'!$Y$1:$Z$12,2,FALSE),"0")</f>
        <v>10</v>
      </c>
    </row>
    <row r="304" spans="1:45" x14ac:dyDescent="0.35">
      <c r="A304" s="68" t="str">
        <f t="shared" si="39"/>
        <v>Jan202511244ClienteLOGÍSTICA</v>
      </c>
      <c r="B304" s="69" t="str">
        <f t="shared" si="42"/>
        <v>Jan2025112441LOGÍSTICAPADRÃO</v>
      </c>
      <c r="C304" s="70">
        <v>1</v>
      </c>
      <c r="D304" s="71">
        <v>45679.708954050926</v>
      </c>
      <c r="E304" s="112" t="s">
        <v>74</v>
      </c>
      <c r="F304" s="72">
        <v>11244</v>
      </c>
      <c r="G304" s="69" t="s">
        <v>1575</v>
      </c>
      <c r="H304" s="73">
        <v>1</v>
      </c>
      <c r="I304" s="69" t="s">
        <v>183</v>
      </c>
      <c r="J304" s="69" t="s">
        <v>124</v>
      </c>
      <c r="K304" s="69" t="s">
        <v>184</v>
      </c>
      <c r="L304" s="74"/>
      <c r="M304" s="75">
        <v>1.261574074074074E-3</v>
      </c>
      <c r="N304" s="76" t="s">
        <v>79</v>
      </c>
      <c r="O304" s="76" t="s">
        <v>79</v>
      </c>
      <c r="P304" s="76" t="s">
        <v>79</v>
      </c>
      <c r="Q304" s="76" t="s">
        <v>79</v>
      </c>
      <c r="R304" s="76" t="s">
        <v>79</v>
      </c>
      <c r="S304" s="76" t="s">
        <v>79</v>
      </c>
      <c r="T304" s="76" t="s">
        <v>79</v>
      </c>
      <c r="U304" s="76" t="s">
        <v>79</v>
      </c>
      <c r="V304" s="76" t="s">
        <v>79</v>
      </c>
      <c r="W304" s="76" t="s">
        <v>79</v>
      </c>
      <c r="X304" s="76" t="s">
        <v>79</v>
      </c>
      <c r="Y304" s="76" t="s">
        <v>79</v>
      </c>
      <c r="Z304" s="77">
        <f t="shared" si="38"/>
        <v>10</v>
      </c>
      <c r="AA304" s="78"/>
      <c r="AB304" s="78"/>
      <c r="AC304" s="72" t="s">
        <v>47</v>
      </c>
      <c r="AE304" s="79" t="str">
        <f t="shared" si="45"/>
        <v>Jan11244</v>
      </c>
      <c r="AF304" s="80">
        <f>IF(N304="","",IF(N304="SIM",VLOOKUP($I304&amp;$J304&amp;N$1,Pesos!$A:$I,7,FALSE),VLOOKUP($I304&amp;$J304&amp;N$1,Pesos!$A:$I,9,FALSE)))</f>
        <v>0.8</v>
      </c>
      <c r="AG304" s="80">
        <f>IF(O304="","",IF(O304="SIM",VLOOKUP($I304&amp;$J304&amp;O$1,Pesos!$A:$I,7,FALSE),VLOOKUP($I304&amp;$J304&amp;O$1,Pesos!$A:$I,9,FALSE)))</f>
        <v>0.8</v>
      </c>
      <c r="AH304" s="80">
        <f>IF(P304="","",IF(P304="SIM",VLOOKUP($I304&amp;$J304&amp;P$1,Pesos!$A:$I,7,FALSE),VLOOKUP($I304&amp;$J304&amp;P$1,Pesos!$A:$I,9,FALSE)))</f>
        <v>0.8</v>
      </c>
      <c r="AI304" s="80">
        <f>IF(Q304="","",IF(Q304="SIM",VLOOKUP($I304&amp;$J304&amp;Q$1,Pesos!$A:$I,7,FALSE),VLOOKUP($I304&amp;$J304&amp;Q$1,Pesos!$A:$I,9,FALSE)))</f>
        <v>0.8</v>
      </c>
      <c r="AJ304" s="80">
        <f>IF(R304="","",IF(R304="SIM",VLOOKUP($I304&amp;$J304&amp;R$1,Pesos!$A:$I,7,FALSE),VLOOKUP($I304&amp;$J304&amp;R$1,Pesos!$A:$I,9,FALSE)))</f>
        <v>0.8</v>
      </c>
      <c r="AK304" s="80">
        <f>IF(S304="","",IF(S304="SIM",VLOOKUP($I304&amp;$J304&amp;S$1,Pesos!$A:$I,7,FALSE),VLOOKUP($I304&amp;$J304&amp;S$1,Pesos!$A:$I,9,FALSE)))</f>
        <v>0.5</v>
      </c>
      <c r="AL304" s="80">
        <f t="shared" si="46"/>
        <v>4.5</v>
      </c>
      <c r="AM304" s="80">
        <f>IF(T304="","",IF(T304="SIM",VLOOKUP($I304&amp;$J304&amp;T$1,Pesos!$A:$I,7,FALSE),VLOOKUP($I304&amp;$J304&amp;T$1,Pesos!$A:$I,9,FALSE)))</f>
        <v>0.5</v>
      </c>
      <c r="AN304" s="80">
        <f>IF(U304="","",IF(U304="SIM",VLOOKUP($I304&amp;$J304&amp;U$1,Pesos!$A:$I,7,FALSE),VLOOKUP($I304&amp;$J304&amp;U$1,Pesos!$A:$I,9,FALSE)))</f>
        <v>1</v>
      </c>
      <c r="AO304" s="80">
        <f>IF(V304="","",IF(V304="SIM",VLOOKUP($I304&amp;$J304&amp;V$1,Pesos!$A:$I,7,FALSE),VLOOKUP($I304&amp;$J304&amp;V$1,Pesos!$A:$I,9,FALSE)))</f>
        <v>1</v>
      </c>
      <c r="AP304" s="80">
        <f>IF(W304="","",IF(W304="SIM",VLOOKUP($I304&amp;$J304&amp;W$1,Pesos!$A:$I,7,FALSE),VLOOKUP($I304&amp;$J304&amp;W$1,Pesos!$A:$I,9,FALSE)))</f>
        <v>1</v>
      </c>
      <c r="AQ304" s="80">
        <f>IF(X304="","",IF(X304="SIM",VLOOKUP($I304&amp;$J304&amp;X$1,Pesos!$A:$I,7,FALSE),VLOOKUP($I304&amp;$J304&amp;X$1,Pesos!$A:$I,9,FALSE)))</f>
        <v>1</v>
      </c>
      <c r="AR304" s="80">
        <f>IF(Y304="","",IF(Y304="SIM",VLOOKUP($I304&amp;$J304&amp;Y$1,Pesos!$A:$I,7,FALSE),VLOOKUP($I304&amp;$J304&amp;Y$1,Pesos!$A:$I,9,FALSE)))</f>
        <v>1</v>
      </c>
      <c r="AS304" s="81">
        <f>IFERROR(Z304*VLOOKUP(J304,'BD Campos'!$Y$1:$Z$12,2,FALSE),"0")</f>
        <v>10</v>
      </c>
    </row>
    <row r="305" spans="1:45" x14ac:dyDescent="0.35">
      <c r="A305" s="68" t="str">
        <f t="shared" si="39"/>
        <v>Jan202511244Cliente 2LOGÍSTICA</v>
      </c>
      <c r="B305" s="69" t="str">
        <f t="shared" si="42"/>
        <v>Jan2025112442LOGÍSTICAPADRÃO</v>
      </c>
      <c r="C305" s="70">
        <v>1</v>
      </c>
      <c r="D305" s="71">
        <v>45679.710058912038</v>
      </c>
      <c r="E305" s="112" t="s">
        <v>74</v>
      </c>
      <c r="F305" s="72">
        <v>11244</v>
      </c>
      <c r="G305" s="69" t="s">
        <v>1575</v>
      </c>
      <c r="H305" s="73">
        <v>2</v>
      </c>
      <c r="I305" s="69" t="s">
        <v>183</v>
      </c>
      <c r="J305" s="69" t="s">
        <v>185</v>
      </c>
      <c r="K305" s="69" t="s">
        <v>184</v>
      </c>
      <c r="L305" s="74"/>
      <c r="M305" s="75">
        <v>8.449074074074075E-4</v>
      </c>
      <c r="N305" s="76" t="s">
        <v>79</v>
      </c>
      <c r="O305" s="76" t="s">
        <v>79</v>
      </c>
      <c r="P305" s="76" t="s">
        <v>79</v>
      </c>
      <c r="Q305" s="76" t="s">
        <v>79</v>
      </c>
      <c r="R305" s="76" t="s">
        <v>79</v>
      </c>
      <c r="S305" s="76" t="s">
        <v>79</v>
      </c>
      <c r="T305" s="76" t="s">
        <v>79</v>
      </c>
      <c r="U305" s="76" t="s">
        <v>79</v>
      </c>
      <c r="V305" s="76" t="s">
        <v>79</v>
      </c>
      <c r="W305" s="76" t="s">
        <v>79</v>
      </c>
      <c r="X305" s="76" t="s">
        <v>79</v>
      </c>
      <c r="Y305" s="76" t="s">
        <v>79</v>
      </c>
      <c r="Z305" s="77">
        <f t="shared" si="38"/>
        <v>10</v>
      </c>
      <c r="AA305" s="78"/>
      <c r="AB305" s="78"/>
      <c r="AC305" s="72" t="s">
        <v>47</v>
      </c>
      <c r="AE305" s="79" t="str">
        <f t="shared" si="45"/>
        <v>Jan11244</v>
      </c>
      <c r="AF305" s="80">
        <f>IF(N305="","",IF(N305="SIM",VLOOKUP($I305&amp;$J305&amp;N$1,Pesos!$A:$I,7,FALSE),VLOOKUP($I305&amp;$J305&amp;N$1,Pesos!$A:$I,9,FALSE)))</f>
        <v>0.8</v>
      </c>
      <c r="AG305" s="80">
        <f>IF(O305="","",IF(O305="SIM",VLOOKUP($I305&amp;$J305&amp;O$1,Pesos!$A:$I,7,FALSE),VLOOKUP($I305&amp;$J305&amp;O$1,Pesos!$A:$I,9,FALSE)))</f>
        <v>0.8</v>
      </c>
      <c r="AH305" s="80">
        <f>IF(P305="","",IF(P305="SIM",VLOOKUP($I305&amp;$J305&amp;P$1,Pesos!$A:$I,7,FALSE),VLOOKUP($I305&amp;$J305&amp;P$1,Pesos!$A:$I,9,FALSE)))</f>
        <v>0.8</v>
      </c>
      <c r="AI305" s="80">
        <f>IF(Q305="","",IF(Q305="SIM",VLOOKUP($I305&amp;$J305&amp;Q$1,Pesos!$A:$I,7,FALSE),VLOOKUP($I305&amp;$J305&amp;Q$1,Pesos!$A:$I,9,FALSE)))</f>
        <v>0.8</v>
      </c>
      <c r="AJ305" s="80">
        <f>IF(R305="","",IF(R305="SIM",VLOOKUP($I305&amp;$J305&amp;R$1,Pesos!$A:$I,7,FALSE),VLOOKUP($I305&amp;$J305&amp;R$1,Pesos!$A:$I,9,FALSE)))</f>
        <v>0.8</v>
      </c>
      <c r="AK305" s="80">
        <f>IF(S305="","",IF(S305="SIM",VLOOKUP($I305&amp;$J305&amp;S$1,Pesos!$A:$I,7,FALSE),VLOOKUP($I305&amp;$J305&amp;S$1,Pesos!$A:$I,9,FALSE)))</f>
        <v>0.5</v>
      </c>
      <c r="AL305" s="80">
        <f t="shared" si="46"/>
        <v>4.5</v>
      </c>
      <c r="AM305" s="80">
        <f>IF(T305="","",IF(T305="SIM",VLOOKUP($I305&amp;$J305&amp;T$1,Pesos!$A:$I,7,FALSE),VLOOKUP($I305&amp;$J305&amp;T$1,Pesos!$A:$I,9,FALSE)))</f>
        <v>0.5</v>
      </c>
      <c r="AN305" s="80">
        <f>IF(U305="","",IF(U305="SIM",VLOOKUP($I305&amp;$J305&amp;U$1,Pesos!$A:$I,7,FALSE),VLOOKUP($I305&amp;$J305&amp;U$1,Pesos!$A:$I,9,FALSE)))</f>
        <v>1</v>
      </c>
      <c r="AO305" s="80">
        <f>IF(V305="","",IF(V305="SIM",VLOOKUP($I305&amp;$J305&amp;V$1,Pesos!$A:$I,7,FALSE),VLOOKUP($I305&amp;$J305&amp;V$1,Pesos!$A:$I,9,FALSE)))</f>
        <v>1</v>
      </c>
      <c r="AP305" s="80">
        <f>IF(W305="","",IF(W305="SIM",VLOOKUP($I305&amp;$J305&amp;W$1,Pesos!$A:$I,7,FALSE),VLOOKUP($I305&amp;$J305&amp;W$1,Pesos!$A:$I,9,FALSE)))</f>
        <v>1</v>
      </c>
      <c r="AQ305" s="80">
        <f>IF(X305="","",IF(X305="SIM",VLOOKUP($I305&amp;$J305&amp;X$1,Pesos!$A:$I,7,FALSE),VLOOKUP($I305&amp;$J305&amp;X$1,Pesos!$A:$I,9,FALSE)))</f>
        <v>1</v>
      </c>
      <c r="AR305" s="80">
        <f>IF(Y305="","",IF(Y305="SIM",VLOOKUP($I305&amp;$J305&amp;Y$1,Pesos!$A:$I,7,FALSE),VLOOKUP($I305&amp;$J305&amp;Y$1,Pesos!$A:$I,9,FALSE)))</f>
        <v>1</v>
      </c>
      <c r="AS305" s="81">
        <f>IFERROR(Z305*VLOOKUP(J305,'BD Campos'!$Y$1:$Z$12,2,FALSE),"0")</f>
        <v>10</v>
      </c>
    </row>
    <row r="306" spans="1:45" x14ac:dyDescent="0.35">
      <c r="A306" s="68" t="str">
        <f t="shared" si="39"/>
        <v>Jan202511021ClienteLOGÍSTICA</v>
      </c>
      <c r="B306" s="69" t="str">
        <f t="shared" si="42"/>
        <v>Jan2025110211LOGÍSTICAPADRÃO</v>
      </c>
      <c r="C306" s="70">
        <v>1</v>
      </c>
      <c r="D306" s="71">
        <v>45679.711538078707</v>
      </c>
      <c r="E306" s="112" t="s">
        <v>74</v>
      </c>
      <c r="F306" s="72">
        <v>11021</v>
      </c>
      <c r="G306" s="69" t="s">
        <v>197</v>
      </c>
      <c r="H306" s="73">
        <v>1</v>
      </c>
      <c r="I306" s="69" t="s">
        <v>183</v>
      </c>
      <c r="J306" s="69" t="s">
        <v>124</v>
      </c>
      <c r="K306" s="69" t="s">
        <v>184</v>
      </c>
      <c r="L306" s="74"/>
      <c r="M306" s="75">
        <v>8.2175925925925917E-4</v>
      </c>
      <c r="N306" s="76" t="s">
        <v>79</v>
      </c>
      <c r="O306" s="76" t="s">
        <v>79</v>
      </c>
      <c r="P306" s="76" t="s">
        <v>79</v>
      </c>
      <c r="Q306" s="76" t="s">
        <v>79</v>
      </c>
      <c r="R306" s="76" t="s">
        <v>79</v>
      </c>
      <c r="S306" s="76" t="s">
        <v>79</v>
      </c>
      <c r="T306" s="76" t="s">
        <v>79</v>
      </c>
      <c r="U306" s="76" t="s">
        <v>79</v>
      </c>
      <c r="V306" s="76" t="s">
        <v>79</v>
      </c>
      <c r="W306" s="76" t="s">
        <v>79</v>
      </c>
      <c r="X306" s="76" t="s">
        <v>79</v>
      </c>
      <c r="Y306" s="76" t="s">
        <v>79</v>
      </c>
      <c r="Z306" s="77">
        <f t="shared" si="38"/>
        <v>10</v>
      </c>
      <c r="AA306" s="78"/>
      <c r="AB306" s="78"/>
      <c r="AC306" s="72" t="s">
        <v>47</v>
      </c>
      <c r="AE306" s="79" t="str">
        <f t="shared" si="45"/>
        <v>Jan11021</v>
      </c>
      <c r="AF306" s="80">
        <f>IF(N306="","",IF(N306="SIM",VLOOKUP($I306&amp;$J306&amp;N$1,Pesos!$A:$I,7,FALSE),VLOOKUP($I306&amp;$J306&amp;N$1,Pesos!$A:$I,9,FALSE)))</f>
        <v>0.8</v>
      </c>
      <c r="AG306" s="80">
        <f>IF(O306="","",IF(O306="SIM",VLOOKUP($I306&amp;$J306&amp;O$1,Pesos!$A:$I,7,FALSE),VLOOKUP($I306&amp;$J306&amp;O$1,Pesos!$A:$I,9,FALSE)))</f>
        <v>0.8</v>
      </c>
      <c r="AH306" s="80">
        <f>IF(P306="","",IF(P306="SIM",VLOOKUP($I306&amp;$J306&amp;P$1,Pesos!$A:$I,7,FALSE),VLOOKUP($I306&amp;$J306&amp;P$1,Pesos!$A:$I,9,FALSE)))</f>
        <v>0.8</v>
      </c>
      <c r="AI306" s="80">
        <f>IF(Q306="","",IF(Q306="SIM",VLOOKUP($I306&amp;$J306&amp;Q$1,Pesos!$A:$I,7,FALSE),VLOOKUP($I306&amp;$J306&amp;Q$1,Pesos!$A:$I,9,FALSE)))</f>
        <v>0.8</v>
      </c>
      <c r="AJ306" s="80">
        <f>IF(R306="","",IF(R306="SIM",VLOOKUP($I306&amp;$J306&amp;R$1,Pesos!$A:$I,7,FALSE),VLOOKUP($I306&amp;$J306&amp;R$1,Pesos!$A:$I,9,FALSE)))</f>
        <v>0.8</v>
      </c>
      <c r="AK306" s="80">
        <f>IF(S306="","",IF(S306="SIM",VLOOKUP($I306&amp;$J306&amp;S$1,Pesos!$A:$I,7,FALSE),VLOOKUP($I306&amp;$J306&amp;S$1,Pesos!$A:$I,9,FALSE)))</f>
        <v>0.5</v>
      </c>
      <c r="AL306" s="80">
        <f t="shared" si="46"/>
        <v>4.5</v>
      </c>
      <c r="AM306" s="80">
        <f>IF(T306="","",IF(T306="SIM",VLOOKUP($I306&amp;$J306&amp;T$1,Pesos!$A:$I,7,FALSE),VLOOKUP($I306&amp;$J306&amp;T$1,Pesos!$A:$I,9,FALSE)))</f>
        <v>0.5</v>
      </c>
      <c r="AN306" s="80">
        <f>IF(U306="","",IF(U306="SIM",VLOOKUP($I306&amp;$J306&amp;U$1,Pesos!$A:$I,7,FALSE),VLOOKUP($I306&amp;$J306&amp;U$1,Pesos!$A:$I,9,FALSE)))</f>
        <v>1</v>
      </c>
      <c r="AO306" s="80">
        <f>IF(V306="","",IF(V306="SIM",VLOOKUP($I306&amp;$J306&amp;V$1,Pesos!$A:$I,7,FALSE),VLOOKUP($I306&amp;$J306&amp;V$1,Pesos!$A:$I,9,FALSE)))</f>
        <v>1</v>
      </c>
      <c r="AP306" s="80">
        <f>IF(W306="","",IF(W306="SIM",VLOOKUP($I306&amp;$J306&amp;W$1,Pesos!$A:$I,7,FALSE),VLOOKUP($I306&amp;$J306&amp;W$1,Pesos!$A:$I,9,FALSE)))</f>
        <v>1</v>
      </c>
      <c r="AQ306" s="80">
        <f>IF(X306="","",IF(X306="SIM",VLOOKUP($I306&amp;$J306&amp;X$1,Pesos!$A:$I,7,FALSE),VLOOKUP($I306&amp;$J306&amp;X$1,Pesos!$A:$I,9,FALSE)))</f>
        <v>1</v>
      </c>
      <c r="AR306" s="80">
        <f>IF(Y306="","",IF(Y306="SIM",VLOOKUP($I306&amp;$J306&amp;Y$1,Pesos!$A:$I,7,FALSE),VLOOKUP($I306&amp;$J306&amp;Y$1,Pesos!$A:$I,9,FALSE)))</f>
        <v>1</v>
      </c>
      <c r="AS306" s="81">
        <f>IFERROR(Z306*VLOOKUP(J306,'BD Campos'!$Y$1:$Z$12,2,FALSE),"0")</f>
        <v>10</v>
      </c>
    </row>
    <row r="307" spans="1:45" x14ac:dyDescent="0.35">
      <c r="A307" s="68" t="str">
        <f t="shared" si="39"/>
        <v>Jan202511021Cliente 2LOGÍSTICA</v>
      </c>
      <c r="B307" s="69" t="str">
        <f t="shared" si="42"/>
        <v>Jan2025110212LOGÍSTICAPADRÃO</v>
      </c>
      <c r="C307" s="70">
        <v>1</v>
      </c>
      <c r="D307" s="71">
        <v>45679.712749768521</v>
      </c>
      <c r="E307" s="112" t="s">
        <v>74</v>
      </c>
      <c r="F307" s="72">
        <v>11021</v>
      </c>
      <c r="G307" s="69" t="s">
        <v>197</v>
      </c>
      <c r="H307" s="73">
        <v>2</v>
      </c>
      <c r="I307" s="69" t="s">
        <v>183</v>
      </c>
      <c r="J307" s="69" t="s">
        <v>185</v>
      </c>
      <c r="K307" s="69" t="s">
        <v>184</v>
      </c>
      <c r="L307" s="74"/>
      <c r="M307" s="75">
        <v>8.2175925925925917E-4</v>
      </c>
      <c r="N307" s="76" t="s">
        <v>79</v>
      </c>
      <c r="O307" s="76" t="s">
        <v>79</v>
      </c>
      <c r="P307" s="76" t="s">
        <v>79</v>
      </c>
      <c r="Q307" s="76" t="s">
        <v>79</v>
      </c>
      <c r="R307" s="76" t="s">
        <v>79</v>
      </c>
      <c r="S307" s="76" t="s">
        <v>79</v>
      </c>
      <c r="T307" s="76" t="s">
        <v>79</v>
      </c>
      <c r="U307" s="76" t="s">
        <v>79</v>
      </c>
      <c r="V307" s="76" t="s">
        <v>79</v>
      </c>
      <c r="W307" s="76" t="s">
        <v>79</v>
      </c>
      <c r="X307" s="76" t="s">
        <v>79</v>
      </c>
      <c r="Y307" s="76" t="s">
        <v>79</v>
      </c>
      <c r="Z307" s="77">
        <f t="shared" si="38"/>
        <v>10</v>
      </c>
      <c r="AA307" s="78"/>
      <c r="AB307" s="78"/>
      <c r="AC307" s="72" t="s">
        <v>47</v>
      </c>
      <c r="AE307" s="79" t="str">
        <f t="shared" si="45"/>
        <v>Jan11021</v>
      </c>
      <c r="AF307" s="80">
        <f>IF(N307="","",IF(N307="SIM",VLOOKUP($I307&amp;$J307&amp;N$1,Pesos!$A:$I,7,FALSE),VLOOKUP($I307&amp;$J307&amp;N$1,Pesos!$A:$I,9,FALSE)))</f>
        <v>0.8</v>
      </c>
      <c r="AG307" s="80">
        <f>IF(O307="","",IF(O307="SIM",VLOOKUP($I307&amp;$J307&amp;O$1,Pesos!$A:$I,7,FALSE),VLOOKUP($I307&amp;$J307&amp;O$1,Pesos!$A:$I,9,FALSE)))</f>
        <v>0.8</v>
      </c>
      <c r="AH307" s="80">
        <f>IF(P307="","",IF(P307="SIM",VLOOKUP($I307&amp;$J307&amp;P$1,Pesos!$A:$I,7,FALSE),VLOOKUP($I307&amp;$J307&amp;P$1,Pesos!$A:$I,9,FALSE)))</f>
        <v>0.8</v>
      </c>
      <c r="AI307" s="80">
        <f>IF(Q307="","",IF(Q307="SIM",VLOOKUP($I307&amp;$J307&amp;Q$1,Pesos!$A:$I,7,FALSE),VLOOKUP($I307&amp;$J307&amp;Q$1,Pesos!$A:$I,9,FALSE)))</f>
        <v>0.8</v>
      </c>
      <c r="AJ307" s="80">
        <f>IF(R307="","",IF(R307="SIM",VLOOKUP($I307&amp;$J307&amp;R$1,Pesos!$A:$I,7,FALSE),VLOOKUP($I307&amp;$J307&amp;R$1,Pesos!$A:$I,9,FALSE)))</f>
        <v>0.8</v>
      </c>
      <c r="AK307" s="80">
        <f>IF(S307="","",IF(S307="SIM",VLOOKUP($I307&amp;$J307&amp;S$1,Pesos!$A:$I,7,FALSE),VLOOKUP($I307&amp;$J307&amp;S$1,Pesos!$A:$I,9,FALSE)))</f>
        <v>0.5</v>
      </c>
      <c r="AL307" s="80">
        <f t="shared" si="46"/>
        <v>4.5</v>
      </c>
      <c r="AM307" s="80">
        <f>IF(T307="","",IF(T307="SIM",VLOOKUP($I307&amp;$J307&amp;T$1,Pesos!$A:$I,7,FALSE),VLOOKUP($I307&amp;$J307&amp;T$1,Pesos!$A:$I,9,FALSE)))</f>
        <v>0.5</v>
      </c>
      <c r="AN307" s="80">
        <f>IF(U307="","",IF(U307="SIM",VLOOKUP($I307&amp;$J307&amp;U$1,Pesos!$A:$I,7,FALSE),VLOOKUP($I307&amp;$J307&amp;U$1,Pesos!$A:$I,9,FALSE)))</f>
        <v>1</v>
      </c>
      <c r="AO307" s="80">
        <f>IF(V307="","",IF(V307="SIM",VLOOKUP($I307&amp;$J307&amp;V$1,Pesos!$A:$I,7,FALSE),VLOOKUP($I307&amp;$J307&amp;V$1,Pesos!$A:$I,9,FALSE)))</f>
        <v>1</v>
      </c>
      <c r="AP307" s="80">
        <f>IF(W307="","",IF(W307="SIM",VLOOKUP($I307&amp;$J307&amp;W$1,Pesos!$A:$I,7,FALSE),VLOOKUP($I307&amp;$J307&amp;W$1,Pesos!$A:$I,9,FALSE)))</f>
        <v>1</v>
      </c>
      <c r="AQ307" s="80">
        <f>IF(X307="","",IF(X307="SIM",VLOOKUP($I307&amp;$J307&amp;X$1,Pesos!$A:$I,7,FALSE),VLOOKUP($I307&amp;$J307&amp;X$1,Pesos!$A:$I,9,FALSE)))</f>
        <v>1</v>
      </c>
      <c r="AR307" s="80">
        <f>IF(Y307="","",IF(Y307="SIM",VLOOKUP($I307&amp;$J307&amp;Y$1,Pesos!$A:$I,7,FALSE),VLOOKUP($I307&amp;$J307&amp;Y$1,Pesos!$A:$I,9,FALSE)))</f>
        <v>1</v>
      </c>
      <c r="AS307" s="81">
        <f>IFERROR(Z307*VLOOKUP(J307,'BD Campos'!$Y$1:$Z$12,2,FALSE),"0")</f>
        <v>10</v>
      </c>
    </row>
    <row r="308" spans="1:45" x14ac:dyDescent="0.35">
      <c r="A308" s="68" t="str">
        <f t="shared" si="39"/>
        <v>Jan202510616MotoristaLOGÍSTICA</v>
      </c>
      <c r="B308" s="69" t="str">
        <f t="shared" si="42"/>
        <v>Jan2025106161LOGÍSTICAPADRÃO</v>
      </c>
      <c r="C308" s="70">
        <v>1</v>
      </c>
      <c r="D308" s="71">
        <v>45679.726735879631</v>
      </c>
      <c r="E308" s="112" t="s">
        <v>74</v>
      </c>
      <c r="F308" s="72">
        <v>10616</v>
      </c>
      <c r="G308" s="69" t="s">
        <v>198</v>
      </c>
      <c r="H308" s="73">
        <v>1</v>
      </c>
      <c r="I308" s="69" t="s">
        <v>202</v>
      </c>
      <c r="J308" s="69" t="s">
        <v>122</v>
      </c>
      <c r="K308" s="69" t="s">
        <v>184</v>
      </c>
      <c r="L308" s="74"/>
      <c r="M308" s="75">
        <v>7.5231481481481471E-4</v>
      </c>
      <c r="N308" s="76" t="s">
        <v>79</v>
      </c>
      <c r="O308" s="76" t="s">
        <v>79</v>
      </c>
      <c r="P308" s="76" t="s">
        <v>79</v>
      </c>
      <c r="Q308" s="76" t="s">
        <v>79</v>
      </c>
      <c r="R308" s="76" t="s">
        <v>79</v>
      </c>
      <c r="S308" s="76" t="s">
        <v>79</v>
      </c>
      <c r="T308" s="76" t="s">
        <v>79</v>
      </c>
      <c r="U308" s="76" t="s">
        <v>79</v>
      </c>
      <c r="V308" s="76"/>
      <c r="W308" s="76"/>
      <c r="X308" s="76"/>
      <c r="Y308" s="76"/>
      <c r="Z308" s="77">
        <f t="shared" si="38"/>
        <v>10</v>
      </c>
      <c r="AA308" s="78"/>
      <c r="AB308" s="78"/>
      <c r="AC308" s="72" t="s">
        <v>47</v>
      </c>
      <c r="AE308" s="79" t="str">
        <f t="shared" si="45"/>
        <v>Jan10616</v>
      </c>
      <c r="AF308" s="80">
        <f>IF(N308="","",IF(N308="SIM",VLOOKUP($I308&amp;$J308&amp;N$1,Pesos!$A:$I,7,FALSE),VLOOKUP($I308&amp;$J308&amp;N$1,Pesos!$A:$I,9,FALSE)))</f>
        <v>1.2</v>
      </c>
      <c r="AG308" s="80">
        <f>IF(O308="","",IF(O308="SIM",VLOOKUP($I308&amp;$J308&amp;O$1,Pesos!$A:$I,7,FALSE),VLOOKUP($I308&amp;$J308&amp;O$1,Pesos!$A:$I,9,FALSE)))</f>
        <v>1</v>
      </c>
      <c r="AH308" s="80">
        <f>IF(P308="","",IF(P308="SIM",VLOOKUP($I308&amp;$J308&amp;P$1,Pesos!$A:$I,7,FALSE),VLOOKUP($I308&amp;$J308&amp;P$1,Pesos!$A:$I,9,FALSE)))</f>
        <v>1</v>
      </c>
      <c r="AI308" s="80">
        <f>IF(Q308="","",IF(Q308="SIM",VLOOKUP($I308&amp;$J308&amp;Q$1,Pesos!$A:$I,7,FALSE),VLOOKUP($I308&amp;$J308&amp;Q$1,Pesos!$A:$I,9,FALSE)))</f>
        <v>1</v>
      </c>
      <c r="AJ308" s="80">
        <f>IF(R308="","",IF(R308="SIM",VLOOKUP($I308&amp;$J308&amp;R$1,Pesos!$A:$I,7,FALSE),VLOOKUP($I308&amp;$J308&amp;R$1,Pesos!$A:$I,9,FALSE)))</f>
        <v>1.4000000000000001</v>
      </c>
      <c r="AK308" s="80">
        <f>IF(S308="","",IF(S308="SIM",VLOOKUP($I308&amp;$J308&amp;S$1,Pesos!$A:$I,7,FALSE),VLOOKUP($I308&amp;$J308&amp;S$1,Pesos!$A:$I,9,FALSE)))</f>
        <v>0.89999999999999991</v>
      </c>
      <c r="AL308" s="80">
        <f t="shared" si="46"/>
        <v>6.5</v>
      </c>
      <c r="AM308" s="80">
        <f>IF(T308="","",IF(T308="SIM",VLOOKUP($I308&amp;$J308&amp;T$1,Pesos!$A:$I,7,FALSE),VLOOKUP($I308&amp;$J308&amp;T$1,Pesos!$A:$I,9,FALSE)))</f>
        <v>1.7000000000000002</v>
      </c>
      <c r="AN308" s="80">
        <f>IF(U308="","",IF(U308="SIM",VLOOKUP($I308&amp;$J308&amp;U$1,Pesos!$A:$I,7,FALSE),VLOOKUP($I308&amp;$J308&amp;U$1,Pesos!$A:$I,9,FALSE)))</f>
        <v>1.7999999999999998</v>
      </c>
      <c r="AO308" s="80" t="str">
        <f>IF(V308="","",IF(V308="SIM",VLOOKUP($I308&amp;$J308&amp;V$1,Pesos!$A:$I,7,FALSE),VLOOKUP($I308&amp;$J308&amp;V$1,Pesos!$A:$I,9,FALSE)))</f>
        <v/>
      </c>
      <c r="AP308" s="80" t="str">
        <f>IF(W308="","",IF(W308="SIM",VLOOKUP($I308&amp;$J308&amp;W$1,Pesos!$A:$I,7,FALSE),VLOOKUP($I308&amp;$J308&amp;W$1,Pesos!$A:$I,9,FALSE)))</f>
        <v/>
      </c>
      <c r="AQ308" s="80" t="str">
        <f>IF(X308="","",IF(X308="SIM",VLOOKUP($I308&amp;$J308&amp;X$1,Pesos!$A:$I,7,FALSE),VLOOKUP($I308&amp;$J308&amp;X$1,Pesos!$A:$I,9,FALSE)))</f>
        <v/>
      </c>
      <c r="AR308" s="80" t="str">
        <f>IF(Y308="","",IF(Y308="SIM",VLOOKUP($I308&amp;$J308&amp;Y$1,Pesos!$A:$I,7,FALSE),VLOOKUP($I308&amp;$J308&amp;Y$1,Pesos!$A:$I,9,FALSE)))</f>
        <v/>
      </c>
      <c r="AS308" s="81">
        <f>IFERROR(Z308*VLOOKUP(J308,'BD Campos'!$Y$1:$Z$12,2,FALSE),"0")</f>
        <v>10</v>
      </c>
    </row>
    <row r="309" spans="1:45" x14ac:dyDescent="0.35">
      <c r="A309" s="68" t="str">
        <f t="shared" si="39"/>
        <v>Jan202510616Motorista 2LOGÍSTICA</v>
      </c>
      <c r="B309" s="69" t="str">
        <f t="shared" si="42"/>
        <v>Jan2025106162LOGÍSTICAPADRÃO</v>
      </c>
      <c r="C309" s="70">
        <v>1</v>
      </c>
      <c r="D309" s="71">
        <v>45679.728431134259</v>
      </c>
      <c r="E309" s="112" t="s">
        <v>74</v>
      </c>
      <c r="F309" s="72">
        <v>10616</v>
      </c>
      <c r="G309" s="69" t="s">
        <v>198</v>
      </c>
      <c r="H309" s="73">
        <v>2</v>
      </c>
      <c r="I309" s="69" t="s">
        <v>202</v>
      </c>
      <c r="J309" s="69" t="s">
        <v>204</v>
      </c>
      <c r="K309" s="69" t="s">
        <v>184</v>
      </c>
      <c r="L309" s="74"/>
      <c r="M309" s="75">
        <v>8.449074074074075E-4</v>
      </c>
      <c r="N309" s="76" t="s">
        <v>79</v>
      </c>
      <c r="O309" s="76" t="s">
        <v>79</v>
      </c>
      <c r="P309" s="76" t="s">
        <v>79</v>
      </c>
      <c r="Q309" s="76" t="s">
        <v>79</v>
      </c>
      <c r="R309" s="76" t="s">
        <v>79</v>
      </c>
      <c r="S309" s="76" t="s">
        <v>79</v>
      </c>
      <c r="T309" s="76" t="s">
        <v>79</v>
      </c>
      <c r="U309" s="76" t="s">
        <v>79</v>
      </c>
      <c r="V309" s="76"/>
      <c r="W309" s="76"/>
      <c r="X309" s="76"/>
      <c r="Y309" s="76"/>
      <c r="Z309" s="77">
        <f t="shared" si="38"/>
        <v>10</v>
      </c>
      <c r="AA309" s="78"/>
      <c r="AB309" s="78"/>
      <c r="AC309" s="72" t="s">
        <v>47</v>
      </c>
      <c r="AE309" s="79" t="str">
        <f t="shared" ref="AE309:AE316" si="47">E309&amp;F309</f>
        <v>Jan10616</v>
      </c>
      <c r="AF309" s="80">
        <f>IF(N309="","",IF(N309="SIM",VLOOKUP($I309&amp;$J309&amp;N$1,Pesos!$A:$I,7,FALSE),VLOOKUP($I309&amp;$J309&amp;N$1,Pesos!$A:$I,9,FALSE)))</f>
        <v>1.2</v>
      </c>
      <c r="AG309" s="80">
        <f>IF(O309="","",IF(O309="SIM",VLOOKUP($I309&amp;$J309&amp;O$1,Pesos!$A:$I,7,FALSE),VLOOKUP($I309&amp;$J309&amp;O$1,Pesos!$A:$I,9,FALSE)))</f>
        <v>1</v>
      </c>
      <c r="AH309" s="80">
        <f>IF(P309="","",IF(P309="SIM",VLOOKUP($I309&amp;$J309&amp;P$1,Pesos!$A:$I,7,FALSE),VLOOKUP($I309&amp;$J309&amp;P$1,Pesos!$A:$I,9,FALSE)))</f>
        <v>1</v>
      </c>
      <c r="AI309" s="80">
        <f>IF(Q309="","",IF(Q309="SIM",VLOOKUP($I309&amp;$J309&amp;Q$1,Pesos!$A:$I,7,FALSE),VLOOKUP($I309&amp;$J309&amp;Q$1,Pesos!$A:$I,9,FALSE)))</f>
        <v>1</v>
      </c>
      <c r="AJ309" s="80">
        <f>IF(R309="","",IF(R309="SIM",VLOOKUP($I309&amp;$J309&amp;R$1,Pesos!$A:$I,7,FALSE),VLOOKUP($I309&amp;$J309&amp;R$1,Pesos!$A:$I,9,FALSE)))</f>
        <v>1.4000000000000001</v>
      </c>
      <c r="AK309" s="80">
        <f>IF(S309="","",IF(S309="SIM",VLOOKUP($I309&amp;$J309&amp;S$1,Pesos!$A:$I,7,FALSE),VLOOKUP($I309&amp;$J309&amp;S$1,Pesos!$A:$I,9,FALSE)))</f>
        <v>0.89999999999999991</v>
      </c>
      <c r="AL309" s="80">
        <f t="shared" ref="AL309:AL316" si="48">SUM(AF309:AK309)</f>
        <v>6.5</v>
      </c>
      <c r="AM309" s="80">
        <f>IF(T309="","",IF(T309="SIM",VLOOKUP($I309&amp;$J309&amp;T$1,Pesos!$A:$I,7,FALSE),VLOOKUP($I309&amp;$J309&amp;T$1,Pesos!$A:$I,9,FALSE)))</f>
        <v>1.7000000000000002</v>
      </c>
      <c r="AN309" s="80">
        <f>IF(U309="","",IF(U309="SIM",VLOOKUP($I309&amp;$J309&amp;U$1,Pesos!$A:$I,7,FALSE),VLOOKUP($I309&amp;$J309&amp;U$1,Pesos!$A:$I,9,FALSE)))</f>
        <v>1.7999999999999998</v>
      </c>
      <c r="AO309" s="80" t="str">
        <f>IF(V309="","",IF(V309="SIM",VLOOKUP($I309&amp;$J309&amp;V$1,Pesos!$A:$I,7,FALSE),VLOOKUP($I309&amp;$J309&amp;V$1,Pesos!$A:$I,9,FALSE)))</f>
        <v/>
      </c>
      <c r="AP309" s="80" t="str">
        <f>IF(W309="","",IF(W309="SIM",VLOOKUP($I309&amp;$J309&amp;W$1,Pesos!$A:$I,7,FALSE),VLOOKUP($I309&amp;$J309&amp;W$1,Pesos!$A:$I,9,FALSE)))</f>
        <v/>
      </c>
      <c r="AQ309" s="80" t="str">
        <f>IF(X309="","",IF(X309="SIM",VLOOKUP($I309&amp;$J309&amp;X$1,Pesos!$A:$I,7,FALSE),VLOOKUP($I309&amp;$J309&amp;X$1,Pesos!$A:$I,9,FALSE)))</f>
        <v/>
      </c>
      <c r="AR309" s="80" t="str">
        <f>IF(Y309="","",IF(Y309="SIM",VLOOKUP($I309&amp;$J309&amp;Y$1,Pesos!$A:$I,7,FALSE),VLOOKUP($I309&amp;$J309&amp;Y$1,Pesos!$A:$I,9,FALSE)))</f>
        <v/>
      </c>
      <c r="AS309" s="81">
        <f>IFERROR(Z309*VLOOKUP(J309,'BD Campos'!$Y$1:$Z$12,2,FALSE),"0")</f>
        <v>10</v>
      </c>
    </row>
    <row r="310" spans="1:45" x14ac:dyDescent="0.35">
      <c r="A310" s="68" t="str">
        <f t="shared" si="39"/>
        <v>Jan20251804MotoristaLOGÍSTICA</v>
      </c>
      <c r="B310" s="69" t="str">
        <f t="shared" si="42"/>
        <v>Jan202518041LOGÍSTICAPADRÃO</v>
      </c>
      <c r="C310" s="70">
        <v>1</v>
      </c>
      <c r="D310" s="71">
        <v>45679.730056365741</v>
      </c>
      <c r="E310" s="112" t="s">
        <v>74</v>
      </c>
      <c r="F310" s="72">
        <v>1804</v>
      </c>
      <c r="G310" s="69" t="s">
        <v>201</v>
      </c>
      <c r="H310" s="73">
        <v>1</v>
      </c>
      <c r="I310" s="69" t="s">
        <v>202</v>
      </c>
      <c r="J310" s="69" t="s">
        <v>122</v>
      </c>
      <c r="K310" s="69" t="s">
        <v>184</v>
      </c>
      <c r="L310" s="74"/>
      <c r="M310" s="75">
        <v>1.0879629629629629E-3</v>
      </c>
      <c r="N310" s="76" t="s">
        <v>79</v>
      </c>
      <c r="O310" s="76" t="s">
        <v>79</v>
      </c>
      <c r="P310" s="76" t="s">
        <v>79</v>
      </c>
      <c r="Q310" s="76" t="s">
        <v>79</v>
      </c>
      <c r="R310" s="76" t="s">
        <v>79</v>
      </c>
      <c r="S310" s="76" t="s">
        <v>79</v>
      </c>
      <c r="T310" s="76" t="s">
        <v>79</v>
      </c>
      <c r="U310" s="76" t="s">
        <v>79</v>
      </c>
      <c r="V310" s="76"/>
      <c r="W310" s="76"/>
      <c r="X310" s="76"/>
      <c r="Y310" s="76"/>
      <c r="Z310" s="77">
        <f t="shared" si="38"/>
        <v>10</v>
      </c>
      <c r="AA310" s="78"/>
      <c r="AB310" s="78"/>
      <c r="AC310" s="72" t="s">
        <v>47</v>
      </c>
      <c r="AE310" s="79" t="str">
        <f t="shared" si="47"/>
        <v>Jan1804</v>
      </c>
      <c r="AF310" s="80">
        <f>IF(N310="","",IF(N310="SIM",VLOOKUP($I310&amp;$J310&amp;N$1,Pesos!$A:$I,7,FALSE),VLOOKUP($I310&amp;$J310&amp;N$1,Pesos!$A:$I,9,FALSE)))</f>
        <v>1.2</v>
      </c>
      <c r="AG310" s="80">
        <f>IF(O310="","",IF(O310="SIM",VLOOKUP($I310&amp;$J310&amp;O$1,Pesos!$A:$I,7,FALSE),VLOOKUP($I310&amp;$J310&amp;O$1,Pesos!$A:$I,9,FALSE)))</f>
        <v>1</v>
      </c>
      <c r="AH310" s="80">
        <f>IF(P310="","",IF(P310="SIM",VLOOKUP($I310&amp;$J310&amp;P$1,Pesos!$A:$I,7,FALSE),VLOOKUP($I310&amp;$J310&amp;P$1,Pesos!$A:$I,9,FALSE)))</f>
        <v>1</v>
      </c>
      <c r="AI310" s="80">
        <f>IF(Q310="","",IF(Q310="SIM",VLOOKUP($I310&amp;$J310&amp;Q$1,Pesos!$A:$I,7,FALSE),VLOOKUP($I310&amp;$J310&amp;Q$1,Pesos!$A:$I,9,FALSE)))</f>
        <v>1</v>
      </c>
      <c r="AJ310" s="80">
        <f>IF(R310="","",IF(R310="SIM",VLOOKUP($I310&amp;$J310&amp;R$1,Pesos!$A:$I,7,FALSE),VLOOKUP($I310&amp;$J310&amp;R$1,Pesos!$A:$I,9,FALSE)))</f>
        <v>1.4000000000000001</v>
      </c>
      <c r="AK310" s="80">
        <f>IF(S310="","",IF(S310="SIM",VLOOKUP($I310&amp;$J310&amp;S$1,Pesos!$A:$I,7,FALSE),VLOOKUP($I310&amp;$J310&amp;S$1,Pesos!$A:$I,9,FALSE)))</f>
        <v>0.89999999999999991</v>
      </c>
      <c r="AL310" s="80">
        <f t="shared" si="48"/>
        <v>6.5</v>
      </c>
      <c r="AM310" s="80">
        <f>IF(T310="","",IF(T310="SIM",VLOOKUP($I310&amp;$J310&amp;T$1,Pesos!$A:$I,7,FALSE),VLOOKUP($I310&amp;$J310&amp;T$1,Pesos!$A:$I,9,FALSE)))</f>
        <v>1.7000000000000002</v>
      </c>
      <c r="AN310" s="80">
        <f>IF(U310="","",IF(U310="SIM",VLOOKUP($I310&amp;$J310&amp;U$1,Pesos!$A:$I,7,FALSE),VLOOKUP($I310&amp;$J310&amp;U$1,Pesos!$A:$I,9,FALSE)))</f>
        <v>1.7999999999999998</v>
      </c>
      <c r="AO310" s="80" t="str">
        <f>IF(V310="","",IF(V310="SIM",VLOOKUP($I310&amp;$J310&amp;V$1,Pesos!$A:$I,7,FALSE),VLOOKUP($I310&amp;$J310&amp;V$1,Pesos!$A:$I,9,FALSE)))</f>
        <v/>
      </c>
      <c r="AP310" s="80" t="str">
        <f>IF(W310="","",IF(W310="SIM",VLOOKUP($I310&amp;$J310&amp;W$1,Pesos!$A:$I,7,FALSE),VLOOKUP($I310&amp;$J310&amp;W$1,Pesos!$A:$I,9,FALSE)))</f>
        <v/>
      </c>
      <c r="AQ310" s="80" t="str">
        <f>IF(X310="","",IF(X310="SIM",VLOOKUP($I310&amp;$J310&amp;X$1,Pesos!$A:$I,7,FALSE),VLOOKUP($I310&amp;$J310&amp;X$1,Pesos!$A:$I,9,FALSE)))</f>
        <v/>
      </c>
      <c r="AR310" s="80" t="str">
        <f>IF(Y310="","",IF(Y310="SIM",VLOOKUP($I310&amp;$J310&amp;Y$1,Pesos!$A:$I,7,FALSE),VLOOKUP($I310&amp;$J310&amp;Y$1,Pesos!$A:$I,9,FALSE)))</f>
        <v/>
      </c>
      <c r="AS310" s="81">
        <f>IFERROR(Z310*VLOOKUP(J310,'BD Campos'!$Y$1:$Z$12,2,FALSE),"0")</f>
        <v>10</v>
      </c>
    </row>
    <row r="311" spans="1:45" x14ac:dyDescent="0.35">
      <c r="A311" s="68" t="str">
        <f t="shared" si="39"/>
        <v>Jan20251804Motorista 2LOGÍSTICA</v>
      </c>
      <c r="B311" s="69" t="str">
        <f t="shared" si="42"/>
        <v>Jan202518042LOGÍSTICAPADRÃO</v>
      </c>
      <c r="C311" s="70">
        <v>1</v>
      </c>
      <c r="D311" s="71">
        <v>45679.73094814815</v>
      </c>
      <c r="E311" s="112" t="s">
        <v>74</v>
      </c>
      <c r="F311" s="72">
        <v>1804</v>
      </c>
      <c r="G311" s="69" t="s">
        <v>201</v>
      </c>
      <c r="H311" s="73">
        <v>2</v>
      </c>
      <c r="I311" s="69" t="s">
        <v>202</v>
      </c>
      <c r="J311" s="69" t="s">
        <v>204</v>
      </c>
      <c r="K311" s="69" t="s">
        <v>184</v>
      </c>
      <c r="L311" s="74"/>
      <c r="M311" s="75">
        <v>1.1574074074074073E-3</v>
      </c>
      <c r="N311" s="76" t="s">
        <v>79</v>
      </c>
      <c r="O311" s="76" t="s">
        <v>79</v>
      </c>
      <c r="P311" s="76" t="s">
        <v>79</v>
      </c>
      <c r="Q311" s="76" t="s">
        <v>79</v>
      </c>
      <c r="R311" s="76" t="s">
        <v>79</v>
      </c>
      <c r="S311" s="76" t="s">
        <v>79</v>
      </c>
      <c r="T311" s="76" t="s">
        <v>79</v>
      </c>
      <c r="U311" s="76" t="s">
        <v>79</v>
      </c>
      <c r="V311" s="76"/>
      <c r="W311" s="76"/>
      <c r="X311" s="76"/>
      <c r="Y311" s="76"/>
      <c r="Z311" s="77">
        <f t="shared" si="38"/>
        <v>10</v>
      </c>
      <c r="AA311" s="78"/>
      <c r="AB311" s="78"/>
      <c r="AC311" s="72" t="s">
        <v>47</v>
      </c>
      <c r="AE311" s="79" t="str">
        <f t="shared" si="47"/>
        <v>Jan1804</v>
      </c>
      <c r="AF311" s="80">
        <f>IF(N311="","",IF(N311="SIM",VLOOKUP($I311&amp;$J311&amp;N$1,Pesos!$A:$I,7,FALSE),VLOOKUP($I311&amp;$J311&amp;N$1,Pesos!$A:$I,9,FALSE)))</f>
        <v>1.2</v>
      </c>
      <c r="AG311" s="80">
        <f>IF(O311="","",IF(O311="SIM",VLOOKUP($I311&amp;$J311&amp;O$1,Pesos!$A:$I,7,FALSE),VLOOKUP($I311&amp;$J311&amp;O$1,Pesos!$A:$I,9,FALSE)))</f>
        <v>1</v>
      </c>
      <c r="AH311" s="80">
        <f>IF(P311="","",IF(P311="SIM",VLOOKUP($I311&amp;$J311&amp;P$1,Pesos!$A:$I,7,FALSE),VLOOKUP($I311&amp;$J311&amp;P$1,Pesos!$A:$I,9,FALSE)))</f>
        <v>1</v>
      </c>
      <c r="AI311" s="80">
        <f>IF(Q311="","",IF(Q311="SIM",VLOOKUP($I311&amp;$J311&amp;Q$1,Pesos!$A:$I,7,FALSE),VLOOKUP($I311&amp;$J311&amp;Q$1,Pesos!$A:$I,9,FALSE)))</f>
        <v>1</v>
      </c>
      <c r="AJ311" s="80">
        <f>IF(R311="","",IF(R311="SIM",VLOOKUP($I311&amp;$J311&amp;R$1,Pesos!$A:$I,7,FALSE),VLOOKUP($I311&amp;$J311&amp;R$1,Pesos!$A:$I,9,FALSE)))</f>
        <v>1.4000000000000001</v>
      </c>
      <c r="AK311" s="80">
        <f>IF(S311="","",IF(S311="SIM",VLOOKUP($I311&amp;$J311&amp;S$1,Pesos!$A:$I,7,FALSE),VLOOKUP($I311&amp;$J311&amp;S$1,Pesos!$A:$I,9,FALSE)))</f>
        <v>0.89999999999999991</v>
      </c>
      <c r="AL311" s="80">
        <f t="shared" si="48"/>
        <v>6.5</v>
      </c>
      <c r="AM311" s="80">
        <f>IF(T311="","",IF(T311="SIM",VLOOKUP($I311&amp;$J311&amp;T$1,Pesos!$A:$I,7,FALSE),VLOOKUP($I311&amp;$J311&amp;T$1,Pesos!$A:$I,9,FALSE)))</f>
        <v>1.7000000000000002</v>
      </c>
      <c r="AN311" s="80">
        <f>IF(U311="","",IF(U311="SIM",VLOOKUP($I311&amp;$J311&amp;U$1,Pesos!$A:$I,7,FALSE),VLOOKUP($I311&amp;$J311&amp;U$1,Pesos!$A:$I,9,FALSE)))</f>
        <v>1.7999999999999998</v>
      </c>
      <c r="AO311" s="80" t="str">
        <f>IF(V311="","",IF(V311="SIM",VLOOKUP($I311&amp;$J311&amp;V$1,Pesos!$A:$I,7,FALSE),VLOOKUP($I311&amp;$J311&amp;V$1,Pesos!$A:$I,9,FALSE)))</f>
        <v/>
      </c>
      <c r="AP311" s="80" t="str">
        <f>IF(W311="","",IF(W311="SIM",VLOOKUP($I311&amp;$J311&amp;W$1,Pesos!$A:$I,7,FALSE),VLOOKUP($I311&amp;$J311&amp;W$1,Pesos!$A:$I,9,FALSE)))</f>
        <v/>
      </c>
      <c r="AQ311" s="80" t="str">
        <f>IF(X311="","",IF(X311="SIM",VLOOKUP($I311&amp;$J311&amp;X$1,Pesos!$A:$I,7,FALSE),VLOOKUP($I311&amp;$J311&amp;X$1,Pesos!$A:$I,9,FALSE)))</f>
        <v/>
      </c>
      <c r="AR311" s="80" t="str">
        <f>IF(Y311="","",IF(Y311="SIM",VLOOKUP($I311&amp;$J311&amp;Y$1,Pesos!$A:$I,7,FALSE),VLOOKUP($I311&amp;$J311&amp;Y$1,Pesos!$A:$I,9,FALSE)))</f>
        <v/>
      </c>
      <c r="AS311" s="81">
        <f>IFERROR(Z311*VLOOKUP(J311,'BD Campos'!$Y$1:$Z$12,2,FALSE),"0")</f>
        <v>10</v>
      </c>
    </row>
    <row r="312" spans="1:45" x14ac:dyDescent="0.35">
      <c r="A312" s="68" t="str">
        <f t="shared" si="39"/>
        <v>Jan202510699MotoristaLOGÍSTICA</v>
      </c>
      <c r="B312" s="69" t="str">
        <f t="shared" si="42"/>
        <v>Jan2025106991LOGÍSTICAPADRÃO</v>
      </c>
      <c r="C312" s="70">
        <v>1</v>
      </c>
      <c r="D312" s="71">
        <v>45679.734129398152</v>
      </c>
      <c r="E312" s="112" t="s">
        <v>74</v>
      </c>
      <c r="F312" s="72">
        <v>10699</v>
      </c>
      <c r="G312" s="69" t="s">
        <v>211</v>
      </c>
      <c r="H312" s="73">
        <v>1</v>
      </c>
      <c r="I312" s="69" t="s">
        <v>1373</v>
      </c>
      <c r="J312" s="69" t="s">
        <v>122</v>
      </c>
      <c r="K312" s="69" t="s">
        <v>184</v>
      </c>
      <c r="L312" s="74"/>
      <c r="M312" s="75">
        <v>1.5972222222222221E-3</v>
      </c>
      <c r="N312" s="76" t="s">
        <v>79</v>
      </c>
      <c r="O312" s="76" t="s">
        <v>79</v>
      </c>
      <c r="P312" s="76" t="s">
        <v>79</v>
      </c>
      <c r="Q312" s="76" t="s">
        <v>79</v>
      </c>
      <c r="R312" s="76" t="s">
        <v>79</v>
      </c>
      <c r="S312" s="76" t="s">
        <v>79</v>
      </c>
      <c r="T312" s="76" t="s">
        <v>79</v>
      </c>
      <c r="U312" s="76" t="s">
        <v>79</v>
      </c>
      <c r="V312" s="76"/>
      <c r="W312" s="76"/>
      <c r="X312" s="76"/>
      <c r="Y312" s="76"/>
      <c r="Z312" s="77">
        <f t="shared" si="38"/>
        <v>10</v>
      </c>
      <c r="AA312" s="78"/>
      <c r="AB312" s="78"/>
      <c r="AC312" s="72" t="s">
        <v>47</v>
      </c>
      <c r="AE312" s="79" t="str">
        <f t="shared" si="47"/>
        <v>Jan10699</v>
      </c>
      <c r="AF312" s="80">
        <f>IF(N312="","",IF(N312="SIM",VLOOKUP($I312&amp;$J312&amp;N$1,Pesos!$A:$I,7,FALSE),VLOOKUP($I312&amp;$J312&amp;N$1,Pesos!$A:$I,9,FALSE)))</f>
        <v>1.1000000000000001</v>
      </c>
      <c r="AG312" s="80">
        <f>IF(O312="","",IF(O312="SIM",VLOOKUP($I312&amp;$J312&amp;O$1,Pesos!$A:$I,7,FALSE),VLOOKUP($I312&amp;$J312&amp;O$1,Pesos!$A:$I,9,FALSE)))</f>
        <v>1.1000000000000001</v>
      </c>
      <c r="AH312" s="80">
        <f>IF(P312="","",IF(P312="SIM",VLOOKUP($I312&amp;$J312&amp;P$1,Pesos!$A:$I,7,FALSE),VLOOKUP($I312&amp;$J312&amp;P$1,Pesos!$A:$I,9,FALSE)))</f>
        <v>1.1000000000000001</v>
      </c>
      <c r="AI312" s="80">
        <f>IF(Q312="","",IF(Q312="SIM",VLOOKUP($I312&amp;$J312&amp;Q$1,Pesos!$A:$I,7,FALSE),VLOOKUP($I312&amp;$J312&amp;Q$1,Pesos!$A:$I,9,FALSE)))</f>
        <v>1.1000000000000001</v>
      </c>
      <c r="AJ312" s="80">
        <f>IF(R312="","",IF(R312="SIM",VLOOKUP($I312&amp;$J312&amp;R$1,Pesos!$A:$I,7,FALSE),VLOOKUP($I312&amp;$J312&amp;R$1,Pesos!$A:$I,9,FALSE)))</f>
        <v>1.1000000000000001</v>
      </c>
      <c r="AK312" s="80">
        <f>IF(S312="","",IF(S312="SIM",VLOOKUP($I312&amp;$J312&amp;S$1,Pesos!$A:$I,7,FALSE),VLOOKUP($I312&amp;$J312&amp;S$1,Pesos!$A:$I,9,FALSE)))</f>
        <v>1.5</v>
      </c>
      <c r="AL312" s="80">
        <f t="shared" si="48"/>
        <v>7</v>
      </c>
      <c r="AM312" s="80">
        <f>IF(T312="","",IF(T312="SIM",VLOOKUP($I312&amp;$J312&amp;T$1,Pesos!$A:$I,7,FALSE),VLOOKUP($I312&amp;$J312&amp;T$1,Pesos!$A:$I,9,FALSE)))</f>
        <v>1.5</v>
      </c>
      <c r="AN312" s="80">
        <f>IF(U312="","",IF(U312="SIM",VLOOKUP($I312&amp;$J312&amp;U$1,Pesos!$A:$I,7,FALSE),VLOOKUP($I312&amp;$J312&amp;U$1,Pesos!$A:$I,9,FALSE)))</f>
        <v>1.5</v>
      </c>
      <c r="AO312" s="80" t="str">
        <f>IF(V312="","",IF(V312="SIM",VLOOKUP($I312&amp;$J312&amp;V$1,Pesos!$A:$I,7,FALSE),VLOOKUP($I312&amp;$J312&amp;V$1,Pesos!$A:$I,9,FALSE)))</f>
        <v/>
      </c>
      <c r="AP312" s="80" t="str">
        <f>IF(W312="","",IF(W312="SIM",VLOOKUP($I312&amp;$J312&amp;W$1,Pesos!$A:$I,7,FALSE),VLOOKUP($I312&amp;$J312&amp;W$1,Pesos!$A:$I,9,FALSE)))</f>
        <v/>
      </c>
      <c r="AQ312" s="80" t="str">
        <f>IF(X312="","",IF(X312="SIM",VLOOKUP($I312&amp;$J312&amp;X$1,Pesos!$A:$I,7,FALSE),VLOOKUP($I312&amp;$J312&amp;X$1,Pesos!$A:$I,9,FALSE)))</f>
        <v/>
      </c>
      <c r="AR312" s="80" t="str">
        <f>IF(Y312="","",IF(Y312="SIM",VLOOKUP($I312&amp;$J312&amp;Y$1,Pesos!$A:$I,7,FALSE),VLOOKUP($I312&amp;$J312&amp;Y$1,Pesos!$A:$I,9,FALSE)))</f>
        <v/>
      </c>
      <c r="AS312" s="81">
        <f>IFERROR(Z312*VLOOKUP(J312,'BD Campos'!$Y$1:$Z$12,2,FALSE),"0")</f>
        <v>10</v>
      </c>
    </row>
    <row r="313" spans="1:45" x14ac:dyDescent="0.35">
      <c r="A313" s="68" t="str">
        <f t="shared" si="39"/>
        <v>Jan202510699Motorista 2LOGÍSTICA</v>
      </c>
      <c r="B313" s="69" t="str">
        <f t="shared" si="42"/>
        <v>Jan2025106992LOGÍSTICAPADRÃO</v>
      </c>
      <c r="C313" s="70">
        <v>1</v>
      </c>
      <c r="D313" s="71">
        <v>45679.736288425927</v>
      </c>
      <c r="E313" s="112" t="s">
        <v>74</v>
      </c>
      <c r="F313" s="72">
        <v>10699</v>
      </c>
      <c r="G313" s="69" t="s">
        <v>211</v>
      </c>
      <c r="H313" s="73">
        <v>2</v>
      </c>
      <c r="I313" s="69" t="s">
        <v>1373</v>
      </c>
      <c r="J313" s="69" t="s">
        <v>204</v>
      </c>
      <c r="K313" s="69" t="s">
        <v>184</v>
      </c>
      <c r="L313" s="74"/>
      <c r="M313" s="75">
        <v>9.1435185185185185E-4</v>
      </c>
      <c r="N313" s="76" t="s">
        <v>79</v>
      </c>
      <c r="O313" s="76" t="s">
        <v>79</v>
      </c>
      <c r="P313" s="76" t="s">
        <v>79</v>
      </c>
      <c r="Q313" s="76" t="s">
        <v>79</v>
      </c>
      <c r="R313" s="76" t="s">
        <v>79</v>
      </c>
      <c r="S313" s="76" t="s">
        <v>79</v>
      </c>
      <c r="T313" s="76" t="s">
        <v>79</v>
      </c>
      <c r="U313" s="76" t="s">
        <v>79</v>
      </c>
      <c r="V313" s="76"/>
      <c r="W313" s="76"/>
      <c r="X313" s="76"/>
      <c r="Y313" s="76"/>
      <c r="Z313" s="77">
        <f t="shared" si="38"/>
        <v>10</v>
      </c>
      <c r="AA313" s="78"/>
      <c r="AB313" s="78"/>
      <c r="AC313" s="72" t="s">
        <v>47</v>
      </c>
      <c r="AE313" s="79" t="str">
        <f t="shared" si="47"/>
        <v>Jan10699</v>
      </c>
      <c r="AF313" s="80">
        <f>IF(N313="","",IF(N313="SIM",VLOOKUP($I313&amp;$J313&amp;N$1,Pesos!$A:$I,7,FALSE),VLOOKUP($I313&amp;$J313&amp;N$1,Pesos!$A:$I,9,FALSE)))</f>
        <v>1.1000000000000001</v>
      </c>
      <c r="AG313" s="80">
        <f>IF(O313="","",IF(O313="SIM",VLOOKUP($I313&amp;$J313&amp;O$1,Pesos!$A:$I,7,FALSE),VLOOKUP($I313&amp;$J313&amp;O$1,Pesos!$A:$I,9,FALSE)))</f>
        <v>1.1000000000000001</v>
      </c>
      <c r="AH313" s="80">
        <f>IF(P313="","",IF(P313="SIM",VLOOKUP($I313&amp;$J313&amp;P$1,Pesos!$A:$I,7,FALSE),VLOOKUP($I313&amp;$J313&amp;P$1,Pesos!$A:$I,9,FALSE)))</f>
        <v>1.1000000000000001</v>
      </c>
      <c r="AI313" s="80">
        <f>IF(Q313="","",IF(Q313="SIM",VLOOKUP($I313&amp;$J313&amp;Q$1,Pesos!$A:$I,7,FALSE),VLOOKUP($I313&amp;$J313&amp;Q$1,Pesos!$A:$I,9,FALSE)))</f>
        <v>1.1000000000000001</v>
      </c>
      <c r="AJ313" s="80">
        <f>IF(R313="","",IF(R313="SIM",VLOOKUP($I313&amp;$J313&amp;R$1,Pesos!$A:$I,7,FALSE),VLOOKUP($I313&amp;$J313&amp;R$1,Pesos!$A:$I,9,FALSE)))</f>
        <v>1.1000000000000001</v>
      </c>
      <c r="AK313" s="80">
        <f>IF(S313="","",IF(S313="SIM",VLOOKUP($I313&amp;$J313&amp;S$1,Pesos!$A:$I,7,FALSE),VLOOKUP($I313&amp;$J313&amp;S$1,Pesos!$A:$I,9,FALSE)))</f>
        <v>1.5</v>
      </c>
      <c r="AL313" s="80">
        <f t="shared" si="48"/>
        <v>7</v>
      </c>
      <c r="AM313" s="80">
        <f>IF(T313="","",IF(T313="SIM",VLOOKUP($I313&amp;$J313&amp;T$1,Pesos!$A:$I,7,FALSE),VLOOKUP($I313&amp;$J313&amp;T$1,Pesos!$A:$I,9,FALSE)))</f>
        <v>1.5</v>
      </c>
      <c r="AN313" s="80">
        <f>IF(U313="","",IF(U313="SIM",VLOOKUP($I313&amp;$J313&amp;U$1,Pesos!$A:$I,7,FALSE),VLOOKUP($I313&amp;$J313&amp;U$1,Pesos!$A:$I,9,FALSE)))</f>
        <v>1.5</v>
      </c>
      <c r="AO313" s="80" t="str">
        <f>IF(V313="","",IF(V313="SIM",VLOOKUP($I313&amp;$J313&amp;V$1,Pesos!$A:$I,7,FALSE),VLOOKUP($I313&amp;$J313&amp;V$1,Pesos!$A:$I,9,FALSE)))</f>
        <v/>
      </c>
      <c r="AP313" s="80" t="str">
        <f>IF(W313="","",IF(W313="SIM",VLOOKUP($I313&amp;$J313&amp;W$1,Pesos!$A:$I,7,FALSE),VLOOKUP($I313&amp;$J313&amp;W$1,Pesos!$A:$I,9,FALSE)))</f>
        <v/>
      </c>
      <c r="AQ313" s="80" t="str">
        <f>IF(X313="","",IF(X313="SIM",VLOOKUP($I313&amp;$J313&amp;X$1,Pesos!$A:$I,7,FALSE),VLOOKUP($I313&amp;$J313&amp;X$1,Pesos!$A:$I,9,FALSE)))</f>
        <v/>
      </c>
      <c r="AR313" s="80" t="str">
        <f>IF(Y313="","",IF(Y313="SIM",VLOOKUP($I313&amp;$J313&amp;Y$1,Pesos!$A:$I,7,FALSE),VLOOKUP($I313&amp;$J313&amp;Y$1,Pesos!$A:$I,9,FALSE)))</f>
        <v/>
      </c>
      <c r="AS313" s="81">
        <f>IFERROR(Z313*VLOOKUP(J313,'BD Campos'!$Y$1:$Z$12,2,FALSE),"0")</f>
        <v>10</v>
      </c>
    </row>
    <row r="314" spans="1:45" x14ac:dyDescent="0.35">
      <c r="A314" s="68" t="str">
        <f t="shared" si="39"/>
        <v>Jan202510844MotoristaLOGÍSTICA</v>
      </c>
      <c r="B314" s="69" t="str">
        <f t="shared" si="42"/>
        <v>Jan2025108441LOGÍSTICAPADRÃO</v>
      </c>
      <c r="C314" s="70">
        <v>1</v>
      </c>
      <c r="D314" s="71">
        <v>45679.745305092591</v>
      </c>
      <c r="E314" s="112" t="s">
        <v>74</v>
      </c>
      <c r="F314" s="72">
        <v>10844</v>
      </c>
      <c r="G314" s="69" t="s">
        <v>214</v>
      </c>
      <c r="H314" s="73">
        <v>1</v>
      </c>
      <c r="I314" s="69" t="s">
        <v>202</v>
      </c>
      <c r="J314" s="69" t="s">
        <v>122</v>
      </c>
      <c r="K314" s="69" t="s">
        <v>184</v>
      </c>
      <c r="L314" s="74"/>
      <c r="M314" s="75">
        <v>7.0601851851851847E-4</v>
      </c>
      <c r="N314" s="76" t="s">
        <v>79</v>
      </c>
      <c r="O314" s="76" t="s">
        <v>79</v>
      </c>
      <c r="P314" s="76" t="s">
        <v>79</v>
      </c>
      <c r="Q314" s="76" t="s">
        <v>79</v>
      </c>
      <c r="R314" s="76" t="s">
        <v>79</v>
      </c>
      <c r="S314" s="76" t="s">
        <v>79</v>
      </c>
      <c r="T314" s="76" t="s">
        <v>79</v>
      </c>
      <c r="U314" s="76" t="s">
        <v>79</v>
      </c>
      <c r="V314" s="76"/>
      <c r="W314" s="76"/>
      <c r="X314" s="76"/>
      <c r="Y314" s="76"/>
      <c r="Z314" s="77">
        <f t="shared" si="38"/>
        <v>10</v>
      </c>
      <c r="AA314" s="78"/>
      <c r="AB314" s="78"/>
      <c r="AC314" s="72" t="s">
        <v>47</v>
      </c>
      <c r="AE314" s="79" t="str">
        <f t="shared" si="47"/>
        <v>Jan10844</v>
      </c>
      <c r="AF314" s="80">
        <f>IF(N314="","",IF(N314="SIM",VLOOKUP($I314&amp;$J314&amp;N$1,Pesos!$A:$I,7,FALSE),VLOOKUP($I314&amp;$J314&amp;N$1,Pesos!$A:$I,9,FALSE)))</f>
        <v>1.2</v>
      </c>
      <c r="AG314" s="80">
        <f>IF(O314="","",IF(O314="SIM",VLOOKUP($I314&amp;$J314&amp;O$1,Pesos!$A:$I,7,FALSE),VLOOKUP($I314&amp;$J314&amp;O$1,Pesos!$A:$I,9,FALSE)))</f>
        <v>1</v>
      </c>
      <c r="AH314" s="80">
        <f>IF(P314="","",IF(P314="SIM",VLOOKUP($I314&amp;$J314&amp;P$1,Pesos!$A:$I,7,FALSE),VLOOKUP($I314&amp;$J314&amp;P$1,Pesos!$A:$I,9,FALSE)))</f>
        <v>1</v>
      </c>
      <c r="AI314" s="80">
        <f>IF(Q314="","",IF(Q314="SIM",VLOOKUP($I314&amp;$J314&amp;Q$1,Pesos!$A:$I,7,FALSE),VLOOKUP($I314&amp;$J314&amp;Q$1,Pesos!$A:$I,9,FALSE)))</f>
        <v>1</v>
      </c>
      <c r="AJ314" s="80">
        <f>IF(R314="","",IF(R314="SIM",VLOOKUP($I314&amp;$J314&amp;R$1,Pesos!$A:$I,7,FALSE),VLOOKUP($I314&amp;$J314&amp;R$1,Pesos!$A:$I,9,FALSE)))</f>
        <v>1.4000000000000001</v>
      </c>
      <c r="AK314" s="80">
        <f>IF(S314="","",IF(S314="SIM",VLOOKUP($I314&amp;$J314&amp;S$1,Pesos!$A:$I,7,FALSE),VLOOKUP($I314&amp;$J314&amp;S$1,Pesos!$A:$I,9,FALSE)))</f>
        <v>0.89999999999999991</v>
      </c>
      <c r="AL314" s="80">
        <f t="shared" si="48"/>
        <v>6.5</v>
      </c>
      <c r="AM314" s="80">
        <f>IF(T314="","",IF(T314="SIM",VLOOKUP($I314&amp;$J314&amp;T$1,Pesos!$A:$I,7,FALSE),VLOOKUP($I314&amp;$J314&amp;T$1,Pesos!$A:$I,9,FALSE)))</f>
        <v>1.7000000000000002</v>
      </c>
      <c r="AN314" s="80">
        <f>IF(U314="","",IF(U314="SIM",VLOOKUP($I314&amp;$J314&amp;U$1,Pesos!$A:$I,7,FALSE),VLOOKUP($I314&amp;$J314&amp;U$1,Pesos!$A:$I,9,FALSE)))</f>
        <v>1.7999999999999998</v>
      </c>
      <c r="AO314" s="80" t="str">
        <f>IF(V314="","",IF(V314="SIM",VLOOKUP($I314&amp;$J314&amp;V$1,Pesos!$A:$I,7,FALSE),VLOOKUP($I314&amp;$J314&amp;V$1,Pesos!$A:$I,9,FALSE)))</f>
        <v/>
      </c>
      <c r="AP314" s="80" t="str">
        <f>IF(W314="","",IF(W314="SIM",VLOOKUP($I314&amp;$J314&amp;W$1,Pesos!$A:$I,7,FALSE),VLOOKUP($I314&amp;$J314&amp;W$1,Pesos!$A:$I,9,FALSE)))</f>
        <v/>
      </c>
      <c r="AQ314" s="80" t="str">
        <f>IF(X314="","",IF(X314="SIM",VLOOKUP($I314&amp;$J314&amp;X$1,Pesos!$A:$I,7,FALSE),VLOOKUP($I314&amp;$J314&amp;X$1,Pesos!$A:$I,9,FALSE)))</f>
        <v/>
      </c>
      <c r="AR314" s="80" t="str">
        <f>IF(Y314="","",IF(Y314="SIM",VLOOKUP($I314&amp;$J314&amp;Y$1,Pesos!$A:$I,7,FALSE),VLOOKUP($I314&amp;$J314&amp;Y$1,Pesos!$A:$I,9,FALSE)))</f>
        <v/>
      </c>
      <c r="AS314" s="81">
        <f>IFERROR(Z314*VLOOKUP(J314,'BD Campos'!$Y$1:$Z$12,2,FALSE),"0")</f>
        <v>10</v>
      </c>
    </row>
    <row r="315" spans="1:45" x14ac:dyDescent="0.35">
      <c r="A315" s="68" t="str">
        <f t="shared" si="39"/>
        <v>Jan202510844Motorista 2LOGÍSTICA</v>
      </c>
      <c r="B315" s="69" t="str">
        <f t="shared" si="42"/>
        <v>Jan2025108442LOGÍSTICAPADRÃO</v>
      </c>
      <c r="C315" s="70">
        <v>1</v>
      </c>
      <c r="D315" s="71">
        <v>45679.746722569442</v>
      </c>
      <c r="E315" s="112" t="s">
        <v>74</v>
      </c>
      <c r="F315" s="72">
        <v>10844</v>
      </c>
      <c r="G315" s="69" t="s">
        <v>214</v>
      </c>
      <c r="H315" s="73">
        <v>2</v>
      </c>
      <c r="I315" s="69" t="s">
        <v>202</v>
      </c>
      <c r="J315" s="69" t="s">
        <v>204</v>
      </c>
      <c r="K315" s="69" t="s">
        <v>184</v>
      </c>
      <c r="L315" s="74"/>
      <c r="M315" s="75">
        <v>1.4814814814814814E-3</v>
      </c>
      <c r="N315" s="76" t="s">
        <v>79</v>
      </c>
      <c r="O315" s="76" t="s">
        <v>79</v>
      </c>
      <c r="P315" s="76" t="s">
        <v>79</v>
      </c>
      <c r="Q315" s="76" t="s">
        <v>79</v>
      </c>
      <c r="R315" s="76" t="s">
        <v>79</v>
      </c>
      <c r="S315" s="76" t="s">
        <v>79</v>
      </c>
      <c r="T315" s="76" t="s">
        <v>79</v>
      </c>
      <c r="U315" s="76" t="s">
        <v>79</v>
      </c>
      <c r="V315" s="76"/>
      <c r="W315" s="76"/>
      <c r="X315" s="76"/>
      <c r="Y315" s="76"/>
      <c r="Z315" s="77">
        <f t="shared" si="38"/>
        <v>10</v>
      </c>
      <c r="AA315" s="78"/>
      <c r="AB315" s="78"/>
      <c r="AC315" s="72" t="s">
        <v>47</v>
      </c>
      <c r="AE315" s="79" t="str">
        <f t="shared" si="47"/>
        <v>Jan10844</v>
      </c>
      <c r="AF315" s="80">
        <f>IF(N315="","",IF(N315="SIM",VLOOKUP($I315&amp;$J315&amp;N$1,Pesos!$A:$I,7,FALSE),VLOOKUP($I315&amp;$J315&amp;N$1,Pesos!$A:$I,9,FALSE)))</f>
        <v>1.2</v>
      </c>
      <c r="AG315" s="80">
        <f>IF(O315="","",IF(O315="SIM",VLOOKUP($I315&amp;$J315&amp;O$1,Pesos!$A:$I,7,FALSE),VLOOKUP($I315&amp;$J315&amp;O$1,Pesos!$A:$I,9,FALSE)))</f>
        <v>1</v>
      </c>
      <c r="AH315" s="80">
        <f>IF(P315="","",IF(P315="SIM",VLOOKUP($I315&amp;$J315&amp;P$1,Pesos!$A:$I,7,FALSE),VLOOKUP($I315&amp;$J315&amp;P$1,Pesos!$A:$I,9,FALSE)))</f>
        <v>1</v>
      </c>
      <c r="AI315" s="80">
        <f>IF(Q315="","",IF(Q315="SIM",VLOOKUP($I315&amp;$J315&amp;Q$1,Pesos!$A:$I,7,FALSE),VLOOKUP($I315&amp;$J315&amp;Q$1,Pesos!$A:$I,9,FALSE)))</f>
        <v>1</v>
      </c>
      <c r="AJ315" s="80">
        <f>IF(R315="","",IF(R315="SIM",VLOOKUP($I315&amp;$J315&amp;R$1,Pesos!$A:$I,7,FALSE),VLOOKUP($I315&amp;$J315&amp;R$1,Pesos!$A:$I,9,FALSE)))</f>
        <v>1.4000000000000001</v>
      </c>
      <c r="AK315" s="80">
        <f>IF(S315="","",IF(S315="SIM",VLOOKUP($I315&amp;$J315&amp;S$1,Pesos!$A:$I,7,FALSE),VLOOKUP($I315&amp;$J315&amp;S$1,Pesos!$A:$I,9,FALSE)))</f>
        <v>0.89999999999999991</v>
      </c>
      <c r="AL315" s="80">
        <f t="shared" si="48"/>
        <v>6.5</v>
      </c>
      <c r="AM315" s="80">
        <f>IF(T315="","",IF(T315="SIM",VLOOKUP($I315&amp;$J315&amp;T$1,Pesos!$A:$I,7,FALSE),VLOOKUP($I315&amp;$J315&amp;T$1,Pesos!$A:$I,9,FALSE)))</f>
        <v>1.7000000000000002</v>
      </c>
      <c r="AN315" s="80">
        <f>IF(U315="","",IF(U315="SIM",VLOOKUP($I315&amp;$J315&amp;U$1,Pesos!$A:$I,7,FALSE),VLOOKUP($I315&amp;$J315&amp;U$1,Pesos!$A:$I,9,FALSE)))</f>
        <v>1.7999999999999998</v>
      </c>
      <c r="AO315" s="80" t="str">
        <f>IF(V315="","",IF(V315="SIM",VLOOKUP($I315&amp;$J315&amp;V$1,Pesos!$A:$I,7,FALSE),VLOOKUP($I315&amp;$J315&amp;V$1,Pesos!$A:$I,9,FALSE)))</f>
        <v/>
      </c>
      <c r="AP315" s="80" t="str">
        <f>IF(W315="","",IF(W315="SIM",VLOOKUP($I315&amp;$J315&amp;W$1,Pesos!$A:$I,7,FALSE),VLOOKUP($I315&amp;$J315&amp;W$1,Pesos!$A:$I,9,FALSE)))</f>
        <v/>
      </c>
      <c r="AQ315" s="80" t="str">
        <f>IF(X315="","",IF(X315="SIM",VLOOKUP($I315&amp;$J315&amp;X$1,Pesos!$A:$I,7,FALSE),VLOOKUP($I315&amp;$J315&amp;X$1,Pesos!$A:$I,9,FALSE)))</f>
        <v/>
      </c>
      <c r="AR315" s="80" t="str">
        <f>IF(Y315="","",IF(Y315="SIM",VLOOKUP($I315&amp;$J315&amp;Y$1,Pesos!$A:$I,7,FALSE),VLOOKUP($I315&amp;$J315&amp;Y$1,Pesos!$A:$I,9,FALSE)))</f>
        <v/>
      </c>
      <c r="AS315" s="81">
        <f>IFERROR(Z315*VLOOKUP(J315,'BD Campos'!$Y$1:$Z$12,2,FALSE),"0")</f>
        <v>10</v>
      </c>
    </row>
    <row r="316" spans="1:45" x14ac:dyDescent="0.35">
      <c r="A316" s="68" t="str">
        <f t="shared" si="39"/>
        <v>Jan202510895MotoristaLOGÍSTICA</v>
      </c>
      <c r="B316" s="69" t="str">
        <f t="shared" si="42"/>
        <v>Jan2025108951LOGÍSTICAPADRÃO</v>
      </c>
      <c r="C316" s="70">
        <v>1</v>
      </c>
      <c r="D316" s="71">
        <v>45680.349462268518</v>
      </c>
      <c r="E316" s="112" t="s">
        <v>74</v>
      </c>
      <c r="F316" s="72">
        <v>10895</v>
      </c>
      <c r="G316" s="69" t="s">
        <v>217</v>
      </c>
      <c r="H316" s="73">
        <v>1</v>
      </c>
      <c r="I316" s="69" t="s">
        <v>202</v>
      </c>
      <c r="J316" s="69" t="s">
        <v>122</v>
      </c>
      <c r="K316" s="69" t="s">
        <v>184</v>
      </c>
      <c r="L316" s="74"/>
      <c r="M316" s="75">
        <v>9.2592592592592585E-4</v>
      </c>
      <c r="N316" s="76" t="s">
        <v>79</v>
      </c>
      <c r="O316" s="76" t="s">
        <v>79</v>
      </c>
      <c r="P316" s="76" t="s">
        <v>79</v>
      </c>
      <c r="Q316" s="76" t="s">
        <v>79</v>
      </c>
      <c r="R316" s="76" t="s">
        <v>79</v>
      </c>
      <c r="S316" s="76" t="s">
        <v>79</v>
      </c>
      <c r="T316" s="76" t="s">
        <v>79</v>
      </c>
      <c r="U316" s="76" t="s">
        <v>79</v>
      </c>
      <c r="V316" s="76"/>
      <c r="W316" s="76"/>
      <c r="X316" s="76"/>
      <c r="Y316" s="76"/>
      <c r="Z316" s="77">
        <f t="shared" si="38"/>
        <v>10</v>
      </c>
      <c r="AA316" s="78"/>
      <c r="AB316" s="78"/>
      <c r="AC316" s="72" t="s">
        <v>47</v>
      </c>
      <c r="AE316" s="79" t="str">
        <f t="shared" si="47"/>
        <v>Jan10895</v>
      </c>
      <c r="AF316" s="80">
        <f>IF(N316="","",IF(N316="SIM",VLOOKUP($I316&amp;$J316&amp;N$1,Pesos!$A:$I,7,FALSE),VLOOKUP($I316&amp;$J316&amp;N$1,Pesos!$A:$I,9,FALSE)))</f>
        <v>1.2</v>
      </c>
      <c r="AG316" s="80">
        <f>IF(O316="","",IF(O316="SIM",VLOOKUP($I316&amp;$J316&amp;O$1,Pesos!$A:$I,7,FALSE),VLOOKUP($I316&amp;$J316&amp;O$1,Pesos!$A:$I,9,FALSE)))</f>
        <v>1</v>
      </c>
      <c r="AH316" s="80">
        <f>IF(P316="","",IF(P316="SIM",VLOOKUP($I316&amp;$J316&amp;P$1,Pesos!$A:$I,7,FALSE),VLOOKUP($I316&amp;$J316&amp;P$1,Pesos!$A:$I,9,FALSE)))</f>
        <v>1</v>
      </c>
      <c r="AI316" s="80">
        <f>IF(Q316="","",IF(Q316="SIM",VLOOKUP($I316&amp;$J316&amp;Q$1,Pesos!$A:$I,7,FALSE),VLOOKUP($I316&amp;$J316&amp;Q$1,Pesos!$A:$I,9,FALSE)))</f>
        <v>1</v>
      </c>
      <c r="AJ316" s="80">
        <f>IF(R316="","",IF(R316="SIM",VLOOKUP($I316&amp;$J316&amp;R$1,Pesos!$A:$I,7,FALSE),VLOOKUP($I316&amp;$J316&amp;R$1,Pesos!$A:$I,9,FALSE)))</f>
        <v>1.4000000000000001</v>
      </c>
      <c r="AK316" s="80">
        <f>IF(S316="","",IF(S316="SIM",VLOOKUP($I316&amp;$J316&amp;S$1,Pesos!$A:$I,7,FALSE),VLOOKUP($I316&amp;$J316&amp;S$1,Pesos!$A:$I,9,FALSE)))</f>
        <v>0.89999999999999991</v>
      </c>
      <c r="AL316" s="80">
        <f t="shared" si="48"/>
        <v>6.5</v>
      </c>
      <c r="AM316" s="80">
        <f>IF(T316="","",IF(T316="SIM",VLOOKUP($I316&amp;$J316&amp;T$1,Pesos!$A:$I,7,FALSE),VLOOKUP($I316&amp;$J316&amp;T$1,Pesos!$A:$I,9,FALSE)))</f>
        <v>1.7000000000000002</v>
      </c>
      <c r="AN316" s="80">
        <f>IF(U316="","",IF(U316="SIM",VLOOKUP($I316&amp;$J316&amp;U$1,Pesos!$A:$I,7,FALSE),VLOOKUP($I316&amp;$J316&amp;U$1,Pesos!$A:$I,9,FALSE)))</f>
        <v>1.7999999999999998</v>
      </c>
      <c r="AO316" s="80" t="str">
        <f>IF(V316="","",IF(V316="SIM",VLOOKUP($I316&amp;$J316&amp;V$1,Pesos!$A:$I,7,FALSE),VLOOKUP($I316&amp;$J316&amp;V$1,Pesos!$A:$I,9,FALSE)))</f>
        <v/>
      </c>
      <c r="AP316" s="80" t="str">
        <f>IF(W316="","",IF(W316="SIM",VLOOKUP($I316&amp;$J316&amp;W$1,Pesos!$A:$I,7,FALSE),VLOOKUP($I316&amp;$J316&amp;W$1,Pesos!$A:$I,9,FALSE)))</f>
        <v/>
      </c>
      <c r="AQ316" s="80" t="str">
        <f>IF(X316="","",IF(X316="SIM",VLOOKUP($I316&amp;$J316&amp;X$1,Pesos!$A:$I,7,FALSE),VLOOKUP($I316&amp;$J316&amp;X$1,Pesos!$A:$I,9,FALSE)))</f>
        <v/>
      </c>
      <c r="AR316" s="80" t="str">
        <f>IF(Y316="","",IF(Y316="SIM",VLOOKUP($I316&amp;$J316&amp;Y$1,Pesos!$A:$I,7,FALSE),VLOOKUP($I316&amp;$J316&amp;Y$1,Pesos!$A:$I,9,FALSE)))</f>
        <v/>
      </c>
      <c r="AS316" s="81">
        <f>IFERROR(Z316*VLOOKUP(J316,'BD Campos'!$Y$1:$Z$12,2,FALSE),"0")</f>
        <v>10</v>
      </c>
    </row>
    <row r="317" spans="1:45" x14ac:dyDescent="0.35">
      <c r="A317" s="68" t="str">
        <f t="shared" si="39"/>
        <v>Jan202510895Motorista 2LOGÍSTICA</v>
      </c>
      <c r="B317" s="69" t="str">
        <f t="shared" si="42"/>
        <v>Jan2025108952LOGÍSTICAPADRÃO</v>
      </c>
      <c r="C317" s="70">
        <v>1</v>
      </c>
      <c r="D317" s="71">
        <v>45680.350488773147</v>
      </c>
      <c r="E317" s="112" t="s">
        <v>74</v>
      </c>
      <c r="F317" s="72">
        <v>10895</v>
      </c>
      <c r="G317" s="69" t="s">
        <v>217</v>
      </c>
      <c r="H317" s="73">
        <v>2</v>
      </c>
      <c r="I317" s="69" t="s">
        <v>202</v>
      </c>
      <c r="J317" s="69" t="s">
        <v>204</v>
      </c>
      <c r="K317" s="69" t="s">
        <v>184</v>
      </c>
      <c r="L317" s="74"/>
      <c r="M317" s="75">
        <v>8.1018518518518516E-4</v>
      </c>
      <c r="N317" s="76" t="s">
        <v>79</v>
      </c>
      <c r="O317" s="76" t="s">
        <v>79</v>
      </c>
      <c r="P317" s="76" t="s">
        <v>79</v>
      </c>
      <c r="Q317" s="76" t="s">
        <v>79</v>
      </c>
      <c r="R317" s="76" t="s">
        <v>79</v>
      </c>
      <c r="S317" s="76" t="s">
        <v>79</v>
      </c>
      <c r="T317" s="76" t="s">
        <v>79</v>
      </c>
      <c r="U317" s="76" t="s">
        <v>79</v>
      </c>
      <c r="V317" s="76"/>
      <c r="W317" s="76"/>
      <c r="X317" s="76"/>
      <c r="Y317" s="76"/>
      <c r="Z317" s="77">
        <f t="shared" si="38"/>
        <v>10</v>
      </c>
      <c r="AA317" s="78"/>
      <c r="AB317" s="78"/>
      <c r="AC317" s="72" t="s">
        <v>47</v>
      </c>
      <c r="AE317" s="79" t="str">
        <f t="shared" ref="AE317:AE332" si="49">E317&amp;F317</f>
        <v>Jan10895</v>
      </c>
      <c r="AF317" s="80">
        <f>IF(N317="","",IF(N317="SIM",VLOOKUP($I317&amp;$J317&amp;N$1,Pesos!$A:$I,7,FALSE),VLOOKUP($I317&amp;$J317&amp;N$1,Pesos!$A:$I,9,FALSE)))</f>
        <v>1.2</v>
      </c>
      <c r="AG317" s="80">
        <f>IF(O317="","",IF(O317="SIM",VLOOKUP($I317&amp;$J317&amp;O$1,Pesos!$A:$I,7,FALSE),VLOOKUP($I317&amp;$J317&amp;O$1,Pesos!$A:$I,9,FALSE)))</f>
        <v>1</v>
      </c>
      <c r="AH317" s="80">
        <f>IF(P317="","",IF(P317="SIM",VLOOKUP($I317&amp;$J317&amp;P$1,Pesos!$A:$I,7,FALSE),VLOOKUP($I317&amp;$J317&amp;P$1,Pesos!$A:$I,9,FALSE)))</f>
        <v>1</v>
      </c>
      <c r="AI317" s="80">
        <f>IF(Q317="","",IF(Q317="SIM",VLOOKUP($I317&amp;$J317&amp;Q$1,Pesos!$A:$I,7,FALSE),VLOOKUP($I317&amp;$J317&amp;Q$1,Pesos!$A:$I,9,FALSE)))</f>
        <v>1</v>
      </c>
      <c r="AJ317" s="80">
        <f>IF(R317="","",IF(R317="SIM",VLOOKUP($I317&amp;$J317&amp;R$1,Pesos!$A:$I,7,FALSE),VLOOKUP($I317&amp;$J317&amp;R$1,Pesos!$A:$I,9,FALSE)))</f>
        <v>1.4000000000000001</v>
      </c>
      <c r="AK317" s="80">
        <f>IF(S317="","",IF(S317="SIM",VLOOKUP($I317&amp;$J317&amp;S$1,Pesos!$A:$I,7,FALSE),VLOOKUP($I317&amp;$J317&amp;S$1,Pesos!$A:$I,9,FALSE)))</f>
        <v>0.89999999999999991</v>
      </c>
      <c r="AL317" s="80">
        <f t="shared" ref="AL317:AL332" si="50">SUM(AF317:AK317)</f>
        <v>6.5</v>
      </c>
      <c r="AM317" s="80">
        <f>IF(T317="","",IF(T317="SIM",VLOOKUP($I317&amp;$J317&amp;T$1,Pesos!$A:$I,7,FALSE),VLOOKUP($I317&amp;$J317&amp;T$1,Pesos!$A:$I,9,FALSE)))</f>
        <v>1.7000000000000002</v>
      </c>
      <c r="AN317" s="80">
        <f>IF(U317="","",IF(U317="SIM",VLOOKUP($I317&amp;$J317&amp;U$1,Pesos!$A:$I,7,FALSE),VLOOKUP($I317&amp;$J317&amp;U$1,Pesos!$A:$I,9,FALSE)))</f>
        <v>1.7999999999999998</v>
      </c>
      <c r="AO317" s="80" t="str">
        <f>IF(V317="","",IF(V317="SIM",VLOOKUP($I317&amp;$J317&amp;V$1,Pesos!$A:$I,7,FALSE),VLOOKUP($I317&amp;$J317&amp;V$1,Pesos!$A:$I,9,FALSE)))</f>
        <v/>
      </c>
      <c r="AP317" s="80" t="str">
        <f>IF(W317="","",IF(W317="SIM",VLOOKUP($I317&amp;$J317&amp;W$1,Pesos!$A:$I,7,FALSE),VLOOKUP($I317&amp;$J317&amp;W$1,Pesos!$A:$I,9,FALSE)))</f>
        <v/>
      </c>
      <c r="AQ317" s="80" t="str">
        <f>IF(X317="","",IF(X317="SIM",VLOOKUP($I317&amp;$J317&amp;X$1,Pesos!$A:$I,7,FALSE),VLOOKUP($I317&amp;$J317&amp;X$1,Pesos!$A:$I,9,FALSE)))</f>
        <v/>
      </c>
      <c r="AR317" s="80" t="str">
        <f>IF(Y317="","",IF(Y317="SIM",VLOOKUP($I317&amp;$J317&amp;Y$1,Pesos!$A:$I,7,FALSE),VLOOKUP($I317&amp;$J317&amp;Y$1,Pesos!$A:$I,9,FALSE)))</f>
        <v/>
      </c>
      <c r="AS317" s="81">
        <f>IFERROR(Z317*VLOOKUP(J317,'BD Campos'!$Y$1:$Z$12,2,FALSE),"0")</f>
        <v>10</v>
      </c>
    </row>
    <row r="318" spans="1:45" x14ac:dyDescent="0.35">
      <c r="A318" s="68" t="str">
        <f t="shared" si="39"/>
        <v>Jan202510663ClienteLOGÍSTICA</v>
      </c>
      <c r="B318" s="69" t="str">
        <f t="shared" si="42"/>
        <v>Jan2025106631LOGÍSTICAPADRÃO</v>
      </c>
      <c r="C318" s="70">
        <v>1</v>
      </c>
      <c r="D318" s="71">
        <v>45680.352454050924</v>
      </c>
      <c r="E318" s="112" t="s">
        <v>74</v>
      </c>
      <c r="F318" s="72">
        <v>10663</v>
      </c>
      <c r="G318" s="69" t="s">
        <v>218</v>
      </c>
      <c r="H318" s="73">
        <v>1</v>
      </c>
      <c r="I318" s="69" t="s">
        <v>206</v>
      </c>
      <c r="J318" s="69" t="s">
        <v>124</v>
      </c>
      <c r="K318" s="69" t="s">
        <v>184</v>
      </c>
      <c r="L318" s="74"/>
      <c r="M318" s="75">
        <v>7.7546296296296304E-4</v>
      </c>
      <c r="N318" s="76" t="s">
        <v>79</v>
      </c>
      <c r="O318" s="76" t="s">
        <v>79</v>
      </c>
      <c r="P318" s="76" t="s">
        <v>79</v>
      </c>
      <c r="Q318" s="76" t="s">
        <v>79</v>
      </c>
      <c r="R318" s="76" t="s">
        <v>79</v>
      </c>
      <c r="S318" s="76" t="s">
        <v>79</v>
      </c>
      <c r="T318" s="76" t="s">
        <v>79</v>
      </c>
      <c r="U318" s="76" t="s">
        <v>79</v>
      </c>
      <c r="V318" s="76" t="s">
        <v>79</v>
      </c>
      <c r="W318" s="76"/>
      <c r="X318" s="76"/>
      <c r="Y318" s="76"/>
      <c r="Z318" s="77">
        <f t="shared" si="38"/>
        <v>10</v>
      </c>
      <c r="AA318" s="78"/>
      <c r="AB318" s="78"/>
      <c r="AC318" s="72" t="s">
        <v>47</v>
      </c>
      <c r="AE318" s="79" t="str">
        <f t="shared" si="49"/>
        <v>Jan10663</v>
      </c>
      <c r="AF318" s="80">
        <f>IF(N318="","",IF(N318="SIM",VLOOKUP($I318&amp;$J318&amp;N$1,Pesos!$A:$I,7,FALSE),VLOOKUP($I318&amp;$J318&amp;N$1,Pesos!$A:$I,9,FALSE)))</f>
        <v>1.1000000000000001</v>
      </c>
      <c r="AG318" s="80">
        <f>IF(O318="","",IF(O318="SIM",VLOOKUP($I318&amp;$J318&amp;O$1,Pesos!$A:$I,7,FALSE),VLOOKUP($I318&amp;$J318&amp;O$1,Pesos!$A:$I,9,FALSE)))</f>
        <v>1</v>
      </c>
      <c r="AH318" s="80">
        <f>IF(P318="","",IF(P318="SIM",VLOOKUP($I318&amp;$J318&amp;P$1,Pesos!$A:$I,7,FALSE),VLOOKUP($I318&amp;$J318&amp;P$1,Pesos!$A:$I,9,FALSE)))</f>
        <v>1</v>
      </c>
      <c r="AI318" s="80">
        <f>IF(Q318="","",IF(Q318="SIM",VLOOKUP($I318&amp;$J318&amp;Q$1,Pesos!$A:$I,7,FALSE),VLOOKUP($I318&amp;$J318&amp;Q$1,Pesos!$A:$I,9,FALSE)))</f>
        <v>1.1000000000000001</v>
      </c>
      <c r="AJ318" s="80">
        <f>IF(R318="","",IF(R318="SIM",VLOOKUP($I318&amp;$J318&amp;R$1,Pesos!$A:$I,7,FALSE),VLOOKUP($I318&amp;$J318&amp;R$1,Pesos!$A:$I,9,FALSE)))</f>
        <v>1.1000000000000001</v>
      </c>
      <c r="AK318" s="80">
        <f>IF(S318="","",IF(S318="SIM",VLOOKUP($I318&amp;$J318&amp;S$1,Pesos!$A:$I,7,FALSE),VLOOKUP($I318&amp;$J318&amp;S$1,Pesos!$A:$I,9,FALSE)))</f>
        <v>1.1000000000000001</v>
      </c>
      <c r="AL318" s="80">
        <f t="shared" si="50"/>
        <v>6.4</v>
      </c>
      <c r="AM318" s="80">
        <f>IF(T318="","",IF(T318="SIM",VLOOKUP($I318&amp;$J318&amp;T$1,Pesos!$A:$I,7,FALSE),VLOOKUP($I318&amp;$J318&amp;T$1,Pesos!$A:$I,9,FALSE)))</f>
        <v>1.2</v>
      </c>
      <c r="AN318" s="80">
        <f>IF(U318="","",IF(U318="SIM",VLOOKUP($I318&amp;$J318&amp;U$1,Pesos!$A:$I,7,FALSE),VLOOKUP($I318&amp;$J318&amp;U$1,Pesos!$A:$I,9,FALSE)))</f>
        <v>1.2</v>
      </c>
      <c r="AO318" s="80">
        <f>IF(V318="","",IF(V318="SIM",VLOOKUP($I318&amp;$J318&amp;V$1,Pesos!$A:$I,7,FALSE),VLOOKUP($I318&amp;$J318&amp;V$1,Pesos!$A:$I,9,FALSE)))</f>
        <v>1.2</v>
      </c>
      <c r="AP318" s="80" t="str">
        <f>IF(W318="","",IF(W318="SIM",VLOOKUP($I318&amp;$J318&amp;W$1,Pesos!$A:$I,7,FALSE),VLOOKUP($I318&amp;$J318&amp;W$1,Pesos!$A:$I,9,FALSE)))</f>
        <v/>
      </c>
      <c r="AQ318" s="80" t="str">
        <f>IF(X318="","",IF(X318="SIM",VLOOKUP($I318&amp;$J318&amp;X$1,Pesos!$A:$I,7,FALSE),VLOOKUP($I318&amp;$J318&amp;X$1,Pesos!$A:$I,9,FALSE)))</f>
        <v/>
      </c>
      <c r="AR318" s="80" t="str">
        <f>IF(Y318="","",IF(Y318="SIM",VLOOKUP($I318&amp;$J318&amp;Y$1,Pesos!$A:$I,7,FALSE),VLOOKUP($I318&amp;$J318&amp;Y$1,Pesos!$A:$I,9,FALSE)))</f>
        <v/>
      </c>
      <c r="AS318" s="81">
        <f>IFERROR(Z318*VLOOKUP(J318,'BD Campos'!$Y$1:$Z$12,2,FALSE),"0")</f>
        <v>10</v>
      </c>
    </row>
    <row r="319" spans="1:45" x14ac:dyDescent="0.35">
      <c r="A319" s="68" t="str">
        <f t="shared" si="39"/>
        <v>Jan202510663Cliente 2LOGÍSTICA</v>
      </c>
      <c r="B319" s="69" t="str">
        <f t="shared" si="42"/>
        <v>Jan2025106632LOGÍSTICAPADRÃO</v>
      </c>
      <c r="C319" s="70">
        <v>1</v>
      </c>
      <c r="D319" s="71">
        <v>45680.356564699076</v>
      </c>
      <c r="E319" s="112" t="s">
        <v>74</v>
      </c>
      <c r="F319" s="72">
        <v>10663</v>
      </c>
      <c r="G319" s="69" t="s">
        <v>218</v>
      </c>
      <c r="H319" s="73">
        <v>2</v>
      </c>
      <c r="I319" s="69" t="s">
        <v>206</v>
      </c>
      <c r="J319" s="69" t="s">
        <v>185</v>
      </c>
      <c r="K319" s="69" t="s">
        <v>184</v>
      </c>
      <c r="L319" s="74"/>
      <c r="M319" s="75">
        <v>1.2731481481481483E-3</v>
      </c>
      <c r="N319" s="76" t="s">
        <v>79</v>
      </c>
      <c r="O319" s="76" t="s">
        <v>79</v>
      </c>
      <c r="P319" s="76" t="s">
        <v>79</v>
      </c>
      <c r="Q319" s="76" t="s">
        <v>79</v>
      </c>
      <c r="R319" s="76" t="s">
        <v>79</v>
      </c>
      <c r="S319" s="76" t="s">
        <v>79</v>
      </c>
      <c r="T319" s="76" t="s">
        <v>79</v>
      </c>
      <c r="U319" s="76" t="s">
        <v>83</v>
      </c>
      <c r="V319" s="76" t="s">
        <v>79</v>
      </c>
      <c r="W319" s="76"/>
      <c r="X319" s="76"/>
      <c r="Y319" s="76"/>
      <c r="Z319" s="77">
        <f t="shared" si="38"/>
        <v>8.74</v>
      </c>
      <c r="AA319" s="78"/>
      <c r="AB319" s="78"/>
      <c r="AC319" s="72" t="s">
        <v>47</v>
      </c>
      <c r="AE319" s="79" t="str">
        <f t="shared" si="49"/>
        <v>Jan10663</v>
      </c>
      <c r="AF319" s="80">
        <f>IF(N319="","",IF(N319="SIM",VLOOKUP($I319&amp;$J319&amp;N$1,Pesos!$A:$I,7,FALSE),VLOOKUP($I319&amp;$J319&amp;N$1,Pesos!$A:$I,9,FALSE)))</f>
        <v>1.1000000000000001</v>
      </c>
      <c r="AG319" s="80">
        <f>IF(O319="","",IF(O319="SIM",VLOOKUP($I319&amp;$J319&amp;O$1,Pesos!$A:$I,7,FALSE),VLOOKUP($I319&amp;$J319&amp;O$1,Pesos!$A:$I,9,FALSE)))</f>
        <v>1</v>
      </c>
      <c r="AH319" s="80">
        <f>IF(P319="","",IF(P319="SIM",VLOOKUP($I319&amp;$J319&amp;P$1,Pesos!$A:$I,7,FALSE),VLOOKUP($I319&amp;$J319&amp;P$1,Pesos!$A:$I,9,FALSE)))</f>
        <v>1</v>
      </c>
      <c r="AI319" s="80">
        <f>IF(Q319="","",IF(Q319="SIM",VLOOKUP($I319&amp;$J319&amp;Q$1,Pesos!$A:$I,7,FALSE),VLOOKUP($I319&amp;$J319&amp;Q$1,Pesos!$A:$I,9,FALSE)))</f>
        <v>1.1000000000000001</v>
      </c>
      <c r="AJ319" s="80">
        <f>IF(R319="","",IF(R319="SIM",VLOOKUP($I319&amp;$J319&amp;R$1,Pesos!$A:$I,7,FALSE),VLOOKUP($I319&amp;$J319&amp;R$1,Pesos!$A:$I,9,FALSE)))</f>
        <v>1.1000000000000001</v>
      </c>
      <c r="AK319" s="80">
        <f>IF(S319="","",IF(S319="SIM",VLOOKUP($I319&amp;$J319&amp;S$1,Pesos!$A:$I,7,FALSE),VLOOKUP($I319&amp;$J319&amp;S$1,Pesos!$A:$I,9,FALSE)))</f>
        <v>1.1000000000000001</v>
      </c>
      <c r="AL319" s="80">
        <f t="shared" si="50"/>
        <v>6.4</v>
      </c>
      <c r="AM319" s="80">
        <f>IF(T319="","",IF(T319="SIM",VLOOKUP($I319&amp;$J319&amp;T$1,Pesos!$A:$I,7,FALSE),VLOOKUP($I319&amp;$J319&amp;T$1,Pesos!$A:$I,9,FALSE)))</f>
        <v>1.2</v>
      </c>
      <c r="AN319" s="80">
        <f>IF(U319="","",IF(U319="SIM",VLOOKUP($I319&amp;$J319&amp;U$1,Pesos!$A:$I,7,FALSE),VLOOKUP($I319&amp;$J319&amp;U$1,Pesos!$A:$I,9,FALSE)))</f>
        <v>-0.06</v>
      </c>
      <c r="AO319" s="80">
        <f>IF(V319="","",IF(V319="SIM",VLOOKUP($I319&amp;$J319&amp;V$1,Pesos!$A:$I,7,FALSE),VLOOKUP($I319&amp;$J319&amp;V$1,Pesos!$A:$I,9,FALSE)))</f>
        <v>1.2</v>
      </c>
      <c r="AP319" s="80" t="str">
        <f>IF(W319="","",IF(W319="SIM",VLOOKUP($I319&amp;$J319&amp;W$1,Pesos!$A:$I,7,FALSE),VLOOKUP($I319&amp;$J319&amp;W$1,Pesos!$A:$I,9,FALSE)))</f>
        <v/>
      </c>
      <c r="AQ319" s="80" t="str">
        <f>IF(X319="","",IF(X319="SIM",VLOOKUP($I319&amp;$J319&amp;X$1,Pesos!$A:$I,7,FALSE),VLOOKUP($I319&amp;$J319&amp;X$1,Pesos!$A:$I,9,FALSE)))</f>
        <v/>
      </c>
      <c r="AR319" s="80" t="str">
        <f>IF(Y319="","",IF(Y319="SIM",VLOOKUP($I319&amp;$J319&amp;Y$1,Pesos!$A:$I,7,FALSE),VLOOKUP($I319&amp;$J319&amp;Y$1,Pesos!$A:$I,9,FALSE)))</f>
        <v/>
      </c>
      <c r="AS319" s="81">
        <f>IFERROR(Z319*VLOOKUP(J319,'BD Campos'!$Y$1:$Z$12,2,FALSE),"0")</f>
        <v>8.74</v>
      </c>
    </row>
    <row r="320" spans="1:45" x14ac:dyDescent="0.35">
      <c r="A320" s="68" t="str">
        <f t="shared" si="39"/>
        <v>Jan202510940MotoristaLOGÍSTICA</v>
      </c>
      <c r="B320" s="69" t="str">
        <f t="shared" si="42"/>
        <v>Jan2025109401LOGÍSTICAPADRÃO</v>
      </c>
      <c r="C320" s="70">
        <v>1</v>
      </c>
      <c r="D320" s="71">
        <v>45680.358941782404</v>
      </c>
      <c r="E320" s="112" t="s">
        <v>74</v>
      </c>
      <c r="F320" s="72">
        <v>10940</v>
      </c>
      <c r="G320" s="69" t="s">
        <v>220</v>
      </c>
      <c r="H320" s="73">
        <v>1</v>
      </c>
      <c r="I320" s="69" t="s">
        <v>206</v>
      </c>
      <c r="J320" s="69" t="s">
        <v>122</v>
      </c>
      <c r="K320" s="69" t="s">
        <v>184</v>
      </c>
      <c r="L320" s="74"/>
      <c r="M320" s="75">
        <v>7.8703703703703705E-4</v>
      </c>
      <c r="N320" s="76" t="s">
        <v>79</v>
      </c>
      <c r="O320" s="76" t="s">
        <v>79</v>
      </c>
      <c r="P320" s="76" t="s">
        <v>79</v>
      </c>
      <c r="Q320" s="76" t="s">
        <v>79</v>
      </c>
      <c r="R320" s="76" t="s">
        <v>79</v>
      </c>
      <c r="S320" s="76" t="s">
        <v>79</v>
      </c>
      <c r="T320" s="76" t="s">
        <v>79</v>
      </c>
      <c r="U320" s="76" t="s">
        <v>79</v>
      </c>
      <c r="V320" s="76" t="s">
        <v>79</v>
      </c>
      <c r="W320" s="76" t="s">
        <v>79</v>
      </c>
      <c r="X320" s="76"/>
      <c r="Y320" s="76"/>
      <c r="Z320" s="77">
        <f t="shared" si="38"/>
        <v>10</v>
      </c>
      <c r="AA320" s="78"/>
      <c r="AB320" s="78"/>
      <c r="AC320" s="72" t="s">
        <v>47</v>
      </c>
      <c r="AE320" s="79" t="str">
        <f t="shared" si="49"/>
        <v>Jan10940</v>
      </c>
      <c r="AF320" s="80">
        <f>IF(N320="","",IF(N320="SIM",VLOOKUP($I320&amp;$J320&amp;N$1,Pesos!$A:$I,7,FALSE),VLOOKUP($I320&amp;$J320&amp;N$1,Pesos!$A:$I,9,FALSE)))</f>
        <v>0.8</v>
      </c>
      <c r="AG320" s="80">
        <f>IF(O320="","",IF(O320="SIM",VLOOKUP($I320&amp;$J320&amp;O$1,Pesos!$A:$I,7,FALSE),VLOOKUP($I320&amp;$J320&amp;O$1,Pesos!$A:$I,9,FALSE)))</f>
        <v>0.8</v>
      </c>
      <c r="AH320" s="80">
        <f>IF(P320="","",IF(P320="SIM",VLOOKUP($I320&amp;$J320&amp;P$1,Pesos!$A:$I,7,FALSE),VLOOKUP($I320&amp;$J320&amp;P$1,Pesos!$A:$I,9,FALSE)))</f>
        <v>0.8</v>
      </c>
      <c r="AI320" s="80">
        <f>IF(Q320="","",IF(Q320="SIM",VLOOKUP($I320&amp;$J320&amp;Q$1,Pesos!$A:$I,7,FALSE),VLOOKUP($I320&amp;$J320&amp;Q$1,Pesos!$A:$I,9,FALSE)))</f>
        <v>1</v>
      </c>
      <c r="AJ320" s="80">
        <f>IF(R320="","",IF(R320="SIM",VLOOKUP($I320&amp;$J320&amp;R$1,Pesos!$A:$I,7,FALSE),VLOOKUP($I320&amp;$J320&amp;R$1,Pesos!$A:$I,9,FALSE)))</f>
        <v>1</v>
      </c>
      <c r="AK320" s="80">
        <f>IF(S320="","",IF(S320="SIM",VLOOKUP($I320&amp;$J320&amp;S$1,Pesos!$A:$I,7,FALSE),VLOOKUP($I320&amp;$J320&amp;S$1,Pesos!$A:$I,9,FALSE)))</f>
        <v>1</v>
      </c>
      <c r="AL320" s="80">
        <f t="shared" si="50"/>
        <v>5.4</v>
      </c>
      <c r="AM320" s="80">
        <f>IF(T320="","",IF(T320="SIM",VLOOKUP($I320&amp;$J320&amp;T$1,Pesos!$A:$I,7,FALSE),VLOOKUP($I320&amp;$J320&amp;T$1,Pesos!$A:$I,9,FALSE)))</f>
        <v>1.2</v>
      </c>
      <c r="AN320" s="80">
        <f>IF(U320="","",IF(U320="SIM",VLOOKUP($I320&amp;$J320&amp;U$1,Pesos!$A:$I,7,FALSE),VLOOKUP($I320&amp;$J320&amp;U$1,Pesos!$A:$I,9,FALSE)))</f>
        <v>1.2</v>
      </c>
      <c r="AO320" s="80">
        <f>IF(V320="","",IF(V320="SIM",VLOOKUP($I320&amp;$J320&amp;V$1,Pesos!$A:$I,7,FALSE),VLOOKUP($I320&amp;$J320&amp;V$1,Pesos!$A:$I,9,FALSE)))</f>
        <v>1.2</v>
      </c>
      <c r="AP320" s="80">
        <f>IF(W320="","",IF(W320="SIM",VLOOKUP($I320&amp;$J320&amp;W$1,Pesos!$A:$I,7,FALSE),VLOOKUP($I320&amp;$J320&amp;W$1,Pesos!$A:$I,9,FALSE)))</f>
        <v>1</v>
      </c>
      <c r="AQ320" s="80" t="str">
        <f>IF(X320="","",IF(X320="SIM",VLOOKUP($I320&amp;$J320&amp;X$1,Pesos!$A:$I,7,FALSE),VLOOKUP($I320&amp;$J320&amp;X$1,Pesos!$A:$I,9,FALSE)))</f>
        <v/>
      </c>
      <c r="AR320" s="80" t="str">
        <f>IF(Y320="","",IF(Y320="SIM",VLOOKUP($I320&amp;$J320&amp;Y$1,Pesos!$A:$I,7,FALSE),VLOOKUP($I320&amp;$J320&amp;Y$1,Pesos!$A:$I,9,FALSE)))</f>
        <v/>
      </c>
      <c r="AS320" s="81">
        <f>IFERROR(Z320*VLOOKUP(J320,'BD Campos'!$Y$1:$Z$12,2,FALSE),"0")</f>
        <v>10</v>
      </c>
    </row>
    <row r="321" spans="1:45" x14ac:dyDescent="0.35">
      <c r="A321" s="68" t="str">
        <f t="shared" ref="A321:A368" si="51">E321&amp;YEAR(D321)&amp;F321&amp;J321&amp;K321&amp;""</f>
        <v>Jan202510940Motorista 2LOGÍSTICA</v>
      </c>
      <c r="B321" s="69" t="str">
        <f t="shared" si="42"/>
        <v>Jan2025109402LOGÍSTICAPADRÃO</v>
      </c>
      <c r="C321" s="70">
        <v>1</v>
      </c>
      <c r="D321" s="71">
        <v>45680.361488194445</v>
      </c>
      <c r="E321" s="112" t="s">
        <v>74</v>
      </c>
      <c r="F321" s="72">
        <v>10940</v>
      </c>
      <c r="G321" s="69" t="s">
        <v>220</v>
      </c>
      <c r="H321" s="73">
        <v>2</v>
      </c>
      <c r="I321" s="69" t="s">
        <v>206</v>
      </c>
      <c r="J321" s="69" t="s">
        <v>204</v>
      </c>
      <c r="K321" s="69" t="s">
        <v>184</v>
      </c>
      <c r="L321" s="74"/>
      <c r="M321" s="75">
        <v>1.261574074074074E-3</v>
      </c>
      <c r="N321" s="76" t="s">
        <v>79</v>
      </c>
      <c r="O321" s="76" t="s">
        <v>79</v>
      </c>
      <c r="P321" s="76" t="s">
        <v>79</v>
      </c>
      <c r="Q321" s="76" t="s">
        <v>79</v>
      </c>
      <c r="R321" s="76" t="s">
        <v>79</v>
      </c>
      <c r="S321" s="76" t="s">
        <v>79</v>
      </c>
      <c r="T321" s="76" t="s">
        <v>79</v>
      </c>
      <c r="U321" s="76" t="s">
        <v>79</v>
      </c>
      <c r="V321" s="76" t="s">
        <v>79</v>
      </c>
      <c r="W321" s="76" t="s">
        <v>83</v>
      </c>
      <c r="X321" s="76"/>
      <c r="Y321" s="76"/>
      <c r="Z321" s="77">
        <f t="shared" si="38"/>
        <v>8.9499999999999993</v>
      </c>
      <c r="AA321" s="78"/>
      <c r="AB321" s="78"/>
      <c r="AC321" s="72" t="s">
        <v>47</v>
      </c>
      <c r="AE321" s="79" t="str">
        <f t="shared" si="49"/>
        <v>Jan10940</v>
      </c>
      <c r="AF321" s="80">
        <f>IF(N321="","",IF(N321="SIM",VLOOKUP($I321&amp;$J321&amp;N$1,Pesos!$A:$I,7,FALSE),VLOOKUP($I321&amp;$J321&amp;N$1,Pesos!$A:$I,9,FALSE)))</f>
        <v>0.8</v>
      </c>
      <c r="AG321" s="80">
        <f>IF(O321="","",IF(O321="SIM",VLOOKUP($I321&amp;$J321&amp;O$1,Pesos!$A:$I,7,FALSE),VLOOKUP($I321&amp;$J321&amp;O$1,Pesos!$A:$I,9,FALSE)))</f>
        <v>0.8</v>
      </c>
      <c r="AH321" s="80">
        <f>IF(P321="","",IF(P321="SIM",VLOOKUP($I321&amp;$J321&amp;P$1,Pesos!$A:$I,7,FALSE),VLOOKUP($I321&amp;$J321&amp;P$1,Pesos!$A:$I,9,FALSE)))</f>
        <v>0.8</v>
      </c>
      <c r="AI321" s="80">
        <f>IF(Q321="","",IF(Q321="SIM",VLOOKUP($I321&amp;$J321&amp;Q$1,Pesos!$A:$I,7,FALSE),VLOOKUP($I321&amp;$J321&amp;Q$1,Pesos!$A:$I,9,FALSE)))</f>
        <v>1</v>
      </c>
      <c r="AJ321" s="80">
        <f>IF(R321="","",IF(R321="SIM",VLOOKUP($I321&amp;$J321&amp;R$1,Pesos!$A:$I,7,FALSE),VLOOKUP($I321&amp;$J321&amp;R$1,Pesos!$A:$I,9,FALSE)))</f>
        <v>1</v>
      </c>
      <c r="AK321" s="80">
        <f>IF(S321="","",IF(S321="SIM",VLOOKUP($I321&amp;$J321&amp;S$1,Pesos!$A:$I,7,FALSE),VLOOKUP($I321&amp;$J321&amp;S$1,Pesos!$A:$I,9,FALSE)))</f>
        <v>1</v>
      </c>
      <c r="AL321" s="80">
        <f t="shared" si="50"/>
        <v>5.4</v>
      </c>
      <c r="AM321" s="80">
        <f>IF(T321="","",IF(T321="SIM",VLOOKUP($I321&amp;$J321&amp;T$1,Pesos!$A:$I,7,FALSE),VLOOKUP($I321&amp;$J321&amp;T$1,Pesos!$A:$I,9,FALSE)))</f>
        <v>1.2</v>
      </c>
      <c r="AN321" s="80">
        <f>IF(U321="","",IF(U321="SIM",VLOOKUP($I321&amp;$J321&amp;U$1,Pesos!$A:$I,7,FALSE),VLOOKUP($I321&amp;$J321&amp;U$1,Pesos!$A:$I,9,FALSE)))</f>
        <v>1.2</v>
      </c>
      <c r="AO321" s="80">
        <f>IF(V321="","",IF(V321="SIM",VLOOKUP($I321&amp;$J321&amp;V$1,Pesos!$A:$I,7,FALSE),VLOOKUP($I321&amp;$J321&amp;V$1,Pesos!$A:$I,9,FALSE)))</f>
        <v>1.2</v>
      </c>
      <c r="AP321" s="80">
        <f>IF(W321="","",IF(W321="SIM",VLOOKUP($I321&amp;$J321&amp;W$1,Pesos!$A:$I,7,FALSE),VLOOKUP($I321&amp;$J321&amp;W$1,Pesos!$A:$I,9,FALSE)))</f>
        <v>-0.05</v>
      </c>
      <c r="AQ321" s="80" t="str">
        <f>IF(X321="","",IF(X321="SIM",VLOOKUP($I321&amp;$J321&amp;X$1,Pesos!$A:$I,7,FALSE),VLOOKUP($I321&amp;$J321&amp;X$1,Pesos!$A:$I,9,FALSE)))</f>
        <v/>
      </c>
      <c r="AR321" s="80" t="str">
        <f>IF(Y321="","",IF(Y321="SIM",VLOOKUP($I321&amp;$J321&amp;Y$1,Pesos!$A:$I,7,FALSE),VLOOKUP($I321&amp;$J321&amp;Y$1,Pesos!$A:$I,9,FALSE)))</f>
        <v/>
      </c>
      <c r="AS321" s="81">
        <f>IFERROR(Z321*VLOOKUP(J321,'BD Campos'!$Y$1:$Z$12,2,FALSE),"0")</f>
        <v>8.9499999999999993</v>
      </c>
    </row>
    <row r="322" spans="1:45" x14ac:dyDescent="0.35">
      <c r="A322" s="68" t="str">
        <f t="shared" si="51"/>
        <v>Jan202511056ClienteLOGÍSTICA</v>
      </c>
      <c r="B322" s="69" t="str">
        <f t="shared" si="42"/>
        <v>Jan2025110561LOGÍSTICAPADRÃO</v>
      </c>
      <c r="C322" s="70">
        <v>1</v>
      </c>
      <c r="D322" s="71">
        <v>45680.365729166668</v>
      </c>
      <c r="E322" s="112" t="s">
        <v>74</v>
      </c>
      <c r="F322" s="72">
        <v>11056</v>
      </c>
      <c r="G322" s="69" t="s">
        <v>373</v>
      </c>
      <c r="H322" s="73">
        <v>1</v>
      </c>
      <c r="I322" s="69" t="s">
        <v>206</v>
      </c>
      <c r="J322" s="69" t="s">
        <v>124</v>
      </c>
      <c r="K322" s="69" t="s">
        <v>184</v>
      </c>
      <c r="L322" s="74"/>
      <c r="M322" s="75">
        <v>9.4907407407407408E-4</v>
      </c>
      <c r="N322" s="76" t="s">
        <v>79</v>
      </c>
      <c r="O322" s="76" t="s">
        <v>79</v>
      </c>
      <c r="P322" s="76" t="s">
        <v>79</v>
      </c>
      <c r="Q322" s="76" t="s">
        <v>79</v>
      </c>
      <c r="R322" s="76" t="s">
        <v>79</v>
      </c>
      <c r="S322" s="76" t="s">
        <v>83</v>
      </c>
      <c r="T322" s="76" t="s">
        <v>83</v>
      </c>
      <c r="U322" s="76" t="s">
        <v>83</v>
      </c>
      <c r="V322" s="76" t="s">
        <v>79</v>
      </c>
      <c r="W322" s="76"/>
      <c r="X322" s="76"/>
      <c r="Y322" s="76"/>
      <c r="Z322" s="77">
        <f t="shared" si="38"/>
        <v>6.325000000000002</v>
      </c>
      <c r="AA322" s="78"/>
      <c r="AB322" s="78"/>
      <c r="AC322" s="72" t="s">
        <v>47</v>
      </c>
      <c r="AE322" s="79" t="str">
        <f t="shared" si="49"/>
        <v>Jan11056</v>
      </c>
      <c r="AF322" s="80">
        <f>IF(N322="","",IF(N322="SIM",VLOOKUP($I322&amp;$J322&amp;N$1,Pesos!$A:$I,7,FALSE),VLOOKUP($I322&amp;$J322&amp;N$1,Pesos!$A:$I,9,FALSE)))</f>
        <v>1.1000000000000001</v>
      </c>
      <c r="AG322" s="80">
        <f>IF(O322="","",IF(O322="SIM",VLOOKUP($I322&amp;$J322&amp;O$1,Pesos!$A:$I,7,FALSE),VLOOKUP($I322&amp;$J322&amp;O$1,Pesos!$A:$I,9,FALSE)))</f>
        <v>1</v>
      </c>
      <c r="AH322" s="80">
        <f>IF(P322="","",IF(P322="SIM",VLOOKUP($I322&amp;$J322&amp;P$1,Pesos!$A:$I,7,FALSE),VLOOKUP($I322&amp;$J322&amp;P$1,Pesos!$A:$I,9,FALSE)))</f>
        <v>1</v>
      </c>
      <c r="AI322" s="80">
        <f>IF(Q322="","",IF(Q322="SIM",VLOOKUP($I322&amp;$J322&amp;Q$1,Pesos!$A:$I,7,FALSE),VLOOKUP($I322&amp;$J322&amp;Q$1,Pesos!$A:$I,9,FALSE)))</f>
        <v>1.1000000000000001</v>
      </c>
      <c r="AJ322" s="80">
        <f>IF(R322="","",IF(R322="SIM",VLOOKUP($I322&amp;$J322&amp;R$1,Pesos!$A:$I,7,FALSE),VLOOKUP($I322&amp;$J322&amp;R$1,Pesos!$A:$I,9,FALSE)))</f>
        <v>1.1000000000000001</v>
      </c>
      <c r="AK322" s="80">
        <f>IF(S322="","",IF(S322="SIM",VLOOKUP($I322&amp;$J322&amp;S$1,Pesos!$A:$I,7,FALSE),VLOOKUP($I322&amp;$J322&amp;S$1,Pesos!$A:$I,9,FALSE)))</f>
        <v>-5.5000000000000007E-2</v>
      </c>
      <c r="AL322" s="80">
        <f t="shared" si="50"/>
        <v>5.245000000000001</v>
      </c>
      <c r="AM322" s="80">
        <f>IF(T322="","",IF(T322="SIM",VLOOKUP($I322&amp;$J322&amp;T$1,Pesos!$A:$I,7,FALSE),VLOOKUP($I322&amp;$J322&amp;T$1,Pesos!$A:$I,9,FALSE)))</f>
        <v>-0.06</v>
      </c>
      <c r="AN322" s="80">
        <f>IF(U322="","",IF(U322="SIM",VLOOKUP($I322&amp;$J322&amp;U$1,Pesos!$A:$I,7,FALSE),VLOOKUP($I322&amp;$J322&amp;U$1,Pesos!$A:$I,9,FALSE)))</f>
        <v>-0.06</v>
      </c>
      <c r="AO322" s="80">
        <f>IF(V322="","",IF(V322="SIM",VLOOKUP($I322&amp;$J322&amp;V$1,Pesos!$A:$I,7,FALSE),VLOOKUP($I322&amp;$J322&amp;V$1,Pesos!$A:$I,9,FALSE)))</f>
        <v>1.2</v>
      </c>
      <c r="AP322" s="80" t="str">
        <f>IF(W322="","",IF(W322="SIM",VLOOKUP($I322&amp;$J322&amp;W$1,Pesos!$A:$I,7,FALSE),VLOOKUP($I322&amp;$J322&amp;W$1,Pesos!$A:$I,9,FALSE)))</f>
        <v/>
      </c>
      <c r="AQ322" s="80" t="str">
        <f>IF(X322="","",IF(X322="SIM",VLOOKUP($I322&amp;$J322&amp;X$1,Pesos!$A:$I,7,FALSE),VLOOKUP($I322&amp;$J322&amp;X$1,Pesos!$A:$I,9,FALSE)))</f>
        <v/>
      </c>
      <c r="AR322" s="80" t="str">
        <f>IF(Y322="","",IF(Y322="SIM",VLOOKUP($I322&amp;$J322&amp;Y$1,Pesos!$A:$I,7,FALSE),VLOOKUP($I322&amp;$J322&amp;Y$1,Pesos!$A:$I,9,FALSE)))</f>
        <v/>
      </c>
      <c r="AS322" s="81">
        <f>IFERROR(Z322*VLOOKUP(J322,'BD Campos'!$Y$1:$Z$12,2,FALSE),"0")</f>
        <v>6.325000000000002</v>
      </c>
    </row>
    <row r="323" spans="1:45" x14ac:dyDescent="0.35">
      <c r="A323" s="68" t="str">
        <f t="shared" si="51"/>
        <v>Jan202511056MotoristaLOGÍSTICA</v>
      </c>
      <c r="B323" s="69" t="str">
        <f t="shared" si="42"/>
        <v>Jan2025110562LOGÍSTICAPADRÃO</v>
      </c>
      <c r="C323" s="70">
        <v>1</v>
      </c>
      <c r="D323" s="71">
        <v>45680.367399305556</v>
      </c>
      <c r="E323" s="112" t="s">
        <v>74</v>
      </c>
      <c r="F323" s="72">
        <v>11056</v>
      </c>
      <c r="G323" s="69" t="s">
        <v>373</v>
      </c>
      <c r="H323" s="73">
        <v>2</v>
      </c>
      <c r="I323" s="69" t="s">
        <v>206</v>
      </c>
      <c r="J323" s="69" t="s">
        <v>122</v>
      </c>
      <c r="K323" s="69" t="s">
        <v>184</v>
      </c>
      <c r="L323" s="74"/>
      <c r="M323" s="75">
        <v>9.0277777777777784E-4</v>
      </c>
      <c r="N323" s="76" t="s">
        <v>79</v>
      </c>
      <c r="O323" s="76" t="s">
        <v>79</v>
      </c>
      <c r="P323" s="76" t="s">
        <v>79</v>
      </c>
      <c r="Q323" s="76" t="s">
        <v>79</v>
      </c>
      <c r="R323" s="76" t="s">
        <v>79</v>
      </c>
      <c r="S323" s="76" t="s">
        <v>79</v>
      </c>
      <c r="T323" s="76" t="s">
        <v>79</v>
      </c>
      <c r="U323" s="76" t="s">
        <v>79</v>
      </c>
      <c r="V323" s="76" t="s">
        <v>79</v>
      </c>
      <c r="W323" s="76" t="s">
        <v>83</v>
      </c>
      <c r="X323" s="76"/>
      <c r="Y323" s="76"/>
      <c r="Z323" s="77">
        <f t="shared" si="38"/>
        <v>8.9499999999999993</v>
      </c>
      <c r="AA323" s="78"/>
      <c r="AB323" s="78"/>
      <c r="AC323" s="72" t="s">
        <v>47</v>
      </c>
      <c r="AE323" s="79" t="str">
        <f t="shared" si="49"/>
        <v>Jan11056</v>
      </c>
      <c r="AF323" s="80">
        <f>IF(N323="","",IF(N323="SIM",VLOOKUP($I323&amp;$J323&amp;N$1,Pesos!$A:$I,7,FALSE),VLOOKUP($I323&amp;$J323&amp;N$1,Pesos!$A:$I,9,FALSE)))</f>
        <v>0.8</v>
      </c>
      <c r="AG323" s="80">
        <f>IF(O323="","",IF(O323="SIM",VLOOKUP($I323&amp;$J323&amp;O$1,Pesos!$A:$I,7,FALSE),VLOOKUP($I323&amp;$J323&amp;O$1,Pesos!$A:$I,9,FALSE)))</f>
        <v>0.8</v>
      </c>
      <c r="AH323" s="80">
        <f>IF(P323="","",IF(P323="SIM",VLOOKUP($I323&amp;$J323&amp;P$1,Pesos!$A:$I,7,FALSE),VLOOKUP($I323&amp;$J323&amp;P$1,Pesos!$A:$I,9,FALSE)))</f>
        <v>0.8</v>
      </c>
      <c r="AI323" s="80">
        <f>IF(Q323="","",IF(Q323="SIM",VLOOKUP($I323&amp;$J323&amp;Q$1,Pesos!$A:$I,7,FALSE),VLOOKUP($I323&amp;$J323&amp;Q$1,Pesos!$A:$I,9,FALSE)))</f>
        <v>1</v>
      </c>
      <c r="AJ323" s="80">
        <f>IF(R323="","",IF(R323="SIM",VLOOKUP($I323&amp;$J323&amp;R$1,Pesos!$A:$I,7,FALSE),VLOOKUP($I323&amp;$J323&amp;R$1,Pesos!$A:$I,9,FALSE)))</f>
        <v>1</v>
      </c>
      <c r="AK323" s="80">
        <f>IF(S323="","",IF(S323="SIM",VLOOKUP($I323&amp;$J323&amp;S$1,Pesos!$A:$I,7,FALSE),VLOOKUP($I323&amp;$J323&amp;S$1,Pesos!$A:$I,9,FALSE)))</f>
        <v>1</v>
      </c>
      <c r="AL323" s="80">
        <f t="shared" si="50"/>
        <v>5.4</v>
      </c>
      <c r="AM323" s="80">
        <f>IF(T323="","",IF(T323="SIM",VLOOKUP($I323&amp;$J323&amp;T$1,Pesos!$A:$I,7,FALSE),VLOOKUP($I323&amp;$J323&amp;T$1,Pesos!$A:$I,9,FALSE)))</f>
        <v>1.2</v>
      </c>
      <c r="AN323" s="80">
        <f>IF(U323="","",IF(U323="SIM",VLOOKUP($I323&amp;$J323&amp;U$1,Pesos!$A:$I,7,FALSE),VLOOKUP($I323&amp;$J323&amp;U$1,Pesos!$A:$I,9,FALSE)))</f>
        <v>1.2</v>
      </c>
      <c r="AO323" s="80">
        <f>IF(V323="","",IF(V323="SIM",VLOOKUP($I323&amp;$J323&amp;V$1,Pesos!$A:$I,7,FALSE),VLOOKUP($I323&amp;$J323&amp;V$1,Pesos!$A:$I,9,FALSE)))</f>
        <v>1.2</v>
      </c>
      <c r="AP323" s="80">
        <f>IF(W323="","",IF(W323="SIM",VLOOKUP($I323&amp;$J323&amp;W$1,Pesos!$A:$I,7,FALSE),VLOOKUP($I323&amp;$J323&amp;W$1,Pesos!$A:$I,9,FALSE)))</f>
        <v>-0.05</v>
      </c>
      <c r="AQ323" s="80" t="str">
        <f>IF(X323="","",IF(X323="SIM",VLOOKUP($I323&amp;$J323&amp;X$1,Pesos!$A:$I,7,FALSE),VLOOKUP($I323&amp;$J323&amp;X$1,Pesos!$A:$I,9,FALSE)))</f>
        <v/>
      </c>
      <c r="AR323" s="80" t="str">
        <f>IF(Y323="","",IF(Y323="SIM",VLOOKUP($I323&amp;$J323&amp;Y$1,Pesos!$A:$I,7,FALSE),VLOOKUP($I323&amp;$J323&amp;Y$1,Pesos!$A:$I,9,FALSE)))</f>
        <v/>
      </c>
      <c r="AS323" s="81">
        <f>IFERROR(Z323*VLOOKUP(J323,'BD Campos'!$Y$1:$Z$12,2,FALSE),"0")</f>
        <v>8.9499999999999993</v>
      </c>
    </row>
    <row r="324" spans="1:45" x14ac:dyDescent="0.35">
      <c r="A324" s="68" t="str">
        <f t="shared" si="51"/>
        <v>Jan202511074MotoristaLOGÍSTICA</v>
      </c>
      <c r="B324" s="69" t="str">
        <f t="shared" si="42"/>
        <v>Jan2025110741LOGÍSTICAPADRÃO</v>
      </c>
      <c r="C324" s="70">
        <v>1</v>
      </c>
      <c r="D324" s="71">
        <v>45680.371777083332</v>
      </c>
      <c r="E324" s="112" t="s">
        <v>74</v>
      </c>
      <c r="F324" s="72">
        <v>11074</v>
      </c>
      <c r="G324" s="69" t="s">
        <v>400</v>
      </c>
      <c r="H324" s="73">
        <v>1</v>
      </c>
      <c r="I324" s="69" t="s">
        <v>206</v>
      </c>
      <c r="J324" s="69" t="s">
        <v>122</v>
      </c>
      <c r="K324" s="69" t="s">
        <v>184</v>
      </c>
      <c r="L324" s="74"/>
      <c r="M324" s="75">
        <v>1.5624999999999999E-3</v>
      </c>
      <c r="N324" s="76" t="s">
        <v>79</v>
      </c>
      <c r="O324" s="76" t="s">
        <v>79</v>
      </c>
      <c r="P324" s="76" t="s">
        <v>79</v>
      </c>
      <c r="Q324" s="76" t="s">
        <v>79</v>
      </c>
      <c r="R324" s="76" t="s">
        <v>79</v>
      </c>
      <c r="S324" s="76" t="s">
        <v>79</v>
      </c>
      <c r="T324" s="76" t="s">
        <v>79</v>
      </c>
      <c r="U324" s="76" t="s">
        <v>79</v>
      </c>
      <c r="V324" s="76" t="s">
        <v>79</v>
      </c>
      <c r="W324" s="76" t="s">
        <v>83</v>
      </c>
      <c r="X324" s="76"/>
      <c r="Y324" s="76"/>
      <c r="Z324" s="77">
        <f t="shared" si="38"/>
        <v>8.9499999999999993</v>
      </c>
      <c r="AA324" s="78"/>
      <c r="AB324" s="78"/>
      <c r="AC324" s="72" t="s">
        <v>47</v>
      </c>
      <c r="AE324" s="79" t="str">
        <f t="shared" si="49"/>
        <v>Jan11074</v>
      </c>
      <c r="AF324" s="80">
        <f>IF(N324="","",IF(N324="SIM",VLOOKUP($I324&amp;$J324&amp;N$1,Pesos!$A:$I,7,FALSE),VLOOKUP($I324&amp;$J324&amp;N$1,Pesos!$A:$I,9,FALSE)))</f>
        <v>0.8</v>
      </c>
      <c r="AG324" s="80">
        <f>IF(O324="","",IF(O324="SIM",VLOOKUP($I324&amp;$J324&amp;O$1,Pesos!$A:$I,7,FALSE),VLOOKUP($I324&amp;$J324&amp;O$1,Pesos!$A:$I,9,FALSE)))</f>
        <v>0.8</v>
      </c>
      <c r="AH324" s="80">
        <f>IF(P324="","",IF(P324="SIM",VLOOKUP($I324&amp;$J324&amp;P$1,Pesos!$A:$I,7,FALSE),VLOOKUP($I324&amp;$J324&amp;P$1,Pesos!$A:$I,9,FALSE)))</f>
        <v>0.8</v>
      </c>
      <c r="AI324" s="80">
        <f>IF(Q324="","",IF(Q324="SIM",VLOOKUP($I324&amp;$J324&amp;Q$1,Pesos!$A:$I,7,FALSE),VLOOKUP($I324&amp;$J324&amp;Q$1,Pesos!$A:$I,9,FALSE)))</f>
        <v>1</v>
      </c>
      <c r="AJ324" s="80">
        <f>IF(R324="","",IF(R324="SIM",VLOOKUP($I324&amp;$J324&amp;R$1,Pesos!$A:$I,7,FALSE),VLOOKUP($I324&amp;$J324&amp;R$1,Pesos!$A:$I,9,FALSE)))</f>
        <v>1</v>
      </c>
      <c r="AK324" s="80">
        <f>IF(S324="","",IF(S324="SIM",VLOOKUP($I324&amp;$J324&amp;S$1,Pesos!$A:$I,7,FALSE),VLOOKUP($I324&amp;$J324&amp;S$1,Pesos!$A:$I,9,FALSE)))</f>
        <v>1</v>
      </c>
      <c r="AL324" s="80">
        <f t="shared" si="50"/>
        <v>5.4</v>
      </c>
      <c r="AM324" s="80">
        <f>IF(T324="","",IF(T324="SIM",VLOOKUP($I324&amp;$J324&amp;T$1,Pesos!$A:$I,7,FALSE),VLOOKUP($I324&amp;$J324&amp;T$1,Pesos!$A:$I,9,FALSE)))</f>
        <v>1.2</v>
      </c>
      <c r="AN324" s="80">
        <f>IF(U324="","",IF(U324="SIM",VLOOKUP($I324&amp;$J324&amp;U$1,Pesos!$A:$I,7,FALSE),VLOOKUP($I324&amp;$J324&amp;U$1,Pesos!$A:$I,9,FALSE)))</f>
        <v>1.2</v>
      </c>
      <c r="AO324" s="80">
        <f>IF(V324="","",IF(V324="SIM",VLOOKUP($I324&amp;$J324&amp;V$1,Pesos!$A:$I,7,FALSE),VLOOKUP($I324&amp;$J324&amp;V$1,Pesos!$A:$I,9,FALSE)))</f>
        <v>1.2</v>
      </c>
      <c r="AP324" s="80">
        <f>IF(W324="","",IF(W324="SIM",VLOOKUP($I324&amp;$J324&amp;W$1,Pesos!$A:$I,7,FALSE),VLOOKUP($I324&amp;$J324&amp;W$1,Pesos!$A:$I,9,FALSE)))</f>
        <v>-0.05</v>
      </c>
      <c r="AQ324" s="80" t="str">
        <f>IF(X324="","",IF(X324="SIM",VLOOKUP($I324&amp;$J324&amp;X$1,Pesos!$A:$I,7,FALSE),VLOOKUP($I324&amp;$J324&amp;X$1,Pesos!$A:$I,9,FALSE)))</f>
        <v/>
      </c>
      <c r="AR324" s="80" t="str">
        <f>IF(Y324="","",IF(Y324="SIM",VLOOKUP($I324&amp;$J324&amp;Y$1,Pesos!$A:$I,7,FALSE),VLOOKUP($I324&amp;$J324&amp;Y$1,Pesos!$A:$I,9,FALSE)))</f>
        <v/>
      </c>
      <c r="AS324" s="81">
        <f>IFERROR(Z324*VLOOKUP(J324,'BD Campos'!$Y$1:$Z$12,2,FALSE),"0")</f>
        <v>8.9499999999999993</v>
      </c>
    </row>
    <row r="325" spans="1:45" x14ac:dyDescent="0.35">
      <c r="A325" s="68" t="str">
        <f t="shared" si="51"/>
        <v>Jan202511074ClienteLOGÍSTICA</v>
      </c>
      <c r="B325" s="69" t="str">
        <f t="shared" si="42"/>
        <v>Jan2025110742LOGÍSTICAPADRÃO</v>
      </c>
      <c r="C325" s="70">
        <v>1</v>
      </c>
      <c r="D325" s="71">
        <v>45680.377599305553</v>
      </c>
      <c r="E325" s="112" t="s">
        <v>74</v>
      </c>
      <c r="F325" s="72">
        <v>11074</v>
      </c>
      <c r="G325" s="69" t="s">
        <v>400</v>
      </c>
      <c r="H325" s="73">
        <v>2</v>
      </c>
      <c r="I325" s="69" t="s">
        <v>206</v>
      </c>
      <c r="J325" s="69" t="s">
        <v>124</v>
      </c>
      <c r="K325" s="69" t="s">
        <v>184</v>
      </c>
      <c r="L325" s="74"/>
      <c r="M325" s="75">
        <v>1.5393518518518519E-3</v>
      </c>
      <c r="N325" s="76" t="s">
        <v>79</v>
      </c>
      <c r="O325" s="76" t="s">
        <v>79</v>
      </c>
      <c r="P325" s="76" t="s">
        <v>79</v>
      </c>
      <c r="Q325" s="76" t="s">
        <v>79</v>
      </c>
      <c r="R325" s="76" t="s">
        <v>79</v>
      </c>
      <c r="S325" s="76" t="s">
        <v>79</v>
      </c>
      <c r="T325" s="76" t="s">
        <v>79</v>
      </c>
      <c r="U325" s="76" t="s">
        <v>79</v>
      </c>
      <c r="V325" s="76" t="s">
        <v>83</v>
      </c>
      <c r="W325" s="76"/>
      <c r="X325" s="76"/>
      <c r="Y325" s="76"/>
      <c r="Z325" s="77">
        <f t="shared" si="38"/>
        <v>8.74</v>
      </c>
      <c r="AA325" s="78"/>
      <c r="AB325" s="78"/>
      <c r="AC325" s="72" t="s">
        <v>47</v>
      </c>
      <c r="AE325" s="79" t="str">
        <f t="shared" si="49"/>
        <v>Jan11074</v>
      </c>
      <c r="AF325" s="80">
        <f>IF(N325="","",IF(N325="SIM",VLOOKUP($I325&amp;$J325&amp;N$1,Pesos!$A:$I,7,FALSE),VLOOKUP($I325&amp;$J325&amp;N$1,Pesos!$A:$I,9,FALSE)))</f>
        <v>1.1000000000000001</v>
      </c>
      <c r="AG325" s="80">
        <f>IF(O325="","",IF(O325="SIM",VLOOKUP($I325&amp;$J325&amp;O$1,Pesos!$A:$I,7,FALSE),VLOOKUP($I325&amp;$J325&amp;O$1,Pesos!$A:$I,9,FALSE)))</f>
        <v>1</v>
      </c>
      <c r="AH325" s="80">
        <f>IF(P325="","",IF(P325="SIM",VLOOKUP($I325&amp;$J325&amp;P$1,Pesos!$A:$I,7,FALSE),VLOOKUP($I325&amp;$J325&amp;P$1,Pesos!$A:$I,9,FALSE)))</f>
        <v>1</v>
      </c>
      <c r="AI325" s="80">
        <f>IF(Q325="","",IF(Q325="SIM",VLOOKUP($I325&amp;$J325&amp;Q$1,Pesos!$A:$I,7,FALSE),VLOOKUP($I325&amp;$J325&amp;Q$1,Pesos!$A:$I,9,FALSE)))</f>
        <v>1.1000000000000001</v>
      </c>
      <c r="AJ325" s="80">
        <f>IF(R325="","",IF(R325="SIM",VLOOKUP($I325&amp;$J325&amp;R$1,Pesos!$A:$I,7,FALSE),VLOOKUP($I325&amp;$J325&amp;R$1,Pesos!$A:$I,9,FALSE)))</f>
        <v>1.1000000000000001</v>
      </c>
      <c r="AK325" s="80">
        <f>IF(S325="","",IF(S325="SIM",VLOOKUP($I325&amp;$J325&amp;S$1,Pesos!$A:$I,7,FALSE),VLOOKUP($I325&amp;$J325&amp;S$1,Pesos!$A:$I,9,FALSE)))</f>
        <v>1.1000000000000001</v>
      </c>
      <c r="AL325" s="80">
        <f t="shared" si="50"/>
        <v>6.4</v>
      </c>
      <c r="AM325" s="80">
        <f>IF(T325="","",IF(T325="SIM",VLOOKUP($I325&amp;$J325&amp;T$1,Pesos!$A:$I,7,FALSE),VLOOKUP($I325&amp;$J325&amp;T$1,Pesos!$A:$I,9,FALSE)))</f>
        <v>1.2</v>
      </c>
      <c r="AN325" s="80">
        <f>IF(U325="","",IF(U325="SIM",VLOOKUP($I325&amp;$J325&amp;U$1,Pesos!$A:$I,7,FALSE),VLOOKUP($I325&amp;$J325&amp;U$1,Pesos!$A:$I,9,FALSE)))</f>
        <v>1.2</v>
      </c>
      <c r="AO325" s="80">
        <f>IF(V325="","",IF(V325="SIM",VLOOKUP($I325&amp;$J325&amp;V$1,Pesos!$A:$I,7,FALSE),VLOOKUP($I325&amp;$J325&amp;V$1,Pesos!$A:$I,9,FALSE)))</f>
        <v>-0.06</v>
      </c>
      <c r="AP325" s="80" t="str">
        <f>IF(W325="","",IF(W325="SIM",VLOOKUP($I325&amp;$J325&amp;W$1,Pesos!$A:$I,7,FALSE),VLOOKUP($I325&amp;$J325&amp;W$1,Pesos!$A:$I,9,FALSE)))</f>
        <v/>
      </c>
      <c r="AQ325" s="80" t="str">
        <f>IF(X325="","",IF(X325="SIM",VLOOKUP($I325&amp;$J325&amp;X$1,Pesos!$A:$I,7,FALSE),VLOOKUP($I325&amp;$J325&amp;X$1,Pesos!$A:$I,9,FALSE)))</f>
        <v/>
      </c>
      <c r="AR325" s="80" t="str">
        <f>IF(Y325="","",IF(Y325="SIM",VLOOKUP($I325&amp;$J325&amp;Y$1,Pesos!$A:$I,7,FALSE),VLOOKUP($I325&amp;$J325&amp;Y$1,Pesos!$A:$I,9,FALSE)))</f>
        <v/>
      </c>
      <c r="AS325" s="81">
        <f>IFERROR(Z325*VLOOKUP(J325,'BD Campos'!$Y$1:$Z$12,2,FALSE),"0")</f>
        <v>8.74</v>
      </c>
    </row>
    <row r="326" spans="1:45" x14ac:dyDescent="0.35">
      <c r="A326" s="68" t="str">
        <f t="shared" si="51"/>
        <v>Jan20254184ClienteLOGÍSTICA</v>
      </c>
      <c r="B326" s="69" t="str">
        <f t="shared" si="42"/>
        <v>Jan202541841LOGÍSTICAPADRÃO</v>
      </c>
      <c r="C326" s="70">
        <v>1</v>
      </c>
      <c r="D326" s="71">
        <v>45680.388267129631</v>
      </c>
      <c r="E326" s="112" t="s">
        <v>74</v>
      </c>
      <c r="F326" s="72">
        <v>4184</v>
      </c>
      <c r="G326" s="69" t="s">
        <v>225</v>
      </c>
      <c r="H326" s="73">
        <v>1</v>
      </c>
      <c r="I326" s="69" t="s">
        <v>203</v>
      </c>
      <c r="J326" s="69" t="s">
        <v>124</v>
      </c>
      <c r="K326" s="69" t="s">
        <v>184</v>
      </c>
      <c r="L326" s="74"/>
      <c r="M326" s="75">
        <v>1.4930555555555556E-3</v>
      </c>
      <c r="N326" s="76" t="s">
        <v>79</v>
      </c>
      <c r="O326" s="76" t="s">
        <v>79</v>
      </c>
      <c r="P326" s="76" t="s">
        <v>79</v>
      </c>
      <c r="Q326" s="76" t="s">
        <v>79</v>
      </c>
      <c r="R326" s="76" t="s">
        <v>79</v>
      </c>
      <c r="S326" s="76" t="s">
        <v>79</v>
      </c>
      <c r="T326" s="76" t="s">
        <v>79</v>
      </c>
      <c r="U326" s="76" t="s">
        <v>79</v>
      </c>
      <c r="V326" s="76" t="s">
        <v>79</v>
      </c>
      <c r="W326" s="76" t="s">
        <v>79</v>
      </c>
      <c r="X326" s="76"/>
      <c r="Y326" s="76"/>
      <c r="Z326" s="77">
        <f t="shared" si="38"/>
        <v>9.9999999999999982</v>
      </c>
      <c r="AA326" s="78"/>
      <c r="AB326" s="78"/>
      <c r="AC326" s="72" t="s">
        <v>47</v>
      </c>
      <c r="AE326" s="79" t="str">
        <f t="shared" si="49"/>
        <v>Jan4184</v>
      </c>
      <c r="AF326" s="80">
        <f>IF(N326="","",IF(N326="SIM",VLOOKUP($I326&amp;$J326&amp;N$1,Pesos!$A:$I,7,FALSE),VLOOKUP($I326&amp;$J326&amp;N$1,Pesos!$A:$I,9,FALSE)))</f>
        <v>0.89999999999999991</v>
      </c>
      <c r="AG326" s="80">
        <f>IF(O326="","",IF(O326="SIM",VLOOKUP($I326&amp;$J326&amp;O$1,Pesos!$A:$I,7,FALSE),VLOOKUP($I326&amp;$J326&amp;O$1,Pesos!$A:$I,9,FALSE)))</f>
        <v>0.89999999999999991</v>
      </c>
      <c r="AH326" s="80">
        <f>IF(P326="","",IF(P326="SIM",VLOOKUP($I326&amp;$J326&amp;P$1,Pesos!$A:$I,7,FALSE),VLOOKUP($I326&amp;$J326&amp;P$1,Pesos!$A:$I,9,FALSE)))</f>
        <v>0.89999999999999991</v>
      </c>
      <c r="AI326" s="80">
        <f>IF(Q326="","",IF(Q326="SIM",VLOOKUP($I326&amp;$J326&amp;Q$1,Pesos!$A:$I,7,FALSE),VLOOKUP($I326&amp;$J326&amp;Q$1,Pesos!$A:$I,9,FALSE)))</f>
        <v>0.89999999999999991</v>
      </c>
      <c r="AJ326" s="80">
        <f>IF(R326="","",IF(R326="SIM",VLOOKUP($I326&amp;$J326&amp;R$1,Pesos!$A:$I,7,FALSE),VLOOKUP($I326&amp;$J326&amp;R$1,Pesos!$A:$I,9,FALSE)))</f>
        <v>1</v>
      </c>
      <c r="AK326" s="80">
        <f>IF(S326="","",IF(S326="SIM",VLOOKUP($I326&amp;$J326&amp;S$1,Pesos!$A:$I,7,FALSE),VLOOKUP($I326&amp;$J326&amp;S$1,Pesos!$A:$I,9,FALSE)))</f>
        <v>1</v>
      </c>
      <c r="AL326" s="80">
        <f t="shared" si="50"/>
        <v>5.6</v>
      </c>
      <c r="AM326" s="80">
        <f>IF(T326="","",IF(T326="SIM",VLOOKUP($I326&amp;$J326&amp;T$1,Pesos!$A:$I,7,FALSE),VLOOKUP($I326&amp;$J326&amp;T$1,Pesos!$A:$I,9,FALSE)))</f>
        <v>1.1000000000000001</v>
      </c>
      <c r="AN326" s="80">
        <f>IF(U326="","",IF(U326="SIM",VLOOKUP($I326&amp;$J326&amp;U$1,Pesos!$A:$I,7,FALSE),VLOOKUP($I326&amp;$J326&amp;U$1,Pesos!$A:$I,9,FALSE)))</f>
        <v>1.1000000000000001</v>
      </c>
      <c r="AO326" s="80">
        <f>IF(V326="","",IF(V326="SIM",VLOOKUP($I326&amp;$J326&amp;V$1,Pesos!$A:$I,7,FALSE),VLOOKUP($I326&amp;$J326&amp;V$1,Pesos!$A:$I,9,FALSE)))</f>
        <v>1.1000000000000001</v>
      </c>
      <c r="AP326" s="80">
        <f>IF(W326="","",IF(W326="SIM",VLOOKUP($I326&amp;$J326&amp;W$1,Pesos!$A:$I,7,FALSE),VLOOKUP($I326&amp;$J326&amp;W$1,Pesos!$A:$I,9,FALSE)))</f>
        <v>1.1000000000000001</v>
      </c>
      <c r="AQ326" s="80" t="str">
        <f>IF(X326="","",IF(X326="SIM",VLOOKUP($I326&amp;$J326&amp;X$1,Pesos!$A:$I,7,FALSE),VLOOKUP($I326&amp;$J326&amp;X$1,Pesos!$A:$I,9,FALSE)))</f>
        <v/>
      </c>
      <c r="AR326" s="80" t="str">
        <f>IF(Y326="","",IF(Y326="SIM",VLOOKUP($I326&amp;$J326&amp;Y$1,Pesos!$A:$I,7,FALSE),VLOOKUP($I326&amp;$J326&amp;Y$1,Pesos!$A:$I,9,FALSE)))</f>
        <v/>
      </c>
      <c r="AS326" s="81">
        <f>IFERROR(Z326*VLOOKUP(J326,'BD Campos'!$Y$1:$Z$12,2,FALSE),"0")</f>
        <v>9.9999999999999982</v>
      </c>
    </row>
    <row r="327" spans="1:45" x14ac:dyDescent="0.35">
      <c r="A327" s="68" t="str">
        <f t="shared" si="51"/>
        <v>Jan20254184MotoristaLOGÍSTICA</v>
      </c>
      <c r="B327" s="69" t="str">
        <f t="shared" si="42"/>
        <v>Jan202541842LOGÍSTICAPADRÃO</v>
      </c>
      <c r="C327" s="70">
        <v>1</v>
      </c>
      <c r="D327" s="71">
        <v>45680.39854652778</v>
      </c>
      <c r="E327" s="112" t="s">
        <v>74</v>
      </c>
      <c r="F327" s="72">
        <v>4184</v>
      </c>
      <c r="G327" s="69" t="s">
        <v>225</v>
      </c>
      <c r="H327" s="73">
        <v>2</v>
      </c>
      <c r="I327" s="69" t="s">
        <v>203</v>
      </c>
      <c r="J327" s="69" t="s">
        <v>122</v>
      </c>
      <c r="K327" s="69" t="s">
        <v>184</v>
      </c>
      <c r="L327" s="74"/>
      <c r="M327" s="75">
        <v>1.7476851851851852E-3</v>
      </c>
      <c r="N327" s="76" t="s">
        <v>79</v>
      </c>
      <c r="O327" s="76" t="s">
        <v>79</v>
      </c>
      <c r="P327" s="76" t="s">
        <v>79</v>
      </c>
      <c r="Q327" s="76" t="s">
        <v>79</v>
      </c>
      <c r="R327" s="76" t="s">
        <v>79</v>
      </c>
      <c r="S327" s="76" t="s">
        <v>79</v>
      </c>
      <c r="T327" s="76" t="s">
        <v>79</v>
      </c>
      <c r="U327" s="76" t="s">
        <v>79</v>
      </c>
      <c r="V327" s="76" t="s">
        <v>79</v>
      </c>
      <c r="W327" s="76"/>
      <c r="X327" s="76"/>
      <c r="Y327" s="76"/>
      <c r="Z327" s="77">
        <f t="shared" si="38"/>
        <v>10</v>
      </c>
      <c r="AA327" s="78"/>
      <c r="AB327" s="78"/>
      <c r="AC327" s="72" t="s">
        <v>47</v>
      </c>
      <c r="AE327" s="79" t="str">
        <f t="shared" si="49"/>
        <v>Jan4184</v>
      </c>
      <c r="AF327" s="80">
        <f>IF(N327="","",IF(N327="SIM",VLOOKUP($I327&amp;$J327&amp;N$1,Pesos!$A:$I,7,FALSE),VLOOKUP($I327&amp;$J327&amp;N$1,Pesos!$A:$I,9,FALSE)))</f>
        <v>1</v>
      </c>
      <c r="AG327" s="80">
        <f>IF(O327="","",IF(O327="SIM",VLOOKUP($I327&amp;$J327&amp;O$1,Pesos!$A:$I,7,FALSE),VLOOKUP($I327&amp;$J327&amp;O$1,Pesos!$A:$I,9,FALSE)))</f>
        <v>1</v>
      </c>
      <c r="AH327" s="80">
        <f>IF(P327="","",IF(P327="SIM",VLOOKUP($I327&amp;$J327&amp;P$1,Pesos!$A:$I,7,FALSE),VLOOKUP($I327&amp;$J327&amp;P$1,Pesos!$A:$I,9,FALSE)))</f>
        <v>1</v>
      </c>
      <c r="AI327" s="80">
        <f>IF(Q327="","",IF(Q327="SIM",VLOOKUP($I327&amp;$J327&amp;Q$1,Pesos!$A:$I,7,FALSE),VLOOKUP($I327&amp;$J327&amp;Q$1,Pesos!$A:$I,9,FALSE)))</f>
        <v>1</v>
      </c>
      <c r="AJ327" s="80">
        <f>IF(R327="","",IF(R327="SIM",VLOOKUP($I327&amp;$J327&amp;R$1,Pesos!$A:$I,7,FALSE),VLOOKUP($I327&amp;$J327&amp;R$1,Pesos!$A:$I,9,FALSE)))</f>
        <v>1</v>
      </c>
      <c r="AK327" s="80">
        <f>IF(S327="","",IF(S327="SIM",VLOOKUP($I327&amp;$J327&amp;S$1,Pesos!$A:$I,7,FALSE),VLOOKUP($I327&amp;$J327&amp;S$1,Pesos!$A:$I,9,FALSE)))</f>
        <v>1</v>
      </c>
      <c r="AL327" s="80">
        <f t="shared" si="50"/>
        <v>6</v>
      </c>
      <c r="AM327" s="80">
        <f>IF(T327="","",IF(T327="SIM",VLOOKUP($I327&amp;$J327&amp;T$1,Pesos!$A:$I,7,FALSE),VLOOKUP($I327&amp;$J327&amp;T$1,Pesos!$A:$I,9,FALSE)))</f>
        <v>1</v>
      </c>
      <c r="AN327" s="80">
        <f>IF(U327="","",IF(U327="SIM",VLOOKUP($I327&amp;$J327&amp;U$1,Pesos!$A:$I,7,FALSE),VLOOKUP($I327&amp;$J327&amp;U$1,Pesos!$A:$I,9,FALSE)))</f>
        <v>1</v>
      </c>
      <c r="AO327" s="80">
        <f>IF(V327="","",IF(V327="SIM",VLOOKUP($I327&amp;$J327&amp;V$1,Pesos!$A:$I,7,FALSE),VLOOKUP($I327&amp;$J327&amp;V$1,Pesos!$A:$I,9,FALSE)))</f>
        <v>2</v>
      </c>
      <c r="AP327" s="80" t="str">
        <f>IF(W327="","",IF(W327="SIM",VLOOKUP($I327&amp;$J327&amp;W$1,Pesos!$A:$I,7,FALSE),VLOOKUP($I327&amp;$J327&amp;W$1,Pesos!$A:$I,9,FALSE)))</f>
        <v/>
      </c>
      <c r="AQ327" s="80" t="str">
        <f>IF(X327="","",IF(X327="SIM",VLOOKUP($I327&amp;$J327&amp;X$1,Pesos!$A:$I,7,FALSE),VLOOKUP($I327&amp;$J327&amp;X$1,Pesos!$A:$I,9,FALSE)))</f>
        <v/>
      </c>
      <c r="AR327" s="80" t="str">
        <f>IF(Y327="","",IF(Y327="SIM",VLOOKUP($I327&amp;$J327&amp;Y$1,Pesos!$A:$I,7,FALSE),VLOOKUP($I327&amp;$J327&amp;Y$1,Pesos!$A:$I,9,FALSE)))</f>
        <v/>
      </c>
      <c r="AS327" s="81">
        <f>IFERROR(Z327*VLOOKUP(J327,'BD Campos'!$Y$1:$Z$12,2,FALSE),"0")</f>
        <v>10</v>
      </c>
    </row>
    <row r="328" spans="1:45" x14ac:dyDescent="0.35">
      <c r="A328" s="68" t="str">
        <f t="shared" si="51"/>
        <v>Jan202511081ClienteLOGÍSTICA</v>
      </c>
      <c r="B328" s="69" t="str">
        <f t="shared" si="42"/>
        <v>Jan2025110811LOGÍSTICAPADRÃO</v>
      </c>
      <c r="C328" s="70">
        <v>1</v>
      </c>
      <c r="D328" s="71">
        <v>45680.424895023149</v>
      </c>
      <c r="E328" s="112" t="s">
        <v>74</v>
      </c>
      <c r="F328" s="72">
        <v>11081</v>
      </c>
      <c r="G328" s="69" t="s">
        <v>407</v>
      </c>
      <c r="H328" s="73">
        <v>1</v>
      </c>
      <c r="I328" s="69" t="s">
        <v>206</v>
      </c>
      <c r="J328" s="69" t="s">
        <v>124</v>
      </c>
      <c r="K328" s="69" t="s">
        <v>184</v>
      </c>
      <c r="L328" s="74"/>
      <c r="M328" s="75">
        <v>1.6585648148148148E-2</v>
      </c>
      <c r="N328" s="76"/>
      <c r="O328" s="76"/>
      <c r="P328" s="76"/>
      <c r="Q328" s="76"/>
      <c r="R328" s="76"/>
      <c r="S328" s="76"/>
      <c r="T328" s="76"/>
      <c r="U328" s="76"/>
      <c r="V328" s="76"/>
      <c r="W328" s="76"/>
      <c r="X328" s="76"/>
      <c r="Y328" s="76"/>
      <c r="Z328" s="77">
        <f t="shared" si="38"/>
        <v>0</v>
      </c>
      <c r="AA328" s="78"/>
      <c r="AB328" s="78"/>
      <c r="AC328" s="72" t="s">
        <v>47</v>
      </c>
      <c r="AE328" s="79" t="str">
        <f t="shared" si="49"/>
        <v>Jan11081</v>
      </c>
      <c r="AF328" s="80" t="str">
        <f>IF(N328="","",IF(N328="SIM",VLOOKUP($I328&amp;$J328&amp;N$1,Pesos!$A:$I,7,FALSE),VLOOKUP($I328&amp;$J328&amp;N$1,Pesos!$A:$I,9,FALSE)))</f>
        <v/>
      </c>
      <c r="AG328" s="80" t="str">
        <f>IF(O328="","",IF(O328="SIM",VLOOKUP($I328&amp;$J328&amp;O$1,Pesos!$A:$I,7,FALSE),VLOOKUP($I328&amp;$J328&amp;O$1,Pesos!$A:$I,9,FALSE)))</f>
        <v/>
      </c>
      <c r="AH328" s="80" t="str">
        <f>IF(P328="","",IF(P328="SIM",VLOOKUP($I328&amp;$J328&amp;P$1,Pesos!$A:$I,7,FALSE),VLOOKUP($I328&amp;$J328&amp;P$1,Pesos!$A:$I,9,FALSE)))</f>
        <v/>
      </c>
      <c r="AI328" s="80" t="str">
        <f>IF(Q328="","",IF(Q328="SIM",VLOOKUP($I328&amp;$J328&amp;Q$1,Pesos!$A:$I,7,FALSE),VLOOKUP($I328&amp;$J328&amp;Q$1,Pesos!$A:$I,9,FALSE)))</f>
        <v/>
      </c>
      <c r="AJ328" s="80" t="str">
        <f>IF(R328="","",IF(R328="SIM",VLOOKUP($I328&amp;$J328&amp;R$1,Pesos!$A:$I,7,FALSE),VLOOKUP($I328&amp;$J328&amp;R$1,Pesos!$A:$I,9,FALSE)))</f>
        <v/>
      </c>
      <c r="AK328" s="80" t="str">
        <f>IF(S328="","",IF(S328="SIM",VLOOKUP($I328&amp;$J328&amp;S$1,Pesos!$A:$I,7,FALSE),VLOOKUP($I328&amp;$J328&amp;S$1,Pesos!$A:$I,9,FALSE)))</f>
        <v/>
      </c>
      <c r="AL328" s="80">
        <f t="shared" si="50"/>
        <v>0</v>
      </c>
      <c r="AM328" s="80" t="str">
        <f>IF(T328="","",IF(T328="SIM",VLOOKUP($I328&amp;$J328&amp;T$1,Pesos!$A:$I,7,FALSE),VLOOKUP($I328&amp;$J328&amp;T$1,Pesos!$A:$I,9,FALSE)))</f>
        <v/>
      </c>
      <c r="AN328" s="80" t="str">
        <f>IF(U328="","",IF(U328="SIM",VLOOKUP($I328&amp;$J328&amp;U$1,Pesos!$A:$I,7,FALSE),VLOOKUP($I328&amp;$J328&amp;U$1,Pesos!$A:$I,9,FALSE)))</f>
        <v/>
      </c>
      <c r="AO328" s="80" t="str">
        <f>IF(V328="","",IF(V328="SIM",VLOOKUP($I328&amp;$J328&amp;V$1,Pesos!$A:$I,7,FALSE),VLOOKUP($I328&amp;$J328&amp;V$1,Pesos!$A:$I,9,FALSE)))</f>
        <v/>
      </c>
      <c r="AP328" s="80" t="str">
        <f>IF(W328="","",IF(W328="SIM",VLOOKUP($I328&amp;$J328&amp;W$1,Pesos!$A:$I,7,FALSE),VLOOKUP($I328&amp;$J328&amp;W$1,Pesos!$A:$I,9,FALSE)))</f>
        <v/>
      </c>
      <c r="AQ328" s="80" t="str">
        <f>IF(X328="","",IF(X328="SIM",VLOOKUP($I328&amp;$J328&amp;X$1,Pesos!$A:$I,7,FALSE),VLOOKUP($I328&amp;$J328&amp;X$1,Pesos!$A:$I,9,FALSE)))</f>
        <v/>
      </c>
      <c r="AR328" s="80" t="str">
        <f>IF(Y328="","",IF(Y328="SIM",VLOOKUP($I328&amp;$J328&amp;Y$1,Pesos!$A:$I,7,FALSE),VLOOKUP($I328&amp;$J328&amp;Y$1,Pesos!$A:$I,9,FALSE)))</f>
        <v/>
      </c>
      <c r="AS328" s="81">
        <f>IFERROR(Z328*VLOOKUP(J328,'BD Campos'!$Y$1:$Z$12,2,FALSE),"0")</f>
        <v>0</v>
      </c>
    </row>
    <row r="329" spans="1:45" x14ac:dyDescent="0.35">
      <c r="A329" s="68" t="str">
        <f t="shared" si="51"/>
        <v>Jan202511081Cliente 2LOGÍSTICA</v>
      </c>
      <c r="B329" s="69" t="str">
        <f t="shared" si="42"/>
        <v>Jan2025110812LOGÍSTICAPADRÃO</v>
      </c>
      <c r="C329" s="70">
        <v>1</v>
      </c>
      <c r="D329" s="71">
        <v>45680.433597569441</v>
      </c>
      <c r="E329" s="112" t="s">
        <v>74</v>
      </c>
      <c r="F329" s="72">
        <v>11081</v>
      </c>
      <c r="G329" s="69" t="s">
        <v>407</v>
      </c>
      <c r="H329" s="73">
        <v>2</v>
      </c>
      <c r="I329" s="69" t="s">
        <v>206</v>
      </c>
      <c r="J329" s="69" t="s">
        <v>185</v>
      </c>
      <c r="K329" s="69" t="s">
        <v>184</v>
      </c>
      <c r="L329" s="74"/>
      <c r="M329" s="75">
        <v>1.4004629629629631E-2</v>
      </c>
      <c r="N329" s="76"/>
      <c r="O329" s="76"/>
      <c r="P329" s="76"/>
      <c r="Q329" s="76"/>
      <c r="R329" s="76"/>
      <c r="S329" s="76"/>
      <c r="T329" s="76"/>
      <c r="U329" s="76"/>
      <c r="V329" s="76"/>
      <c r="W329" s="76"/>
      <c r="X329" s="76"/>
      <c r="Y329" s="76"/>
      <c r="Z329" s="77">
        <f t="shared" si="38"/>
        <v>0</v>
      </c>
      <c r="AA329" s="78"/>
      <c r="AB329" s="78"/>
      <c r="AC329" s="72" t="s">
        <v>47</v>
      </c>
      <c r="AE329" s="79" t="str">
        <f t="shared" si="49"/>
        <v>Jan11081</v>
      </c>
      <c r="AF329" s="80" t="str">
        <f>IF(N329="","",IF(N329="SIM",VLOOKUP($I329&amp;$J329&amp;N$1,Pesos!$A:$I,7,FALSE),VLOOKUP($I329&amp;$J329&amp;N$1,Pesos!$A:$I,9,FALSE)))</f>
        <v/>
      </c>
      <c r="AG329" s="80" t="str">
        <f>IF(O329="","",IF(O329="SIM",VLOOKUP($I329&amp;$J329&amp;O$1,Pesos!$A:$I,7,FALSE),VLOOKUP($I329&amp;$J329&amp;O$1,Pesos!$A:$I,9,FALSE)))</f>
        <v/>
      </c>
      <c r="AH329" s="80" t="str">
        <f>IF(P329="","",IF(P329="SIM",VLOOKUP($I329&amp;$J329&amp;P$1,Pesos!$A:$I,7,FALSE),VLOOKUP($I329&amp;$J329&amp;P$1,Pesos!$A:$I,9,FALSE)))</f>
        <v/>
      </c>
      <c r="AI329" s="80" t="str">
        <f>IF(Q329="","",IF(Q329="SIM",VLOOKUP($I329&amp;$J329&amp;Q$1,Pesos!$A:$I,7,FALSE),VLOOKUP($I329&amp;$J329&amp;Q$1,Pesos!$A:$I,9,FALSE)))</f>
        <v/>
      </c>
      <c r="AJ329" s="80" t="str">
        <f>IF(R329="","",IF(R329="SIM",VLOOKUP($I329&amp;$J329&amp;R$1,Pesos!$A:$I,7,FALSE),VLOOKUP($I329&amp;$J329&amp;R$1,Pesos!$A:$I,9,FALSE)))</f>
        <v/>
      </c>
      <c r="AK329" s="80" t="str">
        <f>IF(S329="","",IF(S329="SIM",VLOOKUP($I329&amp;$J329&amp;S$1,Pesos!$A:$I,7,FALSE),VLOOKUP($I329&amp;$J329&amp;S$1,Pesos!$A:$I,9,FALSE)))</f>
        <v/>
      </c>
      <c r="AL329" s="80">
        <f t="shared" si="50"/>
        <v>0</v>
      </c>
      <c r="AM329" s="80" t="str">
        <f>IF(T329="","",IF(T329="SIM",VLOOKUP($I329&amp;$J329&amp;T$1,Pesos!$A:$I,7,FALSE),VLOOKUP($I329&amp;$J329&amp;T$1,Pesos!$A:$I,9,FALSE)))</f>
        <v/>
      </c>
      <c r="AN329" s="80" t="str">
        <f>IF(U329="","",IF(U329="SIM",VLOOKUP($I329&amp;$J329&amp;U$1,Pesos!$A:$I,7,FALSE),VLOOKUP($I329&amp;$J329&amp;U$1,Pesos!$A:$I,9,FALSE)))</f>
        <v/>
      </c>
      <c r="AO329" s="80" t="str">
        <f>IF(V329="","",IF(V329="SIM",VLOOKUP($I329&amp;$J329&amp;V$1,Pesos!$A:$I,7,FALSE),VLOOKUP($I329&amp;$J329&amp;V$1,Pesos!$A:$I,9,FALSE)))</f>
        <v/>
      </c>
      <c r="AP329" s="80" t="str">
        <f>IF(W329="","",IF(W329="SIM",VLOOKUP($I329&amp;$J329&amp;W$1,Pesos!$A:$I,7,FALSE),VLOOKUP($I329&amp;$J329&amp;W$1,Pesos!$A:$I,9,FALSE)))</f>
        <v/>
      </c>
      <c r="AQ329" s="80" t="str">
        <f>IF(X329="","",IF(X329="SIM",VLOOKUP($I329&amp;$J329&amp;X$1,Pesos!$A:$I,7,FALSE),VLOOKUP($I329&amp;$J329&amp;X$1,Pesos!$A:$I,9,FALSE)))</f>
        <v/>
      </c>
      <c r="AR329" s="80" t="str">
        <f>IF(Y329="","",IF(Y329="SIM",VLOOKUP($I329&amp;$J329&amp;Y$1,Pesos!$A:$I,7,FALSE),VLOOKUP($I329&amp;$J329&amp;Y$1,Pesos!$A:$I,9,FALSE)))</f>
        <v/>
      </c>
      <c r="AS329" s="81">
        <f>IFERROR(Z329*VLOOKUP(J329,'BD Campos'!$Y$1:$Z$12,2,FALSE),"0")</f>
        <v>0</v>
      </c>
    </row>
    <row r="330" spans="1:45" x14ac:dyDescent="0.35">
      <c r="A330" s="68" t="str">
        <f t="shared" si="51"/>
        <v>Jan202511144MotoristaLOGÍSTICA</v>
      </c>
      <c r="B330" s="69" t="str">
        <f t="shared" si="42"/>
        <v>Jan2025111441LOGÍSTICAPADRÃO</v>
      </c>
      <c r="C330" s="70">
        <v>1</v>
      </c>
      <c r="D330" s="71">
        <v>45680.449122916667</v>
      </c>
      <c r="E330" s="112" t="s">
        <v>74</v>
      </c>
      <c r="F330" s="72">
        <v>11144</v>
      </c>
      <c r="G330" s="69" t="s">
        <v>455</v>
      </c>
      <c r="H330" s="73">
        <v>1</v>
      </c>
      <c r="I330" s="69" t="s">
        <v>206</v>
      </c>
      <c r="J330" s="69" t="s">
        <v>122</v>
      </c>
      <c r="K330" s="69" t="s">
        <v>184</v>
      </c>
      <c r="L330" s="74"/>
      <c r="M330" s="75">
        <v>8.564814814814815E-4</v>
      </c>
      <c r="N330" s="76" t="s">
        <v>79</v>
      </c>
      <c r="O330" s="76" t="s">
        <v>79</v>
      </c>
      <c r="P330" s="76" t="s">
        <v>79</v>
      </c>
      <c r="Q330" s="76" t="s">
        <v>79</v>
      </c>
      <c r="R330" s="76" t="s">
        <v>79</v>
      </c>
      <c r="S330" s="76" t="s">
        <v>79</v>
      </c>
      <c r="T330" s="76" t="s">
        <v>79</v>
      </c>
      <c r="U330" s="76" t="s">
        <v>79</v>
      </c>
      <c r="V330" s="76" t="s">
        <v>83</v>
      </c>
      <c r="W330" s="76" t="s">
        <v>79</v>
      </c>
      <c r="X330" s="76"/>
      <c r="Y330" s="76"/>
      <c r="Z330" s="77">
        <f t="shared" si="38"/>
        <v>8.740000000000002</v>
      </c>
      <c r="AA330" s="78"/>
      <c r="AB330" s="78"/>
      <c r="AC330" s="72" t="s">
        <v>47</v>
      </c>
      <c r="AE330" s="79" t="str">
        <f t="shared" si="49"/>
        <v>Jan11144</v>
      </c>
      <c r="AF330" s="80">
        <f>IF(N330="","",IF(N330="SIM",VLOOKUP($I330&amp;$J330&amp;N$1,Pesos!$A:$I,7,FALSE),VLOOKUP($I330&amp;$J330&amp;N$1,Pesos!$A:$I,9,FALSE)))</f>
        <v>0.8</v>
      </c>
      <c r="AG330" s="80">
        <f>IF(O330="","",IF(O330="SIM",VLOOKUP($I330&amp;$J330&amp;O$1,Pesos!$A:$I,7,FALSE),VLOOKUP($I330&amp;$J330&amp;O$1,Pesos!$A:$I,9,FALSE)))</f>
        <v>0.8</v>
      </c>
      <c r="AH330" s="80">
        <f>IF(P330="","",IF(P330="SIM",VLOOKUP($I330&amp;$J330&amp;P$1,Pesos!$A:$I,7,FALSE),VLOOKUP($I330&amp;$J330&amp;P$1,Pesos!$A:$I,9,FALSE)))</f>
        <v>0.8</v>
      </c>
      <c r="AI330" s="80">
        <f>IF(Q330="","",IF(Q330="SIM",VLOOKUP($I330&amp;$J330&amp;Q$1,Pesos!$A:$I,7,FALSE),VLOOKUP($I330&amp;$J330&amp;Q$1,Pesos!$A:$I,9,FALSE)))</f>
        <v>1</v>
      </c>
      <c r="AJ330" s="80">
        <f>IF(R330="","",IF(R330="SIM",VLOOKUP($I330&amp;$J330&amp;R$1,Pesos!$A:$I,7,FALSE),VLOOKUP($I330&amp;$J330&amp;R$1,Pesos!$A:$I,9,FALSE)))</f>
        <v>1</v>
      </c>
      <c r="AK330" s="80">
        <f>IF(S330="","",IF(S330="SIM",VLOOKUP($I330&amp;$J330&amp;S$1,Pesos!$A:$I,7,FALSE),VLOOKUP($I330&amp;$J330&amp;S$1,Pesos!$A:$I,9,FALSE)))</f>
        <v>1</v>
      </c>
      <c r="AL330" s="80">
        <f t="shared" si="50"/>
        <v>5.4</v>
      </c>
      <c r="AM330" s="80">
        <f>IF(T330="","",IF(T330="SIM",VLOOKUP($I330&amp;$J330&amp;T$1,Pesos!$A:$I,7,FALSE),VLOOKUP($I330&amp;$J330&amp;T$1,Pesos!$A:$I,9,FALSE)))</f>
        <v>1.2</v>
      </c>
      <c r="AN330" s="80">
        <f>IF(U330="","",IF(U330="SIM",VLOOKUP($I330&amp;$J330&amp;U$1,Pesos!$A:$I,7,FALSE),VLOOKUP($I330&amp;$J330&amp;U$1,Pesos!$A:$I,9,FALSE)))</f>
        <v>1.2</v>
      </c>
      <c r="AO330" s="80">
        <f>IF(V330="","",IF(V330="SIM",VLOOKUP($I330&amp;$J330&amp;V$1,Pesos!$A:$I,7,FALSE),VLOOKUP($I330&amp;$J330&amp;V$1,Pesos!$A:$I,9,FALSE)))</f>
        <v>-0.06</v>
      </c>
      <c r="AP330" s="80">
        <f>IF(W330="","",IF(W330="SIM",VLOOKUP($I330&amp;$J330&amp;W$1,Pesos!$A:$I,7,FALSE),VLOOKUP($I330&amp;$J330&amp;W$1,Pesos!$A:$I,9,FALSE)))</f>
        <v>1</v>
      </c>
      <c r="AQ330" s="80" t="str">
        <f>IF(X330="","",IF(X330="SIM",VLOOKUP($I330&amp;$J330&amp;X$1,Pesos!$A:$I,7,FALSE),VLOOKUP($I330&amp;$J330&amp;X$1,Pesos!$A:$I,9,FALSE)))</f>
        <v/>
      </c>
      <c r="AR330" s="80" t="str">
        <f>IF(Y330="","",IF(Y330="SIM",VLOOKUP($I330&amp;$J330&amp;Y$1,Pesos!$A:$I,7,FALSE),VLOOKUP($I330&amp;$J330&amp;Y$1,Pesos!$A:$I,9,FALSE)))</f>
        <v/>
      </c>
      <c r="AS330" s="81">
        <f>IFERROR(Z330*VLOOKUP(J330,'BD Campos'!$Y$1:$Z$12,2,FALSE),"0")</f>
        <v>8.740000000000002</v>
      </c>
    </row>
    <row r="331" spans="1:45" x14ac:dyDescent="0.35">
      <c r="A331" s="68" t="str">
        <f t="shared" si="51"/>
        <v>Jan202511144Motorista 2LOGÍSTICA</v>
      </c>
      <c r="B331" s="69" t="str">
        <f t="shared" si="42"/>
        <v>Jan2025111442LOGÍSTICAPADRÃO</v>
      </c>
      <c r="C331" s="70">
        <v>1</v>
      </c>
      <c r="D331" s="71">
        <v>45680.451245023149</v>
      </c>
      <c r="E331" s="112" t="s">
        <v>74</v>
      </c>
      <c r="F331" s="72">
        <v>11144</v>
      </c>
      <c r="G331" s="69" t="s">
        <v>455</v>
      </c>
      <c r="H331" s="73">
        <v>2</v>
      </c>
      <c r="I331" s="69" t="s">
        <v>206</v>
      </c>
      <c r="J331" s="69" t="s">
        <v>204</v>
      </c>
      <c r="K331" s="69" t="s">
        <v>184</v>
      </c>
      <c r="L331" s="74"/>
      <c r="M331" s="75">
        <v>9.7222222222222209E-4</v>
      </c>
      <c r="N331" s="76" t="s">
        <v>79</v>
      </c>
      <c r="O331" s="76" t="s">
        <v>79</v>
      </c>
      <c r="P331" s="76" t="s">
        <v>79</v>
      </c>
      <c r="Q331" s="76" t="s">
        <v>79</v>
      </c>
      <c r="R331" s="76" t="s">
        <v>79</v>
      </c>
      <c r="S331" s="76" t="s">
        <v>79</v>
      </c>
      <c r="T331" s="76" t="s">
        <v>79</v>
      </c>
      <c r="U331" s="76" t="s">
        <v>79</v>
      </c>
      <c r="V331" s="76" t="s">
        <v>83</v>
      </c>
      <c r="W331" s="76" t="s">
        <v>79</v>
      </c>
      <c r="X331" s="76"/>
      <c r="Y331" s="76"/>
      <c r="Z331" s="77">
        <f t="shared" si="38"/>
        <v>8.740000000000002</v>
      </c>
      <c r="AA331" s="78"/>
      <c r="AB331" s="78"/>
      <c r="AC331" s="72" t="s">
        <v>47</v>
      </c>
      <c r="AE331" s="79" t="str">
        <f t="shared" si="49"/>
        <v>Jan11144</v>
      </c>
      <c r="AF331" s="80">
        <f>IF(N331="","",IF(N331="SIM",VLOOKUP($I331&amp;$J331&amp;N$1,Pesos!$A:$I,7,FALSE),VLOOKUP($I331&amp;$J331&amp;N$1,Pesos!$A:$I,9,FALSE)))</f>
        <v>0.8</v>
      </c>
      <c r="AG331" s="80">
        <f>IF(O331="","",IF(O331="SIM",VLOOKUP($I331&amp;$J331&amp;O$1,Pesos!$A:$I,7,FALSE),VLOOKUP($I331&amp;$J331&amp;O$1,Pesos!$A:$I,9,FALSE)))</f>
        <v>0.8</v>
      </c>
      <c r="AH331" s="80">
        <f>IF(P331="","",IF(P331="SIM",VLOOKUP($I331&amp;$J331&amp;P$1,Pesos!$A:$I,7,FALSE),VLOOKUP($I331&amp;$J331&amp;P$1,Pesos!$A:$I,9,FALSE)))</f>
        <v>0.8</v>
      </c>
      <c r="AI331" s="80">
        <f>IF(Q331="","",IF(Q331="SIM",VLOOKUP($I331&amp;$J331&amp;Q$1,Pesos!$A:$I,7,FALSE),VLOOKUP($I331&amp;$J331&amp;Q$1,Pesos!$A:$I,9,FALSE)))</f>
        <v>1</v>
      </c>
      <c r="AJ331" s="80">
        <f>IF(R331="","",IF(R331="SIM",VLOOKUP($I331&amp;$J331&amp;R$1,Pesos!$A:$I,7,FALSE),VLOOKUP($I331&amp;$J331&amp;R$1,Pesos!$A:$I,9,FALSE)))</f>
        <v>1</v>
      </c>
      <c r="AK331" s="80">
        <f>IF(S331="","",IF(S331="SIM",VLOOKUP($I331&amp;$J331&amp;S$1,Pesos!$A:$I,7,FALSE),VLOOKUP($I331&amp;$J331&amp;S$1,Pesos!$A:$I,9,FALSE)))</f>
        <v>1</v>
      </c>
      <c r="AL331" s="80">
        <f t="shared" si="50"/>
        <v>5.4</v>
      </c>
      <c r="AM331" s="80">
        <f>IF(T331="","",IF(T331="SIM",VLOOKUP($I331&amp;$J331&amp;T$1,Pesos!$A:$I,7,FALSE),VLOOKUP($I331&amp;$J331&amp;T$1,Pesos!$A:$I,9,FALSE)))</f>
        <v>1.2</v>
      </c>
      <c r="AN331" s="80">
        <f>IF(U331="","",IF(U331="SIM",VLOOKUP($I331&amp;$J331&amp;U$1,Pesos!$A:$I,7,FALSE),VLOOKUP($I331&amp;$J331&amp;U$1,Pesos!$A:$I,9,FALSE)))</f>
        <v>1.2</v>
      </c>
      <c r="AO331" s="80">
        <f>IF(V331="","",IF(V331="SIM",VLOOKUP($I331&amp;$J331&amp;V$1,Pesos!$A:$I,7,FALSE),VLOOKUP($I331&amp;$J331&amp;V$1,Pesos!$A:$I,9,FALSE)))</f>
        <v>-0.06</v>
      </c>
      <c r="AP331" s="80">
        <f>IF(W331="","",IF(W331="SIM",VLOOKUP($I331&amp;$J331&amp;W$1,Pesos!$A:$I,7,FALSE),VLOOKUP($I331&amp;$J331&amp;W$1,Pesos!$A:$I,9,FALSE)))</f>
        <v>1</v>
      </c>
      <c r="AQ331" s="80" t="str">
        <f>IF(X331="","",IF(X331="SIM",VLOOKUP($I331&amp;$J331&amp;X$1,Pesos!$A:$I,7,FALSE),VLOOKUP($I331&amp;$J331&amp;X$1,Pesos!$A:$I,9,FALSE)))</f>
        <v/>
      </c>
      <c r="AR331" s="80" t="str">
        <f>IF(Y331="","",IF(Y331="SIM",VLOOKUP($I331&amp;$J331&amp;Y$1,Pesos!$A:$I,7,FALSE),VLOOKUP($I331&amp;$J331&amp;Y$1,Pesos!$A:$I,9,FALSE)))</f>
        <v/>
      </c>
      <c r="AS331" s="81">
        <f>IFERROR(Z331*VLOOKUP(J331,'BD Campos'!$Y$1:$Z$12,2,FALSE),"0")</f>
        <v>8.740000000000002</v>
      </c>
    </row>
    <row r="332" spans="1:45" x14ac:dyDescent="0.35">
      <c r="A332" s="68" t="str">
        <f t="shared" si="51"/>
        <v>Jan202510904MotoristaLOGÍSTICA</v>
      </c>
      <c r="B332" s="69" t="str">
        <f t="shared" ref="B332:B368" si="52">E332&amp;YEAR(D332)&amp;F332&amp;H332&amp;K332&amp;AC332</f>
        <v>Jan2025109041LOGÍSTICAPADRÃO</v>
      </c>
      <c r="C332" s="70">
        <v>1</v>
      </c>
      <c r="D332" s="71">
        <v>45680.454984027776</v>
      </c>
      <c r="E332" s="112" t="s">
        <v>74</v>
      </c>
      <c r="F332" s="72">
        <v>10904</v>
      </c>
      <c r="G332" s="69" t="s">
        <v>258</v>
      </c>
      <c r="H332" s="73">
        <v>1</v>
      </c>
      <c r="I332" s="69" t="s">
        <v>206</v>
      </c>
      <c r="J332" s="69" t="s">
        <v>122</v>
      </c>
      <c r="K332" s="69" t="s">
        <v>184</v>
      </c>
      <c r="L332" s="74"/>
      <c r="M332" s="75">
        <v>1.0300925925925926E-3</v>
      </c>
      <c r="N332" s="76" t="s">
        <v>79</v>
      </c>
      <c r="O332" s="76" t="s">
        <v>79</v>
      </c>
      <c r="P332" s="76" t="s">
        <v>79</v>
      </c>
      <c r="Q332" s="76" t="s">
        <v>79</v>
      </c>
      <c r="R332" s="76" t="s">
        <v>79</v>
      </c>
      <c r="S332" s="76" t="s">
        <v>79</v>
      </c>
      <c r="T332" s="76" t="s">
        <v>79</v>
      </c>
      <c r="U332" s="76" t="s">
        <v>79</v>
      </c>
      <c r="V332" s="76" t="s">
        <v>79</v>
      </c>
      <c r="W332" s="76" t="s">
        <v>83</v>
      </c>
      <c r="X332" s="76"/>
      <c r="Y332" s="76"/>
      <c r="Z332" s="77">
        <f t="shared" si="38"/>
        <v>8.9499999999999993</v>
      </c>
      <c r="AA332" s="78"/>
      <c r="AB332" s="78"/>
      <c r="AC332" s="72" t="s">
        <v>47</v>
      </c>
      <c r="AE332" s="79" t="str">
        <f t="shared" si="49"/>
        <v>Jan10904</v>
      </c>
      <c r="AF332" s="80">
        <f>IF(N332="","",IF(N332="SIM",VLOOKUP($I332&amp;$J332&amp;N$1,Pesos!$A:$I,7,FALSE),VLOOKUP($I332&amp;$J332&amp;N$1,Pesos!$A:$I,9,FALSE)))</f>
        <v>0.8</v>
      </c>
      <c r="AG332" s="80">
        <f>IF(O332="","",IF(O332="SIM",VLOOKUP($I332&amp;$J332&amp;O$1,Pesos!$A:$I,7,FALSE),VLOOKUP($I332&amp;$J332&amp;O$1,Pesos!$A:$I,9,FALSE)))</f>
        <v>0.8</v>
      </c>
      <c r="AH332" s="80">
        <f>IF(P332="","",IF(P332="SIM",VLOOKUP($I332&amp;$J332&amp;P$1,Pesos!$A:$I,7,FALSE),VLOOKUP($I332&amp;$J332&amp;P$1,Pesos!$A:$I,9,FALSE)))</f>
        <v>0.8</v>
      </c>
      <c r="AI332" s="80">
        <f>IF(Q332="","",IF(Q332="SIM",VLOOKUP($I332&amp;$J332&amp;Q$1,Pesos!$A:$I,7,FALSE),VLOOKUP($I332&amp;$J332&amp;Q$1,Pesos!$A:$I,9,FALSE)))</f>
        <v>1</v>
      </c>
      <c r="AJ332" s="80">
        <f>IF(R332="","",IF(R332="SIM",VLOOKUP($I332&amp;$J332&amp;R$1,Pesos!$A:$I,7,FALSE),VLOOKUP($I332&amp;$J332&amp;R$1,Pesos!$A:$I,9,FALSE)))</f>
        <v>1</v>
      </c>
      <c r="AK332" s="80">
        <f>IF(S332="","",IF(S332="SIM",VLOOKUP($I332&amp;$J332&amp;S$1,Pesos!$A:$I,7,FALSE),VLOOKUP($I332&amp;$J332&amp;S$1,Pesos!$A:$I,9,FALSE)))</f>
        <v>1</v>
      </c>
      <c r="AL332" s="80">
        <f t="shared" si="50"/>
        <v>5.4</v>
      </c>
      <c r="AM332" s="80">
        <f>IF(T332="","",IF(T332="SIM",VLOOKUP($I332&amp;$J332&amp;T$1,Pesos!$A:$I,7,FALSE),VLOOKUP($I332&amp;$J332&amp;T$1,Pesos!$A:$I,9,FALSE)))</f>
        <v>1.2</v>
      </c>
      <c r="AN332" s="80">
        <f>IF(U332="","",IF(U332="SIM",VLOOKUP($I332&amp;$J332&amp;U$1,Pesos!$A:$I,7,FALSE),VLOOKUP($I332&amp;$J332&amp;U$1,Pesos!$A:$I,9,FALSE)))</f>
        <v>1.2</v>
      </c>
      <c r="AO332" s="80">
        <f>IF(V332="","",IF(V332="SIM",VLOOKUP($I332&amp;$J332&amp;V$1,Pesos!$A:$I,7,FALSE),VLOOKUP($I332&amp;$J332&amp;V$1,Pesos!$A:$I,9,FALSE)))</f>
        <v>1.2</v>
      </c>
      <c r="AP332" s="80">
        <f>IF(W332="","",IF(W332="SIM",VLOOKUP($I332&amp;$J332&amp;W$1,Pesos!$A:$I,7,FALSE),VLOOKUP($I332&amp;$J332&amp;W$1,Pesos!$A:$I,9,FALSE)))</f>
        <v>-0.05</v>
      </c>
      <c r="AQ332" s="80" t="str">
        <f>IF(X332="","",IF(X332="SIM",VLOOKUP($I332&amp;$J332&amp;X$1,Pesos!$A:$I,7,FALSE),VLOOKUP($I332&amp;$J332&amp;X$1,Pesos!$A:$I,9,FALSE)))</f>
        <v/>
      </c>
      <c r="AR332" s="80" t="str">
        <f>IF(Y332="","",IF(Y332="SIM",VLOOKUP($I332&amp;$J332&amp;Y$1,Pesos!$A:$I,7,FALSE),VLOOKUP($I332&amp;$J332&amp;Y$1,Pesos!$A:$I,9,FALSE)))</f>
        <v/>
      </c>
      <c r="AS332" s="81">
        <f>IFERROR(Z332*VLOOKUP(J332,'BD Campos'!$Y$1:$Z$12,2,FALSE),"0")</f>
        <v>8.9499999999999993</v>
      </c>
    </row>
    <row r="333" spans="1:45" x14ac:dyDescent="0.35">
      <c r="A333" s="68" t="str">
        <f t="shared" si="51"/>
        <v>Jan202510904Motorista 2LOGÍSTICA</v>
      </c>
      <c r="B333" s="69" t="str">
        <f t="shared" si="52"/>
        <v>Jan2025109042LOGÍSTICAPADRÃO</v>
      </c>
      <c r="C333" s="70">
        <v>1</v>
      </c>
      <c r="D333" s="71">
        <v>45680.457605324074</v>
      </c>
      <c r="E333" s="112" t="s">
        <v>74</v>
      </c>
      <c r="F333" s="72">
        <v>10904</v>
      </c>
      <c r="G333" s="69" t="s">
        <v>258</v>
      </c>
      <c r="H333" s="73">
        <v>2</v>
      </c>
      <c r="I333" s="69" t="s">
        <v>206</v>
      </c>
      <c r="J333" s="69" t="s">
        <v>204</v>
      </c>
      <c r="K333" s="69" t="s">
        <v>184</v>
      </c>
      <c r="L333" s="74"/>
      <c r="M333" s="75">
        <v>1.3541666666666667E-3</v>
      </c>
      <c r="N333" s="76" t="s">
        <v>79</v>
      </c>
      <c r="O333" s="76" t="s">
        <v>79</v>
      </c>
      <c r="P333" s="76" t="s">
        <v>79</v>
      </c>
      <c r="Q333" s="76" t="s">
        <v>79</v>
      </c>
      <c r="R333" s="76" t="s">
        <v>79</v>
      </c>
      <c r="S333" s="76" t="s">
        <v>79</v>
      </c>
      <c r="T333" s="76" t="s">
        <v>79</v>
      </c>
      <c r="U333" s="76" t="s">
        <v>79</v>
      </c>
      <c r="V333" s="76" t="s">
        <v>79</v>
      </c>
      <c r="W333" s="76" t="s">
        <v>79</v>
      </c>
      <c r="X333" s="76"/>
      <c r="Y333" s="76"/>
      <c r="Z333" s="77">
        <f t="shared" si="38"/>
        <v>10</v>
      </c>
      <c r="AA333" s="78"/>
      <c r="AB333" s="78"/>
      <c r="AC333" s="72" t="s">
        <v>47</v>
      </c>
      <c r="AE333" s="79" t="str">
        <f t="shared" ref="AE333:AE339" si="53">E333&amp;F333</f>
        <v>Jan10904</v>
      </c>
      <c r="AF333" s="80">
        <f>IF(N333="","",IF(N333="SIM",VLOOKUP($I333&amp;$J333&amp;N$1,Pesos!$A:$I,7,FALSE),VLOOKUP($I333&amp;$J333&amp;N$1,Pesos!$A:$I,9,FALSE)))</f>
        <v>0.8</v>
      </c>
      <c r="AG333" s="80">
        <f>IF(O333="","",IF(O333="SIM",VLOOKUP($I333&amp;$J333&amp;O$1,Pesos!$A:$I,7,FALSE),VLOOKUP($I333&amp;$J333&amp;O$1,Pesos!$A:$I,9,FALSE)))</f>
        <v>0.8</v>
      </c>
      <c r="AH333" s="80">
        <f>IF(P333="","",IF(P333="SIM",VLOOKUP($I333&amp;$J333&amp;P$1,Pesos!$A:$I,7,FALSE),VLOOKUP($I333&amp;$J333&amp;P$1,Pesos!$A:$I,9,FALSE)))</f>
        <v>0.8</v>
      </c>
      <c r="AI333" s="80">
        <f>IF(Q333="","",IF(Q333="SIM",VLOOKUP($I333&amp;$J333&amp;Q$1,Pesos!$A:$I,7,FALSE),VLOOKUP($I333&amp;$J333&amp;Q$1,Pesos!$A:$I,9,FALSE)))</f>
        <v>1</v>
      </c>
      <c r="AJ333" s="80">
        <f>IF(R333="","",IF(R333="SIM",VLOOKUP($I333&amp;$J333&amp;R$1,Pesos!$A:$I,7,FALSE),VLOOKUP($I333&amp;$J333&amp;R$1,Pesos!$A:$I,9,FALSE)))</f>
        <v>1</v>
      </c>
      <c r="AK333" s="80">
        <f>IF(S333="","",IF(S333="SIM",VLOOKUP($I333&amp;$J333&amp;S$1,Pesos!$A:$I,7,FALSE),VLOOKUP($I333&amp;$J333&amp;S$1,Pesos!$A:$I,9,FALSE)))</f>
        <v>1</v>
      </c>
      <c r="AL333" s="80">
        <f t="shared" ref="AL333:AL339" si="54">SUM(AF333:AK333)</f>
        <v>5.4</v>
      </c>
      <c r="AM333" s="80">
        <f>IF(T333="","",IF(T333="SIM",VLOOKUP($I333&amp;$J333&amp;T$1,Pesos!$A:$I,7,FALSE),VLOOKUP($I333&amp;$J333&amp;T$1,Pesos!$A:$I,9,FALSE)))</f>
        <v>1.2</v>
      </c>
      <c r="AN333" s="80">
        <f>IF(U333="","",IF(U333="SIM",VLOOKUP($I333&amp;$J333&amp;U$1,Pesos!$A:$I,7,FALSE),VLOOKUP($I333&amp;$J333&amp;U$1,Pesos!$A:$I,9,FALSE)))</f>
        <v>1.2</v>
      </c>
      <c r="AO333" s="80">
        <f>IF(V333="","",IF(V333="SIM",VLOOKUP($I333&amp;$J333&amp;V$1,Pesos!$A:$I,7,FALSE),VLOOKUP($I333&amp;$J333&amp;V$1,Pesos!$A:$I,9,FALSE)))</f>
        <v>1.2</v>
      </c>
      <c r="AP333" s="80">
        <f>IF(W333="","",IF(W333="SIM",VLOOKUP($I333&amp;$J333&amp;W$1,Pesos!$A:$I,7,FALSE),VLOOKUP($I333&amp;$J333&amp;W$1,Pesos!$A:$I,9,FALSE)))</f>
        <v>1</v>
      </c>
      <c r="AQ333" s="80" t="str">
        <f>IF(X333="","",IF(X333="SIM",VLOOKUP($I333&amp;$J333&amp;X$1,Pesos!$A:$I,7,FALSE),VLOOKUP($I333&amp;$J333&amp;X$1,Pesos!$A:$I,9,FALSE)))</f>
        <v/>
      </c>
      <c r="AR333" s="80" t="str">
        <f>IF(Y333="","",IF(Y333="SIM",VLOOKUP($I333&amp;$J333&amp;Y$1,Pesos!$A:$I,7,FALSE),VLOOKUP($I333&amp;$J333&amp;Y$1,Pesos!$A:$I,9,FALSE)))</f>
        <v/>
      </c>
      <c r="AS333" s="81">
        <f>IFERROR(Z333*VLOOKUP(J333,'BD Campos'!$Y$1:$Z$12,2,FALSE),"0")</f>
        <v>10</v>
      </c>
    </row>
    <row r="334" spans="1:45" x14ac:dyDescent="0.35">
      <c r="A334" s="68" t="str">
        <f t="shared" si="51"/>
        <v>Jan202511208MotoristaLOGÍSTICA</v>
      </c>
      <c r="B334" s="69" t="str">
        <f t="shared" si="52"/>
        <v>Jan2025112081LOGÍSTICAPADRÃO</v>
      </c>
      <c r="C334" s="70">
        <v>1</v>
      </c>
      <c r="D334" s="71">
        <v>45680.460332870367</v>
      </c>
      <c r="E334" s="112" t="s">
        <v>74</v>
      </c>
      <c r="F334" s="72">
        <v>11208</v>
      </c>
      <c r="G334" s="69" t="s">
        <v>1381</v>
      </c>
      <c r="H334" s="73">
        <v>1</v>
      </c>
      <c r="I334" s="69" t="s">
        <v>206</v>
      </c>
      <c r="J334" s="69" t="s">
        <v>122</v>
      </c>
      <c r="K334" s="69" t="s">
        <v>184</v>
      </c>
      <c r="L334" s="74"/>
      <c r="M334" s="75">
        <v>1.7824074074074072E-3</v>
      </c>
      <c r="N334" s="76" t="s">
        <v>79</v>
      </c>
      <c r="O334" s="76" t="s">
        <v>79</v>
      </c>
      <c r="P334" s="76" t="s">
        <v>79</v>
      </c>
      <c r="Q334" s="76" t="s">
        <v>79</v>
      </c>
      <c r="R334" s="76" t="s">
        <v>79</v>
      </c>
      <c r="S334" s="76" t="s">
        <v>79</v>
      </c>
      <c r="T334" s="76" t="s">
        <v>79</v>
      </c>
      <c r="U334" s="76" t="s">
        <v>79</v>
      </c>
      <c r="V334" s="76" t="s">
        <v>79</v>
      </c>
      <c r="W334" s="76" t="s">
        <v>79</v>
      </c>
      <c r="X334" s="76"/>
      <c r="Y334" s="76"/>
      <c r="Z334" s="77">
        <f t="shared" si="38"/>
        <v>10</v>
      </c>
      <c r="AA334" s="78"/>
      <c r="AB334" s="78"/>
      <c r="AC334" s="72" t="s">
        <v>47</v>
      </c>
      <c r="AE334" s="79" t="str">
        <f t="shared" si="53"/>
        <v>Jan11208</v>
      </c>
      <c r="AF334" s="80">
        <f>IF(N334="","",IF(N334="SIM",VLOOKUP($I334&amp;$J334&amp;N$1,Pesos!$A:$I,7,FALSE),VLOOKUP($I334&amp;$J334&amp;N$1,Pesos!$A:$I,9,FALSE)))</f>
        <v>0.8</v>
      </c>
      <c r="AG334" s="80">
        <f>IF(O334="","",IF(O334="SIM",VLOOKUP($I334&amp;$J334&amp;O$1,Pesos!$A:$I,7,FALSE),VLOOKUP($I334&amp;$J334&amp;O$1,Pesos!$A:$I,9,FALSE)))</f>
        <v>0.8</v>
      </c>
      <c r="AH334" s="80">
        <f>IF(P334="","",IF(P334="SIM",VLOOKUP($I334&amp;$J334&amp;P$1,Pesos!$A:$I,7,FALSE),VLOOKUP($I334&amp;$J334&amp;P$1,Pesos!$A:$I,9,FALSE)))</f>
        <v>0.8</v>
      </c>
      <c r="AI334" s="80">
        <f>IF(Q334="","",IF(Q334="SIM",VLOOKUP($I334&amp;$J334&amp;Q$1,Pesos!$A:$I,7,FALSE),VLOOKUP($I334&amp;$J334&amp;Q$1,Pesos!$A:$I,9,FALSE)))</f>
        <v>1</v>
      </c>
      <c r="AJ334" s="80">
        <f>IF(R334="","",IF(R334="SIM",VLOOKUP($I334&amp;$J334&amp;R$1,Pesos!$A:$I,7,FALSE),VLOOKUP($I334&amp;$J334&amp;R$1,Pesos!$A:$I,9,FALSE)))</f>
        <v>1</v>
      </c>
      <c r="AK334" s="80">
        <f>IF(S334="","",IF(S334="SIM",VLOOKUP($I334&amp;$J334&amp;S$1,Pesos!$A:$I,7,FALSE),VLOOKUP($I334&amp;$J334&amp;S$1,Pesos!$A:$I,9,FALSE)))</f>
        <v>1</v>
      </c>
      <c r="AL334" s="80">
        <f t="shared" si="54"/>
        <v>5.4</v>
      </c>
      <c r="AM334" s="80">
        <f>IF(T334="","",IF(T334="SIM",VLOOKUP($I334&amp;$J334&amp;T$1,Pesos!$A:$I,7,FALSE),VLOOKUP($I334&amp;$J334&amp;T$1,Pesos!$A:$I,9,FALSE)))</f>
        <v>1.2</v>
      </c>
      <c r="AN334" s="80">
        <f>IF(U334="","",IF(U334="SIM",VLOOKUP($I334&amp;$J334&amp;U$1,Pesos!$A:$I,7,FALSE),VLOOKUP($I334&amp;$J334&amp;U$1,Pesos!$A:$I,9,FALSE)))</f>
        <v>1.2</v>
      </c>
      <c r="AO334" s="80">
        <f>IF(V334="","",IF(V334="SIM",VLOOKUP($I334&amp;$J334&amp;V$1,Pesos!$A:$I,7,FALSE),VLOOKUP($I334&amp;$J334&amp;V$1,Pesos!$A:$I,9,FALSE)))</f>
        <v>1.2</v>
      </c>
      <c r="AP334" s="80">
        <f>IF(W334="","",IF(W334="SIM",VLOOKUP($I334&amp;$J334&amp;W$1,Pesos!$A:$I,7,FALSE),VLOOKUP($I334&amp;$J334&amp;W$1,Pesos!$A:$I,9,FALSE)))</f>
        <v>1</v>
      </c>
      <c r="AQ334" s="80" t="str">
        <f>IF(X334="","",IF(X334="SIM",VLOOKUP($I334&amp;$J334&amp;X$1,Pesos!$A:$I,7,FALSE),VLOOKUP($I334&amp;$J334&amp;X$1,Pesos!$A:$I,9,FALSE)))</f>
        <v/>
      </c>
      <c r="AR334" s="80" t="str">
        <f>IF(Y334="","",IF(Y334="SIM",VLOOKUP($I334&amp;$J334&amp;Y$1,Pesos!$A:$I,7,FALSE),VLOOKUP($I334&amp;$J334&amp;Y$1,Pesos!$A:$I,9,FALSE)))</f>
        <v/>
      </c>
      <c r="AS334" s="81">
        <f>IFERROR(Z334*VLOOKUP(J334,'BD Campos'!$Y$1:$Z$12,2,FALSE),"0")</f>
        <v>10</v>
      </c>
    </row>
    <row r="335" spans="1:45" x14ac:dyDescent="0.35">
      <c r="A335" s="68" t="str">
        <f t="shared" si="51"/>
        <v>Jan202511208Motorista 2LOGÍSTICA</v>
      </c>
      <c r="B335" s="69" t="str">
        <f t="shared" si="52"/>
        <v>Jan2025112082LOGÍSTICAPADRÃO</v>
      </c>
      <c r="C335" s="70">
        <v>1</v>
      </c>
      <c r="D335" s="71">
        <v>45680.461855092595</v>
      </c>
      <c r="E335" s="112" t="s">
        <v>74</v>
      </c>
      <c r="F335" s="72">
        <v>11208</v>
      </c>
      <c r="G335" s="69" t="s">
        <v>1381</v>
      </c>
      <c r="H335" s="73">
        <v>2</v>
      </c>
      <c r="I335" s="69" t="s">
        <v>1373</v>
      </c>
      <c r="J335" s="69" t="s">
        <v>204</v>
      </c>
      <c r="K335" s="69" t="s">
        <v>184</v>
      </c>
      <c r="L335" s="74"/>
      <c r="M335" s="75">
        <v>1.0763888888888889E-3</v>
      </c>
      <c r="N335" s="76" t="s">
        <v>79</v>
      </c>
      <c r="O335" s="76" t="s">
        <v>79</v>
      </c>
      <c r="P335" s="76" t="s">
        <v>79</v>
      </c>
      <c r="Q335" s="76" t="s">
        <v>79</v>
      </c>
      <c r="R335" s="76" t="s">
        <v>79</v>
      </c>
      <c r="S335" s="76" t="s">
        <v>79</v>
      </c>
      <c r="T335" s="76" t="s">
        <v>79</v>
      </c>
      <c r="U335" s="76" t="s">
        <v>79</v>
      </c>
      <c r="V335" s="76"/>
      <c r="W335" s="76"/>
      <c r="X335" s="76"/>
      <c r="Y335" s="76"/>
      <c r="Z335" s="77">
        <f t="shared" si="38"/>
        <v>10</v>
      </c>
      <c r="AA335" s="78"/>
      <c r="AB335" s="78"/>
      <c r="AC335" s="72" t="s">
        <v>47</v>
      </c>
      <c r="AE335" s="79" t="str">
        <f t="shared" si="53"/>
        <v>Jan11208</v>
      </c>
      <c r="AF335" s="80">
        <f>IF(N335="","",IF(N335="SIM",VLOOKUP($I335&amp;$J335&amp;N$1,Pesos!$A:$I,7,FALSE),VLOOKUP($I335&amp;$J335&amp;N$1,Pesos!$A:$I,9,FALSE)))</f>
        <v>1.1000000000000001</v>
      </c>
      <c r="AG335" s="80">
        <f>IF(O335="","",IF(O335="SIM",VLOOKUP($I335&amp;$J335&amp;O$1,Pesos!$A:$I,7,FALSE),VLOOKUP($I335&amp;$J335&amp;O$1,Pesos!$A:$I,9,FALSE)))</f>
        <v>1.1000000000000001</v>
      </c>
      <c r="AH335" s="80">
        <f>IF(P335="","",IF(P335="SIM",VLOOKUP($I335&amp;$J335&amp;P$1,Pesos!$A:$I,7,FALSE),VLOOKUP($I335&amp;$J335&amp;P$1,Pesos!$A:$I,9,FALSE)))</f>
        <v>1.1000000000000001</v>
      </c>
      <c r="AI335" s="80">
        <f>IF(Q335="","",IF(Q335="SIM",VLOOKUP($I335&amp;$J335&amp;Q$1,Pesos!$A:$I,7,FALSE),VLOOKUP($I335&amp;$J335&amp;Q$1,Pesos!$A:$I,9,FALSE)))</f>
        <v>1.1000000000000001</v>
      </c>
      <c r="AJ335" s="80">
        <f>IF(R335="","",IF(R335="SIM",VLOOKUP($I335&amp;$J335&amp;R$1,Pesos!$A:$I,7,FALSE),VLOOKUP($I335&amp;$J335&amp;R$1,Pesos!$A:$I,9,FALSE)))</f>
        <v>1.1000000000000001</v>
      </c>
      <c r="AK335" s="80">
        <f>IF(S335="","",IF(S335="SIM",VLOOKUP($I335&amp;$J335&amp;S$1,Pesos!$A:$I,7,FALSE),VLOOKUP($I335&amp;$J335&amp;S$1,Pesos!$A:$I,9,FALSE)))</f>
        <v>1.5</v>
      </c>
      <c r="AL335" s="80">
        <f t="shared" si="54"/>
        <v>7</v>
      </c>
      <c r="AM335" s="80">
        <f>IF(T335="","",IF(T335="SIM",VLOOKUP($I335&amp;$J335&amp;T$1,Pesos!$A:$I,7,FALSE),VLOOKUP($I335&amp;$J335&amp;T$1,Pesos!$A:$I,9,FALSE)))</f>
        <v>1.5</v>
      </c>
      <c r="AN335" s="80">
        <f>IF(U335="","",IF(U335="SIM",VLOOKUP($I335&amp;$J335&amp;U$1,Pesos!$A:$I,7,FALSE),VLOOKUP($I335&amp;$J335&amp;U$1,Pesos!$A:$I,9,FALSE)))</f>
        <v>1.5</v>
      </c>
      <c r="AO335" s="80" t="str">
        <f>IF(V335="","",IF(V335="SIM",VLOOKUP($I335&amp;$J335&amp;V$1,Pesos!$A:$I,7,FALSE),VLOOKUP($I335&amp;$J335&amp;V$1,Pesos!$A:$I,9,FALSE)))</f>
        <v/>
      </c>
      <c r="AP335" s="80" t="str">
        <f>IF(W335="","",IF(W335="SIM",VLOOKUP($I335&amp;$J335&amp;W$1,Pesos!$A:$I,7,FALSE),VLOOKUP($I335&amp;$J335&amp;W$1,Pesos!$A:$I,9,FALSE)))</f>
        <v/>
      </c>
      <c r="AQ335" s="80" t="str">
        <f>IF(X335="","",IF(X335="SIM",VLOOKUP($I335&amp;$J335&amp;X$1,Pesos!$A:$I,7,FALSE),VLOOKUP($I335&amp;$J335&amp;X$1,Pesos!$A:$I,9,FALSE)))</f>
        <v/>
      </c>
      <c r="AR335" s="80" t="str">
        <f>IF(Y335="","",IF(Y335="SIM",VLOOKUP($I335&amp;$J335&amp;Y$1,Pesos!$A:$I,7,FALSE),VLOOKUP($I335&amp;$J335&amp;Y$1,Pesos!$A:$I,9,FALSE)))</f>
        <v/>
      </c>
      <c r="AS335" s="81">
        <f>IFERROR(Z335*VLOOKUP(J335,'BD Campos'!$Y$1:$Z$12,2,FALSE),"0")</f>
        <v>10</v>
      </c>
    </row>
    <row r="336" spans="1:45" x14ac:dyDescent="0.35">
      <c r="A336" s="68" t="str">
        <f t="shared" si="51"/>
        <v>Jan202511205MotoristaLOGÍSTICA</v>
      </c>
      <c r="B336" s="69" t="str">
        <f t="shared" si="52"/>
        <v>Jan2025112051LOGÍSTICAPADRÃO</v>
      </c>
      <c r="C336" s="70">
        <v>1</v>
      </c>
      <c r="D336" s="71">
        <v>45680.482467013891</v>
      </c>
      <c r="E336" s="112" t="s">
        <v>74</v>
      </c>
      <c r="F336" s="72">
        <v>11205</v>
      </c>
      <c r="G336" s="69" t="s">
        <v>1387</v>
      </c>
      <c r="H336" s="73">
        <v>1</v>
      </c>
      <c r="I336" s="69" t="s">
        <v>206</v>
      </c>
      <c r="J336" s="69" t="s">
        <v>122</v>
      </c>
      <c r="K336" s="69" t="s">
        <v>184</v>
      </c>
      <c r="L336" s="74"/>
      <c r="M336" s="75">
        <v>1.1805555555555556E-3</v>
      </c>
      <c r="N336" s="76" t="s">
        <v>79</v>
      </c>
      <c r="O336" s="76" t="s">
        <v>79</v>
      </c>
      <c r="P336" s="76" t="s">
        <v>79</v>
      </c>
      <c r="Q336" s="76" t="s">
        <v>79</v>
      </c>
      <c r="R336" s="76" t="s">
        <v>79</v>
      </c>
      <c r="S336" s="76" t="s">
        <v>79</v>
      </c>
      <c r="T336" s="76" t="s">
        <v>79</v>
      </c>
      <c r="U336" s="76" t="s">
        <v>79</v>
      </c>
      <c r="V336" s="76" t="s">
        <v>79</v>
      </c>
      <c r="W336" s="76" t="s">
        <v>83</v>
      </c>
      <c r="X336" s="76"/>
      <c r="Y336" s="76"/>
      <c r="Z336" s="77">
        <f t="shared" si="38"/>
        <v>8.9499999999999993</v>
      </c>
      <c r="AA336" s="78"/>
      <c r="AB336" s="78"/>
      <c r="AC336" s="72" t="s">
        <v>47</v>
      </c>
      <c r="AE336" s="79" t="str">
        <f t="shared" si="53"/>
        <v>Jan11205</v>
      </c>
      <c r="AF336" s="80">
        <f>IF(N336="","",IF(N336="SIM",VLOOKUP($I336&amp;$J336&amp;N$1,Pesos!$A:$I,7,FALSE),VLOOKUP($I336&amp;$J336&amp;N$1,Pesos!$A:$I,9,FALSE)))</f>
        <v>0.8</v>
      </c>
      <c r="AG336" s="80">
        <f>IF(O336="","",IF(O336="SIM",VLOOKUP($I336&amp;$J336&amp;O$1,Pesos!$A:$I,7,FALSE),VLOOKUP($I336&amp;$J336&amp;O$1,Pesos!$A:$I,9,FALSE)))</f>
        <v>0.8</v>
      </c>
      <c r="AH336" s="80">
        <f>IF(P336="","",IF(P336="SIM",VLOOKUP($I336&amp;$J336&amp;P$1,Pesos!$A:$I,7,FALSE),VLOOKUP($I336&amp;$J336&amp;P$1,Pesos!$A:$I,9,FALSE)))</f>
        <v>0.8</v>
      </c>
      <c r="AI336" s="80">
        <f>IF(Q336="","",IF(Q336="SIM",VLOOKUP($I336&amp;$J336&amp;Q$1,Pesos!$A:$I,7,FALSE),VLOOKUP($I336&amp;$J336&amp;Q$1,Pesos!$A:$I,9,FALSE)))</f>
        <v>1</v>
      </c>
      <c r="AJ336" s="80">
        <f>IF(R336="","",IF(R336="SIM",VLOOKUP($I336&amp;$J336&amp;R$1,Pesos!$A:$I,7,FALSE),VLOOKUP($I336&amp;$J336&amp;R$1,Pesos!$A:$I,9,FALSE)))</f>
        <v>1</v>
      </c>
      <c r="AK336" s="80">
        <f>IF(S336="","",IF(S336="SIM",VLOOKUP($I336&amp;$J336&amp;S$1,Pesos!$A:$I,7,FALSE),VLOOKUP($I336&amp;$J336&amp;S$1,Pesos!$A:$I,9,FALSE)))</f>
        <v>1</v>
      </c>
      <c r="AL336" s="80">
        <f t="shared" si="54"/>
        <v>5.4</v>
      </c>
      <c r="AM336" s="80">
        <f>IF(T336="","",IF(T336="SIM",VLOOKUP($I336&amp;$J336&amp;T$1,Pesos!$A:$I,7,FALSE),VLOOKUP($I336&amp;$J336&amp;T$1,Pesos!$A:$I,9,FALSE)))</f>
        <v>1.2</v>
      </c>
      <c r="AN336" s="80">
        <f>IF(U336="","",IF(U336="SIM",VLOOKUP($I336&amp;$J336&amp;U$1,Pesos!$A:$I,7,FALSE),VLOOKUP($I336&amp;$J336&amp;U$1,Pesos!$A:$I,9,FALSE)))</f>
        <v>1.2</v>
      </c>
      <c r="AO336" s="80">
        <f>IF(V336="","",IF(V336="SIM",VLOOKUP($I336&amp;$J336&amp;V$1,Pesos!$A:$I,7,FALSE),VLOOKUP($I336&amp;$J336&amp;V$1,Pesos!$A:$I,9,FALSE)))</f>
        <v>1.2</v>
      </c>
      <c r="AP336" s="80">
        <f>IF(W336="","",IF(W336="SIM",VLOOKUP($I336&amp;$J336&amp;W$1,Pesos!$A:$I,7,FALSE),VLOOKUP($I336&amp;$J336&amp;W$1,Pesos!$A:$I,9,FALSE)))</f>
        <v>-0.05</v>
      </c>
      <c r="AQ336" s="80" t="str">
        <f>IF(X336="","",IF(X336="SIM",VLOOKUP($I336&amp;$J336&amp;X$1,Pesos!$A:$I,7,FALSE),VLOOKUP($I336&amp;$J336&amp;X$1,Pesos!$A:$I,9,FALSE)))</f>
        <v/>
      </c>
      <c r="AR336" s="80" t="str">
        <f>IF(Y336="","",IF(Y336="SIM",VLOOKUP($I336&amp;$J336&amp;Y$1,Pesos!$A:$I,7,FALSE),VLOOKUP($I336&amp;$J336&amp;Y$1,Pesos!$A:$I,9,FALSE)))</f>
        <v/>
      </c>
      <c r="AS336" s="81">
        <f>IFERROR(Z336*VLOOKUP(J336,'BD Campos'!$Y$1:$Z$12,2,FALSE),"0")</f>
        <v>8.9499999999999993</v>
      </c>
    </row>
    <row r="337" spans="1:45" x14ac:dyDescent="0.35">
      <c r="A337" s="68" t="str">
        <f t="shared" si="51"/>
        <v>Jan202511205Motorista 2LOGÍSTICA</v>
      </c>
      <c r="B337" s="69" t="str">
        <f t="shared" si="52"/>
        <v>Jan2025112052LOGÍSTICAPADRÃO</v>
      </c>
      <c r="C337" s="70">
        <v>1</v>
      </c>
      <c r="D337" s="71">
        <v>45680.49304814815</v>
      </c>
      <c r="E337" s="112" t="s">
        <v>74</v>
      </c>
      <c r="F337" s="72">
        <v>11205</v>
      </c>
      <c r="G337" s="69" t="s">
        <v>1387</v>
      </c>
      <c r="H337" s="73">
        <v>2</v>
      </c>
      <c r="I337" s="69" t="s">
        <v>206</v>
      </c>
      <c r="J337" s="69" t="s">
        <v>204</v>
      </c>
      <c r="K337" s="69" t="s">
        <v>184</v>
      </c>
      <c r="L337" s="74"/>
      <c r="M337" s="75">
        <v>1.3541666666666667E-3</v>
      </c>
      <c r="N337" s="76" t="s">
        <v>79</v>
      </c>
      <c r="O337" s="76" t="s">
        <v>79</v>
      </c>
      <c r="P337" s="76" t="s">
        <v>79</v>
      </c>
      <c r="Q337" s="76" t="s">
        <v>79</v>
      </c>
      <c r="R337" s="76" t="s">
        <v>79</v>
      </c>
      <c r="S337" s="76" t="s">
        <v>79</v>
      </c>
      <c r="T337" s="76" t="s">
        <v>79</v>
      </c>
      <c r="U337" s="76" t="s">
        <v>79</v>
      </c>
      <c r="V337" s="76" t="s">
        <v>83</v>
      </c>
      <c r="W337" s="76" t="s">
        <v>83</v>
      </c>
      <c r="X337" s="76"/>
      <c r="Y337" s="76"/>
      <c r="Z337" s="77">
        <f t="shared" si="38"/>
        <v>7.6900000000000013</v>
      </c>
      <c r="AA337" s="78"/>
      <c r="AB337" s="78"/>
      <c r="AC337" s="72" t="s">
        <v>47</v>
      </c>
      <c r="AE337" s="79" t="str">
        <f t="shared" si="53"/>
        <v>Jan11205</v>
      </c>
      <c r="AF337" s="80">
        <f>IF(N337="","",IF(N337="SIM",VLOOKUP($I337&amp;$J337&amp;N$1,Pesos!$A:$I,7,FALSE),VLOOKUP($I337&amp;$J337&amp;N$1,Pesos!$A:$I,9,FALSE)))</f>
        <v>0.8</v>
      </c>
      <c r="AG337" s="80">
        <f>IF(O337="","",IF(O337="SIM",VLOOKUP($I337&amp;$J337&amp;O$1,Pesos!$A:$I,7,FALSE),VLOOKUP($I337&amp;$J337&amp;O$1,Pesos!$A:$I,9,FALSE)))</f>
        <v>0.8</v>
      </c>
      <c r="AH337" s="80">
        <f>IF(P337="","",IF(P337="SIM",VLOOKUP($I337&amp;$J337&amp;P$1,Pesos!$A:$I,7,FALSE),VLOOKUP($I337&amp;$J337&amp;P$1,Pesos!$A:$I,9,FALSE)))</f>
        <v>0.8</v>
      </c>
      <c r="AI337" s="80">
        <f>IF(Q337="","",IF(Q337="SIM",VLOOKUP($I337&amp;$J337&amp;Q$1,Pesos!$A:$I,7,FALSE),VLOOKUP($I337&amp;$J337&amp;Q$1,Pesos!$A:$I,9,FALSE)))</f>
        <v>1</v>
      </c>
      <c r="AJ337" s="80">
        <f>IF(R337="","",IF(R337="SIM",VLOOKUP($I337&amp;$J337&amp;R$1,Pesos!$A:$I,7,FALSE),VLOOKUP($I337&amp;$J337&amp;R$1,Pesos!$A:$I,9,FALSE)))</f>
        <v>1</v>
      </c>
      <c r="AK337" s="80">
        <f>IF(S337="","",IF(S337="SIM",VLOOKUP($I337&amp;$J337&amp;S$1,Pesos!$A:$I,7,FALSE),VLOOKUP($I337&amp;$J337&amp;S$1,Pesos!$A:$I,9,FALSE)))</f>
        <v>1</v>
      </c>
      <c r="AL337" s="80">
        <f t="shared" si="54"/>
        <v>5.4</v>
      </c>
      <c r="AM337" s="80">
        <f>IF(T337="","",IF(T337="SIM",VLOOKUP($I337&amp;$J337&amp;T$1,Pesos!$A:$I,7,FALSE),VLOOKUP($I337&amp;$J337&amp;T$1,Pesos!$A:$I,9,FALSE)))</f>
        <v>1.2</v>
      </c>
      <c r="AN337" s="80">
        <f>IF(U337="","",IF(U337="SIM",VLOOKUP($I337&amp;$J337&amp;U$1,Pesos!$A:$I,7,FALSE),VLOOKUP($I337&amp;$J337&amp;U$1,Pesos!$A:$I,9,FALSE)))</f>
        <v>1.2</v>
      </c>
      <c r="AO337" s="80">
        <f>IF(V337="","",IF(V337="SIM",VLOOKUP($I337&amp;$J337&amp;V$1,Pesos!$A:$I,7,FALSE),VLOOKUP($I337&amp;$J337&amp;V$1,Pesos!$A:$I,9,FALSE)))</f>
        <v>-0.06</v>
      </c>
      <c r="AP337" s="80">
        <f>IF(W337="","",IF(W337="SIM",VLOOKUP($I337&amp;$J337&amp;W$1,Pesos!$A:$I,7,FALSE),VLOOKUP($I337&amp;$J337&amp;W$1,Pesos!$A:$I,9,FALSE)))</f>
        <v>-0.05</v>
      </c>
      <c r="AQ337" s="80" t="str">
        <f>IF(X337="","",IF(X337="SIM",VLOOKUP($I337&amp;$J337&amp;X$1,Pesos!$A:$I,7,FALSE),VLOOKUP($I337&amp;$J337&amp;X$1,Pesos!$A:$I,9,FALSE)))</f>
        <v/>
      </c>
      <c r="AR337" s="80" t="str">
        <f>IF(Y337="","",IF(Y337="SIM",VLOOKUP($I337&amp;$J337&amp;Y$1,Pesos!$A:$I,7,FALSE),VLOOKUP($I337&amp;$J337&amp;Y$1,Pesos!$A:$I,9,FALSE)))</f>
        <v/>
      </c>
      <c r="AS337" s="81">
        <f>IFERROR(Z337*VLOOKUP(J337,'BD Campos'!$Y$1:$Z$12,2,FALSE),"0")</f>
        <v>7.6900000000000013</v>
      </c>
    </row>
    <row r="338" spans="1:45" x14ac:dyDescent="0.35">
      <c r="A338" s="68" t="str">
        <f t="shared" si="51"/>
        <v>Jan202511218MotoristaLOGÍSTICA</v>
      </c>
      <c r="B338" s="69" t="str">
        <f t="shared" si="52"/>
        <v>Jan2025112181LOGÍSTICAPADRÃO</v>
      </c>
      <c r="C338" s="70">
        <v>1</v>
      </c>
      <c r="D338" s="71">
        <v>45680.498258333333</v>
      </c>
      <c r="E338" s="112" t="s">
        <v>74</v>
      </c>
      <c r="F338" s="72">
        <v>11218</v>
      </c>
      <c r="G338" s="69" t="s">
        <v>1401</v>
      </c>
      <c r="H338" s="73">
        <v>1</v>
      </c>
      <c r="I338" s="69" t="s">
        <v>1369</v>
      </c>
      <c r="J338" s="69" t="s">
        <v>122</v>
      </c>
      <c r="K338" s="69" t="s">
        <v>184</v>
      </c>
      <c r="L338" s="74"/>
      <c r="M338" s="75">
        <v>7.7546296296296304E-4</v>
      </c>
      <c r="N338" s="76" t="s">
        <v>79</v>
      </c>
      <c r="O338" s="76" t="s">
        <v>79</v>
      </c>
      <c r="P338" s="76" t="s">
        <v>79</v>
      </c>
      <c r="Q338" s="76" t="s">
        <v>79</v>
      </c>
      <c r="R338" s="76" t="s">
        <v>79</v>
      </c>
      <c r="S338" s="76" t="s">
        <v>79</v>
      </c>
      <c r="T338" s="76" t="s">
        <v>79</v>
      </c>
      <c r="U338" s="76" t="s">
        <v>83</v>
      </c>
      <c r="V338" s="76"/>
      <c r="W338" s="76"/>
      <c r="X338" s="76"/>
      <c r="Y338" s="76"/>
      <c r="Z338" s="77">
        <f t="shared" si="38"/>
        <v>8.4250000000000007</v>
      </c>
      <c r="AA338" s="78"/>
      <c r="AB338" s="78"/>
      <c r="AC338" s="72" t="s">
        <v>47</v>
      </c>
      <c r="AE338" s="79" t="str">
        <f t="shared" si="53"/>
        <v>Jan11218</v>
      </c>
      <c r="AF338" s="80">
        <f>IF(N338="","",IF(N338="SIM",VLOOKUP($I338&amp;$J338&amp;N$1,Pesos!$A:$I,7,FALSE),VLOOKUP($I338&amp;$J338&amp;N$1,Pesos!$A:$I,9,FALSE)))</f>
        <v>1.1000000000000001</v>
      </c>
      <c r="AG338" s="80">
        <f>IF(O338="","",IF(O338="SIM",VLOOKUP($I338&amp;$J338&amp;O$1,Pesos!$A:$I,7,FALSE),VLOOKUP($I338&amp;$J338&amp;O$1,Pesos!$A:$I,9,FALSE)))</f>
        <v>1.1000000000000001</v>
      </c>
      <c r="AH338" s="80">
        <f>IF(P338="","",IF(P338="SIM",VLOOKUP($I338&amp;$J338&amp;P$1,Pesos!$A:$I,7,FALSE),VLOOKUP($I338&amp;$J338&amp;P$1,Pesos!$A:$I,9,FALSE)))</f>
        <v>1.1000000000000001</v>
      </c>
      <c r="AI338" s="80">
        <f>IF(Q338="","",IF(Q338="SIM",VLOOKUP($I338&amp;$J338&amp;Q$1,Pesos!$A:$I,7,FALSE),VLOOKUP($I338&amp;$J338&amp;Q$1,Pesos!$A:$I,9,FALSE)))</f>
        <v>1.1000000000000001</v>
      </c>
      <c r="AJ338" s="80">
        <f>IF(R338="","",IF(R338="SIM",VLOOKUP($I338&amp;$J338&amp;R$1,Pesos!$A:$I,7,FALSE),VLOOKUP($I338&amp;$J338&amp;R$1,Pesos!$A:$I,9,FALSE)))</f>
        <v>1.1000000000000001</v>
      </c>
      <c r="AK338" s="80">
        <f>IF(S338="","",IF(S338="SIM",VLOOKUP($I338&amp;$J338&amp;S$1,Pesos!$A:$I,7,FALSE),VLOOKUP($I338&amp;$J338&amp;S$1,Pesos!$A:$I,9,FALSE)))</f>
        <v>1.5</v>
      </c>
      <c r="AL338" s="80">
        <f t="shared" si="54"/>
        <v>7</v>
      </c>
      <c r="AM338" s="80">
        <f>IF(T338="","",IF(T338="SIM",VLOOKUP($I338&amp;$J338&amp;T$1,Pesos!$A:$I,7,FALSE),VLOOKUP($I338&amp;$J338&amp;T$1,Pesos!$A:$I,9,FALSE)))</f>
        <v>1.5</v>
      </c>
      <c r="AN338" s="80">
        <f>IF(U338="","",IF(U338="SIM",VLOOKUP($I338&amp;$J338&amp;U$1,Pesos!$A:$I,7,FALSE),VLOOKUP($I338&amp;$J338&amp;U$1,Pesos!$A:$I,9,FALSE)))</f>
        <v>-7.5000000000000011E-2</v>
      </c>
      <c r="AO338" s="80" t="str">
        <f>IF(V338="","",IF(V338="SIM",VLOOKUP($I338&amp;$J338&amp;V$1,Pesos!$A:$I,7,FALSE),VLOOKUP($I338&amp;$J338&amp;V$1,Pesos!$A:$I,9,FALSE)))</f>
        <v/>
      </c>
      <c r="AP338" s="80" t="str">
        <f>IF(W338="","",IF(W338="SIM",VLOOKUP($I338&amp;$J338&amp;W$1,Pesos!$A:$I,7,FALSE),VLOOKUP($I338&amp;$J338&amp;W$1,Pesos!$A:$I,9,FALSE)))</f>
        <v/>
      </c>
      <c r="AQ338" s="80" t="str">
        <f>IF(X338="","",IF(X338="SIM",VLOOKUP($I338&amp;$J338&amp;X$1,Pesos!$A:$I,7,FALSE),VLOOKUP($I338&amp;$J338&amp;X$1,Pesos!$A:$I,9,FALSE)))</f>
        <v/>
      </c>
      <c r="AR338" s="80" t="str">
        <f>IF(Y338="","",IF(Y338="SIM",VLOOKUP($I338&amp;$J338&amp;Y$1,Pesos!$A:$I,7,FALSE),VLOOKUP($I338&amp;$J338&amp;Y$1,Pesos!$A:$I,9,FALSE)))</f>
        <v/>
      </c>
      <c r="AS338" s="81">
        <f>IFERROR(Z338*VLOOKUP(J338,'BD Campos'!$Y$1:$Z$12,2,FALSE),"0")</f>
        <v>8.4250000000000007</v>
      </c>
    </row>
    <row r="339" spans="1:45" x14ac:dyDescent="0.35">
      <c r="A339" s="68" t="str">
        <f t="shared" si="51"/>
        <v>Jan202511238MotoristaLOGÍSTICA</v>
      </c>
      <c r="B339" s="69" t="str">
        <f t="shared" si="52"/>
        <v>Jan2025112381LOGÍSTICAPADRÃO</v>
      </c>
      <c r="C339" s="70">
        <v>1</v>
      </c>
      <c r="D339" s="71">
        <v>45680.512515162038</v>
      </c>
      <c r="E339" s="112" t="s">
        <v>74</v>
      </c>
      <c r="F339" s="72">
        <v>11238</v>
      </c>
      <c r="G339" s="69" t="s">
        <v>1576</v>
      </c>
      <c r="H339" s="73">
        <v>1</v>
      </c>
      <c r="I339" s="69" t="s">
        <v>206</v>
      </c>
      <c r="J339" s="69" t="s">
        <v>122</v>
      </c>
      <c r="K339" s="69" t="s">
        <v>184</v>
      </c>
      <c r="L339" s="74"/>
      <c r="M339" s="75">
        <v>9.8379629629629642E-4</v>
      </c>
      <c r="N339" s="76" t="s">
        <v>79</v>
      </c>
      <c r="O339" s="76" t="s">
        <v>79</v>
      </c>
      <c r="P339" s="76" t="s">
        <v>79</v>
      </c>
      <c r="Q339" s="76" t="s">
        <v>79</v>
      </c>
      <c r="R339" s="76" t="s">
        <v>79</v>
      </c>
      <c r="S339" s="76" t="s">
        <v>79</v>
      </c>
      <c r="T339" s="76" t="s">
        <v>79</v>
      </c>
      <c r="U339" s="76" t="s">
        <v>79</v>
      </c>
      <c r="V339" s="76" t="s">
        <v>79</v>
      </c>
      <c r="W339" s="76" t="s">
        <v>79</v>
      </c>
      <c r="X339" s="76"/>
      <c r="Y339" s="76"/>
      <c r="Z339" s="77">
        <f t="shared" si="38"/>
        <v>10</v>
      </c>
      <c r="AA339" s="78"/>
      <c r="AB339" s="78"/>
      <c r="AC339" s="72" t="s">
        <v>47</v>
      </c>
      <c r="AE339" s="79" t="str">
        <f t="shared" si="53"/>
        <v>Jan11238</v>
      </c>
      <c r="AF339" s="80">
        <f>IF(N339="","",IF(N339="SIM",VLOOKUP($I339&amp;$J339&amp;N$1,Pesos!$A:$I,7,FALSE),VLOOKUP($I339&amp;$J339&amp;N$1,Pesos!$A:$I,9,FALSE)))</f>
        <v>0.8</v>
      </c>
      <c r="AG339" s="80">
        <f>IF(O339="","",IF(O339="SIM",VLOOKUP($I339&amp;$J339&amp;O$1,Pesos!$A:$I,7,FALSE),VLOOKUP($I339&amp;$J339&amp;O$1,Pesos!$A:$I,9,FALSE)))</f>
        <v>0.8</v>
      </c>
      <c r="AH339" s="80">
        <f>IF(P339="","",IF(P339="SIM",VLOOKUP($I339&amp;$J339&amp;P$1,Pesos!$A:$I,7,FALSE),VLOOKUP($I339&amp;$J339&amp;P$1,Pesos!$A:$I,9,FALSE)))</f>
        <v>0.8</v>
      </c>
      <c r="AI339" s="80">
        <f>IF(Q339="","",IF(Q339="SIM",VLOOKUP($I339&amp;$J339&amp;Q$1,Pesos!$A:$I,7,FALSE),VLOOKUP($I339&amp;$J339&amp;Q$1,Pesos!$A:$I,9,FALSE)))</f>
        <v>1</v>
      </c>
      <c r="AJ339" s="80">
        <f>IF(R339="","",IF(R339="SIM",VLOOKUP($I339&amp;$J339&amp;R$1,Pesos!$A:$I,7,FALSE),VLOOKUP($I339&amp;$J339&amp;R$1,Pesos!$A:$I,9,FALSE)))</f>
        <v>1</v>
      </c>
      <c r="AK339" s="80">
        <f>IF(S339="","",IF(S339="SIM",VLOOKUP($I339&amp;$J339&amp;S$1,Pesos!$A:$I,7,FALSE),VLOOKUP($I339&amp;$J339&amp;S$1,Pesos!$A:$I,9,FALSE)))</f>
        <v>1</v>
      </c>
      <c r="AL339" s="80">
        <f t="shared" si="54"/>
        <v>5.4</v>
      </c>
      <c r="AM339" s="80">
        <f>IF(T339="","",IF(T339="SIM",VLOOKUP($I339&amp;$J339&amp;T$1,Pesos!$A:$I,7,FALSE),VLOOKUP($I339&amp;$J339&amp;T$1,Pesos!$A:$I,9,FALSE)))</f>
        <v>1.2</v>
      </c>
      <c r="AN339" s="80">
        <f>IF(U339="","",IF(U339="SIM",VLOOKUP($I339&amp;$J339&amp;U$1,Pesos!$A:$I,7,FALSE),VLOOKUP($I339&amp;$J339&amp;U$1,Pesos!$A:$I,9,FALSE)))</f>
        <v>1.2</v>
      </c>
      <c r="AO339" s="80">
        <f>IF(V339="","",IF(V339="SIM",VLOOKUP($I339&amp;$J339&amp;V$1,Pesos!$A:$I,7,FALSE),VLOOKUP($I339&amp;$J339&amp;V$1,Pesos!$A:$I,9,FALSE)))</f>
        <v>1.2</v>
      </c>
      <c r="AP339" s="80">
        <f>IF(W339="","",IF(W339="SIM",VLOOKUP($I339&amp;$J339&amp;W$1,Pesos!$A:$I,7,FALSE),VLOOKUP($I339&amp;$J339&amp;W$1,Pesos!$A:$I,9,FALSE)))</f>
        <v>1</v>
      </c>
      <c r="AQ339" s="80" t="str">
        <f>IF(X339="","",IF(X339="SIM",VLOOKUP($I339&amp;$J339&amp;X$1,Pesos!$A:$I,7,FALSE),VLOOKUP($I339&amp;$J339&amp;X$1,Pesos!$A:$I,9,FALSE)))</f>
        <v/>
      </c>
      <c r="AR339" s="80" t="str">
        <f>IF(Y339="","",IF(Y339="SIM",VLOOKUP($I339&amp;$J339&amp;Y$1,Pesos!$A:$I,7,FALSE),VLOOKUP($I339&amp;$J339&amp;Y$1,Pesos!$A:$I,9,FALSE)))</f>
        <v/>
      </c>
      <c r="AS339" s="81">
        <f>IFERROR(Z339*VLOOKUP(J339,'BD Campos'!$Y$1:$Z$12,2,FALSE),"0")</f>
        <v>10</v>
      </c>
    </row>
    <row r="340" spans="1:45" x14ac:dyDescent="0.35">
      <c r="A340" s="68" t="str">
        <f t="shared" si="51"/>
        <v>Jan202511238ClienteLOGÍSTICA</v>
      </c>
      <c r="B340" s="69" t="str">
        <f t="shared" si="52"/>
        <v>Jan2025112382LOGÍSTICAPADRÃO</v>
      </c>
      <c r="C340" s="70">
        <v>1</v>
      </c>
      <c r="D340" s="71">
        <v>45680.517474652777</v>
      </c>
      <c r="E340" s="112" t="s">
        <v>74</v>
      </c>
      <c r="F340" s="72">
        <v>11238</v>
      </c>
      <c r="G340" s="69" t="s">
        <v>1576</v>
      </c>
      <c r="H340" s="73">
        <v>2</v>
      </c>
      <c r="I340" s="69" t="s">
        <v>206</v>
      </c>
      <c r="J340" s="69" t="s">
        <v>124</v>
      </c>
      <c r="K340" s="69" t="s">
        <v>184</v>
      </c>
      <c r="L340" s="74"/>
      <c r="M340" s="75">
        <v>1.4467592592592594E-3</v>
      </c>
      <c r="N340" s="76" t="s">
        <v>79</v>
      </c>
      <c r="O340" s="76" t="s">
        <v>79</v>
      </c>
      <c r="P340" s="76" t="s">
        <v>79</v>
      </c>
      <c r="Q340" s="76" t="s">
        <v>79</v>
      </c>
      <c r="R340" s="76" t="s">
        <v>79</v>
      </c>
      <c r="S340" s="76" t="s">
        <v>79</v>
      </c>
      <c r="T340" s="76" t="s">
        <v>79</v>
      </c>
      <c r="U340" s="76" t="s">
        <v>79</v>
      </c>
      <c r="V340" s="76" t="s">
        <v>79</v>
      </c>
      <c r="W340" s="76"/>
      <c r="X340" s="76"/>
      <c r="Y340" s="76"/>
      <c r="Z340" s="77">
        <f t="shared" si="38"/>
        <v>10</v>
      </c>
      <c r="AA340" s="78"/>
      <c r="AB340" s="78"/>
      <c r="AC340" s="72" t="s">
        <v>47</v>
      </c>
      <c r="AE340" s="79" t="str">
        <f t="shared" ref="AE340:AE345" si="55">E340&amp;F340</f>
        <v>Jan11238</v>
      </c>
      <c r="AF340" s="80">
        <f>IF(N340="","",IF(N340="SIM",VLOOKUP($I340&amp;$J340&amp;N$1,Pesos!$A:$I,7,FALSE),VLOOKUP($I340&amp;$J340&amp;N$1,Pesos!$A:$I,9,FALSE)))</f>
        <v>1.1000000000000001</v>
      </c>
      <c r="AG340" s="80">
        <f>IF(O340="","",IF(O340="SIM",VLOOKUP($I340&amp;$J340&amp;O$1,Pesos!$A:$I,7,FALSE),VLOOKUP($I340&amp;$J340&amp;O$1,Pesos!$A:$I,9,FALSE)))</f>
        <v>1</v>
      </c>
      <c r="AH340" s="80">
        <f>IF(P340="","",IF(P340="SIM",VLOOKUP($I340&amp;$J340&amp;P$1,Pesos!$A:$I,7,FALSE),VLOOKUP($I340&amp;$J340&amp;P$1,Pesos!$A:$I,9,FALSE)))</f>
        <v>1</v>
      </c>
      <c r="AI340" s="80">
        <f>IF(Q340="","",IF(Q340="SIM",VLOOKUP($I340&amp;$J340&amp;Q$1,Pesos!$A:$I,7,FALSE),VLOOKUP($I340&amp;$J340&amp;Q$1,Pesos!$A:$I,9,FALSE)))</f>
        <v>1.1000000000000001</v>
      </c>
      <c r="AJ340" s="80">
        <f>IF(R340="","",IF(R340="SIM",VLOOKUP($I340&amp;$J340&amp;R$1,Pesos!$A:$I,7,FALSE),VLOOKUP($I340&amp;$J340&amp;R$1,Pesos!$A:$I,9,FALSE)))</f>
        <v>1.1000000000000001</v>
      </c>
      <c r="AK340" s="80">
        <f>IF(S340="","",IF(S340="SIM",VLOOKUP($I340&amp;$J340&amp;S$1,Pesos!$A:$I,7,FALSE),VLOOKUP($I340&amp;$J340&amp;S$1,Pesos!$A:$I,9,FALSE)))</f>
        <v>1.1000000000000001</v>
      </c>
      <c r="AL340" s="80">
        <f t="shared" ref="AL340:AL345" si="56">SUM(AF340:AK340)</f>
        <v>6.4</v>
      </c>
      <c r="AM340" s="80">
        <f>IF(T340="","",IF(T340="SIM",VLOOKUP($I340&amp;$J340&amp;T$1,Pesos!$A:$I,7,FALSE),VLOOKUP($I340&amp;$J340&amp;T$1,Pesos!$A:$I,9,FALSE)))</f>
        <v>1.2</v>
      </c>
      <c r="AN340" s="80">
        <f>IF(U340="","",IF(U340="SIM",VLOOKUP($I340&amp;$J340&amp;U$1,Pesos!$A:$I,7,FALSE),VLOOKUP($I340&amp;$J340&amp;U$1,Pesos!$A:$I,9,FALSE)))</f>
        <v>1.2</v>
      </c>
      <c r="AO340" s="80">
        <f>IF(V340="","",IF(V340="SIM",VLOOKUP($I340&amp;$J340&amp;V$1,Pesos!$A:$I,7,FALSE),VLOOKUP($I340&amp;$J340&amp;V$1,Pesos!$A:$I,9,FALSE)))</f>
        <v>1.2</v>
      </c>
      <c r="AP340" s="80" t="str">
        <f>IF(W340="","",IF(W340="SIM",VLOOKUP($I340&amp;$J340&amp;W$1,Pesos!$A:$I,7,FALSE),VLOOKUP($I340&amp;$J340&amp;W$1,Pesos!$A:$I,9,FALSE)))</f>
        <v/>
      </c>
      <c r="AQ340" s="80" t="str">
        <f>IF(X340="","",IF(X340="SIM",VLOOKUP($I340&amp;$J340&amp;X$1,Pesos!$A:$I,7,FALSE),VLOOKUP($I340&amp;$J340&amp;X$1,Pesos!$A:$I,9,FALSE)))</f>
        <v/>
      </c>
      <c r="AR340" s="80" t="str">
        <f>IF(Y340="","",IF(Y340="SIM",VLOOKUP($I340&amp;$J340&amp;Y$1,Pesos!$A:$I,7,FALSE),VLOOKUP($I340&amp;$J340&amp;Y$1,Pesos!$A:$I,9,FALSE)))</f>
        <v/>
      </c>
      <c r="AS340" s="81">
        <f>IFERROR(Z340*VLOOKUP(J340,'BD Campos'!$Y$1:$Z$12,2,FALSE),"0")</f>
        <v>10</v>
      </c>
    </row>
    <row r="341" spans="1:45" x14ac:dyDescent="0.35">
      <c r="A341" s="68" t="str">
        <f t="shared" si="51"/>
        <v>Jan202511234ClienteLOGÍSTICA</v>
      </c>
      <c r="B341" s="69" t="str">
        <f t="shared" si="52"/>
        <v>Jan2025112341LOGÍSTICAPADRÃO</v>
      </c>
      <c r="C341" s="70">
        <v>1</v>
      </c>
      <c r="D341" s="71">
        <v>45680.597899074077</v>
      </c>
      <c r="E341" s="112" t="s">
        <v>74</v>
      </c>
      <c r="F341" s="72">
        <v>11234</v>
      </c>
      <c r="G341" s="69" t="s">
        <v>1577</v>
      </c>
      <c r="H341" s="73">
        <v>1</v>
      </c>
      <c r="I341" s="69" t="s">
        <v>206</v>
      </c>
      <c r="J341" s="69" t="s">
        <v>124</v>
      </c>
      <c r="K341" s="69" t="s">
        <v>184</v>
      </c>
      <c r="L341" s="74"/>
      <c r="M341" s="75">
        <v>8.6805555555555551E-4</v>
      </c>
      <c r="N341" s="76" t="s">
        <v>79</v>
      </c>
      <c r="O341" s="76" t="s">
        <v>79</v>
      </c>
      <c r="P341" s="76" t="s">
        <v>79</v>
      </c>
      <c r="Q341" s="76" t="s">
        <v>79</v>
      </c>
      <c r="R341" s="76" t="s">
        <v>79</v>
      </c>
      <c r="S341" s="76" t="s">
        <v>83</v>
      </c>
      <c r="T341" s="76" t="s">
        <v>83</v>
      </c>
      <c r="U341" s="76" t="s">
        <v>83</v>
      </c>
      <c r="V341" s="76" t="s">
        <v>79</v>
      </c>
      <c r="W341" s="76"/>
      <c r="X341" s="76"/>
      <c r="Y341" s="76"/>
      <c r="Z341" s="77">
        <f t="shared" si="38"/>
        <v>6.325000000000002</v>
      </c>
      <c r="AA341" s="78"/>
      <c r="AB341" s="78"/>
      <c r="AC341" s="72" t="s">
        <v>47</v>
      </c>
      <c r="AE341" s="79" t="str">
        <f t="shared" si="55"/>
        <v>Jan11234</v>
      </c>
      <c r="AF341" s="80">
        <f>IF(N341="","",IF(N341="SIM",VLOOKUP($I341&amp;$J341&amp;N$1,Pesos!$A:$I,7,FALSE),VLOOKUP($I341&amp;$J341&amp;N$1,Pesos!$A:$I,9,FALSE)))</f>
        <v>1.1000000000000001</v>
      </c>
      <c r="AG341" s="80">
        <f>IF(O341="","",IF(O341="SIM",VLOOKUP($I341&amp;$J341&amp;O$1,Pesos!$A:$I,7,FALSE),VLOOKUP($I341&amp;$J341&amp;O$1,Pesos!$A:$I,9,FALSE)))</f>
        <v>1</v>
      </c>
      <c r="AH341" s="80">
        <f>IF(P341="","",IF(P341="SIM",VLOOKUP($I341&amp;$J341&amp;P$1,Pesos!$A:$I,7,FALSE),VLOOKUP($I341&amp;$J341&amp;P$1,Pesos!$A:$I,9,FALSE)))</f>
        <v>1</v>
      </c>
      <c r="AI341" s="80">
        <f>IF(Q341="","",IF(Q341="SIM",VLOOKUP($I341&amp;$J341&amp;Q$1,Pesos!$A:$I,7,FALSE),VLOOKUP($I341&amp;$J341&amp;Q$1,Pesos!$A:$I,9,FALSE)))</f>
        <v>1.1000000000000001</v>
      </c>
      <c r="AJ341" s="80">
        <f>IF(R341="","",IF(R341="SIM",VLOOKUP($I341&amp;$J341&amp;R$1,Pesos!$A:$I,7,FALSE),VLOOKUP($I341&amp;$J341&amp;R$1,Pesos!$A:$I,9,FALSE)))</f>
        <v>1.1000000000000001</v>
      </c>
      <c r="AK341" s="80">
        <f>IF(S341="","",IF(S341="SIM",VLOOKUP($I341&amp;$J341&amp;S$1,Pesos!$A:$I,7,FALSE),VLOOKUP($I341&amp;$J341&amp;S$1,Pesos!$A:$I,9,FALSE)))</f>
        <v>-5.5000000000000007E-2</v>
      </c>
      <c r="AL341" s="80">
        <f t="shared" si="56"/>
        <v>5.245000000000001</v>
      </c>
      <c r="AM341" s="80">
        <f>IF(T341="","",IF(T341="SIM",VLOOKUP($I341&amp;$J341&amp;T$1,Pesos!$A:$I,7,FALSE),VLOOKUP($I341&amp;$J341&amp;T$1,Pesos!$A:$I,9,FALSE)))</f>
        <v>-0.06</v>
      </c>
      <c r="AN341" s="80">
        <f>IF(U341="","",IF(U341="SIM",VLOOKUP($I341&amp;$J341&amp;U$1,Pesos!$A:$I,7,FALSE),VLOOKUP($I341&amp;$J341&amp;U$1,Pesos!$A:$I,9,FALSE)))</f>
        <v>-0.06</v>
      </c>
      <c r="AO341" s="80">
        <f>IF(V341="","",IF(V341="SIM",VLOOKUP($I341&amp;$J341&amp;V$1,Pesos!$A:$I,7,FALSE),VLOOKUP($I341&amp;$J341&amp;V$1,Pesos!$A:$I,9,FALSE)))</f>
        <v>1.2</v>
      </c>
      <c r="AP341" s="80" t="str">
        <f>IF(W341="","",IF(W341="SIM",VLOOKUP($I341&amp;$J341&amp;W$1,Pesos!$A:$I,7,FALSE),VLOOKUP($I341&amp;$J341&amp;W$1,Pesos!$A:$I,9,FALSE)))</f>
        <v/>
      </c>
      <c r="AQ341" s="80" t="str">
        <f>IF(X341="","",IF(X341="SIM",VLOOKUP($I341&amp;$J341&amp;X$1,Pesos!$A:$I,7,FALSE),VLOOKUP($I341&amp;$J341&amp;X$1,Pesos!$A:$I,9,FALSE)))</f>
        <v/>
      </c>
      <c r="AR341" s="80" t="str">
        <f>IF(Y341="","",IF(Y341="SIM",VLOOKUP($I341&amp;$J341&amp;Y$1,Pesos!$A:$I,7,FALSE),VLOOKUP($I341&amp;$J341&amp;Y$1,Pesos!$A:$I,9,FALSE)))</f>
        <v/>
      </c>
      <c r="AS341" s="81">
        <f>IFERROR(Z341*VLOOKUP(J341,'BD Campos'!$Y$1:$Z$12,2,FALSE),"0")</f>
        <v>6.325000000000002</v>
      </c>
    </row>
    <row r="342" spans="1:45" x14ac:dyDescent="0.35">
      <c r="A342" s="68" t="str">
        <f t="shared" si="51"/>
        <v>Jan202511234MotoristaLOGÍSTICA</v>
      </c>
      <c r="B342" s="69" t="str">
        <f t="shared" si="52"/>
        <v>Jan2025112342LOGÍSTICAPADRÃO</v>
      </c>
      <c r="C342" s="70">
        <v>1</v>
      </c>
      <c r="D342" s="71">
        <v>45680.602272685188</v>
      </c>
      <c r="E342" s="112" t="s">
        <v>74</v>
      </c>
      <c r="F342" s="72">
        <v>11234</v>
      </c>
      <c r="G342" s="69" t="s">
        <v>1577</v>
      </c>
      <c r="H342" s="73">
        <v>2</v>
      </c>
      <c r="I342" s="69" t="s">
        <v>206</v>
      </c>
      <c r="J342" s="69" t="s">
        <v>122</v>
      </c>
      <c r="K342" s="69" t="s">
        <v>184</v>
      </c>
      <c r="L342" s="74"/>
      <c r="M342" s="75">
        <v>1.6550925925925926E-3</v>
      </c>
      <c r="N342" s="76" t="s">
        <v>79</v>
      </c>
      <c r="O342" s="76" t="s">
        <v>79</v>
      </c>
      <c r="P342" s="76" t="s">
        <v>79</v>
      </c>
      <c r="Q342" s="76" t="s">
        <v>79</v>
      </c>
      <c r="R342" s="76" t="s">
        <v>79</v>
      </c>
      <c r="S342" s="76" t="s">
        <v>79</v>
      </c>
      <c r="T342" s="76" t="s">
        <v>79</v>
      </c>
      <c r="U342" s="76" t="s">
        <v>79</v>
      </c>
      <c r="V342" s="76" t="s">
        <v>79</v>
      </c>
      <c r="W342" s="76" t="s">
        <v>79</v>
      </c>
      <c r="X342" s="76"/>
      <c r="Y342" s="76"/>
      <c r="Z342" s="77">
        <f t="shared" si="38"/>
        <v>10</v>
      </c>
      <c r="AA342" s="78"/>
      <c r="AB342" s="78"/>
      <c r="AC342" s="72" t="s">
        <v>47</v>
      </c>
      <c r="AE342" s="79" t="str">
        <f t="shared" si="55"/>
        <v>Jan11234</v>
      </c>
      <c r="AF342" s="80">
        <f>IF(N342="","",IF(N342="SIM",VLOOKUP($I342&amp;$J342&amp;N$1,Pesos!$A:$I,7,FALSE),VLOOKUP($I342&amp;$J342&amp;N$1,Pesos!$A:$I,9,FALSE)))</f>
        <v>0.8</v>
      </c>
      <c r="AG342" s="80">
        <f>IF(O342="","",IF(O342="SIM",VLOOKUP($I342&amp;$J342&amp;O$1,Pesos!$A:$I,7,FALSE),VLOOKUP($I342&amp;$J342&amp;O$1,Pesos!$A:$I,9,FALSE)))</f>
        <v>0.8</v>
      </c>
      <c r="AH342" s="80">
        <f>IF(P342="","",IF(P342="SIM",VLOOKUP($I342&amp;$J342&amp;P$1,Pesos!$A:$I,7,FALSE),VLOOKUP($I342&amp;$J342&amp;P$1,Pesos!$A:$I,9,FALSE)))</f>
        <v>0.8</v>
      </c>
      <c r="AI342" s="80">
        <f>IF(Q342="","",IF(Q342="SIM",VLOOKUP($I342&amp;$J342&amp;Q$1,Pesos!$A:$I,7,FALSE),VLOOKUP($I342&amp;$J342&amp;Q$1,Pesos!$A:$I,9,FALSE)))</f>
        <v>1</v>
      </c>
      <c r="AJ342" s="80">
        <f>IF(R342="","",IF(R342="SIM",VLOOKUP($I342&amp;$J342&amp;R$1,Pesos!$A:$I,7,FALSE),VLOOKUP($I342&amp;$J342&amp;R$1,Pesos!$A:$I,9,FALSE)))</f>
        <v>1</v>
      </c>
      <c r="AK342" s="80">
        <f>IF(S342="","",IF(S342="SIM",VLOOKUP($I342&amp;$J342&amp;S$1,Pesos!$A:$I,7,FALSE),VLOOKUP($I342&amp;$J342&amp;S$1,Pesos!$A:$I,9,FALSE)))</f>
        <v>1</v>
      </c>
      <c r="AL342" s="80">
        <f t="shared" si="56"/>
        <v>5.4</v>
      </c>
      <c r="AM342" s="80">
        <f>IF(T342="","",IF(T342="SIM",VLOOKUP($I342&amp;$J342&amp;T$1,Pesos!$A:$I,7,FALSE),VLOOKUP($I342&amp;$J342&amp;T$1,Pesos!$A:$I,9,FALSE)))</f>
        <v>1.2</v>
      </c>
      <c r="AN342" s="80">
        <f>IF(U342="","",IF(U342="SIM",VLOOKUP($I342&amp;$J342&amp;U$1,Pesos!$A:$I,7,FALSE),VLOOKUP($I342&amp;$J342&amp;U$1,Pesos!$A:$I,9,FALSE)))</f>
        <v>1.2</v>
      </c>
      <c r="AO342" s="80">
        <f>IF(V342="","",IF(V342="SIM",VLOOKUP($I342&amp;$J342&amp;V$1,Pesos!$A:$I,7,FALSE),VLOOKUP($I342&amp;$J342&amp;V$1,Pesos!$A:$I,9,FALSE)))</f>
        <v>1.2</v>
      </c>
      <c r="AP342" s="80">
        <f>IF(W342="","",IF(W342="SIM",VLOOKUP($I342&amp;$J342&amp;W$1,Pesos!$A:$I,7,FALSE),VLOOKUP($I342&amp;$J342&amp;W$1,Pesos!$A:$I,9,FALSE)))</f>
        <v>1</v>
      </c>
      <c r="AQ342" s="80" t="str">
        <f>IF(X342="","",IF(X342="SIM",VLOOKUP($I342&amp;$J342&amp;X$1,Pesos!$A:$I,7,FALSE),VLOOKUP($I342&amp;$J342&amp;X$1,Pesos!$A:$I,9,FALSE)))</f>
        <v/>
      </c>
      <c r="AR342" s="80" t="str">
        <f>IF(Y342="","",IF(Y342="SIM",VLOOKUP($I342&amp;$J342&amp;Y$1,Pesos!$A:$I,7,FALSE),VLOOKUP($I342&amp;$J342&amp;Y$1,Pesos!$A:$I,9,FALSE)))</f>
        <v/>
      </c>
      <c r="AS342" s="81">
        <f>IFERROR(Z342*VLOOKUP(J342,'BD Campos'!$Y$1:$Z$12,2,FALSE),"0")</f>
        <v>10</v>
      </c>
    </row>
    <row r="343" spans="1:45" x14ac:dyDescent="0.35">
      <c r="A343" s="68" t="str">
        <f t="shared" si="51"/>
        <v>Jan202511073ClienteLOGÍSTICA</v>
      </c>
      <c r="B343" s="69" t="str">
        <f t="shared" si="52"/>
        <v>Jan2025110731LOGÍSTICAPADRÃO</v>
      </c>
      <c r="C343" s="70">
        <v>1</v>
      </c>
      <c r="D343" s="71">
        <v>45680.604797337961</v>
      </c>
      <c r="E343" s="112" t="s">
        <v>74</v>
      </c>
      <c r="F343" s="72">
        <v>11073</v>
      </c>
      <c r="G343" s="69" t="s">
        <v>402</v>
      </c>
      <c r="H343" s="73">
        <v>1</v>
      </c>
      <c r="I343" s="69" t="s">
        <v>206</v>
      </c>
      <c r="J343" s="69" t="s">
        <v>124</v>
      </c>
      <c r="K343" s="69" t="s">
        <v>184</v>
      </c>
      <c r="L343" s="74"/>
      <c r="M343" s="75">
        <v>8.3333333333333339E-4</v>
      </c>
      <c r="N343" s="76" t="s">
        <v>79</v>
      </c>
      <c r="O343" s="76" t="s">
        <v>79</v>
      </c>
      <c r="P343" s="76" t="s">
        <v>79</v>
      </c>
      <c r="Q343" s="76" t="s">
        <v>79</v>
      </c>
      <c r="R343" s="76" t="s">
        <v>79</v>
      </c>
      <c r="S343" s="76" t="s">
        <v>79</v>
      </c>
      <c r="T343" s="76" t="s">
        <v>79</v>
      </c>
      <c r="U343" s="76" t="s">
        <v>79</v>
      </c>
      <c r="V343" s="76" t="s">
        <v>79</v>
      </c>
      <c r="W343" s="76"/>
      <c r="X343" s="76"/>
      <c r="Y343" s="76"/>
      <c r="Z343" s="77">
        <f t="shared" si="38"/>
        <v>10</v>
      </c>
      <c r="AA343" s="78"/>
      <c r="AB343" s="78"/>
      <c r="AC343" s="72" t="s">
        <v>47</v>
      </c>
      <c r="AE343" s="79" t="str">
        <f t="shared" si="55"/>
        <v>Jan11073</v>
      </c>
      <c r="AF343" s="80">
        <f>IF(N343="","",IF(N343="SIM",VLOOKUP($I343&amp;$J343&amp;N$1,Pesos!$A:$I,7,FALSE),VLOOKUP($I343&amp;$J343&amp;N$1,Pesos!$A:$I,9,FALSE)))</f>
        <v>1.1000000000000001</v>
      </c>
      <c r="AG343" s="80">
        <f>IF(O343="","",IF(O343="SIM",VLOOKUP($I343&amp;$J343&amp;O$1,Pesos!$A:$I,7,FALSE),VLOOKUP($I343&amp;$J343&amp;O$1,Pesos!$A:$I,9,FALSE)))</f>
        <v>1</v>
      </c>
      <c r="AH343" s="80">
        <f>IF(P343="","",IF(P343="SIM",VLOOKUP($I343&amp;$J343&amp;P$1,Pesos!$A:$I,7,FALSE),VLOOKUP($I343&amp;$J343&amp;P$1,Pesos!$A:$I,9,FALSE)))</f>
        <v>1</v>
      </c>
      <c r="AI343" s="80">
        <f>IF(Q343="","",IF(Q343="SIM",VLOOKUP($I343&amp;$J343&amp;Q$1,Pesos!$A:$I,7,FALSE),VLOOKUP($I343&amp;$J343&amp;Q$1,Pesos!$A:$I,9,FALSE)))</f>
        <v>1.1000000000000001</v>
      </c>
      <c r="AJ343" s="80">
        <f>IF(R343="","",IF(R343="SIM",VLOOKUP($I343&amp;$J343&amp;R$1,Pesos!$A:$I,7,FALSE),VLOOKUP($I343&amp;$J343&amp;R$1,Pesos!$A:$I,9,FALSE)))</f>
        <v>1.1000000000000001</v>
      </c>
      <c r="AK343" s="80">
        <f>IF(S343="","",IF(S343="SIM",VLOOKUP($I343&amp;$J343&amp;S$1,Pesos!$A:$I,7,FALSE),VLOOKUP($I343&amp;$J343&amp;S$1,Pesos!$A:$I,9,FALSE)))</f>
        <v>1.1000000000000001</v>
      </c>
      <c r="AL343" s="80">
        <f t="shared" si="56"/>
        <v>6.4</v>
      </c>
      <c r="AM343" s="80">
        <f>IF(T343="","",IF(T343="SIM",VLOOKUP($I343&amp;$J343&amp;T$1,Pesos!$A:$I,7,FALSE),VLOOKUP($I343&amp;$J343&amp;T$1,Pesos!$A:$I,9,FALSE)))</f>
        <v>1.2</v>
      </c>
      <c r="AN343" s="80">
        <f>IF(U343="","",IF(U343="SIM",VLOOKUP($I343&amp;$J343&amp;U$1,Pesos!$A:$I,7,FALSE),VLOOKUP($I343&amp;$J343&amp;U$1,Pesos!$A:$I,9,FALSE)))</f>
        <v>1.2</v>
      </c>
      <c r="AO343" s="80">
        <f>IF(V343="","",IF(V343="SIM",VLOOKUP($I343&amp;$J343&amp;V$1,Pesos!$A:$I,7,FALSE),VLOOKUP($I343&amp;$J343&amp;V$1,Pesos!$A:$I,9,FALSE)))</f>
        <v>1.2</v>
      </c>
      <c r="AP343" s="80" t="str">
        <f>IF(W343="","",IF(W343="SIM",VLOOKUP($I343&amp;$J343&amp;W$1,Pesos!$A:$I,7,FALSE),VLOOKUP($I343&amp;$J343&amp;W$1,Pesos!$A:$I,9,FALSE)))</f>
        <v/>
      </c>
      <c r="AQ343" s="80" t="str">
        <f>IF(X343="","",IF(X343="SIM",VLOOKUP($I343&amp;$J343&amp;X$1,Pesos!$A:$I,7,FALSE),VLOOKUP($I343&amp;$J343&amp;X$1,Pesos!$A:$I,9,FALSE)))</f>
        <v/>
      </c>
      <c r="AR343" s="80" t="str">
        <f>IF(Y343="","",IF(Y343="SIM",VLOOKUP($I343&amp;$J343&amp;Y$1,Pesos!$A:$I,7,FALSE),VLOOKUP($I343&amp;$J343&amp;Y$1,Pesos!$A:$I,9,FALSE)))</f>
        <v/>
      </c>
      <c r="AS343" s="81">
        <f>IFERROR(Z343*VLOOKUP(J343,'BD Campos'!$Y$1:$Z$12,2,FALSE),"0")</f>
        <v>10</v>
      </c>
    </row>
    <row r="344" spans="1:45" x14ac:dyDescent="0.35">
      <c r="A344" s="68" t="str">
        <f t="shared" si="51"/>
        <v>Jan202511073Cliente 2LOGÍSTICA</v>
      </c>
      <c r="B344" s="69" t="str">
        <f t="shared" si="52"/>
        <v>Jan2025110732LOGÍSTICAPADRÃO</v>
      </c>
      <c r="C344" s="70">
        <v>1</v>
      </c>
      <c r="D344" s="71">
        <v>45680.609320023148</v>
      </c>
      <c r="E344" s="112" t="s">
        <v>74</v>
      </c>
      <c r="F344" s="72">
        <v>11073</v>
      </c>
      <c r="G344" s="69" t="s">
        <v>402</v>
      </c>
      <c r="H344" s="73">
        <v>2</v>
      </c>
      <c r="I344" s="69" t="s">
        <v>206</v>
      </c>
      <c r="J344" s="69" t="s">
        <v>185</v>
      </c>
      <c r="K344" s="69" t="s">
        <v>184</v>
      </c>
      <c r="L344" s="74"/>
      <c r="M344" s="75">
        <v>9.4907407407407408E-4</v>
      </c>
      <c r="N344" s="76" t="s">
        <v>79</v>
      </c>
      <c r="O344" s="76" t="s">
        <v>79</v>
      </c>
      <c r="P344" s="76" t="s">
        <v>79</v>
      </c>
      <c r="Q344" s="76" t="s">
        <v>79</v>
      </c>
      <c r="R344" s="76" t="s">
        <v>79</v>
      </c>
      <c r="S344" s="76" t="s">
        <v>79</v>
      </c>
      <c r="T344" s="76" t="s">
        <v>79</v>
      </c>
      <c r="U344" s="76" t="s">
        <v>79</v>
      </c>
      <c r="V344" s="76" t="s">
        <v>79</v>
      </c>
      <c r="W344" s="76"/>
      <c r="X344" s="76"/>
      <c r="Y344" s="76"/>
      <c r="Z344" s="77">
        <f t="shared" si="38"/>
        <v>10</v>
      </c>
      <c r="AA344" s="78"/>
      <c r="AB344" s="78"/>
      <c r="AC344" s="72" t="s">
        <v>47</v>
      </c>
      <c r="AE344" s="79" t="str">
        <f t="shared" si="55"/>
        <v>Jan11073</v>
      </c>
      <c r="AF344" s="80">
        <f>IF(N344="","",IF(N344="SIM",VLOOKUP($I344&amp;$J344&amp;N$1,Pesos!$A:$I,7,FALSE),VLOOKUP($I344&amp;$J344&amp;N$1,Pesos!$A:$I,9,FALSE)))</f>
        <v>1.1000000000000001</v>
      </c>
      <c r="AG344" s="80">
        <f>IF(O344="","",IF(O344="SIM",VLOOKUP($I344&amp;$J344&amp;O$1,Pesos!$A:$I,7,FALSE),VLOOKUP($I344&amp;$J344&amp;O$1,Pesos!$A:$I,9,FALSE)))</f>
        <v>1</v>
      </c>
      <c r="AH344" s="80">
        <f>IF(P344="","",IF(P344="SIM",VLOOKUP($I344&amp;$J344&amp;P$1,Pesos!$A:$I,7,FALSE),VLOOKUP($I344&amp;$J344&amp;P$1,Pesos!$A:$I,9,FALSE)))</f>
        <v>1</v>
      </c>
      <c r="AI344" s="80">
        <f>IF(Q344="","",IF(Q344="SIM",VLOOKUP($I344&amp;$J344&amp;Q$1,Pesos!$A:$I,7,FALSE),VLOOKUP($I344&amp;$J344&amp;Q$1,Pesos!$A:$I,9,FALSE)))</f>
        <v>1.1000000000000001</v>
      </c>
      <c r="AJ344" s="80">
        <f>IF(R344="","",IF(R344="SIM",VLOOKUP($I344&amp;$J344&amp;R$1,Pesos!$A:$I,7,FALSE),VLOOKUP($I344&amp;$J344&amp;R$1,Pesos!$A:$I,9,FALSE)))</f>
        <v>1.1000000000000001</v>
      </c>
      <c r="AK344" s="80">
        <f>IF(S344="","",IF(S344="SIM",VLOOKUP($I344&amp;$J344&amp;S$1,Pesos!$A:$I,7,FALSE),VLOOKUP($I344&amp;$J344&amp;S$1,Pesos!$A:$I,9,FALSE)))</f>
        <v>1.1000000000000001</v>
      </c>
      <c r="AL344" s="80">
        <f t="shared" si="56"/>
        <v>6.4</v>
      </c>
      <c r="AM344" s="80">
        <f>IF(T344="","",IF(T344="SIM",VLOOKUP($I344&amp;$J344&amp;T$1,Pesos!$A:$I,7,FALSE),VLOOKUP($I344&amp;$J344&amp;T$1,Pesos!$A:$I,9,FALSE)))</f>
        <v>1.2</v>
      </c>
      <c r="AN344" s="80">
        <f>IF(U344="","",IF(U344="SIM",VLOOKUP($I344&amp;$J344&amp;U$1,Pesos!$A:$I,7,FALSE),VLOOKUP($I344&amp;$J344&amp;U$1,Pesos!$A:$I,9,FALSE)))</f>
        <v>1.2</v>
      </c>
      <c r="AO344" s="80">
        <f>IF(V344="","",IF(V344="SIM",VLOOKUP($I344&amp;$J344&amp;V$1,Pesos!$A:$I,7,FALSE),VLOOKUP($I344&amp;$J344&amp;V$1,Pesos!$A:$I,9,FALSE)))</f>
        <v>1.2</v>
      </c>
      <c r="AP344" s="80" t="str">
        <f>IF(W344="","",IF(W344="SIM",VLOOKUP($I344&amp;$J344&amp;W$1,Pesos!$A:$I,7,FALSE),VLOOKUP($I344&amp;$J344&amp;W$1,Pesos!$A:$I,9,FALSE)))</f>
        <v/>
      </c>
      <c r="AQ344" s="80" t="str">
        <f>IF(X344="","",IF(X344="SIM",VLOOKUP($I344&amp;$J344&amp;X$1,Pesos!$A:$I,7,FALSE),VLOOKUP($I344&amp;$J344&amp;X$1,Pesos!$A:$I,9,FALSE)))</f>
        <v/>
      </c>
      <c r="AR344" s="80" t="str">
        <f>IF(Y344="","",IF(Y344="SIM",VLOOKUP($I344&amp;$J344&amp;Y$1,Pesos!$A:$I,7,FALSE),VLOOKUP($I344&amp;$J344&amp;Y$1,Pesos!$A:$I,9,FALSE)))</f>
        <v/>
      </c>
      <c r="AS344" s="81">
        <f>IFERROR(Z344*VLOOKUP(J344,'BD Campos'!$Y$1:$Z$12,2,FALSE),"0")</f>
        <v>10</v>
      </c>
    </row>
    <row r="345" spans="1:45" x14ac:dyDescent="0.35">
      <c r="A345" s="68" t="str">
        <f t="shared" si="51"/>
        <v>Jan202510613MotoristaUTI</v>
      </c>
      <c r="B345" s="69" t="str">
        <f t="shared" si="52"/>
        <v>Jan2025106131UTIPADRÃO</v>
      </c>
      <c r="C345" s="70">
        <v>1</v>
      </c>
      <c r="D345" s="71">
        <v>45680.645681249996</v>
      </c>
      <c r="E345" s="112" t="s">
        <v>74</v>
      </c>
      <c r="F345" s="72">
        <v>10613</v>
      </c>
      <c r="G345" s="69" t="s">
        <v>270</v>
      </c>
      <c r="H345" s="73">
        <v>1</v>
      </c>
      <c r="I345" s="69" t="s">
        <v>123</v>
      </c>
      <c r="J345" s="69" t="s">
        <v>122</v>
      </c>
      <c r="K345" s="69" t="s">
        <v>131</v>
      </c>
      <c r="L345" s="74">
        <v>30951532</v>
      </c>
      <c r="M345" s="75">
        <v>1.4120370370370369E-3</v>
      </c>
      <c r="N345" s="76"/>
      <c r="O345" s="76"/>
      <c r="P345" s="76"/>
      <c r="Q345" s="76"/>
      <c r="R345" s="76"/>
      <c r="S345" s="76"/>
      <c r="T345" s="76"/>
      <c r="U345" s="76"/>
      <c r="V345" s="76"/>
      <c r="W345" s="76"/>
      <c r="X345" s="76"/>
      <c r="Y345" s="76"/>
      <c r="Z345" s="77">
        <f t="shared" si="38"/>
        <v>0</v>
      </c>
      <c r="AA345" s="78" t="s">
        <v>1579</v>
      </c>
      <c r="AB345" s="78" t="s">
        <v>1578</v>
      </c>
      <c r="AC345" s="72" t="s">
        <v>47</v>
      </c>
      <c r="AE345" s="79" t="str">
        <f t="shared" si="55"/>
        <v>Jan10613</v>
      </c>
      <c r="AF345" s="80" t="str">
        <f>IF(N345="","",IF(N345="SIM",VLOOKUP($I345&amp;$J345&amp;N$1,Pesos!$A:$I,7,FALSE),VLOOKUP($I345&amp;$J345&amp;N$1,Pesos!$A:$I,9,FALSE)))</f>
        <v/>
      </c>
      <c r="AG345" s="80" t="str">
        <f>IF(O345="","",IF(O345="SIM",VLOOKUP($I345&amp;$J345&amp;O$1,Pesos!$A:$I,7,FALSE),VLOOKUP($I345&amp;$J345&amp;O$1,Pesos!$A:$I,9,FALSE)))</f>
        <v/>
      </c>
      <c r="AH345" s="80" t="str">
        <f>IF(P345="","",IF(P345="SIM",VLOOKUP($I345&amp;$J345&amp;P$1,Pesos!$A:$I,7,FALSE),VLOOKUP($I345&amp;$J345&amp;P$1,Pesos!$A:$I,9,FALSE)))</f>
        <v/>
      </c>
      <c r="AI345" s="80" t="str">
        <f>IF(Q345="","",IF(Q345="SIM",VLOOKUP($I345&amp;$J345&amp;Q$1,Pesos!$A:$I,7,FALSE),VLOOKUP($I345&amp;$J345&amp;Q$1,Pesos!$A:$I,9,FALSE)))</f>
        <v/>
      </c>
      <c r="AJ345" s="80" t="str">
        <f>IF(R345="","",IF(R345="SIM",VLOOKUP($I345&amp;$J345&amp;R$1,Pesos!$A:$I,7,FALSE),VLOOKUP($I345&amp;$J345&amp;R$1,Pesos!$A:$I,9,FALSE)))</f>
        <v/>
      </c>
      <c r="AK345" s="80" t="str">
        <f>IF(S345="","",IF(S345="SIM",VLOOKUP($I345&amp;$J345&amp;S$1,Pesos!$A:$I,7,FALSE),VLOOKUP($I345&amp;$J345&amp;S$1,Pesos!$A:$I,9,FALSE)))</f>
        <v/>
      </c>
      <c r="AL345" s="80">
        <f t="shared" si="56"/>
        <v>0</v>
      </c>
      <c r="AM345" s="80" t="str">
        <f>IF(T345="","",IF(T345="SIM",VLOOKUP($I345&amp;$J345&amp;T$1,Pesos!$A:$I,7,FALSE),VLOOKUP($I345&amp;$J345&amp;T$1,Pesos!$A:$I,9,FALSE)))</f>
        <v/>
      </c>
      <c r="AN345" s="80" t="str">
        <f>IF(U345="","",IF(U345="SIM",VLOOKUP($I345&amp;$J345&amp;U$1,Pesos!$A:$I,7,FALSE),VLOOKUP($I345&amp;$J345&amp;U$1,Pesos!$A:$I,9,FALSE)))</f>
        <v/>
      </c>
      <c r="AO345" s="80" t="str">
        <f>IF(V345="","",IF(V345="SIM",VLOOKUP($I345&amp;$J345&amp;V$1,Pesos!$A:$I,7,FALSE),VLOOKUP($I345&amp;$J345&amp;V$1,Pesos!$A:$I,9,FALSE)))</f>
        <v/>
      </c>
      <c r="AP345" s="80" t="str">
        <f>IF(W345="","",IF(W345="SIM",VLOOKUP($I345&amp;$J345&amp;W$1,Pesos!$A:$I,7,FALSE),VLOOKUP($I345&amp;$J345&amp;W$1,Pesos!$A:$I,9,FALSE)))</f>
        <v/>
      </c>
      <c r="AQ345" s="80" t="str">
        <f>IF(X345="","",IF(X345="SIM",VLOOKUP($I345&amp;$J345&amp;X$1,Pesos!$A:$I,7,FALSE),VLOOKUP($I345&amp;$J345&amp;X$1,Pesos!$A:$I,9,FALSE)))</f>
        <v/>
      </c>
      <c r="AR345" s="80" t="str">
        <f>IF(Y345="","",IF(Y345="SIM",VLOOKUP($I345&amp;$J345&amp;Y$1,Pesos!$A:$I,7,FALSE),VLOOKUP($I345&amp;$J345&amp;Y$1,Pesos!$A:$I,9,FALSE)))</f>
        <v/>
      </c>
      <c r="AS345" s="81">
        <f>IFERROR(Z345*VLOOKUP(J345,'BD Campos'!$Y$1:$Z$12,2,FALSE),"0")</f>
        <v>0</v>
      </c>
    </row>
    <row r="346" spans="1:45" x14ac:dyDescent="0.35">
      <c r="A346" s="68" t="str">
        <f t="shared" si="51"/>
        <v>Jan202510628PoliciaUTI (RJ)</v>
      </c>
      <c r="B346" s="69" t="str">
        <f t="shared" si="52"/>
        <v>Jan2025106281UTI (RJ)PADRÃO</v>
      </c>
      <c r="C346" s="70">
        <v>1</v>
      </c>
      <c r="D346" s="71">
        <v>45680.648391550923</v>
      </c>
      <c r="E346" s="112" t="s">
        <v>74</v>
      </c>
      <c r="F346" s="72">
        <v>10628</v>
      </c>
      <c r="G346" s="69" t="s">
        <v>271</v>
      </c>
      <c r="H346" s="73">
        <v>1</v>
      </c>
      <c r="I346" s="69" t="s">
        <v>123</v>
      </c>
      <c r="J346" s="69" t="s">
        <v>146</v>
      </c>
      <c r="K346" s="69" t="s">
        <v>278</v>
      </c>
      <c r="L346" s="74">
        <v>30907253</v>
      </c>
      <c r="M346" s="75">
        <v>1.4120370370370369E-3</v>
      </c>
      <c r="N346" s="76" t="s">
        <v>79</v>
      </c>
      <c r="O346" s="76" t="s">
        <v>79</v>
      </c>
      <c r="P346" s="76" t="s">
        <v>79</v>
      </c>
      <c r="Q346" s="76" t="s">
        <v>79</v>
      </c>
      <c r="R346" s="76" t="s">
        <v>79</v>
      </c>
      <c r="S346" s="76" t="s">
        <v>79</v>
      </c>
      <c r="T346" s="76" t="s">
        <v>79</v>
      </c>
      <c r="U346" s="76" t="s">
        <v>79</v>
      </c>
      <c r="V346" s="76" t="s">
        <v>79</v>
      </c>
      <c r="W346" s="76" t="s">
        <v>79</v>
      </c>
      <c r="X346" s="76" t="s">
        <v>79</v>
      </c>
      <c r="Y346" s="76" t="s">
        <v>79</v>
      </c>
      <c r="Z346" s="77">
        <f t="shared" si="38"/>
        <v>10</v>
      </c>
      <c r="AA346" s="78"/>
      <c r="AB346" s="78" t="s">
        <v>1580</v>
      </c>
      <c r="AC346" s="72" t="s">
        <v>47</v>
      </c>
      <c r="AE346" s="79" t="str">
        <f t="shared" ref="AE346:AE359" si="57">E346&amp;F346</f>
        <v>Jan10628</v>
      </c>
      <c r="AF346" s="80">
        <f>IF(N346="","",IF(N346="SIM",VLOOKUP($I346&amp;$J346&amp;N$1,Pesos!$A:$I,7,FALSE),VLOOKUP($I346&amp;$J346&amp;N$1,Pesos!$A:$I,9,FALSE)))</f>
        <v>0.8</v>
      </c>
      <c r="AG346" s="80">
        <f>IF(O346="","",IF(O346="SIM",VLOOKUP($I346&amp;$J346&amp;O$1,Pesos!$A:$I,7,FALSE),VLOOKUP($I346&amp;$J346&amp;O$1,Pesos!$A:$I,9,FALSE)))</f>
        <v>0.8</v>
      </c>
      <c r="AH346" s="80">
        <f>IF(P346="","",IF(P346="SIM",VLOOKUP($I346&amp;$J346&amp;P$1,Pesos!$A:$I,7,FALSE),VLOOKUP($I346&amp;$J346&amp;P$1,Pesos!$A:$I,9,FALSE)))</f>
        <v>0.8</v>
      </c>
      <c r="AI346" s="80">
        <f>IF(Q346="","",IF(Q346="SIM",VLOOKUP($I346&amp;$J346&amp;Q$1,Pesos!$A:$I,7,FALSE),VLOOKUP($I346&amp;$J346&amp;Q$1,Pesos!$A:$I,9,FALSE)))</f>
        <v>0.8</v>
      </c>
      <c r="AJ346" s="80">
        <f>IF(R346="","",IF(R346="SIM",VLOOKUP($I346&amp;$J346&amp;R$1,Pesos!$A:$I,7,FALSE),VLOOKUP($I346&amp;$J346&amp;R$1,Pesos!$A:$I,9,FALSE)))</f>
        <v>0.8</v>
      </c>
      <c r="AK346" s="80">
        <f>IF(S346="","",IF(S346="SIM",VLOOKUP($I346&amp;$J346&amp;S$1,Pesos!$A:$I,7,FALSE),VLOOKUP($I346&amp;$J346&amp;S$1,Pesos!$A:$I,9,FALSE)))</f>
        <v>0.8</v>
      </c>
      <c r="AL346" s="80">
        <f t="shared" ref="AL346:AL359" si="58">SUM(AF346:AK346)</f>
        <v>4.8</v>
      </c>
      <c r="AM346" s="80">
        <f>IF(T346="","",IF(T346="SIM",VLOOKUP($I346&amp;$J346&amp;T$1,Pesos!$A:$I,7,FALSE),VLOOKUP($I346&amp;$J346&amp;T$1,Pesos!$A:$I,9,FALSE)))</f>
        <v>0.8</v>
      </c>
      <c r="AN346" s="80">
        <f>IF(U346="","",IF(U346="SIM",VLOOKUP($I346&amp;$J346&amp;U$1,Pesos!$A:$I,7,FALSE),VLOOKUP($I346&amp;$J346&amp;U$1,Pesos!$A:$I,9,FALSE)))</f>
        <v>0.8</v>
      </c>
      <c r="AO346" s="80">
        <f>IF(V346="","",IF(V346="SIM",VLOOKUP($I346&amp;$J346&amp;V$1,Pesos!$A:$I,7,FALSE),VLOOKUP($I346&amp;$J346&amp;V$1,Pesos!$A:$I,9,FALSE)))</f>
        <v>0.8</v>
      </c>
      <c r="AP346" s="80">
        <f>IF(W346="","",IF(W346="SIM",VLOOKUP($I346&amp;$J346&amp;W$1,Pesos!$A:$I,7,FALSE),VLOOKUP($I346&amp;$J346&amp;W$1,Pesos!$A:$I,9,FALSE)))</f>
        <v>0.8</v>
      </c>
      <c r="AQ346" s="80">
        <f>IF(X346="","",IF(X346="SIM",VLOOKUP($I346&amp;$J346&amp;X$1,Pesos!$A:$I,7,FALSE),VLOOKUP($I346&amp;$J346&amp;X$1,Pesos!$A:$I,9,FALSE)))</f>
        <v>1</v>
      </c>
      <c r="AR346" s="80">
        <f>IF(Y346="","",IF(Y346="SIM",VLOOKUP($I346&amp;$J346&amp;Y$1,Pesos!$A:$I,7,FALSE),VLOOKUP($I346&amp;$J346&amp;Y$1,Pesos!$A:$I,9,FALSE)))</f>
        <v>1</v>
      </c>
      <c r="AS346" s="81">
        <f>IFERROR(Z346*VLOOKUP(J346,'BD Campos'!$Y$1:$Z$12,2,FALSE),"0")</f>
        <v>10</v>
      </c>
    </row>
    <row r="347" spans="1:45" x14ac:dyDescent="0.35">
      <c r="A347" s="68" t="str">
        <f t="shared" si="51"/>
        <v>Jan202510187ClienteUTI</v>
      </c>
      <c r="B347" s="69" t="str">
        <f t="shared" si="52"/>
        <v>Jan2025101871UTIPADRÃO</v>
      </c>
      <c r="C347" s="70">
        <v>1</v>
      </c>
      <c r="D347" s="71">
        <v>45680.709171759256</v>
      </c>
      <c r="E347" s="112" t="s">
        <v>74</v>
      </c>
      <c r="F347" s="72">
        <v>10187</v>
      </c>
      <c r="G347" s="69" t="s">
        <v>309</v>
      </c>
      <c r="H347" s="73">
        <v>1</v>
      </c>
      <c r="I347" s="69" t="s">
        <v>121</v>
      </c>
      <c r="J347" s="69" t="s">
        <v>124</v>
      </c>
      <c r="K347" s="69" t="s">
        <v>131</v>
      </c>
      <c r="L347" s="74">
        <v>30779002</v>
      </c>
      <c r="M347" s="75">
        <v>2.3726851851851851E-3</v>
      </c>
      <c r="N347" s="76" t="s">
        <v>79</v>
      </c>
      <c r="O347" s="76" t="s">
        <v>79</v>
      </c>
      <c r="P347" s="76" t="s">
        <v>79</v>
      </c>
      <c r="Q347" s="76" t="s">
        <v>79</v>
      </c>
      <c r="R347" s="76" t="s">
        <v>79</v>
      </c>
      <c r="S347" s="76" t="s">
        <v>79</v>
      </c>
      <c r="T347" s="76" t="s">
        <v>79</v>
      </c>
      <c r="U347" s="76" t="s">
        <v>79</v>
      </c>
      <c r="V347" s="76" t="s">
        <v>83</v>
      </c>
      <c r="W347" s="76" t="s">
        <v>83</v>
      </c>
      <c r="X347" s="76" t="s">
        <v>79</v>
      </c>
      <c r="Y347" s="76"/>
      <c r="Z347" s="77">
        <f t="shared" si="38"/>
        <v>8.057500000000001</v>
      </c>
      <c r="AA347" s="78"/>
      <c r="AB347" s="78" t="s">
        <v>1581</v>
      </c>
      <c r="AC347" s="72" t="s">
        <v>47</v>
      </c>
      <c r="AE347" s="79" t="str">
        <f t="shared" si="57"/>
        <v>Jan10187</v>
      </c>
      <c r="AF347" s="80">
        <f>IF(N347="","",IF(N347="SIM",VLOOKUP($I347&amp;$J347&amp;N$1,Pesos!$A:$I,7,FALSE),VLOOKUP($I347&amp;$J347&amp;N$1,Pesos!$A:$I,9,FALSE)))</f>
        <v>0.89999999999999991</v>
      </c>
      <c r="AG347" s="80">
        <f>IF(O347="","",IF(O347="SIM",VLOOKUP($I347&amp;$J347&amp;O$1,Pesos!$A:$I,7,FALSE),VLOOKUP($I347&amp;$J347&amp;O$1,Pesos!$A:$I,9,FALSE)))</f>
        <v>0.89999999999999991</v>
      </c>
      <c r="AH347" s="80">
        <f>IF(P347="","",IF(P347="SIM",VLOOKUP($I347&amp;$J347&amp;P$1,Pesos!$A:$I,7,FALSE),VLOOKUP($I347&amp;$J347&amp;P$1,Pesos!$A:$I,9,FALSE)))</f>
        <v>0.89999999999999991</v>
      </c>
      <c r="AI347" s="80">
        <f>IF(Q347="","",IF(Q347="SIM",VLOOKUP($I347&amp;$J347&amp;Q$1,Pesos!$A:$I,7,FALSE),VLOOKUP($I347&amp;$J347&amp;Q$1,Pesos!$A:$I,9,FALSE)))</f>
        <v>0.89999999999999991</v>
      </c>
      <c r="AJ347" s="80">
        <f>IF(R347="","",IF(R347="SIM",VLOOKUP($I347&amp;$J347&amp;R$1,Pesos!$A:$I,7,FALSE),VLOOKUP($I347&amp;$J347&amp;R$1,Pesos!$A:$I,9,FALSE)))</f>
        <v>0.89999999999999991</v>
      </c>
      <c r="AK347" s="80">
        <f>IF(S347="","",IF(S347="SIM",VLOOKUP($I347&amp;$J347&amp;S$1,Pesos!$A:$I,7,FALSE),VLOOKUP($I347&amp;$J347&amp;S$1,Pesos!$A:$I,9,FALSE)))</f>
        <v>0.89999999999999991</v>
      </c>
      <c r="AL347" s="80">
        <f t="shared" si="58"/>
        <v>5.4</v>
      </c>
      <c r="AM347" s="80">
        <f>IF(T347="","",IF(T347="SIM",VLOOKUP($I347&amp;$J347&amp;T$1,Pesos!$A:$I,7,FALSE),VLOOKUP($I347&amp;$J347&amp;T$1,Pesos!$A:$I,9,FALSE)))</f>
        <v>0.89999999999999991</v>
      </c>
      <c r="AN347" s="80">
        <f>IF(U347="","",IF(U347="SIM",VLOOKUP($I347&amp;$J347&amp;U$1,Pesos!$A:$I,7,FALSE),VLOOKUP($I347&amp;$J347&amp;U$1,Pesos!$A:$I,9,FALSE)))</f>
        <v>0.95</v>
      </c>
      <c r="AO347" s="80">
        <f>IF(V347="","",IF(V347="SIM",VLOOKUP($I347&amp;$J347&amp;V$1,Pesos!$A:$I,7,FALSE),VLOOKUP($I347&amp;$J347&amp;V$1,Pesos!$A:$I,9,FALSE)))</f>
        <v>-4.7500000000000001E-2</v>
      </c>
      <c r="AP347" s="80">
        <f>IF(W347="","",IF(W347="SIM",VLOOKUP($I347&amp;$J347&amp;W$1,Pesos!$A:$I,7,FALSE),VLOOKUP($I347&amp;$J347&amp;W$1,Pesos!$A:$I,9,FALSE)))</f>
        <v>-4.4999999999999998E-2</v>
      </c>
      <c r="AQ347" s="80">
        <f>IF(X347="","",IF(X347="SIM",VLOOKUP($I347&amp;$J347&amp;X$1,Pesos!$A:$I,7,FALSE),VLOOKUP($I347&amp;$J347&amp;X$1,Pesos!$A:$I,9,FALSE)))</f>
        <v>0.89999999999999991</v>
      </c>
      <c r="AR347" s="80" t="str">
        <f>IF(Y347="","",IF(Y347="SIM",VLOOKUP($I347&amp;$J347&amp;Y$1,Pesos!$A:$I,7,FALSE),VLOOKUP($I347&amp;$J347&amp;Y$1,Pesos!$A:$I,9,FALSE)))</f>
        <v/>
      </c>
      <c r="AS347" s="81">
        <f>IFERROR(Z347*VLOOKUP(J347,'BD Campos'!$Y$1:$Z$12,2,FALSE),"0")</f>
        <v>8.057500000000001</v>
      </c>
    </row>
    <row r="348" spans="1:45" x14ac:dyDescent="0.35">
      <c r="A348" s="68" t="str">
        <f t="shared" si="51"/>
        <v>Jan20251697PoliciaUTI (RJ)</v>
      </c>
      <c r="B348" s="69" t="str">
        <f t="shared" si="52"/>
        <v>Jan202516971UTI (RJ)PADRÃO</v>
      </c>
      <c r="C348" s="70">
        <v>1</v>
      </c>
      <c r="D348" s="71">
        <v>45680.715558217591</v>
      </c>
      <c r="E348" s="112" t="s">
        <v>74</v>
      </c>
      <c r="F348" s="72">
        <v>1697</v>
      </c>
      <c r="G348" s="69" t="s">
        <v>293</v>
      </c>
      <c r="H348" s="73">
        <v>1</v>
      </c>
      <c r="I348" s="69" t="s">
        <v>123</v>
      </c>
      <c r="J348" s="69" t="s">
        <v>146</v>
      </c>
      <c r="K348" s="69" t="s">
        <v>278</v>
      </c>
      <c r="L348" s="74">
        <v>30941780</v>
      </c>
      <c r="M348" s="75">
        <v>2.2569444444444447E-3</v>
      </c>
      <c r="N348" s="76" t="s">
        <v>79</v>
      </c>
      <c r="O348" s="76" t="s">
        <v>79</v>
      </c>
      <c r="P348" s="76" t="s">
        <v>79</v>
      </c>
      <c r="Q348" s="76" t="s">
        <v>79</v>
      </c>
      <c r="R348" s="76" t="s">
        <v>79</v>
      </c>
      <c r="S348" s="76" t="s">
        <v>79</v>
      </c>
      <c r="T348" s="76" t="s">
        <v>79</v>
      </c>
      <c r="U348" s="76" t="s">
        <v>79</v>
      </c>
      <c r="V348" s="76" t="s">
        <v>79</v>
      </c>
      <c r="W348" s="76" t="s">
        <v>79</v>
      </c>
      <c r="X348" s="76" t="s">
        <v>79</v>
      </c>
      <c r="Y348" s="76" t="s">
        <v>79</v>
      </c>
      <c r="Z348" s="77">
        <f t="shared" si="38"/>
        <v>10</v>
      </c>
      <c r="AA348" s="78"/>
      <c r="AB348" s="78" t="s">
        <v>1582</v>
      </c>
      <c r="AC348" s="72" t="s">
        <v>47</v>
      </c>
      <c r="AE348" s="79" t="str">
        <f t="shared" si="57"/>
        <v>Jan1697</v>
      </c>
      <c r="AF348" s="80">
        <f>IF(N348="","",IF(N348="SIM",VLOOKUP($I348&amp;$J348&amp;N$1,Pesos!$A:$I,7,FALSE),VLOOKUP($I348&amp;$J348&amp;N$1,Pesos!$A:$I,9,FALSE)))</f>
        <v>0.8</v>
      </c>
      <c r="AG348" s="80">
        <f>IF(O348="","",IF(O348="SIM",VLOOKUP($I348&amp;$J348&amp;O$1,Pesos!$A:$I,7,FALSE),VLOOKUP($I348&amp;$J348&amp;O$1,Pesos!$A:$I,9,FALSE)))</f>
        <v>0.8</v>
      </c>
      <c r="AH348" s="80">
        <f>IF(P348="","",IF(P348="SIM",VLOOKUP($I348&amp;$J348&amp;P$1,Pesos!$A:$I,7,FALSE),VLOOKUP($I348&amp;$J348&amp;P$1,Pesos!$A:$I,9,FALSE)))</f>
        <v>0.8</v>
      </c>
      <c r="AI348" s="80">
        <f>IF(Q348="","",IF(Q348="SIM",VLOOKUP($I348&amp;$J348&amp;Q$1,Pesos!$A:$I,7,FALSE),VLOOKUP($I348&amp;$J348&amp;Q$1,Pesos!$A:$I,9,FALSE)))</f>
        <v>0.8</v>
      </c>
      <c r="AJ348" s="80">
        <f>IF(R348="","",IF(R348="SIM",VLOOKUP($I348&amp;$J348&amp;R$1,Pesos!$A:$I,7,FALSE),VLOOKUP($I348&amp;$J348&amp;R$1,Pesos!$A:$I,9,FALSE)))</f>
        <v>0.8</v>
      </c>
      <c r="AK348" s="80">
        <f>IF(S348="","",IF(S348="SIM",VLOOKUP($I348&amp;$J348&amp;S$1,Pesos!$A:$I,7,FALSE),VLOOKUP($I348&amp;$J348&amp;S$1,Pesos!$A:$I,9,FALSE)))</f>
        <v>0.8</v>
      </c>
      <c r="AL348" s="80">
        <f t="shared" si="58"/>
        <v>4.8</v>
      </c>
      <c r="AM348" s="80">
        <f>IF(T348="","",IF(T348="SIM",VLOOKUP($I348&amp;$J348&amp;T$1,Pesos!$A:$I,7,FALSE),VLOOKUP($I348&amp;$J348&amp;T$1,Pesos!$A:$I,9,FALSE)))</f>
        <v>0.8</v>
      </c>
      <c r="AN348" s="80">
        <f>IF(U348="","",IF(U348="SIM",VLOOKUP($I348&amp;$J348&amp;U$1,Pesos!$A:$I,7,FALSE),VLOOKUP($I348&amp;$J348&amp;U$1,Pesos!$A:$I,9,FALSE)))</f>
        <v>0.8</v>
      </c>
      <c r="AO348" s="80">
        <f>IF(V348="","",IF(V348="SIM",VLOOKUP($I348&amp;$J348&amp;V$1,Pesos!$A:$I,7,FALSE),VLOOKUP($I348&amp;$J348&amp;V$1,Pesos!$A:$I,9,FALSE)))</f>
        <v>0.8</v>
      </c>
      <c r="AP348" s="80">
        <f>IF(W348="","",IF(W348="SIM",VLOOKUP($I348&amp;$J348&amp;W$1,Pesos!$A:$I,7,FALSE),VLOOKUP($I348&amp;$J348&amp;W$1,Pesos!$A:$I,9,FALSE)))</f>
        <v>0.8</v>
      </c>
      <c r="AQ348" s="80">
        <f>IF(X348="","",IF(X348="SIM",VLOOKUP($I348&amp;$J348&amp;X$1,Pesos!$A:$I,7,FALSE),VLOOKUP($I348&amp;$J348&amp;X$1,Pesos!$A:$I,9,FALSE)))</f>
        <v>1</v>
      </c>
      <c r="AR348" s="80">
        <f>IF(Y348="","",IF(Y348="SIM",VLOOKUP($I348&amp;$J348&amp;Y$1,Pesos!$A:$I,7,FALSE),VLOOKUP($I348&amp;$J348&amp;Y$1,Pesos!$A:$I,9,FALSE)))</f>
        <v>1</v>
      </c>
      <c r="AS348" s="81">
        <f>IFERROR(Z348*VLOOKUP(J348,'BD Campos'!$Y$1:$Z$12,2,FALSE),"0")</f>
        <v>10</v>
      </c>
    </row>
    <row r="349" spans="1:45" x14ac:dyDescent="0.35">
      <c r="A349" s="68" t="str">
        <f t="shared" si="51"/>
        <v>Jan202510500PoliciaBAS</v>
      </c>
      <c r="B349" s="69" t="str">
        <f t="shared" si="52"/>
        <v>Jan2025105001BASPADRÃO</v>
      </c>
      <c r="C349" s="70">
        <v>1</v>
      </c>
      <c r="D349" s="71">
        <v>45680.719072800923</v>
      </c>
      <c r="E349" s="112" t="s">
        <v>74</v>
      </c>
      <c r="F349" s="72">
        <v>10500</v>
      </c>
      <c r="G349" s="69" t="s">
        <v>297</v>
      </c>
      <c r="H349" s="73">
        <v>1</v>
      </c>
      <c r="I349" s="69" t="s">
        <v>147</v>
      </c>
      <c r="J349" s="69" t="s">
        <v>146</v>
      </c>
      <c r="K349" s="69" t="s">
        <v>303</v>
      </c>
      <c r="L349" s="74">
        <v>30959163</v>
      </c>
      <c r="M349" s="75">
        <v>2.5347222222222221E-3</v>
      </c>
      <c r="N349" s="76" t="s">
        <v>79</v>
      </c>
      <c r="O349" s="76" t="s">
        <v>79</v>
      </c>
      <c r="P349" s="76" t="s">
        <v>79</v>
      </c>
      <c r="Q349" s="76" t="s">
        <v>79</v>
      </c>
      <c r="R349" s="76" t="s">
        <v>79</v>
      </c>
      <c r="S349" s="76" t="s">
        <v>79</v>
      </c>
      <c r="T349" s="76" t="s">
        <v>79</v>
      </c>
      <c r="U349" s="76" t="s">
        <v>79</v>
      </c>
      <c r="V349" s="76" t="s">
        <v>79</v>
      </c>
      <c r="W349" s="76" t="s">
        <v>79</v>
      </c>
      <c r="X349" s="76" t="s">
        <v>79</v>
      </c>
      <c r="Y349" s="76" t="s">
        <v>79</v>
      </c>
      <c r="Z349" s="77">
        <f t="shared" si="38"/>
        <v>10</v>
      </c>
      <c r="AA349" s="78"/>
      <c r="AB349" s="78" t="s">
        <v>1583</v>
      </c>
      <c r="AC349" s="72" t="s">
        <v>47</v>
      </c>
      <c r="AE349" s="79" t="str">
        <f t="shared" si="57"/>
        <v>Jan10500</v>
      </c>
      <c r="AF349" s="80">
        <f>IF(N349="","",IF(N349="SIM",VLOOKUP($I349&amp;$J349&amp;N$1,Pesos!$A:$I,7,FALSE),VLOOKUP($I349&amp;$J349&amp;N$1,Pesos!$A:$I,9,FALSE)))</f>
        <v>0.8</v>
      </c>
      <c r="AG349" s="80">
        <f>IF(O349="","",IF(O349="SIM",VLOOKUP($I349&amp;$J349&amp;O$1,Pesos!$A:$I,7,FALSE),VLOOKUP($I349&amp;$J349&amp;O$1,Pesos!$A:$I,9,FALSE)))</f>
        <v>0.8</v>
      </c>
      <c r="AH349" s="80">
        <f>IF(P349="","",IF(P349="SIM",VLOOKUP($I349&amp;$J349&amp;P$1,Pesos!$A:$I,7,FALSE),VLOOKUP($I349&amp;$J349&amp;P$1,Pesos!$A:$I,9,FALSE)))</f>
        <v>0.8</v>
      </c>
      <c r="AI349" s="80">
        <f>IF(Q349="","",IF(Q349="SIM",VLOOKUP($I349&amp;$J349&amp;Q$1,Pesos!$A:$I,7,FALSE),VLOOKUP($I349&amp;$J349&amp;Q$1,Pesos!$A:$I,9,FALSE)))</f>
        <v>0.8</v>
      </c>
      <c r="AJ349" s="80">
        <f>IF(R349="","",IF(R349="SIM",VLOOKUP($I349&amp;$J349&amp;R$1,Pesos!$A:$I,7,FALSE),VLOOKUP($I349&amp;$J349&amp;R$1,Pesos!$A:$I,9,FALSE)))</f>
        <v>0.8</v>
      </c>
      <c r="AK349" s="80">
        <f>IF(S349="","",IF(S349="SIM",VLOOKUP($I349&amp;$J349&amp;S$1,Pesos!$A:$I,7,FALSE),VLOOKUP($I349&amp;$J349&amp;S$1,Pesos!$A:$I,9,FALSE)))</f>
        <v>0.8</v>
      </c>
      <c r="AL349" s="80">
        <f t="shared" si="58"/>
        <v>4.8</v>
      </c>
      <c r="AM349" s="80">
        <f>IF(T349="","",IF(T349="SIM",VLOOKUP($I349&amp;$J349&amp;T$1,Pesos!$A:$I,7,FALSE),VLOOKUP($I349&amp;$J349&amp;T$1,Pesos!$A:$I,9,FALSE)))</f>
        <v>0.8</v>
      </c>
      <c r="AN349" s="80">
        <f>IF(U349="","",IF(U349="SIM",VLOOKUP($I349&amp;$J349&amp;U$1,Pesos!$A:$I,7,FALSE),VLOOKUP($I349&amp;$J349&amp;U$1,Pesos!$A:$I,9,FALSE)))</f>
        <v>0.8</v>
      </c>
      <c r="AO349" s="80">
        <f>IF(V349="","",IF(V349="SIM",VLOOKUP($I349&amp;$J349&amp;V$1,Pesos!$A:$I,7,FALSE),VLOOKUP($I349&amp;$J349&amp;V$1,Pesos!$A:$I,9,FALSE)))</f>
        <v>0.8</v>
      </c>
      <c r="AP349" s="80">
        <f>IF(W349="","",IF(W349="SIM",VLOOKUP($I349&amp;$J349&amp;W$1,Pesos!$A:$I,7,FALSE),VLOOKUP($I349&amp;$J349&amp;W$1,Pesos!$A:$I,9,FALSE)))</f>
        <v>0.8</v>
      </c>
      <c r="AQ349" s="80">
        <f>IF(X349="","",IF(X349="SIM",VLOOKUP($I349&amp;$J349&amp;X$1,Pesos!$A:$I,7,FALSE),VLOOKUP($I349&amp;$J349&amp;X$1,Pesos!$A:$I,9,FALSE)))</f>
        <v>1</v>
      </c>
      <c r="AR349" s="80">
        <f>IF(Y349="","",IF(Y349="SIM",VLOOKUP($I349&amp;$J349&amp;Y$1,Pesos!$A:$I,7,FALSE),VLOOKUP($I349&amp;$J349&amp;Y$1,Pesos!$A:$I,9,FALSE)))</f>
        <v>1</v>
      </c>
      <c r="AS349" s="81">
        <f>IFERROR(Z349*VLOOKUP(J349,'BD Campos'!$Y$1:$Z$12,2,FALSE),"0")</f>
        <v>10</v>
      </c>
    </row>
    <row r="350" spans="1:45" x14ac:dyDescent="0.35">
      <c r="A350" s="68" t="str">
        <f t="shared" si="51"/>
        <v>Jan202510500Policia 2BAS</v>
      </c>
      <c r="B350" s="69" t="str">
        <f t="shared" si="52"/>
        <v>Jan2025105002BASPADRÃO</v>
      </c>
      <c r="C350" s="70">
        <v>1</v>
      </c>
      <c r="D350" s="71">
        <v>45680.726323495372</v>
      </c>
      <c r="E350" s="112" t="s">
        <v>74</v>
      </c>
      <c r="F350" s="72">
        <v>10500</v>
      </c>
      <c r="G350" s="69" t="s">
        <v>297</v>
      </c>
      <c r="H350" s="73">
        <v>2</v>
      </c>
      <c r="I350" s="69" t="s">
        <v>147</v>
      </c>
      <c r="J350" s="69" t="s">
        <v>304</v>
      </c>
      <c r="K350" s="69" t="s">
        <v>303</v>
      </c>
      <c r="L350" s="74"/>
      <c r="M350" s="75">
        <v>3.4027777777777784E-3</v>
      </c>
      <c r="N350" s="76" t="s">
        <v>79</v>
      </c>
      <c r="O350" s="76" t="s">
        <v>79</v>
      </c>
      <c r="P350" s="76" t="s">
        <v>79</v>
      </c>
      <c r="Q350" s="76" t="s">
        <v>79</v>
      </c>
      <c r="R350" s="76" t="s">
        <v>79</v>
      </c>
      <c r="S350" s="76" t="s">
        <v>79</v>
      </c>
      <c r="T350" s="76" t="s">
        <v>79</v>
      </c>
      <c r="U350" s="76" t="s">
        <v>79</v>
      </c>
      <c r="V350" s="76" t="s">
        <v>79</v>
      </c>
      <c r="W350" s="76" t="s">
        <v>79</v>
      </c>
      <c r="X350" s="76" t="s">
        <v>79</v>
      </c>
      <c r="Y350" s="76" t="s">
        <v>79</v>
      </c>
      <c r="Z350" s="77">
        <f t="shared" si="38"/>
        <v>10</v>
      </c>
      <c r="AA350" s="78"/>
      <c r="AB350" s="78"/>
      <c r="AC350" s="72" t="s">
        <v>47</v>
      </c>
      <c r="AE350" s="79" t="str">
        <f t="shared" si="57"/>
        <v>Jan10500</v>
      </c>
      <c r="AF350" s="80">
        <f>IF(N350="","",IF(N350="SIM",VLOOKUP($I350&amp;$J350&amp;N$1,Pesos!$A:$I,7,FALSE),VLOOKUP($I350&amp;$J350&amp;N$1,Pesos!$A:$I,9,FALSE)))</f>
        <v>0.8</v>
      </c>
      <c r="AG350" s="80">
        <f>IF(O350="","",IF(O350="SIM",VLOOKUP($I350&amp;$J350&amp;O$1,Pesos!$A:$I,7,FALSE),VLOOKUP($I350&amp;$J350&amp;O$1,Pesos!$A:$I,9,FALSE)))</f>
        <v>0.8</v>
      </c>
      <c r="AH350" s="80">
        <f>IF(P350="","",IF(P350="SIM",VLOOKUP($I350&amp;$J350&amp;P$1,Pesos!$A:$I,7,FALSE),VLOOKUP($I350&amp;$J350&amp;P$1,Pesos!$A:$I,9,FALSE)))</f>
        <v>0.8</v>
      </c>
      <c r="AI350" s="80">
        <f>IF(Q350="","",IF(Q350="SIM",VLOOKUP($I350&amp;$J350&amp;Q$1,Pesos!$A:$I,7,FALSE),VLOOKUP($I350&amp;$J350&amp;Q$1,Pesos!$A:$I,9,FALSE)))</f>
        <v>0.8</v>
      </c>
      <c r="AJ350" s="80">
        <f>IF(R350="","",IF(R350="SIM",VLOOKUP($I350&amp;$J350&amp;R$1,Pesos!$A:$I,7,FALSE),VLOOKUP($I350&amp;$J350&amp;R$1,Pesos!$A:$I,9,FALSE)))</f>
        <v>0.8</v>
      </c>
      <c r="AK350" s="80">
        <f>IF(S350="","",IF(S350="SIM",VLOOKUP($I350&amp;$J350&amp;S$1,Pesos!$A:$I,7,FALSE),VLOOKUP($I350&amp;$J350&amp;S$1,Pesos!$A:$I,9,FALSE)))</f>
        <v>0.8</v>
      </c>
      <c r="AL350" s="80">
        <f t="shared" si="58"/>
        <v>4.8</v>
      </c>
      <c r="AM350" s="80">
        <f>IF(T350="","",IF(T350="SIM",VLOOKUP($I350&amp;$J350&amp;T$1,Pesos!$A:$I,7,FALSE),VLOOKUP($I350&amp;$J350&amp;T$1,Pesos!$A:$I,9,FALSE)))</f>
        <v>0.8</v>
      </c>
      <c r="AN350" s="80">
        <f>IF(U350="","",IF(U350="SIM",VLOOKUP($I350&amp;$J350&amp;U$1,Pesos!$A:$I,7,FALSE),VLOOKUP($I350&amp;$J350&amp;U$1,Pesos!$A:$I,9,FALSE)))</f>
        <v>0.8</v>
      </c>
      <c r="AO350" s="80">
        <f>IF(V350="","",IF(V350="SIM",VLOOKUP($I350&amp;$J350&amp;V$1,Pesos!$A:$I,7,FALSE),VLOOKUP($I350&amp;$J350&amp;V$1,Pesos!$A:$I,9,FALSE)))</f>
        <v>0.8</v>
      </c>
      <c r="AP350" s="80">
        <f>IF(W350="","",IF(W350="SIM",VLOOKUP($I350&amp;$J350&amp;W$1,Pesos!$A:$I,7,FALSE),VLOOKUP($I350&amp;$J350&amp;W$1,Pesos!$A:$I,9,FALSE)))</f>
        <v>0.8</v>
      </c>
      <c r="AQ350" s="80">
        <f>IF(X350="","",IF(X350="SIM",VLOOKUP($I350&amp;$J350&amp;X$1,Pesos!$A:$I,7,FALSE),VLOOKUP($I350&amp;$J350&amp;X$1,Pesos!$A:$I,9,FALSE)))</f>
        <v>1</v>
      </c>
      <c r="AR350" s="80">
        <f>IF(Y350="","",IF(Y350="SIM",VLOOKUP($I350&amp;$J350&amp;Y$1,Pesos!$A:$I,7,FALSE),VLOOKUP($I350&amp;$J350&amp;Y$1,Pesos!$A:$I,9,FALSE)))</f>
        <v>1</v>
      </c>
      <c r="AS350" s="81" t="str">
        <f>IFERROR(Z350*VLOOKUP(J350,'BD Campos'!$Y$1:$Z$12,2,FALSE),"0")</f>
        <v>0</v>
      </c>
    </row>
    <row r="351" spans="1:45" x14ac:dyDescent="0.35">
      <c r="A351" s="68" t="str">
        <f t="shared" si="51"/>
        <v>Jan20251910PoliciaBAS</v>
      </c>
      <c r="B351" s="69" t="str">
        <f t="shared" si="52"/>
        <v>Jan202519101BASPADRÃO</v>
      </c>
      <c r="C351" s="70">
        <v>1</v>
      </c>
      <c r="D351" s="71">
        <v>45681.358258101849</v>
      </c>
      <c r="E351" s="112" t="s">
        <v>74</v>
      </c>
      <c r="F351" s="72">
        <v>1910</v>
      </c>
      <c r="G351" s="69" t="s">
        <v>301</v>
      </c>
      <c r="H351" s="73">
        <v>1</v>
      </c>
      <c r="I351" s="69" t="s">
        <v>147</v>
      </c>
      <c r="J351" s="69" t="s">
        <v>146</v>
      </c>
      <c r="K351" s="69" t="s">
        <v>303</v>
      </c>
      <c r="L351" s="74">
        <v>30944221</v>
      </c>
      <c r="M351" s="75">
        <v>3.0439814814814821E-3</v>
      </c>
      <c r="N351" s="76" t="s">
        <v>79</v>
      </c>
      <c r="O351" s="76" t="s">
        <v>79</v>
      </c>
      <c r="P351" s="76" t="s">
        <v>79</v>
      </c>
      <c r="Q351" s="76" t="s">
        <v>79</v>
      </c>
      <c r="R351" s="76" t="s">
        <v>79</v>
      </c>
      <c r="S351" s="76" t="s">
        <v>79</v>
      </c>
      <c r="T351" s="76" t="s">
        <v>79</v>
      </c>
      <c r="U351" s="76" t="s">
        <v>79</v>
      </c>
      <c r="V351" s="76" t="s">
        <v>79</v>
      </c>
      <c r="W351" s="76" t="s">
        <v>79</v>
      </c>
      <c r="X351" s="76" t="s">
        <v>79</v>
      </c>
      <c r="Y351" s="76" t="s">
        <v>79</v>
      </c>
      <c r="Z351" s="77">
        <f t="shared" si="38"/>
        <v>10</v>
      </c>
      <c r="AA351" s="78"/>
      <c r="AB351" s="78" t="s">
        <v>1584</v>
      </c>
      <c r="AC351" s="72" t="s">
        <v>47</v>
      </c>
      <c r="AE351" s="79" t="str">
        <f t="shared" si="57"/>
        <v>Jan1910</v>
      </c>
      <c r="AF351" s="80">
        <f>IF(N351="","",IF(N351="SIM",VLOOKUP($I351&amp;$J351&amp;N$1,Pesos!$A:$I,7,FALSE),VLOOKUP($I351&amp;$J351&amp;N$1,Pesos!$A:$I,9,FALSE)))</f>
        <v>0.8</v>
      </c>
      <c r="AG351" s="80">
        <f>IF(O351="","",IF(O351="SIM",VLOOKUP($I351&amp;$J351&amp;O$1,Pesos!$A:$I,7,FALSE),VLOOKUP($I351&amp;$J351&amp;O$1,Pesos!$A:$I,9,FALSE)))</f>
        <v>0.8</v>
      </c>
      <c r="AH351" s="80">
        <f>IF(P351="","",IF(P351="SIM",VLOOKUP($I351&amp;$J351&amp;P$1,Pesos!$A:$I,7,FALSE),VLOOKUP($I351&amp;$J351&amp;P$1,Pesos!$A:$I,9,FALSE)))</f>
        <v>0.8</v>
      </c>
      <c r="AI351" s="80">
        <f>IF(Q351="","",IF(Q351="SIM",VLOOKUP($I351&amp;$J351&amp;Q$1,Pesos!$A:$I,7,FALSE),VLOOKUP($I351&amp;$J351&amp;Q$1,Pesos!$A:$I,9,FALSE)))</f>
        <v>0.8</v>
      </c>
      <c r="AJ351" s="80">
        <f>IF(R351="","",IF(R351="SIM",VLOOKUP($I351&amp;$J351&amp;R$1,Pesos!$A:$I,7,FALSE),VLOOKUP($I351&amp;$J351&amp;R$1,Pesos!$A:$I,9,FALSE)))</f>
        <v>0.8</v>
      </c>
      <c r="AK351" s="80">
        <f>IF(S351="","",IF(S351="SIM",VLOOKUP($I351&amp;$J351&amp;S$1,Pesos!$A:$I,7,FALSE),VLOOKUP($I351&amp;$J351&amp;S$1,Pesos!$A:$I,9,FALSE)))</f>
        <v>0.8</v>
      </c>
      <c r="AL351" s="80">
        <f t="shared" si="58"/>
        <v>4.8</v>
      </c>
      <c r="AM351" s="80">
        <f>IF(T351="","",IF(T351="SIM",VLOOKUP($I351&amp;$J351&amp;T$1,Pesos!$A:$I,7,FALSE),VLOOKUP($I351&amp;$J351&amp;T$1,Pesos!$A:$I,9,FALSE)))</f>
        <v>0.8</v>
      </c>
      <c r="AN351" s="80">
        <f>IF(U351="","",IF(U351="SIM",VLOOKUP($I351&amp;$J351&amp;U$1,Pesos!$A:$I,7,FALSE),VLOOKUP($I351&amp;$J351&amp;U$1,Pesos!$A:$I,9,FALSE)))</f>
        <v>0.8</v>
      </c>
      <c r="AO351" s="80">
        <f>IF(V351="","",IF(V351="SIM",VLOOKUP($I351&amp;$J351&amp;V$1,Pesos!$A:$I,7,FALSE),VLOOKUP($I351&amp;$J351&amp;V$1,Pesos!$A:$I,9,FALSE)))</f>
        <v>0.8</v>
      </c>
      <c r="AP351" s="80">
        <f>IF(W351="","",IF(W351="SIM",VLOOKUP($I351&amp;$J351&amp;W$1,Pesos!$A:$I,7,FALSE),VLOOKUP($I351&amp;$J351&amp;W$1,Pesos!$A:$I,9,FALSE)))</f>
        <v>0.8</v>
      </c>
      <c r="AQ351" s="80">
        <f>IF(X351="","",IF(X351="SIM",VLOOKUP($I351&amp;$J351&amp;X$1,Pesos!$A:$I,7,FALSE),VLOOKUP($I351&amp;$J351&amp;X$1,Pesos!$A:$I,9,FALSE)))</f>
        <v>1</v>
      </c>
      <c r="AR351" s="80">
        <f>IF(Y351="","",IF(Y351="SIM",VLOOKUP($I351&amp;$J351&amp;Y$1,Pesos!$A:$I,7,FALSE),VLOOKUP($I351&amp;$J351&amp;Y$1,Pesos!$A:$I,9,FALSE)))</f>
        <v>1</v>
      </c>
      <c r="AS351" s="81">
        <f>IFERROR(Z351*VLOOKUP(J351,'BD Campos'!$Y$1:$Z$12,2,FALSE),"0")</f>
        <v>10</v>
      </c>
    </row>
    <row r="352" spans="1:45" x14ac:dyDescent="0.35">
      <c r="A352" s="68" t="str">
        <f t="shared" si="51"/>
        <v>Jan20251910Policia 2BAS</v>
      </c>
      <c r="B352" s="69" t="str">
        <f t="shared" si="52"/>
        <v>Jan202519102BASPADRÃO</v>
      </c>
      <c r="C352" s="70">
        <v>1</v>
      </c>
      <c r="D352" s="71">
        <v>45681.362709259258</v>
      </c>
      <c r="E352" s="112" t="s">
        <v>74</v>
      </c>
      <c r="F352" s="72">
        <v>1910</v>
      </c>
      <c r="G352" s="69" t="s">
        <v>301</v>
      </c>
      <c r="H352" s="73">
        <v>2</v>
      </c>
      <c r="I352" s="69" t="s">
        <v>147</v>
      </c>
      <c r="J352" s="69" t="s">
        <v>304</v>
      </c>
      <c r="K352" s="69" t="s">
        <v>303</v>
      </c>
      <c r="L352" s="74">
        <v>30914654</v>
      </c>
      <c r="M352" s="75">
        <v>3.1134259259259257E-3</v>
      </c>
      <c r="N352" s="76" t="s">
        <v>79</v>
      </c>
      <c r="O352" s="76" t="s">
        <v>79</v>
      </c>
      <c r="P352" s="76" t="s">
        <v>79</v>
      </c>
      <c r="Q352" s="76" t="s">
        <v>79</v>
      </c>
      <c r="R352" s="76" t="s">
        <v>79</v>
      </c>
      <c r="S352" s="76" t="s">
        <v>79</v>
      </c>
      <c r="T352" s="76" t="s">
        <v>79</v>
      </c>
      <c r="U352" s="76" t="s">
        <v>79</v>
      </c>
      <c r="V352" s="76" t="s">
        <v>79</v>
      </c>
      <c r="W352" s="76" t="s">
        <v>79</v>
      </c>
      <c r="X352" s="76" t="s">
        <v>79</v>
      </c>
      <c r="Y352" s="76" t="s">
        <v>79</v>
      </c>
      <c r="Z352" s="77">
        <f t="shared" si="38"/>
        <v>10</v>
      </c>
      <c r="AA352" s="78"/>
      <c r="AB352" s="78" t="s">
        <v>1585</v>
      </c>
      <c r="AC352" s="72" t="s">
        <v>47</v>
      </c>
      <c r="AE352" s="79" t="str">
        <f t="shared" si="57"/>
        <v>Jan1910</v>
      </c>
      <c r="AF352" s="80">
        <f>IF(N352="","",IF(N352="SIM",VLOOKUP($I352&amp;$J352&amp;N$1,Pesos!$A:$I,7,FALSE),VLOOKUP($I352&amp;$J352&amp;N$1,Pesos!$A:$I,9,FALSE)))</f>
        <v>0.8</v>
      </c>
      <c r="AG352" s="80">
        <f>IF(O352="","",IF(O352="SIM",VLOOKUP($I352&amp;$J352&amp;O$1,Pesos!$A:$I,7,FALSE),VLOOKUP($I352&amp;$J352&amp;O$1,Pesos!$A:$I,9,FALSE)))</f>
        <v>0.8</v>
      </c>
      <c r="AH352" s="80">
        <f>IF(P352="","",IF(P352="SIM",VLOOKUP($I352&amp;$J352&amp;P$1,Pesos!$A:$I,7,FALSE),VLOOKUP($I352&amp;$J352&amp;P$1,Pesos!$A:$I,9,FALSE)))</f>
        <v>0.8</v>
      </c>
      <c r="AI352" s="80">
        <f>IF(Q352="","",IF(Q352="SIM",VLOOKUP($I352&amp;$J352&amp;Q$1,Pesos!$A:$I,7,FALSE),VLOOKUP($I352&amp;$J352&amp;Q$1,Pesos!$A:$I,9,FALSE)))</f>
        <v>0.8</v>
      </c>
      <c r="AJ352" s="80">
        <f>IF(R352="","",IF(R352="SIM",VLOOKUP($I352&amp;$J352&amp;R$1,Pesos!$A:$I,7,FALSE),VLOOKUP($I352&amp;$J352&amp;R$1,Pesos!$A:$I,9,FALSE)))</f>
        <v>0.8</v>
      </c>
      <c r="AK352" s="80">
        <f>IF(S352="","",IF(S352="SIM",VLOOKUP($I352&amp;$J352&amp;S$1,Pesos!$A:$I,7,FALSE),VLOOKUP($I352&amp;$J352&amp;S$1,Pesos!$A:$I,9,FALSE)))</f>
        <v>0.8</v>
      </c>
      <c r="AL352" s="80">
        <f t="shared" si="58"/>
        <v>4.8</v>
      </c>
      <c r="AM352" s="80">
        <f>IF(T352="","",IF(T352="SIM",VLOOKUP($I352&amp;$J352&amp;T$1,Pesos!$A:$I,7,FALSE),VLOOKUP($I352&amp;$J352&amp;T$1,Pesos!$A:$I,9,FALSE)))</f>
        <v>0.8</v>
      </c>
      <c r="AN352" s="80">
        <f>IF(U352="","",IF(U352="SIM",VLOOKUP($I352&amp;$J352&amp;U$1,Pesos!$A:$I,7,FALSE),VLOOKUP($I352&amp;$J352&amp;U$1,Pesos!$A:$I,9,FALSE)))</f>
        <v>0.8</v>
      </c>
      <c r="AO352" s="80">
        <f>IF(V352="","",IF(V352="SIM",VLOOKUP($I352&amp;$J352&amp;V$1,Pesos!$A:$I,7,FALSE),VLOOKUP($I352&amp;$J352&amp;V$1,Pesos!$A:$I,9,FALSE)))</f>
        <v>0.8</v>
      </c>
      <c r="AP352" s="80">
        <f>IF(W352="","",IF(W352="SIM",VLOOKUP($I352&amp;$J352&amp;W$1,Pesos!$A:$I,7,FALSE),VLOOKUP($I352&amp;$J352&amp;W$1,Pesos!$A:$I,9,FALSE)))</f>
        <v>0.8</v>
      </c>
      <c r="AQ352" s="80">
        <f>IF(X352="","",IF(X352="SIM",VLOOKUP($I352&amp;$J352&amp;X$1,Pesos!$A:$I,7,FALSE),VLOOKUP($I352&amp;$J352&amp;X$1,Pesos!$A:$I,9,FALSE)))</f>
        <v>1</v>
      </c>
      <c r="AR352" s="80">
        <f>IF(Y352="","",IF(Y352="SIM",VLOOKUP($I352&amp;$J352&amp;Y$1,Pesos!$A:$I,7,FALSE),VLOOKUP($I352&amp;$J352&amp;Y$1,Pesos!$A:$I,9,FALSE)))</f>
        <v>1</v>
      </c>
      <c r="AS352" s="81" t="str">
        <f>IFERROR(Z352*VLOOKUP(J352,'BD Campos'!$Y$1:$Z$12,2,FALSE),"0")</f>
        <v>0</v>
      </c>
    </row>
    <row r="353" spans="1:45" x14ac:dyDescent="0.35">
      <c r="A353" s="68" t="str">
        <f t="shared" si="51"/>
        <v>Jan20254159MotoristaTRANSFERÊNCIA</v>
      </c>
      <c r="B353" s="69" t="str">
        <f t="shared" si="52"/>
        <v>Jan202541591TRANSFERÊNCIAPADRÃO</v>
      </c>
      <c r="C353" s="70">
        <v>1</v>
      </c>
      <c r="D353" s="71">
        <v>45681.371100925928</v>
      </c>
      <c r="E353" s="112" t="s">
        <v>74</v>
      </c>
      <c r="F353" s="72">
        <v>4159</v>
      </c>
      <c r="G353" s="69" t="s">
        <v>231</v>
      </c>
      <c r="H353" s="73">
        <v>1</v>
      </c>
      <c r="I353" s="69" t="s">
        <v>147</v>
      </c>
      <c r="J353" s="69" t="s">
        <v>122</v>
      </c>
      <c r="K353" s="69" t="s">
        <v>106</v>
      </c>
      <c r="L353" s="74">
        <v>30965009</v>
      </c>
      <c r="M353" s="75">
        <v>8.1018518518518516E-4</v>
      </c>
      <c r="N353" s="76" t="s">
        <v>79</v>
      </c>
      <c r="O353" s="76" t="s">
        <v>79</v>
      </c>
      <c r="P353" s="76" t="s">
        <v>79</v>
      </c>
      <c r="Q353" s="76" t="s">
        <v>79</v>
      </c>
      <c r="R353" s="76" t="s">
        <v>79</v>
      </c>
      <c r="S353" s="76" t="s">
        <v>79</v>
      </c>
      <c r="T353" s="76" t="s">
        <v>79</v>
      </c>
      <c r="U353" s="76" t="s">
        <v>79</v>
      </c>
      <c r="V353" s="76"/>
      <c r="W353" s="76"/>
      <c r="X353" s="76"/>
      <c r="Y353" s="76"/>
      <c r="Z353" s="77">
        <f t="shared" si="38"/>
        <v>10</v>
      </c>
      <c r="AA353" s="78"/>
      <c r="AB353" s="78" t="s">
        <v>1586</v>
      </c>
      <c r="AC353" s="72" t="s">
        <v>47</v>
      </c>
      <c r="AE353" s="79" t="str">
        <f t="shared" si="57"/>
        <v>Jan4159</v>
      </c>
      <c r="AF353" s="80">
        <f>IF(N353="","",IF(N353="SIM",VLOOKUP($I353&amp;$J353&amp;N$1,Pesos!$A:$I,7,FALSE),VLOOKUP($I353&amp;$J353&amp;N$1,Pesos!$A:$I,9,FALSE)))</f>
        <v>1.1000000000000001</v>
      </c>
      <c r="AG353" s="80">
        <f>IF(O353="","",IF(O353="SIM",VLOOKUP($I353&amp;$J353&amp;O$1,Pesos!$A:$I,7,FALSE),VLOOKUP($I353&amp;$J353&amp;O$1,Pesos!$A:$I,9,FALSE)))</f>
        <v>1.1000000000000001</v>
      </c>
      <c r="AH353" s="80">
        <f>IF(P353="","",IF(P353="SIM",VLOOKUP($I353&amp;$J353&amp;P$1,Pesos!$A:$I,7,FALSE),VLOOKUP($I353&amp;$J353&amp;P$1,Pesos!$A:$I,9,FALSE)))</f>
        <v>1.1000000000000001</v>
      </c>
      <c r="AI353" s="80">
        <f>IF(Q353="","",IF(Q353="SIM",VLOOKUP($I353&amp;$J353&amp;Q$1,Pesos!$A:$I,7,FALSE),VLOOKUP($I353&amp;$J353&amp;Q$1,Pesos!$A:$I,9,FALSE)))</f>
        <v>1.1000000000000001</v>
      </c>
      <c r="AJ353" s="80">
        <f>IF(R353="","",IF(R353="SIM",VLOOKUP($I353&amp;$J353&amp;R$1,Pesos!$A:$I,7,FALSE),VLOOKUP($I353&amp;$J353&amp;R$1,Pesos!$A:$I,9,FALSE)))</f>
        <v>1.1000000000000001</v>
      </c>
      <c r="AK353" s="80">
        <f>IF(S353="","",IF(S353="SIM",VLOOKUP($I353&amp;$J353&amp;S$1,Pesos!$A:$I,7,FALSE),VLOOKUP($I353&amp;$J353&amp;S$1,Pesos!$A:$I,9,FALSE)))</f>
        <v>1.6</v>
      </c>
      <c r="AL353" s="80">
        <f t="shared" si="58"/>
        <v>7.1</v>
      </c>
      <c r="AM353" s="80">
        <f>IF(T353="","",IF(T353="SIM",VLOOKUP($I353&amp;$J353&amp;T$1,Pesos!$A:$I,7,FALSE),VLOOKUP($I353&amp;$J353&amp;T$1,Pesos!$A:$I,9,FALSE)))</f>
        <v>1.2</v>
      </c>
      <c r="AN353" s="80">
        <f>IF(U353="","",IF(U353="SIM",VLOOKUP($I353&amp;$J353&amp;U$1,Pesos!$A:$I,7,FALSE),VLOOKUP($I353&amp;$J353&amp;U$1,Pesos!$A:$I,9,FALSE)))</f>
        <v>1.7000000000000002</v>
      </c>
      <c r="AO353" s="80" t="str">
        <f>IF(V353="","",IF(V353="SIM",VLOOKUP($I353&amp;$J353&amp;V$1,Pesos!$A:$I,7,FALSE),VLOOKUP($I353&amp;$J353&amp;V$1,Pesos!$A:$I,9,FALSE)))</f>
        <v/>
      </c>
      <c r="AP353" s="80" t="str">
        <f>IF(W353="","",IF(W353="SIM",VLOOKUP($I353&amp;$J353&amp;W$1,Pesos!$A:$I,7,FALSE),VLOOKUP($I353&amp;$J353&amp;W$1,Pesos!$A:$I,9,FALSE)))</f>
        <v/>
      </c>
      <c r="AQ353" s="80" t="str">
        <f>IF(X353="","",IF(X353="SIM",VLOOKUP($I353&amp;$J353&amp;X$1,Pesos!$A:$I,7,FALSE),VLOOKUP($I353&amp;$J353&amp;X$1,Pesos!$A:$I,9,FALSE)))</f>
        <v/>
      </c>
      <c r="AR353" s="80" t="str">
        <f>IF(Y353="","",IF(Y353="SIM",VLOOKUP($I353&amp;$J353&amp;Y$1,Pesos!$A:$I,7,FALSE),VLOOKUP($I353&amp;$J353&amp;Y$1,Pesos!$A:$I,9,FALSE)))</f>
        <v/>
      </c>
      <c r="AS353" s="81">
        <f>IFERROR(Z353*VLOOKUP(J353,'BD Campos'!$Y$1:$Z$12,2,FALSE),"0")</f>
        <v>10</v>
      </c>
    </row>
    <row r="354" spans="1:45" x14ac:dyDescent="0.35">
      <c r="A354" s="68" t="str">
        <f t="shared" si="51"/>
        <v>Jan20254204MotoristaTRANSFERÊNCIA</v>
      </c>
      <c r="B354" s="69" t="str">
        <f t="shared" si="52"/>
        <v>Jan202542041TRANSFERÊNCIAPADRÃO</v>
      </c>
      <c r="C354" s="70">
        <v>1</v>
      </c>
      <c r="D354" s="71">
        <v>45681.379262152775</v>
      </c>
      <c r="E354" s="112" t="s">
        <v>74</v>
      </c>
      <c r="F354" s="72">
        <v>4204</v>
      </c>
      <c r="G354" s="69" t="s">
        <v>1492</v>
      </c>
      <c r="H354" s="73">
        <v>1</v>
      </c>
      <c r="I354" s="69" t="s">
        <v>123</v>
      </c>
      <c r="J354" s="69" t="s">
        <v>122</v>
      </c>
      <c r="K354" s="69" t="s">
        <v>106</v>
      </c>
      <c r="L354" s="74">
        <v>30959707</v>
      </c>
      <c r="M354" s="75">
        <v>2.5231481481481481E-3</v>
      </c>
      <c r="N354" s="76"/>
      <c r="O354" s="76"/>
      <c r="P354" s="76"/>
      <c r="Q354" s="76"/>
      <c r="R354" s="76"/>
      <c r="S354" s="76"/>
      <c r="T354" s="76"/>
      <c r="U354" s="76"/>
      <c r="V354" s="76"/>
      <c r="W354" s="76"/>
      <c r="X354" s="76"/>
      <c r="Y354" s="76"/>
      <c r="Z354" s="77">
        <f t="shared" si="38"/>
        <v>0</v>
      </c>
      <c r="AA354" s="78" t="s">
        <v>1588</v>
      </c>
      <c r="AB354" s="78" t="s">
        <v>1587</v>
      </c>
      <c r="AC354" s="72" t="s">
        <v>47</v>
      </c>
      <c r="AE354" s="79" t="str">
        <f t="shared" si="57"/>
        <v>Jan4204</v>
      </c>
      <c r="AF354" s="80" t="str">
        <f>IF(N354="","",IF(N354="SIM",VLOOKUP($I354&amp;$J354&amp;N$1,Pesos!$A:$I,7,FALSE),VLOOKUP($I354&amp;$J354&amp;N$1,Pesos!$A:$I,9,FALSE)))</f>
        <v/>
      </c>
      <c r="AG354" s="80" t="str">
        <f>IF(O354="","",IF(O354="SIM",VLOOKUP($I354&amp;$J354&amp;O$1,Pesos!$A:$I,7,FALSE),VLOOKUP($I354&amp;$J354&amp;O$1,Pesos!$A:$I,9,FALSE)))</f>
        <v/>
      </c>
      <c r="AH354" s="80" t="str">
        <f>IF(P354="","",IF(P354="SIM",VLOOKUP($I354&amp;$J354&amp;P$1,Pesos!$A:$I,7,FALSE),VLOOKUP($I354&amp;$J354&amp;P$1,Pesos!$A:$I,9,FALSE)))</f>
        <v/>
      </c>
      <c r="AI354" s="80" t="str">
        <f>IF(Q354="","",IF(Q354="SIM",VLOOKUP($I354&amp;$J354&amp;Q$1,Pesos!$A:$I,7,FALSE),VLOOKUP($I354&amp;$J354&amp;Q$1,Pesos!$A:$I,9,FALSE)))</f>
        <v/>
      </c>
      <c r="AJ354" s="80" t="str">
        <f>IF(R354="","",IF(R354="SIM",VLOOKUP($I354&amp;$J354&amp;R$1,Pesos!$A:$I,7,FALSE),VLOOKUP($I354&amp;$J354&amp;R$1,Pesos!$A:$I,9,FALSE)))</f>
        <v/>
      </c>
      <c r="AK354" s="80" t="str">
        <f>IF(S354="","",IF(S354="SIM",VLOOKUP($I354&amp;$J354&amp;S$1,Pesos!$A:$I,7,FALSE),VLOOKUP($I354&amp;$J354&amp;S$1,Pesos!$A:$I,9,FALSE)))</f>
        <v/>
      </c>
      <c r="AL354" s="80">
        <f t="shared" si="58"/>
        <v>0</v>
      </c>
      <c r="AM354" s="80" t="str">
        <f>IF(T354="","",IF(T354="SIM",VLOOKUP($I354&amp;$J354&amp;T$1,Pesos!$A:$I,7,FALSE),VLOOKUP($I354&amp;$J354&amp;T$1,Pesos!$A:$I,9,FALSE)))</f>
        <v/>
      </c>
      <c r="AN354" s="80" t="str">
        <f>IF(U354="","",IF(U354="SIM",VLOOKUP($I354&amp;$J354&amp;U$1,Pesos!$A:$I,7,FALSE),VLOOKUP($I354&amp;$J354&amp;U$1,Pesos!$A:$I,9,FALSE)))</f>
        <v/>
      </c>
      <c r="AO354" s="80" t="str">
        <f>IF(V354="","",IF(V354="SIM",VLOOKUP($I354&amp;$J354&amp;V$1,Pesos!$A:$I,7,FALSE),VLOOKUP($I354&amp;$J354&amp;V$1,Pesos!$A:$I,9,FALSE)))</f>
        <v/>
      </c>
      <c r="AP354" s="80" t="str">
        <f>IF(W354="","",IF(W354="SIM",VLOOKUP($I354&amp;$J354&amp;W$1,Pesos!$A:$I,7,FALSE),VLOOKUP($I354&amp;$J354&amp;W$1,Pesos!$A:$I,9,FALSE)))</f>
        <v/>
      </c>
      <c r="AQ354" s="80" t="str">
        <f>IF(X354="","",IF(X354="SIM",VLOOKUP($I354&amp;$J354&amp;X$1,Pesos!$A:$I,7,FALSE),VLOOKUP($I354&amp;$J354&amp;X$1,Pesos!$A:$I,9,FALSE)))</f>
        <v/>
      </c>
      <c r="AR354" s="80" t="str">
        <f>IF(Y354="","",IF(Y354="SIM",VLOOKUP($I354&amp;$J354&amp;Y$1,Pesos!$A:$I,7,FALSE),VLOOKUP($I354&amp;$J354&amp;Y$1,Pesos!$A:$I,9,FALSE)))</f>
        <v/>
      </c>
      <c r="AS354" s="81">
        <f>IFERROR(Z354*VLOOKUP(J354,'BD Campos'!$Y$1:$Z$12,2,FALSE),"0")</f>
        <v>0</v>
      </c>
    </row>
    <row r="355" spans="1:45" x14ac:dyDescent="0.35">
      <c r="A355" s="68" t="str">
        <f t="shared" si="51"/>
        <v>Jan202510932MotoristaDISTRIBUIÇÃO</v>
      </c>
      <c r="B355" s="69" t="str">
        <f t="shared" si="52"/>
        <v>Jan2025109321DISTRIBUIÇÃOPADRÃO</v>
      </c>
      <c r="C355" s="70">
        <v>1</v>
      </c>
      <c r="D355" s="71">
        <v>45681.401389236111</v>
      </c>
      <c r="E355" s="112" t="s">
        <v>74</v>
      </c>
      <c r="F355" s="72">
        <v>10932</v>
      </c>
      <c r="G355" s="69" t="s">
        <v>245</v>
      </c>
      <c r="H355" s="73">
        <v>1</v>
      </c>
      <c r="I355" s="69" t="s">
        <v>123</v>
      </c>
      <c r="J355" s="69" t="s">
        <v>122</v>
      </c>
      <c r="K355" s="69" t="s">
        <v>23</v>
      </c>
      <c r="L355" s="74">
        <v>30913073</v>
      </c>
      <c r="M355" s="75">
        <v>8.449074074074075E-4</v>
      </c>
      <c r="N355" s="76" t="s">
        <v>79</v>
      </c>
      <c r="O355" s="76" t="s">
        <v>79</v>
      </c>
      <c r="P355" s="76" t="s">
        <v>79</v>
      </c>
      <c r="Q355" s="76" t="s">
        <v>79</v>
      </c>
      <c r="R355" s="76" t="s">
        <v>79</v>
      </c>
      <c r="S355" s="76" t="s">
        <v>79</v>
      </c>
      <c r="T355" s="76" t="s">
        <v>79</v>
      </c>
      <c r="U355" s="76" t="s">
        <v>79</v>
      </c>
      <c r="V355" s="76" t="s">
        <v>79</v>
      </c>
      <c r="W355" s="76" t="s">
        <v>79</v>
      </c>
      <c r="X355" s="76"/>
      <c r="Y355" s="76"/>
      <c r="Z355" s="77">
        <f t="shared" si="38"/>
        <v>10</v>
      </c>
      <c r="AA355" s="78"/>
      <c r="AB355" s="78" t="s">
        <v>1589</v>
      </c>
      <c r="AC355" s="72" t="s">
        <v>47</v>
      </c>
      <c r="AE355" s="79" t="str">
        <f t="shared" si="57"/>
        <v>Jan10932</v>
      </c>
      <c r="AF355" s="80">
        <f>IF(N355="","",IF(N355="SIM",VLOOKUP($I355&amp;$J355&amp;N$1,Pesos!$A:$I,7,FALSE),VLOOKUP($I355&amp;$J355&amp;N$1,Pesos!$A:$I,9,FALSE)))</f>
        <v>1</v>
      </c>
      <c r="AG355" s="80">
        <f>IF(O355="","",IF(O355="SIM",VLOOKUP($I355&amp;$J355&amp;O$1,Pesos!$A:$I,7,FALSE),VLOOKUP($I355&amp;$J355&amp;O$1,Pesos!$A:$I,9,FALSE)))</f>
        <v>1</v>
      </c>
      <c r="AH355" s="80">
        <f>IF(P355="","",IF(P355="SIM",VLOOKUP($I355&amp;$J355&amp;P$1,Pesos!$A:$I,7,FALSE),VLOOKUP($I355&amp;$J355&amp;P$1,Pesos!$A:$I,9,FALSE)))</f>
        <v>1</v>
      </c>
      <c r="AI355" s="80">
        <f>IF(Q355="","",IF(Q355="SIM",VLOOKUP($I355&amp;$J355&amp;Q$1,Pesos!$A:$I,7,FALSE),VLOOKUP($I355&amp;$J355&amp;Q$1,Pesos!$A:$I,9,FALSE)))</f>
        <v>1</v>
      </c>
      <c r="AJ355" s="80">
        <f>IF(R355="","",IF(R355="SIM",VLOOKUP($I355&amp;$J355&amp;R$1,Pesos!$A:$I,7,FALSE),VLOOKUP($I355&amp;$J355&amp;R$1,Pesos!$A:$I,9,FALSE)))</f>
        <v>1</v>
      </c>
      <c r="AK355" s="80">
        <f>IF(S355="","",IF(S355="SIM",VLOOKUP($I355&amp;$J355&amp;S$1,Pesos!$A:$I,7,FALSE),VLOOKUP($I355&amp;$J355&amp;S$1,Pesos!$A:$I,9,FALSE)))</f>
        <v>1</v>
      </c>
      <c r="AL355" s="80">
        <f t="shared" si="58"/>
        <v>6</v>
      </c>
      <c r="AM355" s="80">
        <f>IF(T355="","",IF(T355="SIM",VLOOKUP($I355&amp;$J355&amp;T$1,Pesos!$A:$I,7,FALSE),VLOOKUP($I355&amp;$J355&amp;T$1,Pesos!$A:$I,9,FALSE)))</f>
        <v>1</v>
      </c>
      <c r="AN355" s="80">
        <f>IF(U355="","",IF(U355="SIM",VLOOKUP($I355&amp;$J355&amp;U$1,Pesos!$A:$I,7,FALSE),VLOOKUP($I355&amp;$J355&amp;U$1,Pesos!$A:$I,9,FALSE)))</f>
        <v>1</v>
      </c>
      <c r="AO355" s="80">
        <f>IF(V355="","",IF(V355="SIM",VLOOKUP($I355&amp;$J355&amp;V$1,Pesos!$A:$I,7,FALSE),VLOOKUP($I355&amp;$J355&amp;V$1,Pesos!$A:$I,9,FALSE)))</f>
        <v>1</v>
      </c>
      <c r="AP355" s="80">
        <f>IF(W355="","",IF(W355="SIM",VLOOKUP($I355&amp;$J355&amp;W$1,Pesos!$A:$I,7,FALSE),VLOOKUP($I355&amp;$J355&amp;W$1,Pesos!$A:$I,9,FALSE)))</f>
        <v>1</v>
      </c>
      <c r="AQ355" s="80" t="str">
        <f>IF(X355="","",IF(X355="SIM",VLOOKUP($I355&amp;$J355&amp;X$1,Pesos!$A:$I,7,FALSE),VLOOKUP($I355&amp;$J355&amp;X$1,Pesos!$A:$I,9,FALSE)))</f>
        <v/>
      </c>
      <c r="AR355" s="80" t="str">
        <f>IF(Y355="","",IF(Y355="SIM",VLOOKUP($I355&amp;$J355&amp;Y$1,Pesos!$A:$I,7,FALSE),VLOOKUP($I355&amp;$J355&amp;Y$1,Pesos!$A:$I,9,FALSE)))</f>
        <v/>
      </c>
      <c r="AS355" s="81">
        <f>IFERROR(Z355*VLOOKUP(J355,'BD Campos'!$Y$1:$Z$12,2,FALSE),"0")</f>
        <v>10</v>
      </c>
    </row>
    <row r="356" spans="1:45" x14ac:dyDescent="0.35">
      <c r="A356" s="68" t="str">
        <f t="shared" si="51"/>
        <v>Jan202510941MotoristaDISTRIBUIÇÃO</v>
      </c>
      <c r="B356" s="69" t="str">
        <f t="shared" si="52"/>
        <v>Jan2025109411DISTRIBUIÇÃOPADRÃO</v>
      </c>
      <c r="C356" s="70">
        <v>1</v>
      </c>
      <c r="D356" s="71">
        <v>45681.418379745373</v>
      </c>
      <c r="E356" s="112" t="s">
        <v>74</v>
      </c>
      <c r="F356" s="72">
        <v>10941</v>
      </c>
      <c r="G356" s="69" t="s">
        <v>102</v>
      </c>
      <c r="H356" s="73">
        <v>1</v>
      </c>
      <c r="I356" s="69" t="s">
        <v>123</v>
      </c>
      <c r="J356" s="69" t="s">
        <v>122</v>
      </c>
      <c r="K356" s="69" t="s">
        <v>23</v>
      </c>
      <c r="L356" s="74">
        <v>30981349</v>
      </c>
      <c r="M356" s="75">
        <v>1.3657407407407409E-3</v>
      </c>
      <c r="N356" s="76"/>
      <c r="O356" s="76"/>
      <c r="P356" s="76"/>
      <c r="Q356" s="76"/>
      <c r="R356" s="76"/>
      <c r="S356" s="76"/>
      <c r="T356" s="76"/>
      <c r="U356" s="76"/>
      <c r="V356" s="76"/>
      <c r="W356" s="76"/>
      <c r="X356" s="76"/>
      <c r="Y356" s="76"/>
      <c r="Z356" s="77">
        <f t="shared" si="38"/>
        <v>0</v>
      </c>
      <c r="AA356" s="78" t="s">
        <v>1494</v>
      </c>
      <c r="AB356" s="78" t="s">
        <v>1590</v>
      </c>
      <c r="AC356" s="72" t="s">
        <v>47</v>
      </c>
      <c r="AE356" s="79" t="str">
        <f t="shared" si="57"/>
        <v>Jan10941</v>
      </c>
      <c r="AF356" s="80" t="str">
        <f>IF(N356="","",IF(N356="SIM",VLOOKUP($I356&amp;$J356&amp;N$1,Pesos!$A:$I,7,FALSE),VLOOKUP($I356&amp;$J356&amp;N$1,Pesos!$A:$I,9,FALSE)))</f>
        <v/>
      </c>
      <c r="AG356" s="80" t="str">
        <f>IF(O356="","",IF(O356="SIM",VLOOKUP($I356&amp;$J356&amp;O$1,Pesos!$A:$I,7,FALSE),VLOOKUP($I356&amp;$J356&amp;O$1,Pesos!$A:$I,9,FALSE)))</f>
        <v/>
      </c>
      <c r="AH356" s="80" t="str">
        <f>IF(P356="","",IF(P356="SIM",VLOOKUP($I356&amp;$J356&amp;P$1,Pesos!$A:$I,7,FALSE),VLOOKUP($I356&amp;$J356&amp;P$1,Pesos!$A:$I,9,FALSE)))</f>
        <v/>
      </c>
      <c r="AI356" s="80" t="str">
        <f>IF(Q356="","",IF(Q356="SIM",VLOOKUP($I356&amp;$J356&amp;Q$1,Pesos!$A:$I,7,FALSE),VLOOKUP($I356&amp;$J356&amp;Q$1,Pesos!$A:$I,9,FALSE)))</f>
        <v/>
      </c>
      <c r="AJ356" s="80" t="str">
        <f>IF(R356="","",IF(R356="SIM",VLOOKUP($I356&amp;$J356&amp;R$1,Pesos!$A:$I,7,FALSE),VLOOKUP($I356&amp;$J356&amp;R$1,Pesos!$A:$I,9,FALSE)))</f>
        <v/>
      </c>
      <c r="AK356" s="80" t="str">
        <f>IF(S356="","",IF(S356="SIM",VLOOKUP($I356&amp;$J356&amp;S$1,Pesos!$A:$I,7,FALSE),VLOOKUP($I356&amp;$J356&amp;S$1,Pesos!$A:$I,9,FALSE)))</f>
        <v/>
      </c>
      <c r="AL356" s="80">
        <f t="shared" si="58"/>
        <v>0</v>
      </c>
      <c r="AM356" s="80" t="str">
        <f>IF(T356="","",IF(T356="SIM",VLOOKUP($I356&amp;$J356&amp;T$1,Pesos!$A:$I,7,FALSE),VLOOKUP($I356&amp;$J356&amp;T$1,Pesos!$A:$I,9,FALSE)))</f>
        <v/>
      </c>
      <c r="AN356" s="80" t="str">
        <f>IF(U356="","",IF(U356="SIM",VLOOKUP($I356&amp;$J356&amp;U$1,Pesos!$A:$I,7,FALSE),VLOOKUP($I356&amp;$J356&amp;U$1,Pesos!$A:$I,9,FALSE)))</f>
        <v/>
      </c>
      <c r="AO356" s="80" t="str">
        <f>IF(V356="","",IF(V356="SIM",VLOOKUP($I356&amp;$J356&amp;V$1,Pesos!$A:$I,7,FALSE),VLOOKUP($I356&amp;$J356&amp;V$1,Pesos!$A:$I,9,FALSE)))</f>
        <v/>
      </c>
      <c r="AP356" s="80" t="str">
        <f>IF(W356="","",IF(W356="SIM",VLOOKUP($I356&amp;$J356&amp;W$1,Pesos!$A:$I,7,FALSE),VLOOKUP($I356&amp;$J356&amp;W$1,Pesos!$A:$I,9,FALSE)))</f>
        <v/>
      </c>
      <c r="AQ356" s="80" t="str">
        <f>IF(X356="","",IF(X356="SIM",VLOOKUP($I356&amp;$J356&amp;X$1,Pesos!$A:$I,7,FALSE),VLOOKUP($I356&amp;$J356&amp;X$1,Pesos!$A:$I,9,FALSE)))</f>
        <v/>
      </c>
      <c r="AR356" s="80" t="str">
        <f>IF(Y356="","",IF(Y356="SIM",VLOOKUP($I356&amp;$J356&amp;Y$1,Pesos!$A:$I,7,FALSE),VLOOKUP($I356&amp;$J356&amp;Y$1,Pesos!$A:$I,9,FALSE)))</f>
        <v/>
      </c>
      <c r="AS356" s="81">
        <f>IFERROR(Z356*VLOOKUP(J356,'BD Campos'!$Y$1:$Z$12,2,FALSE),"0")</f>
        <v>0</v>
      </c>
    </row>
    <row r="357" spans="1:45" x14ac:dyDescent="0.35">
      <c r="A357" s="68" t="str">
        <f t="shared" si="51"/>
        <v>Jan202510984MotoristaTRANSFERÊNCIA</v>
      </c>
      <c r="B357" s="69" t="str">
        <f t="shared" si="52"/>
        <v>Jan2025109841TRANSFERÊNCIAPADRÃO</v>
      </c>
      <c r="C357" s="70">
        <v>1</v>
      </c>
      <c r="D357" s="71">
        <v>45681.427032175925</v>
      </c>
      <c r="E357" s="112" t="s">
        <v>74</v>
      </c>
      <c r="F357" s="72">
        <v>10984</v>
      </c>
      <c r="G357" s="69" t="s">
        <v>161</v>
      </c>
      <c r="H357" s="73">
        <v>1</v>
      </c>
      <c r="I357" s="69" t="s">
        <v>147</v>
      </c>
      <c r="J357" s="69" t="s">
        <v>122</v>
      </c>
      <c r="K357" s="69" t="s">
        <v>106</v>
      </c>
      <c r="L357" s="74">
        <v>30967692</v>
      </c>
      <c r="M357" s="75">
        <v>1.6550925925925926E-3</v>
      </c>
      <c r="N357" s="76" t="s">
        <v>79</v>
      </c>
      <c r="O357" s="76" t="s">
        <v>79</v>
      </c>
      <c r="P357" s="76" t="s">
        <v>79</v>
      </c>
      <c r="Q357" s="76" t="s">
        <v>79</v>
      </c>
      <c r="R357" s="76" t="s">
        <v>79</v>
      </c>
      <c r="S357" s="76" t="s">
        <v>79</v>
      </c>
      <c r="T357" s="76" t="s">
        <v>79</v>
      </c>
      <c r="U357" s="76" t="s">
        <v>79</v>
      </c>
      <c r="V357" s="76"/>
      <c r="W357" s="76"/>
      <c r="X357" s="76"/>
      <c r="Y357" s="76"/>
      <c r="Z357" s="77">
        <f t="shared" si="38"/>
        <v>10</v>
      </c>
      <c r="AA357" s="78"/>
      <c r="AB357" s="78" t="s">
        <v>1591</v>
      </c>
      <c r="AC357" s="72" t="s">
        <v>47</v>
      </c>
      <c r="AE357" s="79" t="str">
        <f t="shared" si="57"/>
        <v>Jan10984</v>
      </c>
      <c r="AF357" s="80">
        <f>IF(N357="","",IF(N357="SIM",VLOOKUP($I357&amp;$J357&amp;N$1,Pesos!$A:$I,7,FALSE),VLOOKUP($I357&amp;$J357&amp;N$1,Pesos!$A:$I,9,FALSE)))</f>
        <v>1.1000000000000001</v>
      </c>
      <c r="AG357" s="80">
        <f>IF(O357="","",IF(O357="SIM",VLOOKUP($I357&amp;$J357&amp;O$1,Pesos!$A:$I,7,FALSE),VLOOKUP($I357&amp;$J357&amp;O$1,Pesos!$A:$I,9,FALSE)))</f>
        <v>1.1000000000000001</v>
      </c>
      <c r="AH357" s="80">
        <f>IF(P357="","",IF(P357="SIM",VLOOKUP($I357&amp;$J357&amp;P$1,Pesos!$A:$I,7,FALSE),VLOOKUP($I357&amp;$J357&amp;P$1,Pesos!$A:$I,9,FALSE)))</f>
        <v>1.1000000000000001</v>
      </c>
      <c r="AI357" s="80">
        <f>IF(Q357="","",IF(Q357="SIM",VLOOKUP($I357&amp;$J357&amp;Q$1,Pesos!$A:$I,7,FALSE),VLOOKUP($I357&amp;$J357&amp;Q$1,Pesos!$A:$I,9,FALSE)))</f>
        <v>1.1000000000000001</v>
      </c>
      <c r="AJ357" s="80">
        <f>IF(R357="","",IF(R357="SIM",VLOOKUP($I357&amp;$J357&amp;R$1,Pesos!$A:$I,7,FALSE),VLOOKUP($I357&amp;$J357&amp;R$1,Pesos!$A:$I,9,FALSE)))</f>
        <v>1.1000000000000001</v>
      </c>
      <c r="AK357" s="80">
        <f>IF(S357="","",IF(S357="SIM",VLOOKUP($I357&amp;$J357&amp;S$1,Pesos!$A:$I,7,FALSE),VLOOKUP($I357&amp;$J357&amp;S$1,Pesos!$A:$I,9,FALSE)))</f>
        <v>1.6</v>
      </c>
      <c r="AL357" s="80">
        <f t="shared" si="58"/>
        <v>7.1</v>
      </c>
      <c r="AM357" s="80">
        <f>IF(T357="","",IF(T357="SIM",VLOOKUP($I357&amp;$J357&amp;T$1,Pesos!$A:$I,7,FALSE),VLOOKUP($I357&amp;$J357&amp;T$1,Pesos!$A:$I,9,FALSE)))</f>
        <v>1.2</v>
      </c>
      <c r="AN357" s="80">
        <f>IF(U357="","",IF(U357="SIM",VLOOKUP($I357&amp;$J357&amp;U$1,Pesos!$A:$I,7,FALSE),VLOOKUP($I357&amp;$J357&amp;U$1,Pesos!$A:$I,9,FALSE)))</f>
        <v>1.7000000000000002</v>
      </c>
      <c r="AO357" s="80" t="str">
        <f>IF(V357="","",IF(V357="SIM",VLOOKUP($I357&amp;$J357&amp;V$1,Pesos!$A:$I,7,FALSE),VLOOKUP($I357&amp;$J357&amp;V$1,Pesos!$A:$I,9,FALSE)))</f>
        <v/>
      </c>
      <c r="AP357" s="80" t="str">
        <f>IF(W357="","",IF(W357="SIM",VLOOKUP($I357&amp;$J357&amp;W$1,Pesos!$A:$I,7,FALSE),VLOOKUP($I357&amp;$J357&amp;W$1,Pesos!$A:$I,9,FALSE)))</f>
        <v/>
      </c>
      <c r="AQ357" s="80" t="str">
        <f>IF(X357="","",IF(X357="SIM",VLOOKUP($I357&amp;$J357&amp;X$1,Pesos!$A:$I,7,FALSE),VLOOKUP($I357&amp;$J357&amp;X$1,Pesos!$A:$I,9,FALSE)))</f>
        <v/>
      </c>
      <c r="AR357" s="80" t="str">
        <f>IF(Y357="","",IF(Y357="SIM",VLOOKUP($I357&amp;$J357&amp;Y$1,Pesos!$A:$I,7,FALSE),VLOOKUP($I357&amp;$J357&amp;Y$1,Pesos!$A:$I,9,FALSE)))</f>
        <v/>
      </c>
      <c r="AS357" s="81">
        <f>IFERROR(Z357*VLOOKUP(J357,'BD Campos'!$Y$1:$Z$12,2,FALSE),"0")</f>
        <v>10</v>
      </c>
    </row>
    <row r="358" spans="1:45" x14ac:dyDescent="0.35">
      <c r="A358" s="68" t="str">
        <f t="shared" si="51"/>
        <v>Jan202511233MotoristaTRANSFERÊNCIA</v>
      </c>
      <c r="B358" s="69" t="str">
        <f t="shared" si="52"/>
        <v>Jan2025112331TRANSFERÊNCIAPADRÃO</v>
      </c>
      <c r="C358" s="70">
        <v>1</v>
      </c>
      <c r="D358" s="71">
        <v>45681.431303124999</v>
      </c>
      <c r="E358" s="112" t="s">
        <v>74</v>
      </c>
      <c r="F358" s="72">
        <v>11233</v>
      </c>
      <c r="G358" s="69" t="s">
        <v>1497</v>
      </c>
      <c r="H358" s="73">
        <v>1</v>
      </c>
      <c r="I358" s="69" t="s">
        <v>147</v>
      </c>
      <c r="J358" s="69" t="s">
        <v>122</v>
      </c>
      <c r="K358" s="69" t="s">
        <v>106</v>
      </c>
      <c r="L358" s="74">
        <v>30924472</v>
      </c>
      <c r="M358" s="75">
        <v>1.9675925925925928E-3</v>
      </c>
      <c r="N358" s="76" t="s">
        <v>83</v>
      </c>
      <c r="O358" s="76" t="s">
        <v>79</v>
      </c>
      <c r="P358" s="76" t="s">
        <v>79</v>
      </c>
      <c r="Q358" s="76" t="s">
        <v>79</v>
      </c>
      <c r="R358" s="76" t="s">
        <v>79</v>
      </c>
      <c r="S358" s="76" t="s">
        <v>79</v>
      </c>
      <c r="T358" s="76" t="s">
        <v>79</v>
      </c>
      <c r="U358" s="76" t="s">
        <v>79</v>
      </c>
      <c r="V358" s="76"/>
      <c r="W358" s="76"/>
      <c r="X358" s="76"/>
      <c r="Y358" s="76"/>
      <c r="Z358" s="77">
        <f t="shared" si="38"/>
        <v>8.8450000000000006</v>
      </c>
      <c r="AA358" s="78"/>
      <c r="AB358" s="78" t="s">
        <v>1592</v>
      </c>
      <c r="AC358" s="72" t="s">
        <v>47</v>
      </c>
      <c r="AE358" s="79" t="str">
        <f t="shared" si="57"/>
        <v>Jan11233</v>
      </c>
      <c r="AF358" s="80">
        <f>IF(N358="","",IF(N358="SIM",VLOOKUP($I358&amp;$J358&amp;N$1,Pesos!$A:$I,7,FALSE),VLOOKUP($I358&amp;$J358&amp;N$1,Pesos!$A:$I,9,FALSE)))</f>
        <v>-5.5000000000000007E-2</v>
      </c>
      <c r="AG358" s="80">
        <f>IF(O358="","",IF(O358="SIM",VLOOKUP($I358&amp;$J358&amp;O$1,Pesos!$A:$I,7,FALSE),VLOOKUP($I358&amp;$J358&amp;O$1,Pesos!$A:$I,9,FALSE)))</f>
        <v>1.1000000000000001</v>
      </c>
      <c r="AH358" s="80">
        <f>IF(P358="","",IF(P358="SIM",VLOOKUP($I358&amp;$J358&amp;P$1,Pesos!$A:$I,7,FALSE),VLOOKUP($I358&amp;$J358&amp;P$1,Pesos!$A:$I,9,FALSE)))</f>
        <v>1.1000000000000001</v>
      </c>
      <c r="AI358" s="80">
        <f>IF(Q358="","",IF(Q358="SIM",VLOOKUP($I358&amp;$J358&amp;Q$1,Pesos!$A:$I,7,FALSE),VLOOKUP($I358&amp;$J358&amp;Q$1,Pesos!$A:$I,9,FALSE)))</f>
        <v>1.1000000000000001</v>
      </c>
      <c r="AJ358" s="80">
        <f>IF(R358="","",IF(R358="SIM",VLOOKUP($I358&amp;$J358&amp;R$1,Pesos!$A:$I,7,FALSE),VLOOKUP($I358&amp;$J358&amp;R$1,Pesos!$A:$I,9,FALSE)))</f>
        <v>1.1000000000000001</v>
      </c>
      <c r="AK358" s="80">
        <f>IF(S358="","",IF(S358="SIM",VLOOKUP($I358&amp;$J358&amp;S$1,Pesos!$A:$I,7,FALSE),VLOOKUP($I358&amp;$J358&amp;S$1,Pesos!$A:$I,9,FALSE)))</f>
        <v>1.6</v>
      </c>
      <c r="AL358" s="80">
        <f t="shared" si="58"/>
        <v>5.9450000000000003</v>
      </c>
      <c r="AM358" s="80">
        <f>IF(T358="","",IF(T358="SIM",VLOOKUP($I358&amp;$J358&amp;T$1,Pesos!$A:$I,7,FALSE),VLOOKUP($I358&amp;$J358&amp;T$1,Pesos!$A:$I,9,FALSE)))</f>
        <v>1.2</v>
      </c>
      <c r="AN358" s="80">
        <f>IF(U358="","",IF(U358="SIM",VLOOKUP($I358&amp;$J358&amp;U$1,Pesos!$A:$I,7,FALSE),VLOOKUP($I358&amp;$J358&amp;U$1,Pesos!$A:$I,9,FALSE)))</f>
        <v>1.7000000000000002</v>
      </c>
      <c r="AO358" s="80" t="str">
        <f>IF(V358="","",IF(V358="SIM",VLOOKUP($I358&amp;$J358&amp;V$1,Pesos!$A:$I,7,FALSE),VLOOKUP($I358&amp;$J358&amp;V$1,Pesos!$A:$I,9,FALSE)))</f>
        <v/>
      </c>
      <c r="AP358" s="80" t="str">
        <f>IF(W358="","",IF(W358="SIM",VLOOKUP($I358&amp;$J358&amp;W$1,Pesos!$A:$I,7,FALSE),VLOOKUP($I358&amp;$J358&amp;W$1,Pesos!$A:$I,9,FALSE)))</f>
        <v/>
      </c>
      <c r="AQ358" s="80" t="str">
        <f>IF(X358="","",IF(X358="SIM",VLOOKUP($I358&amp;$J358&amp;X$1,Pesos!$A:$I,7,FALSE),VLOOKUP($I358&amp;$J358&amp;X$1,Pesos!$A:$I,9,FALSE)))</f>
        <v/>
      </c>
      <c r="AR358" s="80" t="str">
        <f>IF(Y358="","",IF(Y358="SIM",VLOOKUP($I358&amp;$J358&amp;Y$1,Pesos!$A:$I,7,FALSE),VLOOKUP($I358&amp;$J358&amp;Y$1,Pesos!$A:$I,9,FALSE)))</f>
        <v/>
      </c>
      <c r="AS358" s="81">
        <f>IFERROR(Z358*VLOOKUP(J358,'BD Campos'!$Y$1:$Z$12,2,FALSE),"0")</f>
        <v>8.8450000000000006</v>
      </c>
    </row>
    <row r="359" spans="1:45" x14ac:dyDescent="0.35">
      <c r="A359" s="68" t="str">
        <f t="shared" si="51"/>
        <v>Jan202511200MotoristaTRANSFERÊNCIA</v>
      </c>
      <c r="B359" s="69" t="str">
        <f t="shared" si="52"/>
        <v>Jan2025112001TRANSFERÊNCIAPADRÃO</v>
      </c>
      <c r="C359" s="70">
        <v>1</v>
      </c>
      <c r="D359" s="71">
        <v>45681.434870138888</v>
      </c>
      <c r="E359" s="112" t="s">
        <v>74</v>
      </c>
      <c r="F359" s="72">
        <v>11200</v>
      </c>
      <c r="G359" s="69" t="s">
        <v>1395</v>
      </c>
      <c r="H359" s="73">
        <v>1</v>
      </c>
      <c r="I359" s="69" t="s">
        <v>147</v>
      </c>
      <c r="J359" s="69" t="s">
        <v>122</v>
      </c>
      <c r="K359" s="69" t="s">
        <v>106</v>
      </c>
      <c r="L359" s="74">
        <v>30972386</v>
      </c>
      <c r="M359" s="75">
        <v>1.4467592592592594E-3</v>
      </c>
      <c r="N359" s="76" t="s">
        <v>79</v>
      </c>
      <c r="O359" s="76" t="s">
        <v>79</v>
      </c>
      <c r="P359" s="76" t="s">
        <v>79</v>
      </c>
      <c r="Q359" s="76" t="s">
        <v>79</v>
      </c>
      <c r="R359" s="76" t="s">
        <v>79</v>
      </c>
      <c r="S359" s="76" t="s">
        <v>79</v>
      </c>
      <c r="T359" s="76" t="s">
        <v>79</v>
      </c>
      <c r="U359" s="76" t="s">
        <v>79</v>
      </c>
      <c r="V359" s="76"/>
      <c r="W359" s="76"/>
      <c r="X359" s="76"/>
      <c r="Y359" s="76"/>
      <c r="Z359" s="77">
        <f t="shared" si="38"/>
        <v>10</v>
      </c>
      <c r="AA359" s="78"/>
      <c r="AB359" s="78" t="s">
        <v>1593</v>
      </c>
      <c r="AC359" s="72" t="s">
        <v>47</v>
      </c>
      <c r="AE359" s="79" t="str">
        <f t="shared" si="57"/>
        <v>Jan11200</v>
      </c>
      <c r="AF359" s="80">
        <f>IF(N359="","",IF(N359="SIM",VLOOKUP($I359&amp;$J359&amp;N$1,Pesos!$A:$I,7,FALSE),VLOOKUP($I359&amp;$J359&amp;N$1,Pesos!$A:$I,9,FALSE)))</f>
        <v>1.1000000000000001</v>
      </c>
      <c r="AG359" s="80">
        <f>IF(O359="","",IF(O359="SIM",VLOOKUP($I359&amp;$J359&amp;O$1,Pesos!$A:$I,7,FALSE),VLOOKUP($I359&amp;$J359&amp;O$1,Pesos!$A:$I,9,FALSE)))</f>
        <v>1.1000000000000001</v>
      </c>
      <c r="AH359" s="80">
        <f>IF(P359="","",IF(P359="SIM",VLOOKUP($I359&amp;$J359&amp;P$1,Pesos!$A:$I,7,FALSE),VLOOKUP($I359&amp;$J359&amp;P$1,Pesos!$A:$I,9,FALSE)))</f>
        <v>1.1000000000000001</v>
      </c>
      <c r="AI359" s="80">
        <f>IF(Q359="","",IF(Q359="SIM",VLOOKUP($I359&amp;$J359&amp;Q$1,Pesos!$A:$I,7,FALSE),VLOOKUP($I359&amp;$J359&amp;Q$1,Pesos!$A:$I,9,FALSE)))</f>
        <v>1.1000000000000001</v>
      </c>
      <c r="AJ359" s="80">
        <f>IF(R359="","",IF(R359="SIM",VLOOKUP($I359&amp;$J359&amp;R$1,Pesos!$A:$I,7,FALSE),VLOOKUP($I359&amp;$J359&amp;R$1,Pesos!$A:$I,9,FALSE)))</f>
        <v>1.1000000000000001</v>
      </c>
      <c r="AK359" s="80">
        <f>IF(S359="","",IF(S359="SIM",VLOOKUP($I359&amp;$J359&amp;S$1,Pesos!$A:$I,7,FALSE),VLOOKUP($I359&amp;$J359&amp;S$1,Pesos!$A:$I,9,FALSE)))</f>
        <v>1.6</v>
      </c>
      <c r="AL359" s="80">
        <f t="shared" si="58"/>
        <v>7.1</v>
      </c>
      <c r="AM359" s="80">
        <f>IF(T359="","",IF(T359="SIM",VLOOKUP($I359&amp;$J359&amp;T$1,Pesos!$A:$I,7,FALSE),VLOOKUP($I359&amp;$J359&amp;T$1,Pesos!$A:$I,9,FALSE)))</f>
        <v>1.2</v>
      </c>
      <c r="AN359" s="80">
        <f>IF(U359="","",IF(U359="SIM",VLOOKUP($I359&amp;$J359&amp;U$1,Pesos!$A:$I,7,FALSE),VLOOKUP($I359&amp;$J359&amp;U$1,Pesos!$A:$I,9,FALSE)))</f>
        <v>1.7000000000000002</v>
      </c>
      <c r="AO359" s="80" t="str">
        <f>IF(V359="","",IF(V359="SIM",VLOOKUP($I359&amp;$J359&amp;V$1,Pesos!$A:$I,7,FALSE),VLOOKUP($I359&amp;$J359&amp;V$1,Pesos!$A:$I,9,FALSE)))</f>
        <v/>
      </c>
      <c r="AP359" s="80" t="str">
        <f>IF(W359="","",IF(W359="SIM",VLOOKUP($I359&amp;$J359&amp;W$1,Pesos!$A:$I,7,FALSE),VLOOKUP($I359&amp;$J359&amp;W$1,Pesos!$A:$I,9,FALSE)))</f>
        <v/>
      </c>
      <c r="AQ359" s="80" t="str">
        <f>IF(X359="","",IF(X359="SIM",VLOOKUP($I359&amp;$J359&amp;X$1,Pesos!$A:$I,7,FALSE),VLOOKUP($I359&amp;$J359&amp;X$1,Pesos!$A:$I,9,FALSE)))</f>
        <v/>
      </c>
      <c r="AR359" s="80" t="str">
        <f>IF(Y359="","",IF(Y359="SIM",VLOOKUP($I359&amp;$J359&amp;Y$1,Pesos!$A:$I,7,FALSE),VLOOKUP($I359&amp;$J359&amp;Y$1,Pesos!$A:$I,9,FALSE)))</f>
        <v/>
      </c>
      <c r="AS359" s="81">
        <f>IFERROR(Z359*VLOOKUP(J359,'BD Campos'!$Y$1:$Z$12,2,FALSE),"0")</f>
        <v>10</v>
      </c>
    </row>
    <row r="360" spans="1:45" x14ac:dyDescent="0.35">
      <c r="A360" s="68" t="str">
        <f t="shared" si="51"/>
        <v>Jan202511050MotoristaTRANSFERÊNCIA</v>
      </c>
      <c r="B360" s="69" t="str">
        <f t="shared" si="52"/>
        <v>Jan2025110501TRANSFERÊNCIAPADRÃO</v>
      </c>
      <c r="C360" s="70">
        <v>1</v>
      </c>
      <c r="D360" s="71">
        <v>45684.399997453707</v>
      </c>
      <c r="E360" s="112" t="s">
        <v>74</v>
      </c>
      <c r="F360" s="72">
        <v>11050</v>
      </c>
      <c r="G360" s="69" t="s">
        <v>379</v>
      </c>
      <c r="H360" s="73">
        <v>1</v>
      </c>
      <c r="I360" s="69" t="s">
        <v>121</v>
      </c>
      <c r="J360" s="69" t="s">
        <v>122</v>
      </c>
      <c r="K360" s="69" t="s">
        <v>106</v>
      </c>
      <c r="L360" s="74">
        <v>30986174</v>
      </c>
      <c r="M360" s="75">
        <v>3.1481481481481482E-3</v>
      </c>
      <c r="N360" s="76" t="s">
        <v>79</v>
      </c>
      <c r="O360" s="76" t="s">
        <v>79</v>
      </c>
      <c r="P360" s="76" t="s">
        <v>79</v>
      </c>
      <c r="Q360" s="76" t="s">
        <v>79</v>
      </c>
      <c r="R360" s="76" t="s">
        <v>79</v>
      </c>
      <c r="S360" s="76" t="s">
        <v>79</v>
      </c>
      <c r="T360" s="76" t="s">
        <v>79</v>
      </c>
      <c r="U360" s="76" t="s">
        <v>79</v>
      </c>
      <c r="V360" s="76" t="s">
        <v>83</v>
      </c>
      <c r="W360" s="76" t="s">
        <v>79</v>
      </c>
      <c r="X360" s="76" t="s">
        <v>79</v>
      </c>
      <c r="Y360" s="76"/>
      <c r="Z360" s="77">
        <f t="shared" si="38"/>
        <v>9.0287500000000005</v>
      </c>
      <c r="AA360" s="78"/>
      <c r="AB360" s="78" t="s">
        <v>1594</v>
      </c>
      <c r="AC360" s="72" t="s">
        <v>47</v>
      </c>
      <c r="AE360" s="79" t="str">
        <f t="shared" ref="AE360:AE369" si="59">E360&amp;F360</f>
        <v>Jan11050</v>
      </c>
      <c r="AF360" s="80">
        <f>IF(N360="","",IF(N360="SIM",VLOOKUP($I360&amp;$J360&amp;N$1,Pesos!$A:$I,7,FALSE),VLOOKUP($I360&amp;$J360&amp;N$1,Pesos!$A:$I,9,FALSE)))</f>
        <v>0.89999999999999991</v>
      </c>
      <c r="AG360" s="80">
        <f>IF(O360="","",IF(O360="SIM",VLOOKUP($I360&amp;$J360&amp;O$1,Pesos!$A:$I,7,FALSE),VLOOKUP($I360&amp;$J360&amp;O$1,Pesos!$A:$I,9,FALSE)))</f>
        <v>0.89999999999999991</v>
      </c>
      <c r="AH360" s="80">
        <f>IF(P360="","",IF(P360="SIM",VLOOKUP($I360&amp;$J360&amp;P$1,Pesos!$A:$I,7,FALSE),VLOOKUP($I360&amp;$J360&amp;P$1,Pesos!$A:$I,9,FALSE)))</f>
        <v>0.89999999999999991</v>
      </c>
      <c r="AI360" s="80">
        <f>IF(Q360="","",IF(Q360="SIM",VLOOKUP($I360&amp;$J360&amp;Q$1,Pesos!$A:$I,7,FALSE),VLOOKUP($I360&amp;$J360&amp;Q$1,Pesos!$A:$I,9,FALSE)))</f>
        <v>0.89999999999999991</v>
      </c>
      <c r="AJ360" s="80">
        <f>IF(R360="","",IF(R360="SIM",VLOOKUP($I360&amp;$J360&amp;R$1,Pesos!$A:$I,7,FALSE),VLOOKUP($I360&amp;$J360&amp;R$1,Pesos!$A:$I,9,FALSE)))</f>
        <v>0.89999999999999991</v>
      </c>
      <c r="AK360" s="80">
        <f>IF(S360="","",IF(S360="SIM",VLOOKUP($I360&amp;$J360&amp;S$1,Pesos!$A:$I,7,FALSE),VLOOKUP($I360&amp;$J360&amp;S$1,Pesos!$A:$I,9,FALSE)))</f>
        <v>0.89999999999999991</v>
      </c>
      <c r="AL360" s="80">
        <f t="shared" ref="AL360:AL369" si="60">SUM(AF360:AK360)</f>
        <v>5.4</v>
      </c>
      <c r="AM360" s="80">
        <f>IF(T360="","",IF(T360="SIM",VLOOKUP($I360&amp;$J360&amp;T$1,Pesos!$A:$I,7,FALSE),VLOOKUP($I360&amp;$J360&amp;T$1,Pesos!$A:$I,9,FALSE)))</f>
        <v>0.89999999999999991</v>
      </c>
      <c r="AN360" s="80">
        <f>IF(U360="","",IF(U360="SIM",VLOOKUP($I360&amp;$J360&amp;U$1,Pesos!$A:$I,7,FALSE),VLOOKUP($I360&amp;$J360&amp;U$1,Pesos!$A:$I,9,FALSE)))</f>
        <v>0.92500000000000004</v>
      </c>
      <c r="AO360" s="80">
        <f>IF(V360="","",IF(V360="SIM",VLOOKUP($I360&amp;$J360&amp;V$1,Pesos!$A:$I,7,FALSE),VLOOKUP($I360&amp;$J360&amp;V$1,Pesos!$A:$I,9,FALSE)))</f>
        <v>-4.6250000000000006E-2</v>
      </c>
      <c r="AP360" s="80">
        <f>IF(W360="","",IF(W360="SIM",VLOOKUP($I360&amp;$J360&amp;W$1,Pesos!$A:$I,7,FALSE),VLOOKUP($I360&amp;$J360&amp;W$1,Pesos!$A:$I,9,FALSE)))</f>
        <v>0.89999999999999991</v>
      </c>
      <c r="AQ360" s="80">
        <f>IF(X360="","",IF(X360="SIM",VLOOKUP($I360&amp;$J360&amp;X$1,Pesos!$A:$I,7,FALSE),VLOOKUP($I360&amp;$J360&amp;X$1,Pesos!$A:$I,9,FALSE)))</f>
        <v>0.95</v>
      </c>
      <c r="AR360" s="80" t="str">
        <f>IF(Y360="","",IF(Y360="SIM",VLOOKUP($I360&amp;$J360&amp;Y$1,Pesos!$A:$I,7,FALSE),VLOOKUP($I360&amp;$J360&amp;Y$1,Pesos!$A:$I,9,FALSE)))</f>
        <v/>
      </c>
      <c r="AS360" s="81">
        <f>IFERROR(Z360*VLOOKUP(J360,'BD Campos'!$Y$1:$Z$12,2,FALSE),"0")</f>
        <v>9.0287500000000005</v>
      </c>
    </row>
    <row r="361" spans="1:45" x14ac:dyDescent="0.35">
      <c r="A361" s="68" t="str">
        <f t="shared" si="51"/>
        <v>Jan202511181MotoristaTRANSFERÊNCIA</v>
      </c>
      <c r="B361" s="69" t="str">
        <f t="shared" si="52"/>
        <v>Jan2025111811TRANSFERÊNCIAPADRÃO</v>
      </c>
      <c r="C361" s="70">
        <v>1</v>
      </c>
      <c r="D361" s="71">
        <v>45684.41193263889</v>
      </c>
      <c r="E361" s="112" t="s">
        <v>74</v>
      </c>
      <c r="F361" s="72">
        <v>11181</v>
      </c>
      <c r="G361" s="69" t="s">
        <v>1363</v>
      </c>
      <c r="H361" s="73">
        <v>1</v>
      </c>
      <c r="I361" s="69" t="s">
        <v>121</v>
      </c>
      <c r="J361" s="69" t="s">
        <v>122</v>
      </c>
      <c r="K361" s="69" t="s">
        <v>106</v>
      </c>
      <c r="L361" s="74">
        <v>30986383</v>
      </c>
      <c r="M361" s="75">
        <v>1.5046296296296294E-3</v>
      </c>
      <c r="N361" s="76" t="s">
        <v>79</v>
      </c>
      <c r="O361" s="76" t="s">
        <v>79</v>
      </c>
      <c r="P361" s="76" t="s">
        <v>79</v>
      </c>
      <c r="Q361" s="76" t="s">
        <v>79</v>
      </c>
      <c r="R361" s="76" t="s">
        <v>79</v>
      </c>
      <c r="S361" s="76" t="s">
        <v>79</v>
      </c>
      <c r="T361" s="76" t="s">
        <v>79</v>
      </c>
      <c r="U361" s="76" t="s">
        <v>79</v>
      </c>
      <c r="V361" s="76" t="s">
        <v>83</v>
      </c>
      <c r="W361" s="76" t="s">
        <v>79</v>
      </c>
      <c r="X361" s="76" t="s">
        <v>79</v>
      </c>
      <c r="Y361" s="76"/>
      <c r="Z361" s="77">
        <f t="shared" si="38"/>
        <v>9.0287500000000005</v>
      </c>
      <c r="AA361" s="78"/>
      <c r="AB361" s="78" t="s">
        <v>1595</v>
      </c>
      <c r="AC361" s="72" t="s">
        <v>47</v>
      </c>
      <c r="AE361" s="79" t="str">
        <f t="shared" si="59"/>
        <v>Jan11181</v>
      </c>
      <c r="AF361" s="80">
        <f>IF(N361="","",IF(N361="SIM",VLOOKUP($I361&amp;$J361&amp;N$1,Pesos!$A:$I,7,FALSE),VLOOKUP($I361&amp;$J361&amp;N$1,Pesos!$A:$I,9,FALSE)))</f>
        <v>0.89999999999999991</v>
      </c>
      <c r="AG361" s="80">
        <f>IF(O361="","",IF(O361="SIM",VLOOKUP($I361&amp;$J361&amp;O$1,Pesos!$A:$I,7,FALSE),VLOOKUP($I361&amp;$J361&amp;O$1,Pesos!$A:$I,9,FALSE)))</f>
        <v>0.89999999999999991</v>
      </c>
      <c r="AH361" s="80">
        <f>IF(P361="","",IF(P361="SIM",VLOOKUP($I361&amp;$J361&amp;P$1,Pesos!$A:$I,7,FALSE),VLOOKUP($I361&amp;$J361&amp;P$1,Pesos!$A:$I,9,FALSE)))</f>
        <v>0.89999999999999991</v>
      </c>
      <c r="AI361" s="80">
        <f>IF(Q361="","",IF(Q361="SIM",VLOOKUP($I361&amp;$J361&amp;Q$1,Pesos!$A:$I,7,FALSE),VLOOKUP($I361&amp;$J361&amp;Q$1,Pesos!$A:$I,9,FALSE)))</f>
        <v>0.89999999999999991</v>
      </c>
      <c r="AJ361" s="80">
        <f>IF(R361="","",IF(R361="SIM",VLOOKUP($I361&amp;$J361&amp;R$1,Pesos!$A:$I,7,FALSE),VLOOKUP($I361&amp;$J361&amp;R$1,Pesos!$A:$I,9,FALSE)))</f>
        <v>0.89999999999999991</v>
      </c>
      <c r="AK361" s="80">
        <f>IF(S361="","",IF(S361="SIM",VLOOKUP($I361&amp;$J361&amp;S$1,Pesos!$A:$I,7,FALSE),VLOOKUP($I361&amp;$J361&amp;S$1,Pesos!$A:$I,9,FALSE)))</f>
        <v>0.89999999999999991</v>
      </c>
      <c r="AL361" s="80">
        <f t="shared" si="60"/>
        <v>5.4</v>
      </c>
      <c r="AM361" s="80">
        <f>IF(T361="","",IF(T361="SIM",VLOOKUP($I361&amp;$J361&amp;T$1,Pesos!$A:$I,7,FALSE),VLOOKUP($I361&amp;$J361&amp;T$1,Pesos!$A:$I,9,FALSE)))</f>
        <v>0.89999999999999991</v>
      </c>
      <c r="AN361" s="80">
        <f>IF(U361="","",IF(U361="SIM",VLOOKUP($I361&amp;$J361&amp;U$1,Pesos!$A:$I,7,FALSE),VLOOKUP($I361&amp;$J361&amp;U$1,Pesos!$A:$I,9,FALSE)))</f>
        <v>0.92500000000000004</v>
      </c>
      <c r="AO361" s="80">
        <f>IF(V361="","",IF(V361="SIM",VLOOKUP($I361&amp;$J361&amp;V$1,Pesos!$A:$I,7,FALSE),VLOOKUP($I361&amp;$J361&amp;V$1,Pesos!$A:$I,9,FALSE)))</f>
        <v>-4.6250000000000006E-2</v>
      </c>
      <c r="AP361" s="80">
        <f>IF(W361="","",IF(W361="SIM",VLOOKUP($I361&amp;$J361&amp;W$1,Pesos!$A:$I,7,FALSE),VLOOKUP($I361&amp;$J361&amp;W$1,Pesos!$A:$I,9,FALSE)))</f>
        <v>0.89999999999999991</v>
      </c>
      <c r="AQ361" s="80">
        <f>IF(X361="","",IF(X361="SIM",VLOOKUP($I361&amp;$J361&amp;X$1,Pesos!$A:$I,7,FALSE),VLOOKUP($I361&amp;$J361&amp;X$1,Pesos!$A:$I,9,FALSE)))</f>
        <v>0.95</v>
      </c>
      <c r="AR361" s="80" t="str">
        <f>IF(Y361="","",IF(Y361="SIM",VLOOKUP($I361&amp;$J361&amp;Y$1,Pesos!$A:$I,7,FALSE),VLOOKUP($I361&amp;$J361&amp;Y$1,Pesos!$A:$I,9,FALSE)))</f>
        <v/>
      </c>
      <c r="AS361" s="81">
        <f>IFERROR(Z361*VLOOKUP(J361,'BD Campos'!$Y$1:$Z$12,2,FALSE),"0")</f>
        <v>9.0287500000000005</v>
      </c>
    </row>
    <row r="362" spans="1:45" x14ac:dyDescent="0.35">
      <c r="A362" s="68" t="str">
        <f t="shared" si="51"/>
        <v>Jan202511218Motorista 2LOGÍSTICA</v>
      </c>
      <c r="B362" s="69" t="str">
        <f t="shared" si="52"/>
        <v>Jan2025112182LOGÍSTICAPADRÃO</v>
      </c>
      <c r="C362" s="70">
        <v>1</v>
      </c>
      <c r="D362" s="71">
        <v>45684.419050810182</v>
      </c>
      <c r="E362" s="112" t="s">
        <v>74</v>
      </c>
      <c r="F362" s="72">
        <v>11218</v>
      </c>
      <c r="G362" s="69" t="s">
        <v>1401</v>
      </c>
      <c r="H362" s="73">
        <v>2</v>
      </c>
      <c r="I362" s="69" t="s">
        <v>1373</v>
      </c>
      <c r="J362" s="69" t="s">
        <v>204</v>
      </c>
      <c r="K362" s="69" t="s">
        <v>184</v>
      </c>
      <c r="L362" s="74"/>
      <c r="M362" s="75">
        <v>2.2337962962962967E-3</v>
      </c>
      <c r="N362" s="76" t="s">
        <v>79</v>
      </c>
      <c r="O362" s="76" t="s">
        <v>79</v>
      </c>
      <c r="P362" s="76" t="s">
        <v>79</v>
      </c>
      <c r="Q362" s="76" t="s">
        <v>79</v>
      </c>
      <c r="R362" s="76" t="s">
        <v>79</v>
      </c>
      <c r="S362" s="76" t="s">
        <v>79</v>
      </c>
      <c r="T362" s="76" t="s">
        <v>79</v>
      </c>
      <c r="U362" s="76" t="s">
        <v>83</v>
      </c>
      <c r="V362" s="76"/>
      <c r="W362" s="76"/>
      <c r="X362" s="76"/>
      <c r="Y362" s="76"/>
      <c r="Z362" s="77">
        <f t="shared" si="38"/>
        <v>8.4250000000000007</v>
      </c>
      <c r="AA362" s="78"/>
      <c r="AB362" s="78"/>
      <c r="AC362" s="72" t="s">
        <v>47</v>
      </c>
      <c r="AE362" s="79" t="str">
        <f t="shared" si="59"/>
        <v>Jan11218</v>
      </c>
      <c r="AF362" s="80">
        <f>IF(N362="","",IF(N362="SIM",VLOOKUP($I362&amp;$J362&amp;N$1,Pesos!$A:$I,7,FALSE),VLOOKUP($I362&amp;$J362&amp;N$1,Pesos!$A:$I,9,FALSE)))</f>
        <v>1.1000000000000001</v>
      </c>
      <c r="AG362" s="80">
        <f>IF(O362="","",IF(O362="SIM",VLOOKUP($I362&amp;$J362&amp;O$1,Pesos!$A:$I,7,FALSE),VLOOKUP($I362&amp;$J362&amp;O$1,Pesos!$A:$I,9,FALSE)))</f>
        <v>1.1000000000000001</v>
      </c>
      <c r="AH362" s="80">
        <f>IF(P362="","",IF(P362="SIM",VLOOKUP($I362&amp;$J362&amp;P$1,Pesos!$A:$I,7,FALSE),VLOOKUP($I362&amp;$J362&amp;P$1,Pesos!$A:$I,9,FALSE)))</f>
        <v>1.1000000000000001</v>
      </c>
      <c r="AI362" s="80">
        <f>IF(Q362="","",IF(Q362="SIM",VLOOKUP($I362&amp;$J362&amp;Q$1,Pesos!$A:$I,7,FALSE),VLOOKUP($I362&amp;$J362&amp;Q$1,Pesos!$A:$I,9,FALSE)))</f>
        <v>1.1000000000000001</v>
      </c>
      <c r="AJ362" s="80">
        <f>IF(R362="","",IF(R362="SIM",VLOOKUP($I362&amp;$J362&amp;R$1,Pesos!$A:$I,7,FALSE),VLOOKUP($I362&amp;$J362&amp;R$1,Pesos!$A:$I,9,FALSE)))</f>
        <v>1.1000000000000001</v>
      </c>
      <c r="AK362" s="80">
        <f>IF(S362="","",IF(S362="SIM",VLOOKUP($I362&amp;$J362&amp;S$1,Pesos!$A:$I,7,FALSE),VLOOKUP($I362&amp;$J362&amp;S$1,Pesos!$A:$I,9,FALSE)))</f>
        <v>1.5</v>
      </c>
      <c r="AL362" s="80">
        <f t="shared" si="60"/>
        <v>7</v>
      </c>
      <c r="AM362" s="80">
        <f>IF(T362="","",IF(T362="SIM",VLOOKUP($I362&amp;$J362&amp;T$1,Pesos!$A:$I,7,FALSE),VLOOKUP($I362&amp;$J362&amp;T$1,Pesos!$A:$I,9,FALSE)))</f>
        <v>1.5</v>
      </c>
      <c r="AN362" s="80">
        <f>IF(U362="","",IF(U362="SIM",VLOOKUP($I362&amp;$J362&amp;U$1,Pesos!$A:$I,7,FALSE),VLOOKUP($I362&amp;$J362&amp;U$1,Pesos!$A:$I,9,FALSE)))</f>
        <v>-7.5000000000000011E-2</v>
      </c>
      <c r="AO362" s="80" t="str">
        <f>IF(V362="","",IF(V362="SIM",VLOOKUP($I362&amp;$J362&amp;V$1,Pesos!$A:$I,7,FALSE),VLOOKUP($I362&amp;$J362&amp;V$1,Pesos!$A:$I,9,FALSE)))</f>
        <v/>
      </c>
      <c r="AP362" s="80" t="str">
        <f>IF(W362="","",IF(W362="SIM",VLOOKUP($I362&amp;$J362&amp;W$1,Pesos!$A:$I,7,FALSE),VLOOKUP($I362&amp;$J362&amp;W$1,Pesos!$A:$I,9,FALSE)))</f>
        <v/>
      </c>
      <c r="AQ362" s="80" t="str">
        <f>IF(X362="","",IF(X362="SIM",VLOOKUP($I362&amp;$J362&amp;X$1,Pesos!$A:$I,7,FALSE),VLOOKUP($I362&amp;$J362&amp;X$1,Pesos!$A:$I,9,FALSE)))</f>
        <v/>
      </c>
      <c r="AR362" s="80" t="str">
        <f>IF(Y362="","",IF(Y362="SIM",VLOOKUP($I362&amp;$J362&amp;Y$1,Pesos!$A:$I,7,FALSE),VLOOKUP($I362&amp;$J362&amp;Y$1,Pesos!$A:$I,9,FALSE)))</f>
        <v/>
      </c>
      <c r="AS362" s="81">
        <f>IFERROR(Z362*VLOOKUP(J362,'BD Campos'!$Y$1:$Z$12,2,FALSE),"0")</f>
        <v>8.4250000000000007</v>
      </c>
    </row>
    <row r="363" spans="1:45" x14ac:dyDescent="0.35">
      <c r="A363" s="68" t="str">
        <f t="shared" si="51"/>
        <v>Jan20251945MotoristaUTI</v>
      </c>
      <c r="B363" s="69" t="str">
        <f t="shared" si="52"/>
        <v>Jan202519451UTIPADRÃO</v>
      </c>
      <c r="C363" s="70">
        <v>1</v>
      </c>
      <c r="D363" s="71">
        <v>45686.33815196759</v>
      </c>
      <c r="E363" s="112" t="s">
        <v>74</v>
      </c>
      <c r="F363" s="72">
        <v>1945</v>
      </c>
      <c r="G363" s="69" t="s">
        <v>273</v>
      </c>
      <c r="H363" s="73">
        <v>1</v>
      </c>
      <c r="I363" s="69" t="s">
        <v>126</v>
      </c>
      <c r="J363" s="69" t="s">
        <v>122</v>
      </c>
      <c r="K363" s="69" t="s">
        <v>131</v>
      </c>
      <c r="L363" s="74">
        <v>30804964</v>
      </c>
      <c r="M363" s="75">
        <v>1.4351851851851854E-3</v>
      </c>
      <c r="N363" s="76" t="s">
        <v>79</v>
      </c>
      <c r="O363" s="76" t="s">
        <v>79</v>
      </c>
      <c r="P363" s="76" t="s">
        <v>79</v>
      </c>
      <c r="Q363" s="76" t="s">
        <v>79</v>
      </c>
      <c r="R363" s="76" t="s">
        <v>79</v>
      </c>
      <c r="S363" s="76" t="s">
        <v>79</v>
      </c>
      <c r="T363" s="76" t="s">
        <v>79</v>
      </c>
      <c r="U363" s="76" t="s">
        <v>79</v>
      </c>
      <c r="V363" s="76" t="s">
        <v>79</v>
      </c>
      <c r="W363" s="76" t="s">
        <v>83</v>
      </c>
      <c r="X363" s="76" t="s">
        <v>83</v>
      </c>
      <c r="Y363" s="76" t="s">
        <v>79</v>
      </c>
      <c r="Z363" s="77">
        <f t="shared" si="38"/>
        <v>8.11</v>
      </c>
      <c r="AA363" s="78"/>
      <c r="AB363" s="78" t="s">
        <v>1596</v>
      </c>
      <c r="AC363" s="72" t="s">
        <v>47</v>
      </c>
      <c r="AE363" s="79" t="str">
        <f t="shared" si="59"/>
        <v>Jan1945</v>
      </c>
      <c r="AF363" s="80">
        <f>IF(N363="","",IF(N363="SIM",VLOOKUP($I363&amp;$J363&amp;N$1,Pesos!$A:$I,7,FALSE),VLOOKUP($I363&amp;$J363&amp;N$1,Pesos!$A:$I,9,FALSE)))</f>
        <v>0.8</v>
      </c>
      <c r="AG363" s="80">
        <f>IF(O363="","",IF(O363="SIM",VLOOKUP($I363&amp;$J363&amp;O$1,Pesos!$A:$I,7,FALSE),VLOOKUP($I363&amp;$J363&amp;O$1,Pesos!$A:$I,9,FALSE)))</f>
        <v>0.8</v>
      </c>
      <c r="AH363" s="80">
        <f>IF(P363="","",IF(P363="SIM",VLOOKUP($I363&amp;$J363&amp;P$1,Pesos!$A:$I,7,FALSE),VLOOKUP($I363&amp;$J363&amp;P$1,Pesos!$A:$I,9,FALSE)))</f>
        <v>0.8</v>
      </c>
      <c r="AI363" s="80">
        <f>IF(Q363="","",IF(Q363="SIM",VLOOKUP($I363&amp;$J363&amp;Q$1,Pesos!$A:$I,7,FALSE),VLOOKUP($I363&amp;$J363&amp;Q$1,Pesos!$A:$I,9,FALSE)))</f>
        <v>0.8</v>
      </c>
      <c r="AJ363" s="80">
        <f>IF(R363="","",IF(R363="SIM",VLOOKUP($I363&amp;$J363&amp;R$1,Pesos!$A:$I,7,FALSE),VLOOKUP($I363&amp;$J363&amp;R$1,Pesos!$A:$I,9,FALSE)))</f>
        <v>0.8</v>
      </c>
      <c r="AK363" s="80">
        <f>IF(S363="","",IF(S363="SIM",VLOOKUP($I363&amp;$J363&amp;S$1,Pesos!$A:$I,7,FALSE),VLOOKUP($I363&amp;$J363&amp;S$1,Pesos!$A:$I,9,FALSE)))</f>
        <v>0.8</v>
      </c>
      <c r="AL363" s="80">
        <f t="shared" si="60"/>
        <v>4.8</v>
      </c>
      <c r="AM363" s="80">
        <f>IF(T363="","",IF(T363="SIM",VLOOKUP($I363&amp;$J363&amp;T$1,Pesos!$A:$I,7,FALSE),VLOOKUP($I363&amp;$J363&amp;T$1,Pesos!$A:$I,9,FALSE)))</f>
        <v>0.8</v>
      </c>
      <c r="AN363" s="80">
        <f>IF(U363="","",IF(U363="SIM",VLOOKUP($I363&amp;$J363&amp;U$1,Pesos!$A:$I,7,FALSE),VLOOKUP($I363&amp;$J363&amp;U$1,Pesos!$A:$I,9,FALSE)))</f>
        <v>0.8</v>
      </c>
      <c r="AO363" s="80">
        <f>IF(V363="","",IF(V363="SIM",VLOOKUP($I363&amp;$J363&amp;V$1,Pesos!$A:$I,7,FALSE),VLOOKUP($I363&amp;$J363&amp;V$1,Pesos!$A:$I,9,FALSE)))</f>
        <v>0.8</v>
      </c>
      <c r="AP363" s="80">
        <f>IF(W363="","",IF(W363="SIM",VLOOKUP($I363&amp;$J363&amp;W$1,Pesos!$A:$I,7,FALSE),VLOOKUP($I363&amp;$J363&amp;W$1,Pesos!$A:$I,9,FALSE)))</f>
        <v>-4.0000000000000008E-2</v>
      </c>
      <c r="AQ363" s="80">
        <f>IF(X363="","",IF(X363="SIM",VLOOKUP($I363&amp;$J363&amp;X$1,Pesos!$A:$I,7,FALSE),VLOOKUP($I363&amp;$J363&amp;X$1,Pesos!$A:$I,9,FALSE)))</f>
        <v>-0.05</v>
      </c>
      <c r="AR363" s="80">
        <f>IF(Y363="","",IF(Y363="SIM",VLOOKUP($I363&amp;$J363&amp;Y$1,Pesos!$A:$I,7,FALSE),VLOOKUP($I363&amp;$J363&amp;Y$1,Pesos!$A:$I,9,FALSE)))</f>
        <v>1</v>
      </c>
      <c r="AS363" s="81">
        <f>IFERROR(Z363*VLOOKUP(J363,'BD Campos'!$Y$1:$Z$12,2,FALSE),"0")</f>
        <v>8.11</v>
      </c>
    </row>
    <row r="364" spans="1:45" x14ac:dyDescent="0.35">
      <c r="A364" s="68" t="str">
        <f t="shared" si="51"/>
        <v>Jan20251512PoliciaBAS</v>
      </c>
      <c r="B364" s="69" t="str">
        <f t="shared" si="52"/>
        <v>Jan202515121BASPADRÃO</v>
      </c>
      <c r="C364" s="70">
        <v>1</v>
      </c>
      <c r="D364" s="71">
        <v>45686.36796851852</v>
      </c>
      <c r="E364" s="112" t="s">
        <v>74</v>
      </c>
      <c r="F364" s="72">
        <v>1512</v>
      </c>
      <c r="G364" s="69" t="s">
        <v>310</v>
      </c>
      <c r="H364" s="73">
        <v>1</v>
      </c>
      <c r="I364" s="69" t="s">
        <v>147</v>
      </c>
      <c r="J364" s="69" t="s">
        <v>146</v>
      </c>
      <c r="K364" s="69" t="s">
        <v>303</v>
      </c>
      <c r="L364" s="74">
        <v>30941780</v>
      </c>
      <c r="M364" s="75">
        <v>1.8171296296296297E-3</v>
      </c>
      <c r="N364" s="76" t="s">
        <v>79</v>
      </c>
      <c r="O364" s="76" t="s">
        <v>79</v>
      </c>
      <c r="P364" s="76" t="s">
        <v>79</v>
      </c>
      <c r="Q364" s="76" t="s">
        <v>79</v>
      </c>
      <c r="R364" s="76" t="s">
        <v>79</v>
      </c>
      <c r="S364" s="76" t="s">
        <v>79</v>
      </c>
      <c r="T364" s="76" t="s">
        <v>79</v>
      </c>
      <c r="U364" s="76" t="s">
        <v>79</v>
      </c>
      <c r="V364" s="76" t="s">
        <v>79</v>
      </c>
      <c r="W364" s="76" t="s">
        <v>79</v>
      </c>
      <c r="X364" s="76" t="s">
        <v>79</v>
      </c>
      <c r="Y364" s="76" t="s">
        <v>79</v>
      </c>
      <c r="Z364" s="77">
        <f t="shared" si="38"/>
        <v>10</v>
      </c>
      <c r="AA364" s="78"/>
      <c r="AB364" s="78" t="s">
        <v>1597</v>
      </c>
      <c r="AC364" s="72" t="s">
        <v>47</v>
      </c>
      <c r="AE364" s="79" t="str">
        <f t="shared" si="59"/>
        <v>Jan1512</v>
      </c>
      <c r="AF364" s="80">
        <f>IF(N364="","",IF(N364="SIM",VLOOKUP($I364&amp;$J364&amp;N$1,Pesos!$A:$I,7,FALSE),VLOOKUP($I364&amp;$J364&amp;N$1,Pesos!$A:$I,9,FALSE)))</f>
        <v>0.8</v>
      </c>
      <c r="AG364" s="80">
        <f>IF(O364="","",IF(O364="SIM",VLOOKUP($I364&amp;$J364&amp;O$1,Pesos!$A:$I,7,FALSE),VLOOKUP($I364&amp;$J364&amp;O$1,Pesos!$A:$I,9,FALSE)))</f>
        <v>0.8</v>
      </c>
      <c r="AH364" s="80">
        <f>IF(P364="","",IF(P364="SIM",VLOOKUP($I364&amp;$J364&amp;P$1,Pesos!$A:$I,7,FALSE),VLOOKUP($I364&amp;$J364&amp;P$1,Pesos!$A:$I,9,FALSE)))</f>
        <v>0.8</v>
      </c>
      <c r="AI364" s="80">
        <f>IF(Q364="","",IF(Q364="SIM",VLOOKUP($I364&amp;$J364&amp;Q$1,Pesos!$A:$I,7,FALSE),VLOOKUP($I364&amp;$J364&amp;Q$1,Pesos!$A:$I,9,FALSE)))</f>
        <v>0.8</v>
      </c>
      <c r="AJ364" s="80">
        <f>IF(R364="","",IF(R364="SIM",VLOOKUP($I364&amp;$J364&amp;R$1,Pesos!$A:$I,7,FALSE),VLOOKUP($I364&amp;$J364&amp;R$1,Pesos!$A:$I,9,FALSE)))</f>
        <v>0.8</v>
      </c>
      <c r="AK364" s="80">
        <f>IF(S364="","",IF(S364="SIM",VLOOKUP($I364&amp;$J364&amp;S$1,Pesos!$A:$I,7,FALSE),VLOOKUP($I364&amp;$J364&amp;S$1,Pesos!$A:$I,9,FALSE)))</f>
        <v>0.8</v>
      </c>
      <c r="AL364" s="80">
        <f t="shared" si="60"/>
        <v>4.8</v>
      </c>
      <c r="AM364" s="80">
        <f>IF(T364="","",IF(T364="SIM",VLOOKUP($I364&amp;$J364&amp;T$1,Pesos!$A:$I,7,FALSE),VLOOKUP($I364&amp;$J364&amp;T$1,Pesos!$A:$I,9,FALSE)))</f>
        <v>0.8</v>
      </c>
      <c r="AN364" s="80">
        <f>IF(U364="","",IF(U364="SIM",VLOOKUP($I364&amp;$J364&amp;U$1,Pesos!$A:$I,7,FALSE),VLOOKUP($I364&amp;$J364&amp;U$1,Pesos!$A:$I,9,FALSE)))</f>
        <v>0.8</v>
      </c>
      <c r="AO364" s="80">
        <f>IF(V364="","",IF(V364="SIM",VLOOKUP($I364&amp;$J364&amp;V$1,Pesos!$A:$I,7,FALSE),VLOOKUP($I364&amp;$J364&amp;V$1,Pesos!$A:$I,9,FALSE)))</f>
        <v>0.8</v>
      </c>
      <c r="AP364" s="80">
        <f>IF(W364="","",IF(W364="SIM",VLOOKUP($I364&amp;$J364&amp;W$1,Pesos!$A:$I,7,FALSE),VLOOKUP($I364&amp;$J364&amp;W$1,Pesos!$A:$I,9,FALSE)))</f>
        <v>0.8</v>
      </c>
      <c r="AQ364" s="80">
        <f>IF(X364="","",IF(X364="SIM",VLOOKUP($I364&amp;$J364&amp;X$1,Pesos!$A:$I,7,FALSE),VLOOKUP($I364&amp;$J364&amp;X$1,Pesos!$A:$I,9,FALSE)))</f>
        <v>1</v>
      </c>
      <c r="AR364" s="80">
        <f>IF(Y364="","",IF(Y364="SIM",VLOOKUP($I364&amp;$J364&amp;Y$1,Pesos!$A:$I,7,FALSE),VLOOKUP($I364&amp;$J364&amp;Y$1,Pesos!$A:$I,9,FALSE)))</f>
        <v>1</v>
      </c>
      <c r="AS364" s="81">
        <f>IFERROR(Z364*VLOOKUP(J364,'BD Campos'!$Y$1:$Z$12,2,FALSE),"0")</f>
        <v>10</v>
      </c>
    </row>
    <row r="365" spans="1:45" x14ac:dyDescent="0.35">
      <c r="A365" s="68" t="str">
        <f t="shared" si="51"/>
        <v>Jan20251512Policia 2BAS</v>
      </c>
      <c r="B365" s="69" t="str">
        <f t="shared" si="52"/>
        <v>Jan202515122BASPADRÃO</v>
      </c>
      <c r="C365" s="70">
        <v>1</v>
      </c>
      <c r="D365" s="71">
        <v>45686.371534027778</v>
      </c>
      <c r="E365" s="112" t="s">
        <v>74</v>
      </c>
      <c r="F365" s="72">
        <v>1512</v>
      </c>
      <c r="G365" s="69" t="s">
        <v>310</v>
      </c>
      <c r="H365" s="73">
        <v>2</v>
      </c>
      <c r="I365" s="69" t="s">
        <v>147</v>
      </c>
      <c r="J365" s="69" t="s">
        <v>304</v>
      </c>
      <c r="K365" s="69" t="s">
        <v>303</v>
      </c>
      <c r="L365" s="74">
        <v>31001315</v>
      </c>
      <c r="M365" s="75">
        <v>1.6087962962962963E-3</v>
      </c>
      <c r="N365" s="76" t="s">
        <v>79</v>
      </c>
      <c r="O365" s="76" t="s">
        <v>79</v>
      </c>
      <c r="P365" s="76" t="s">
        <v>79</v>
      </c>
      <c r="Q365" s="76" t="s">
        <v>79</v>
      </c>
      <c r="R365" s="76" t="s">
        <v>79</v>
      </c>
      <c r="S365" s="76" t="s">
        <v>79</v>
      </c>
      <c r="T365" s="76" t="s">
        <v>79</v>
      </c>
      <c r="U365" s="76" t="s">
        <v>79</v>
      </c>
      <c r="V365" s="76" t="s">
        <v>79</v>
      </c>
      <c r="W365" s="76" t="s">
        <v>79</v>
      </c>
      <c r="X365" s="76" t="s">
        <v>79</v>
      </c>
      <c r="Y365" s="76" t="s">
        <v>79</v>
      </c>
      <c r="Z365" s="77">
        <f t="shared" si="38"/>
        <v>10</v>
      </c>
      <c r="AA365" s="78"/>
      <c r="AB365" s="78" t="s">
        <v>1598</v>
      </c>
      <c r="AC365" s="72" t="s">
        <v>47</v>
      </c>
      <c r="AE365" s="79" t="str">
        <f t="shared" si="59"/>
        <v>Jan1512</v>
      </c>
      <c r="AF365" s="80">
        <f>IF(N365="","",IF(N365="SIM",VLOOKUP($I365&amp;$J365&amp;N$1,Pesos!$A:$I,7,FALSE),VLOOKUP($I365&amp;$J365&amp;N$1,Pesos!$A:$I,9,FALSE)))</f>
        <v>0.8</v>
      </c>
      <c r="AG365" s="80">
        <f>IF(O365="","",IF(O365="SIM",VLOOKUP($I365&amp;$J365&amp;O$1,Pesos!$A:$I,7,FALSE),VLOOKUP($I365&amp;$J365&amp;O$1,Pesos!$A:$I,9,FALSE)))</f>
        <v>0.8</v>
      </c>
      <c r="AH365" s="80">
        <f>IF(P365="","",IF(P365="SIM",VLOOKUP($I365&amp;$J365&amp;P$1,Pesos!$A:$I,7,FALSE),VLOOKUP($I365&amp;$J365&amp;P$1,Pesos!$A:$I,9,FALSE)))</f>
        <v>0.8</v>
      </c>
      <c r="AI365" s="80">
        <f>IF(Q365="","",IF(Q365="SIM",VLOOKUP($I365&amp;$J365&amp;Q$1,Pesos!$A:$I,7,FALSE),VLOOKUP($I365&amp;$J365&amp;Q$1,Pesos!$A:$I,9,FALSE)))</f>
        <v>0.8</v>
      </c>
      <c r="AJ365" s="80">
        <f>IF(R365="","",IF(R365="SIM",VLOOKUP($I365&amp;$J365&amp;R$1,Pesos!$A:$I,7,FALSE),VLOOKUP($I365&amp;$J365&amp;R$1,Pesos!$A:$I,9,FALSE)))</f>
        <v>0.8</v>
      </c>
      <c r="AK365" s="80">
        <f>IF(S365="","",IF(S365="SIM",VLOOKUP($I365&amp;$J365&amp;S$1,Pesos!$A:$I,7,FALSE),VLOOKUP($I365&amp;$J365&amp;S$1,Pesos!$A:$I,9,FALSE)))</f>
        <v>0.8</v>
      </c>
      <c r="AL365" s="80">
        <f t="shared" si="60"/>
        <v>4.8</v>
      </c>
      <c r="AM365" s="80">
        <f>IF(T365="","",IF(T365="SIM",VLOOKUP($I365&amp;$J365&amp;T$1,Pesos!$A:$I,7,FALSE),VLOOKUP($I365&amp;$J365&amp;T$1,Pesos!$A:$I,9,FALSE)))</f>
        <v>0.8</v>
      </c>
      <c r="AN365" s="80">
        <f>IF(U365="","",IF(U365="SIM",VLOOKUP($I365&amp;$J365&amp;U$1,Pesos!$A:$I,7,FALSE),VLOOKUP($I365&amp;$J365&amp;U$1,Pesos!$A:$I,9,FALSE)))</f>
        <v>0.8</v>
      </c>
      <c r="AO365" s="80">
        <f>IF(V365="","",IF(V365="SIM",VLOOKUP($I365&amp;$J365&amp;V$1,Pesos!$A:$I,7,FALSE),VLOOKUP($I365&amp;$J365&amp;V$1,Pesos!$A:$I,9,FALSE)))</f>
        <v>0.8</v>
      </c>
      <c r="AP365" s="80">
        <f>IF(W365="","",IF(W365="SIM",VLOOKUP($I365&amp;$J365&amp;W$1,Pesos!$A:$I,7,FALSE),VLOOKUP($I365&amp;$J365&amp;W$1,Pesos!$A:$I,9,FALSE)))</f>
        <v>0.8</v>
      </c>
      <c r="AQ365" s="80">
        <f>IF(X365="","",IF(X365="SIM",VLOOKUP($I365&amp;$J365&amp;X$1,Pesos!$A:$I,7,FALSE),VLOOKUP($I365&amp;$J365&amp;X$1,Pesos!$A:$I,9,FALSE)))</f>
        <v>1</v>
      </c>
      <c r="AR365" s="80">
        <f>IF(Y365="","",IF(Y365="SIM",VLOOKUP($I365&amp;$J365&amp;Y$1,Pesos!$A:$I,7,FALSE),VLOOKUP($I365&amp;$J365&amp;Y$1,Pesos!$A:$I,9,FALSE)))</f>
        <v>1</v>
      </c>
      <c r="AS365" s="81" t="str">
        <f>IFERROR(Z365*VLOOKUP(J365,'BD Campos'!$Y$1:$Z$12,2,FALSE),"0")</f>
        <v>0</v>
      </c>
    </row>
    <row r="366" spans="1:45" x14ac:dyDescent="0.35">
      <c r="A366" s="68" t="str">
        <f t="shared" si="51"/>
        <v>Jan202510849MotoristaUTI</v>
      </c>
      <c r="B366" s="69" t="str">
        <f t="shared" si="52"/>
        <v>Jan2025108491UTIPADRÃO</v>
      </c>
      <c r="C366" s="70">
        <v>1</v>
      </c>
      <c r="D366" s="71">
        <v>45688.365442824077</v>
      </c>
      <c r="E366" s="112" t="s">
        <v>74</v>
      </c>
      <c r="F366" s="72">
        <v>10849</v>
      </c>
      <c r="G366" s="69" t="s">
        <v>105</v>
      </c>
      <c r="H366" s="73">
        <v>1</v>
      </c>
      <c r="I366" s="69" t="s">
        <v>121</v>
      </c>
      <c r="J366" s="69" t="s">
        <v>122</v>
      </c>
      <c r="K366" s="69" t="s">
        <v>131</v>
      </c>
      <c r="L366" s="74">
        <v>30835933</v>
      </c>
      <c r="M366" s="75">
        <v>2.3495370370370371E-3</v>
      </c>
      <c r="N366" s="76" t="s">
        <v>79</v>
      </c>
      <c r="O366" s="76" t="s">
        <v>79</v>
      </c>
      <c r="P366" s="76" t="s">
        <v>79</v>
      </c>
      <c r="Q366" s="76" t="s">
        <v>79</v>
      </c>
      <c r="R366" s="76" t="s">
        <v>79</v>
      </c>
      <c r="S366" s="76" t="s">
        <v>79</v>
      </c>
      <c r="T366" s="76" t="s">
        <v>79</v>
      </c>
      <c r="U366" s="76" t="s">
        <v>79</v>
      </c>
      <c r="V366" s="76" t="s">
        <v>79</v>
      </c>
      <c r="W366" s="76" t="s">
        <v>79</v>
      </c>
      <c r="X366" s="76" t="s">
        <v>79</v>
      </c>
      <c r="Y366" s="76"/>
      <c r="Z366" s="77">
        <f t="shared" si="38"/>
        <v>10</v>
      </c>
      <c r="AA366" s="78"/>
      <c r="AB366" s="78" t="s">
        <v>1599</v>
      </c>
      <c r="AC366" s="72" t="s">
        <v>47</v>
      </c>
      <c r="AE366" s="79" t="str">
        <f t="shared" si="59"/>
        <v>Jan10849</v>
      </c>
      <c r="AF366" s="80">
        <f>IF(N366="","",IF(N366="SIM",VLOOKUP($I366&amp;$J366&amp;N$1,Pesos!$A:$I,7,FALSE),VLOOKUP($I366&amp;$J366&amp;N$1,Pesos!$A:$I,9,FALSE)))</f>
        <v>0.89999999999999991</v>
      </c>
      <c r="AG366" s="80">
        <f>IF(O366="","",IF(O366="SIM",VLOOKUP($I366&amp;$J366&amp;O$1,Pesos!$A:$I,7,FALSE),VLOOKUP($I366&amp;$J366&amp;O$1,Pesos!$A:$I,9,FALSE)))</f>
        <v>0.89999999999999991</v>
      </c>
      <c r="AH366" s="80">
        <f>IF(P366="","",IF(P366="SIM",VLOOKUP($I366&amp;$J366&amp;P$1,Pesos!$A:$I,7,FALSE),VLOOKUP($I366&amp;$J366&amp;P$1,Pesos!$A:$I,9,FALSE)))</f>
        <v>0.89999999999999991</v>
      </c>
      <c r="AI366" s="80">
        <f>IF(Q366="","",IF(Q366="SIM",VLOOKUP($I366&amp;$J366&amp;Q$1,Pesos!$A:$I,7,FALSE),VLOOKUP($I366&amp;$J366&amp;Q$1,Pesos!$A:$I,9,FALSE)))</f>
        <v>0.89999999999999991</v>
      </c>
      <c r="AJ366" s="80">
        <f>IF(R366="","",IF(R366="SIM",VLOOKUP($I366&amp;$J366&amp;R$1,Pesos!$A:$I,7,FALSE),VLOOKUP($I366&amp;$J366&amp;R$1,Pesos!$A:$I,9,FALSE)))</f>
        <v>0.89999999999999991</v>
      </c>
      <c r="AK366" s="80">
        <f>IF(S366="","",IF(S366="SIM",VLOOKUP($I366&amp;$J366&amp;S$1,Pesos!$A:$I,7,FALSE),VLOOKUP($I366&amp;$J366&amp;S$1,Pesos!$A:$I,9,FALSE)))</f>
        <v>0.89999999999999991</v>
      </c>
      <c r="AL366" s="80">
        <f t="shared" si="60"/>
        <v>5.4</v>
      </c>
      <c r="AM366" s="80">
        <f>IF(T366="","",IF(T366="SIM",VLOOKUP($I366&amp;$J366&amp;T$1,Pesos!$A:$I,7,FALSE),VLOOKUP($I366&amp;$J366&amp;T$1,Pesos!$A:$I,9,FALSE)))</f>
        <v>0.89999999999999991</v>
      </c>
      <c r="AN366" s="80">
        <f>IF(U366="","",IF(U366="SIM",VLOOKUP($I366&amp;$J366&amp;U$1,Pesos!$A:$I,7,FALSE),VLOOKUP($I366&amp;$J366&amp;U$1,Pesos!$A:$I,9,FALSE)))</f>
        <v>0.92500000000000004</v>
      </c>
      <c r="AO366" s="80">
        <f>IF(V366="","",IF(V366="SIM",VLOOKUP($I366&amp;$J366&amp;V$1,Pesos!$A:$I,7,FALSE),VLOOKUP($I366&amp;$J366&amp;V$1,Pesos!$A:$I,9,FALSE)))</f>
        <v>0.92500000000000004</v>
      </c>
      <c r="AP366" s="80">
        <f>IF(W366="","",IF(W366="SIM",VLOOKUP($I366&amp;$J366&amp;W$1,Pesos!$A:$I,7,FALSE),VLOOKUP($I366&amp;$J366&amp;W$1,Pesos!$A:$I,9,FALSE)))</f>
        <v>0.89999999999999991</v>
      </c>
      <c r="AQ366" s="80">
        <f>IF(X366="","",IF(X366="SIM",VLOOKUP($I366&amp;$J366&amp;X$1,Pesos!$A:$I,7,FALSE),VLOOKUP($I366&amp;$J366&amp;X$1,Pesos!$A:$I,9,FALSE)))</f>
        <v>0.95</v>
      </c>
      <c r="AR366" s="80" t="str">
        <f>IF(Y366="","",IF(Y366="SIM",VLOOKUP($I366&amp;$J366&amp;Y$1,Pesos!$A:$I,7,FALSE),VLOOKUP($I366&amp;$J366&amp;Y$1,Pesos!$A:$I,9,FALSE)))</f>
        <v/>
      </c>
      <c r="AS366" s="81">
        <f>IFERROR(Z366*VLOOKUP(J366,'BD Campos'!$Y$1:$Z$12,2,FALSE),"0")</f>
        <v>10</v>
      </c>
    </row>
    <row r="367" spans="1:45" x14ac:dyDescent="0.35">
      <c r="A367" s="68" t="str">
        <f t="shared" si="51"/>
        <v>Jan202510849ReceptivaUTI</v>
      </c>
      <c r="B367" s="69" t="str">
        <f t="shared" si="52"/>
        <v>Jan2025108495UTIPADRÃO</v>
      </c>
      <c r="C367" s="70">
        <v>1</v>
      </c>
      <c r="D367" s="71">
        <v>45688.367825462963</v>
      </c>
      <c r="E367" s="112" t="s">
        <v>74</v>
      </c>
      <c r="F367" s="72">
        <v>10849</v>
      </c>
      <c r="G367" s="69" t="s">
        <v>105</v>
      </c>
      <c r="H367" s="73">
        <v>5</v>
      </c>
      <c r="I367" s="69" t="s">
        <v>6</v>
      </c>
      <c r="J367" s="69" t="s">
        <v>98</v>
      </c>
      <c r="K367" s="69" t="s">
        <v>131</v>
      </c>
      <c r="L367" s="74"/>
      <c r="M367" s="75">
        <v>1.2152777777777778E-3</v>
      </c>
      <c r="N367" s="76" t="s">
        <v>79</v>
      </c>
      <c r="O367" s="76" t="s">
        <v>79</v>
      </c>
      <c r="P367" s="76" t="s">
        <v>79</v>
      </c>
      <c r="Q367" s="76" t="s">
        <v>79</v>
      </c>
      <c r="R367" s="76" t="s">
        <v>79</v>
      </c>
      <c r="S367" s="76" t="s">
        <v>79</v>
      </c>
      <c r="T367" s="76" t="s">
        <v>79</v>
      </c>
      <c r="U367" s="76" t="s">
        <v>79</v>
      </c>
      <c r="V367" s="76" t="s">
        <v>79</v>
      </c>
      <c r="W367" s="76" t="s">
        <v>79</v>
      </c>
      <c r="X367" s="76" t="s">
        <v>79</v>
      </c>
      <c r="Y367" s="76" t="s">
        <v>79</v>
      </c>
      <c r="Z367" s="77">
        <f t="shared" si="38"/>
        <v>10</v>
      </c>
      <c r="AA367" s="78"/>
      <c r="AB367" s="78"/>
      <c r="AC367" s="72" t="s">
        <v>47</v>
      </c>
      <c r="AE367" s="79" t="str">
        <f t="shared" si="59"/>
        <v>Jan10849</v>
      </c>
      <c r="AF367" s="80">
        <f>IF(N367="","",IF(N367="SIM",VLOOKUP($I367&amp;$J367&amp;N$1,Pesos!$A:$I,7,FALSE),VLOOKUP($I367&amp;$J367&amp;N$1,Pesos!$A:$I,9,FALSE)))</f>
        <v>0.8</v>
      </c>
      <c r="AG367" s="80">
        <f>IF(O367="","",IF(O367="SIM",VLOOKUP($I367&amp;$J367&amp;O$1,Pesos!$A:$I,7,FALSE),VLOOKUP($I367&amp;$J367&amp;O$1,Pesos!$A:$I,9,FALSE)))</f>
        <v>0.8</v>
      </c>
      <c r="AH367" s="80">
        <f>IF(P367="","",IF(P367="SIM",VLOOKUP($I367&amp;$J367&amp;P$1,Pesos!$A:$I,7,FALSE),VLOOKUP($I367&amp;$J367&amp;P$1,Pesos!$A:$I,9,FALSE)))</f>
        <v>1.2</v>
      </c>
      <c r="AI367" s="80">
        <f>IF(Q367="","",IF(Q367="SIM",VLOOKUP($I367&amp;$J367&amp;Q$1,Pesos!$A:$I,7,FALSE),VLOOKUP($I367&amp;$J367&amp;Q$1,Pesos!$A:$I,9,FALSE)))</f>
        <v>0.8</v>
      </c>
      <c r="AJ367" s="80">
        <f>IF(R367="","",IF(R367="SIM",VLOOKUP($I367&amp;$J367&amp;R$1,Pesos!$A:$I,7,FALSE),VLOOKUP($I367&amp;$J367&amp;R$1,Pesos!$A:$I,9,FALSE)))</f>
        <v>0.8</v>
      </c>
      <c r="AK367" s="80">
        <f>IF(S367="","",IF(S367="SIM",VLOOKUP($I367&amp;$J367&amp;S$1,Pesos!$A:$I,7,FALSE),VLOOKUP($I367&amp;$J367&amp;S$1,Pesos!$A:$I,9,FALSE)))</f>
        <v>0.8</v>
      </c>
      <c r="AL367" s="80">
        <f t="shared" si="60"/>
        <v>5.1999999999999993</v>
      </c>
      <c r="AM367" s="80">
        <f>IF(T367="","",IF(T367="SIM",VLOOKUP($I367&amp;$J367&amp;T$1,Pesos!$A:$I,7,FALSE),VLOOKUP($I367&amp;$J367&amp;T$1,Pesos!$A:$I,9,FALSE)))</f>
        <v>0.8</v>
      </c>
      <c r="AN367" s="80">
        <f>IF(U367="","",IF(U367="SIM",VLOOKUP($I367&amp;$J367&amp;U$1,Pesos!$A:$I,7,FALSE),VLOOKUP($I367&amp;$J367&amp;U$1,Pesos!$A:$I,9,FALSE)))</f>
        <v>0.8</v>
      </c>
      <c r="AO367" s="80">
        <f>IF(V367="","",IF(V367="SIM",VLOOKUP($I367&amp;$J367&amp;V$1,Pesos!$A:$I,7,FALSE),VLOOKUP($I367&amp;$J367&amp;V$1,Pesos!$A:$I,9,FALSE)))</f>
        <v>0.8</v>
      </c>
      <c r="AP367" s="80">
        <f>IF(W367="","",IF(W367="SIM",VLOOKUP($I367&amp;$J367&amp;W$1,Pesos!$A:$I,7,FALSE),VLOOKUP($I367&amp;$J367&amp;W$1,Pesos!$A:$I,9,FALSE)))</f>
        <v>0.8</v>
      </c>
      <c r="AQ367" s="80">
        <f>IF(X367="","",IF(X367="SIM",VLOOKUP($I367&amp;$J367&amp;X$1,Pesos!$A:$I,7,FALSE),VLOOKUP($I367&amp;$J367&amp;X$1,Pesos!$A:$I,9,FALSE)))</f>
        <v>0.8</v>
      </c>
      <c r="AR367" s="80">
        <f>IF(Y367="","",IF(Y367="SIM",VLOOKUP($I367&amp;$J367&amp;Y$1,Pesos!$A:$I,7,FALSE),VLOOKUP($I367&amp;$J367&amp;Y$1,Pesos!$A:$I,9,FALSE)))</f>
        <v>0.8</v>
      </c>
      <c r="AS367" s="81">
        <f>IFERROR(Z367*VLOOKUP(J367,'BD Campos'!$Y$1:$Z$12,2,FALSE),"0")</f>
        <v>10</v>
      </c>
    </row>
    <row r="368" spans="1:45" x14ac:dyDescent="0.35">
      <c r="A368" s="68" t="str">
        <f t="shared" si="51"/>
        <v>Jan202510953ReceptivaTRANSFERÊNCIA</v>
      </c>
      <c r="B368" s="69" t="str">
        <f t="shared" si="52"/>
        <v>Jan2025109535TRANSFERÊNCIAPADRÃO</v>
      </c>
      <c r="C368" s="70">
        <v>1</v>
      </c>
      <c r="D368" s="71">
        <v>45688.583228240743</v>
      </c>
      <c r="E368" s="112" t="s">
        <v>74</v>
      </c>
      <c r="F368" s="72">
        <v>10953</v>
      </c>
      <c r="G368" s="69" t="s">
        <v>158</v>
      </c>
      <c r="H368" s="73">
        <v>5</v>
      </c>
      <c r="I368" s="69" t="s">
        <v>6</v>
      </c>
      <c r="J368" s="69" t="s">
        <v>98</v>
      </c>
      <c r="K368" s="69" t="s">
        <v>106</v>
      </c>
      <c r="L368" s="74"/>
      <c r="M368" s="75" t="s">
        <v>1600</v>
      </c>
      <c r="N368" s="76" t="s">
        <v>79</v>
      </c>
      <c r="O368" s="76" t="s">
        <v>79</v>
      </c>
      <c r="P368" s="76" t="s">
        <v>79</v>
      </c>
      <c r="Q368" s="76" t="s">
        <v>79</v>
      </c>
      <c r="R368" s="76" t="s">
        <v>79</v>
      </c>
      <c r="S368" s="76" t="s">
        <v>79</v>
      </c>
      <c r="T368" s="76" t="s">
        <v>83</v>
      </c>
      <c r="U368" s="76" t="s">
        <v>83</v>
      </c>
      <c r="V368" s="76" t="s">
        <v>79</v>
      </c>
      <c r="W368" s="76" t="s">
        <v>79</v>
      </c>
      <c r="X368" s="76" t="s">
        <v>79</v>
      </c>
      <c r="Y368" s="76" t="s">
        <v>79</v>
      </c>
      <c r="Z368" s="77">
        <f t="shared" si="38"/>
        <v>8.3199999999999985</v>
      </c>
      <c r="AA368" s="78" t="s">
        <v>1601</v>
      </c>
      <c r="AB368" s="78"/>
      <c r="AC368" s="72" t="s">
        <v>47</v>
      </c>
      <c r="AE368" s="79" t="str">
        <f t="shared" si="59"/>
        <v>Jan10953</v>
      </c>
      <c r="AF368" s="80">
        <f>IF(N368="","",IF(N368="SIM",VLOOKUP($I368&amp;$J368&amp;N$1,Pesos!$A:$I,7,FALSE),VLOOKUP($I368&amp;$J368&amp;N$1,Pesos!$A:$I,9,FALSE)))</f>
        <v>0.8</v>
      </c>
      <c r="AG368" s="80">
        <f>IF(O368="","",IF(O368="SIM",VLOOKUP($I368&amp;$J368&amp;O$1,Pesos!$A:$I,7,FALSE),VLOOKUP($I368&amp;$J368&amp;O$1,Pesos!$A:$I,9,FALSE)))</f>
        <v>0.8</v>
      </c>
      <c r="AH368" s="80">
        <f>IF(P368="","",IF(P368="SIM",VLOOKUP($I368&amp;$J368&amp;P$1,Pesos!$A:$I,7,FALSE),VLOOKUP($I368&amp;$J368&amp;P$1,Pesos!$A:$I,9,FALSE)))</f>
        <v>1.2</v>
      </c>
      <c r="AI368" s="80">
        <f>IF(Q368="","",IF(Q368="SIM",VLOOKUP($I368&amp;$J368&amp;Q$1,Pesos!$A:$I,7,FALSE),VLOOKUP($I368&amp;$J368&amp;Q$1,Pesos!$A:$I,9,FALSE)))</f>
        <v>0.8</v>
      </c>
      <c r="AJ368" s="80">
        <f>IF(R368="","",IF(R368="SIM",VLOOKUP($I368&amp;$J368&amp;R$1,Pesos!$A:$I,7,FALSE),VLOOKUP($I368&amp;$J368&amp;R$1,Pesos!$A:$I,9,FALSE)))</f>
        <v>0.8</v>
      </c>
      <c r="AK368" s="80">
        <f>IF(S368="","",IF(S368="SIM",VLOOKUP($I368&amp;$J368&amp;S$1,Pesos!$A:$I,7,FALSE),VLOOKUP($I368&amp;$J368&amp;S$1,Pesos!$A:$I,9,FALSE)))</f>
        <v>0.8</v>
      </c>
      <c r="AL368" s="80">
        <f t="shared" si="60"/>
        <v>5.1999999999999993</v>
      </c>
      <c r="AM368" s="80">
        <f>IF(T368="","",IF(T368="SIM",VLOOKUP($I368&amp;$J368&amp;T$1,Pesos!$A:$I,7,FALSE),VLOOKUP($I368&amp;$J368&amp;T$1,Pesos!$A:$I,9,FALSE)))</f>
        <v>-4.0000000000000008E-2</v>
      </c>
      <c r="AN368" s="80">
        <f>IF(U368="","",IF(U368="SIM",VLOOKUP($I368&amp;$J368&amp;U$1,Pesos!$A:$I,7,FALSE),VLOOKUP($I368&amp;$J368&amp;U$1,Pesos!$A:$I,9,FALSE)))</f>
        <v>-4.0000000000000008E-2</v>
      </c>
      <c r="AO368" s="80">
        <f>IF(V368="","",IF(V368="SIM",VLOOKUP($I368&amp;$J368&amp;V$1,Pesos!$A:$I,7,FALSE),VLOOKUP($I368&amp;$J368&amp;V$1,Pesos!$A:$I,9,FALSE)))</f>
        <v>0.8</v>
      </c>
      <c r="AP368" s="80">
        <f>IF(W368="","",IF(W368="SIM",VLOOKUP($I368&amp;$J368&amp;W$1,Pesos!$A:$I,7,FALSE),VLOOKUP($I368&amp;$J368&amp;W$1,Pesos!$A:$I,9,FALSE)))</f>
        <v>0.8</v>
      </c>
      <c r="AQ368" s="80">
        <f>IF(X368="","",IF(X368="SIM",VLOOKUP($I368&amp;$J368&amp;X$1,Pesos!$A:$I,7,FALSE),VLOOKUP($I368&amp;$J368&amp;X$1,Pesos!$A:$I,9,FALSE)))</f>
        <v>0.8</v>
      </c>
      <c r="AR368" s="80">
        <f>IF(Y368="","",IF(Y368="SIM",VLOOKUP($I368&amp;$J368&amp;Y$1,Pesos!$A:$I,7,FALSE),VLOOKUP($I368&amp;$J368&amp;Y$1,Pesos!$A:$I,9,FALSE)))</f>
        <v>0.8</v>
      </c>
      <c r="AS368" s="81">
        <f>IFERROR(Z368*VLOOKUP(J368,'BD Campos'!$Y$1:$Z$12,2,FALSE),"0")</f>
        <v>8.3199999999999985</v>
      </c>
    </row>
    <row r="369" spans="1:45" x14ac:dyDescent="0.35">
      <c r="A369" s="68" t="str">
        <f>E369&amp;YEAR(D369)&amp;F369&amp;J369&amp;K369&amp;""</f>
        <v>Jan202510526MotoristaUTI</v>
      </c>
      <c r="B369" s="69" t="str">
        <f>E369&amp;YEAR(D369)&amp;F369&amp;H369&amp;K369&amp;AC369</f>
        <v>Jan2025105261UTIPADRÃO</v>
      </c>
      <c r="C369" s="70">
        <v>1</v>
      </c>
      <c r="D369" s="71">
        <v>45691.374710069445</v>
      </c>
      <c r="E369" s="112" t="s">
        <v>74</v>
      </c>
      <c r="F369" s="72">
        <v>10526</v>
      </c>
      <c r="G369" s="69" t="s">
        <v>267</v>
      </c>
      <c r="H369" s="73">
        <v>1</v>
      </c>
      <c r="I369" s="69" t="s">
        <v>121</v>
      </c>
      <c r="J369" s="69" t="s">
        <v>122</v>
      </c>
      <c r="K369" s="69" t="s">
        <v>131</v>
      </c>
      <c r="L369" s="74">
        <v>31035146</v>
      </c>
      <c r="M369" s="75">
        <v>1.712962962962963E-3</v>
      </c>
      <c r="N369" s="76" t="s">
        <v>79</v>
      </c>
      <c r="O369" s="76" t="s">
        <v>79</v>
      </c>
      <c r="P369" s="76" t="s">
        <v>79</v>
      </c>
      <c r="Q369" s="76" t="s">
        <v>79</v>
      </c>
      <c r="R369" s="76" t="s">
        <v>79</v>
      </c>
      <c r="S369" s="76" t="s">
        <v>79</v>
      </c>
      <c r="T369" s="76" t="s">
        <v>79</v>
      </c>
      <c r="U369" s="76" t="s">
        <v>79</v>
      </c>
      <c r="V369" s="76" t="s">
        <v>79</v>
      </c>
      <c r="W369" s="76" t="s">
        <v>79</v>
      </c>
      <c r="X369" s="76" t="s">
        <v>79</v>
      </c>
      <c r="Y369" s="76"/>
      <c r="Z369" s="77">
        <f t="shared" si="38"/>
        <v>10</v>
      </c>
      <c r="AA369" s="78"/>
      <c r="AB369" s="78" t="s">
        <v>1602</v>
      </c>
      <c r="AC369" s="72" t="s">
        <v>47</v>
      </c>
      <c r="AE369" s="79" t="str">
        <f t="shared" si="59"/>
        <v>Jan10526</v>
      </c>
      <c r="AF369" s="80">
        <f>IF(N369="","",IF(N369="SIM",VLOOKUP($I369&amp;$J369&amp;N$1,Pesos!$A:$I,7,FALSE),VLOOKUP($I369&amp;$J369&amp;N$1,Pesos!$A:$I,9,FALSE)))</f>
        <v>0.89999999999999991</v>
      </c>
      <c r="AG369" s="80">
        <f>IF(O369="","",IF(O369="SIM",VLOOKUP($I369&amp;$J369&amp;O$1,Pesos!$A:$I,7,FALSE),VLOOKUP($I369&amp;$J369&amp;O$1,Pesos!$A:$I,9,FALSE)))</f>
        <v>0.89999999999999991</v>
      </c>
      <c r="AH369" s="80">
        <f>IF(P369="","",IF(P369="SIM",VLOOKUP($I369&amp;$J369&amp;P$1,Pesos!$A:$I,7,FALSE),VLOOKUP($I369&amp;$J369&amp;P$1,Pesos!$A:$I,9,FALSE)))</f>
        <v>0.89999999999999991</v>
      </c>
      <c r="AI369" s="80">
        <f>IF(Q369="","",IF(Q369="SIM",VLOOKUP($I369&amp;$J369&amp;Q$1,Pesos!$A:$I,7,FALSE),VLOOKUP($I369&amp;$J369&amp;Q$1,Pesos!$A:$I,9,FALSE)))</f>
        <v>0.89999999999999991</v>
      </c>
      <c r="AJ369" s="80">
        <f>IF(R369="","",IF(R369="SIM",VLOOKUP($I369&amp;$J369&amp;R$1,Pesos!$A:$I,7,FALSE),VLOOKUP($I369&amp;$J369&amp;R$1,Pesos!$A:$I,9,FALSE)))</f>
        <v>0.89999999999999991</v>
      </c>
      <c r="AK369" s="80">
        <f>IF(S369="","",IF(S369="SIM",VLOOKUP($I369&amp;$J369&amp;S$1,Pesos!$A:$I,7,FALSE),VLOOKUP($I369&amp;$J369&amp;S$1,Pesos!$A:$I,9,FALSE)))</f>
        <v>0.89999999999999991</v>
      </c>
      <c r="AL369" s="80">
        <f t="shared" si="60"/>
        <v>5.4</v>
      </c>
      <c r="AM369" s="80">
        <f>IF(T369="","",IF(T369="SIM",VLOOKUP($I369&amp;$J369&amp;T$1,Pesos!$A:$I,7,FALSE),VLOOKUP($I369&amp;$J369&amp;T$1,Pesos!$A:$I,9,FALSE)))</f>
        <v>0.89999999999999991</v>
      </c>
      <c r="AN369" s="80">
        <f>IF(U369="","",IF(U369="SIM",VLOOKUP($I369&amp;$J369&amp;U$1,Pesos!$A:$I,7,FALSE),VLOOKUP($I369&amp;$J369&amp;U$1,Pesos!$A:$I,9,FALSE)))</f>
        <v>0.92500000000000004</v>
      </c>
      <c r="AO369" s="80">
        <f>IF(V369="","",IF(V369="SIM",VLOOKUP($I369&amp;$J369&amp;V$1,Pesos!$A:$I,7,FALSE),VLOOKUP($I369&amp;$J369&amp;V$1,Pesos!$A:$I,9,FALSE)))</f>
        <v>0.92500000000000004</v>
      </c>
      <c r="AP369" s="80">
        <f>IF(W369="","",IF(W369="SIM",VLOOKUP($I369&amp;$J369&amp;W$1,Pesos!$A:$I,7,FALSE),VLOOKUP($I369&amp;$J369&amp;W$1,Pesos!$A:$I,9,FALSE)))</f>
        <v>0.89999999999999991</v>
      </c>
      <c r="AQ369" s="80">
        <f>IF(X369="","",IF(X369="SIM",VLOOKUP($I369&amp;$J369&amp;X$1,Pesos!$A:$I,7,FALSE),VLOOKUP($I369&amp;$J369&amp;X$1,Pesos!$A:$I,9,FALSE)))</f>
        <v>0.95</v>
      </c>
      <c r="AR369" s="80" t="str">
        <f>IF(Y369="","",IF(Y369="SIM",VLOOKUP($I369&amp;$J369&amp;Y$1,Pesos!$A:$I,7,FALSE),VLOOKUP($I369&amp;$J369&amp;Y$1,Pesos!$A:$I,9,FALSE)))</f>
        <v/>
      </c>
      <c r="AS369" s="81">
        <f>IFERROR(Z369*VLOOKUP(J369,'BD Campos'!$Y$1:$Z$12,2,FALSE),"0")</f>
        <v>10</v>
      </c>
    </row>
    <row r="370" spans="1:45" x14ac:dyDescent="0.35">
      <c r="A370" s="68" t="str">
        <f t="shared" ref="A370:A433" si="61">E370&amp;YEAR(D370)&amp;F370&amp;J370&amp;K370&amp;""</f>
        <v>Jan202510979PoliciaBAS</v>
      </c>
      <c r="B370" s="69" t="str">
        <f t="shared" ref="B370:B433" si="62">E370&amp;YEAR(D370)&amp;F370&amp;H370&amp;K370&amp;AC370</f>
        <v>Jan2025109791BASPADRÃO</v>
      </c>
      <c r="C370" s="70">
        <v>1</v>
      </c>
      <c r="D370" s="71">
        <v>45691.381252314815</v>
      </c>
      <c r="E370" s="112" t="s">
        <v>74</v>
      </c>
      <c r="F370" s="72">
        <v>10979</v>
      </c>
      <c r="G370" s="69" t="s">
        <v>160</v>
      </c>
      <c r="H370" s="73">
        <v>1</v>
      </c>
      <c r="I370" s="69" t="s">
        <v>147</v>
      </c>
      <c r="J370" s="69" t="s">
        <v>146</v>
      </c>
      <c r="K370" s="69" t="s">
        <v>303</v>
      </c>
      <c r="L370" s="74">
        <v>13747983</v>
      </c>
      <c r="M370" s="75">
        <v>2.9050925925925928E-3</v>
      </c>
      <c r="N370" s="76" t="s">
        <v>79</v>
      </c>
      <c r="O370" s="76" t="s">
        <v>79</v>
      </c>
      <c r="P370" s="76" t="s">
        <v>79</v>
      </c>
      <c r="Q370" s="76" t="s">
        <v>79</v>
      </c>
      <c r="R370" s="76" t="s">
        <v>79</v>
      </c>
      <c r="S370" s="76" t="s">
        <v>79</v>
      </c>
      <c r="T370" s="76" t="s">
        <v>79</v>
      </c>
      <c r="U370" s="76" t="s">
        <v>79</v>
      </c>
      <c r="V370" s="76" t="s">
        <v>79</v>
      </c>
      <c r="W370" s="76" t="s">
        <v>79</v>
      </c>
      <c r="X370" s="76" t="s">
        <v>79</v>
      </c>
      <c r="Y370" s="76" t="s">
        <v>79</v>
      </c>
      <c r="Z370" s="77">
        <f t="shared" si="38"/>
        <v>10</v>
      </c>
      <c r="AA370" s="78"/>
      <c r="AB370" s="78" t="s">
        <v>1603</v>
      </c>
      <c r="AC370" s="72" t="s">
        <v>47</v>
      </c>
      <c r="AE370" s="79" t="str">
        <f t="shared" ref="AE370:AE400" si="63">E370&amp;F370</f>
        <v>Jan10979</v>
      </c>
      <c r="AF370" s="80">
        <f>IF(N370="","",IF(N370="SIM",VLOOKUP($I370&amp;$J370&amp;N$1,Pesos!$A:$I,7,FALSE),VLOOKUP($I370&amp;$J370&amp;N$1,Pesos!$A:$I,9,FALSE)))</f>
        <v>0.8</v>
      </c>
      <c r="AG370" s="80">
        <f>IF(O370="","",IF(O370="SIM",VLOOKUP($I370&amp;$J370&amp;O$1,Pesos!$A:$I,7,FALSE),VLOOKUP($I370&amp;$J370&amp;O$1,Pesos!$A:$I,9,FALSE)))</f>
        <v>0.8</v>
      </c>
      <c r="AH370" s="80">
        <f>IF(P370="","",IF(P370="SIM",VLOOKUP($I370&amp;$J370&amp;P$1,Pesos!$A:$I,7,FALSE),VLOOKUP($I370&amp;$J370&amp;P$1,Pesos!$A:$I,9,FALSE)))</f>
        <v>0.8</v>
      </c>
      <c r="AI370" s="80">
        <f>IF(Q370="","",IF(Q370="SIM",VLOOKUP($I370&amp;$J370&amp;Q$1,Pesos!$A:$I,7,FALSE),VLOOKUP($I370&amp;$J370&amp;Q$1,Pesos!$A:$I,9,FALSE)))</f>
        <v>0.8</v>
      </c>
      <c r="AJ370" s="80">
        <f>IF(R370="","",IF(R370="SIM",VLOOKUP($I370&amp;$J370&amp;R$1,Pesos!$A:$I,7,FALSE),VLOOKUP($I370&amp;$J370&amp;R$1,Pesos!$A:$I,9,FALSE)))</f>
        <v>0.8</v>
      </c>
      <c r="AK370" s="80">
        <f>IF(S370="","",IF(S370="SIM",VLOOKUP($I370&amp;$J370&amp;S$1,Pesos!$A:$I,7,FALSE),VLOOKUP($I370&amp;$J370&amp;S$1,Pesos!$A:$I,9,FALSE)))</f>
        <v>0.8</v>
      </c>
      <c r="AL370" s="80">
        <f t="shared" ref="AL370:AL400" si="64">SUM(AF370:AK370)</f>
        <v>4.8</v>
      </c>
      <c r="AM370" s="80">
        <f>IF(T370="","",IF(T370="SIM",VLOOKUP($I370&amp;$J370&amp;T$1,Pesos!$A:$I,7,FALSE),VLOOKUP($I370&amp;$J370&amp;T$1,Pesos!$A:$I,9,FALSE)))</f>
        <v>0.8</v>
      </c>
      <c r="AN370" s="80">
        <f>IF(U370="","",IF(U370="SIM",VLOOKUP($I370&amp;$J370&amp;U$1,Pesos!$A:$I,7,FALSE),VLOOKUP($I370&amp;$J370&amp;U$1,Pesos!$A:$I,9,FALSE)))</f>
        <v>0.8</v>
      </c>
      <c r="AO370" s="80">
        <f>IF(V370="","",IF(V370="SIM",VLOOKUP($I370&amp;$J370&amp;V$1,Pesos!$A:$I,7,FALSE),VLOOKUP($I370&amp;$J370&amp;V$1,Pesos!$A:$I,9,FALSE)))</f>
        <v>0.8</v>
      </c>
      <c r="AP370" s="80">
        <f>IF(W370="","",IF(W370="SIM",VLOOKUP($I370&amp;$J370&amp;W$1,Pesos!$A:$I,7,FALSE),VLOOKUP($I370&amp;$J370&amp;W$1,Pesos!$A:$I,9,FALSE)))</f>
        <v>0.8</v>
      </c>
      <c r="AQ370" s="80">
        <f>IF(X370="","",IF(X370="SIM",VLOOKUP($I370&amp;$J370&amp;X$1,Pesos!$A:$I,7,FALSE),VLOOKUP($I370&amp;$J370&amp;X$1,Pesos!$A:$I,9,FALSE)))</f>
        <v>1</v>
      </c>
      <c r="AR370" s="80">
        <f>IF(Y370="","",IF(Y370="SIM",VLOOKUP($I370&amp;$J370&amp;Y$1,Pesos!$A:$I,7,FALSE),VLOOKUP($I370&amp;$J370&amp;Y$1,Pesos!$A:$I,9,FALSE)))</f>
        <v>1</v>
      </c>
      <c r="AS370" s="81">
        <f>IFERROR(Z370*VLOOKUP(J370,'BD Campos'!$Y$1:$Z$12,2,FALSE),"0")</f>
        <v>10</v>
      </c>
    </row>
    <row r="371" spans="1:45" x14ac:dyDescent="0.35">
      <c r="A371" s="68" t="str">
        <f t="shared" si="61"/>
        <v>Jan202511016DISTRIBUIÇÃO</v>
      </c>
      <c r="B371" s="69" t="str">
        <f t="shared" si="62"/>
        <v>Jan2025110161DISTRIBUIÇÃOPADRÃO</v>
      </c>
      <c r="C371" s="70">
        <v>1</v>
      </c>
      <c r="D371" s="71">
        <v>45691.488219907405</v>
      </c>
      <c r="E371" s="112" t="s">
        <v>74</v>
      </c>
      <c r="F371" s="72">
        <v>11016</v>
      </c>
      <c r="G371" s="69" t="s">
        <v>261</v>
      </c>
      <c r="H371" s="73">
        <v>1</v>
      </c>
      <c r="I371" s="69" t="s">
        <v>308</v>
      </c>
      <c r="J371" s="69"/>
      <c r="K371" s="69" t="s">
        <v>23</v>
      </c>
      <c r="L371" s="74"/>
      <c r="M371" s="75"/>
      <c r="N371" s="76"/>
      <c r="O371" s="76"/>
      <c r="P371" s="76"/>
      <c r="Q371" s="76"/>
      <c r="R371" s="76"/>
      <c r="S371" s="76"/>
      <c r="T371" s="76"/>
      <c r="U371" s="76"/>
      <c r="V371" s="76"/>
      <c r="W371" s="76"/>
      <c r="X371" s="76"/>
      <c r="Y371" s="76"/>
      <c r="Z371" s="77">
        <f t="shared" si="38"/>
        <v>0</v>
      </c>
      <c r="AA371" s="78"/>
      <c r="AB371" s="78"/>
      <c r="AC371" s="72" t="s">
        <v>47</v>
      </c>
      <c r="AE371" s="79" t="str">
        <f t="shared" si="63"/>
        <v>Jan11016</v>
      </c>
      <c r="AF371" s="80" t="str">
        <f>IF(N371="","",IF(N371="SIM",VLOOKUP($I371&amp;$J371&amp;N$1,Pesos!$A:$I,7,FALSE),VLOOKUP($I371&amp;$J371&amp;N$1,Pesos!$A:$I,9,FALSE)))</f>
        <v/>
      </c>
      <c r="AG371" s="80" t="str">
        <f>IF(O371="","",IF(O371="SIM",VLOOKUP($I371&amp;$J371&amp;O$1,Pesos!$A:$I,7,FALSE),VLOOKUP($I371&amp;$J371&amp;O$1,Pesos!$A:$I,9,FALSE)))</f>
        <v/>
      </c>
      <c r="AH371" s="80" t="str">
        <f>IF(P371="","",IF(P371="SIM",VLOOKUP($I371&amp;$J371&amp;P$1,Pesos!$A:$I,7,FALSE),VLOOKUP($I371&amp;$J371&amp;P$1,Pesos!$A:$I,9,FALSE)))</f>
        <v/>
      </c>
      <c r="AI371" s="80" t="str">
        <f>IF(Q371="","",IF(Q371="SIM",VLOOKUP($I371&amp;$J371&amp;Q$1,Pesos!$A:$I,7,FALSE),VLOOKUP($I371&amp;$J371&amp;Q$1,Pesos!$A:$I,9,FALSE)))</f>
        <v/>
      </c>
      <c r="AJ371" s="80" t="str">
        <f>IF(R371="","",IF(R371="SIM",VLOOKUP($I371&amp;$J371&amp;R$1,Pesos!$A:$I,7,FALSE),VLOOKUP($I371&amp;$J371&amp;R$1,Pesos!$A:$I,9,FALSE)))</f>
        <v/>
      </c>
      <c r="AK371" s="80" t="str">
        <f>IF(S371="","",IF(S371="SIM",VLOOKUP($I371&amp;$J371&amp;S$1,Pesos!$A:$I,7,FALSE),VLOOKUP($I371&amp;$J371&amp;S$1,Pesos!$A:$I,9,FALSE)))</f>
        <v/>
      </c>
      <c r="AL371" s="80">
        <f t="shared" si="64"/>
        <v>0</v>
      </c>
      <c r="AM371" s="80" t="str">
        <f>IF(T371="","",IF(T371="SIM",VLOOKUP($I371&amp;$J371&amp;T$1,Pesos!$A:$I,7,FALSE),VLOOKUP($I371&amp;$J371&amp;T$1,Pesos!$A:$I,9,FALSE)))</f>
        <v/>
      </c>
      <c r="AN371" s="80" t="str">
        <f>IF(U371="","",IF(U371="SIM",VLOOKUP($I371&amp;$J371&amp;U$1,Pesos!$A:$I,7,FALSE),VLOOKUP($I371&amp;$J371&amp;U$1,Pesos!$A:$I,9,FALSE)))</f>
        <v/>
      </c>
      <c r="AO371" s="80" t="str">
        <f>IF(V371="","",IF(V371="SIM",VLOOKUP($I371&amp;$J371&amp;V$1,Pesos!$A:$I,7,FALSE),VLOOKUP($I371&amp;$J371&amp;V$1,Pesos!$A:$I,9,FALSE)))</f>
        <v/>
      </c>
      <c r="AP371" s="80" t="str">
        <f>IF(W371="","",IF(W371="SIM",VLOOKUP($I371&amp;$J371&amp;W$1,Pesos!$A:$I,7,FALSE),VLOOKUP($I371&amp;$J371&amp;W$1,Pesos!$A:$I,9,FALSE)))</f>
        <v/>
      </c>
      <c r="AQ371" s="80" t="str">
        <f>IF(X371="","",IF(X371="SIM",VLOOKUP($I371&amp;$J371&amp;X$1,Pesos!$A:$I,7,FALSE),VLOOKUP($I371&amp;$J371&amp;X$1,Pesos!$A:$I,9,FALSE)))</f>
        <v/>
      </c>
      <c r="AR371" s="80" t="str">
        <f>IF(Y371="","",IF(Y371="SIM",VLOOKUP($I371&amp;$J371&amp;Y$1,Pesos!$A:$I,7,FALSE),VLOOKUP($I371&amp;$J371&amp;Y$1,Pesos!$A:$I,9,FALSE)))</f>
        <v/>
      </c>
      <c r="AS371" s="81" t="str">
        <f>IFERROR(Z371*VLOOKUP(J371,'BD Campos'!$Y$1:$Z$12,2,FALSE),"0")</f>
        <v>0</v>
      </c>
    </row>
    <row r="372" spans="1:45" x14ac:dyDescent="0.35">
      <c r="A372" s="68" t="str">
        <f t="shared" si="61"/>
        <v>Jan20254189TRANSFERÊNCIA</v>
      </c>
      <c r="B372" s="69" t="str">
        <f t="shared" si="62"/>
        <v>Jan202541891TRANSFERÊNCIAPADRÃO</v>
      </c>
      <c r="C372" s="70">
        <v>1</v>
      </c>
      <c r="D372" s="71">
        <v>45691.489407754627</v>
      </c>
      <c r="E372" s="112" t="s">
        <v>74</v>
      </c>
      <c r="F372" s="72">
        <v>4189</v>
      </c>
      <c r="G372" s="69" t="s">
        <v>234</v>
      </c>
      <c r="H372" s="73">
        <v>1</v>
      </c>
      <c r="I372" s="69" t="s">
        <v>308</v>
      </c>
      <c r="J372" s="69"/>
      <c r="K372" s="69" t="s">
        <v>106</v>
      </c>
      <c r="L372" s="74"/>
      <c r="M372" s="75"/>
      <c r="N372" s="76"/>
      <c r="O372" s="76"/>
      <c r="P372" s="76"/>
      <c r="Q372" s="76"/>
      <c r="R372" s="76"/>
      <c r="S372" s="76"/>
      <c r="T372" s="76"/>
      <c r="U372" s="76"/>
      <c r="V372" s="76"/>
      <c r="W372" s="76"/>
      <c r="X372" s="76"/>
      <c r="Y372" s="76"/>
      <c r="Z372" s="77">
        <f t="shared" si="38"/>
        <v>0</v>
      </c>
      <c r="AA372" s="78"/>
      <c r="AB372" s="78"/>
      <c r="AC372" s="72" t="s">
        <v>47</v>
      </c>
      <c r="AE372" s="79" t="str">
        <f t="shared" si="63"/>
        <v>Jan4189</v>
      </c>
      <c r="AF372" s="80" t="str">
        <f>IF(N372="","",IF(N372="SIM",VLOOKUP($I372&amp;$J372&amp;N$1,Pesos!$A:$I,7,FALSE),VLOOKUP($I372&amp;$J372&amp;N$1,Pesos!$A:$I,9,FALSE)))</f>
        <v/>
      </c>
      <c r="AG372" s="80" t="str">
        <f>IF(O372="","",IF(O372="SIM",VLOOKUP($I372&amp;$J372&amp;O$1,Pesos!$A:$I,7,FALSE),VLOOKUP($I372&amp;$J372&amp;O$1,Pesos!$A:$I,9,FALSE)))</f>
        <v/>
      </c>
      <c r="AH372" s="80" t="str">
        <f>IF(P372="","",IF(P372="SIM",VLOOKUP($I372&amp;$J372&amp;P$1,Pesos!$A:$I,7,FALSE),VLOOKUP($I372&amp;$J372&amp;P$1,Pesos!$A:$I,9,FALSE)))</f>
        <v/>
      </c>
      <c r="AI372" s="80" t="str">
        <f>IF(Q372="","",IF(Q372="SIM",VLOOKUP($I372&amp;$J372&amp;Q$1,Pesos!$A:$I,7,FALSE),VLOOKUP($I372&amp;$J372&amp;Q$1,Pesos!$A:$I,9,FALSE)))</f>
        <v/>
      </c>
      <c r="AJ372" s="80" t="str">
        <f>IF(R372="","",IF(R372="SIM",VLOOKUP($I372&amp;$J372&amp;R$1,Pesos!$A:$I,7,FALSE),VLOOKUP($I372&amp;$J372&amp;R$1,Pesos!$A:$I,9,FALSE)))</f>
        <v/>
      </c>
      <c r="AK372" s="80" t="str">
        <f>IF(S372="","",IF(S372="SIM",VLOOKUP($I372&amp;$J372&amp;S$1,Pesos!$A:$I,7,FALSE),VLOOKUP($I372&amp;$J372&amp;S$1,Pesos!$A:$I,9,FALSE)))</f>
        <v/>
      </c>
      <c r="AL372" s="80">
        <f t="shared" si="64"/>
        <v>0</v>
      </c>
      <c r="AM372" s="80" t="str">
        <f>IF(T372="","",IF(T372="SIM",VLOOKUP($I372&amp;$J372&amp;T$1,Pesos!$A:$I,7,FALSE),VLOOKUP($I372&amp;$J372&amp;T$1,Pesos!$A:$I,9,FALSE)))</f>
        <v/>
      </c>
      <c r="AN372" s="80" t="str">
        <f>IF(U372="","",IF(U372="SIM",VLOOKUP($I372&amp;$J372&amp;U$1,Pesos!$A:$I,7,FALSE),VLOOKUP($I372&amp;$J372&amp;U$1,Pesos!$A:$I,9,FALSE)))</f>
        <v/>
      </c>
      <c r="AO372" s="80" t="str">
        <f>IF(V372="","",IF(V372="SIM",VLOOKUP($I372&amp;$J372&amp;V$1,Pesos!$A:$I,7,FALSE),VLOOKUP($I372&amp;$J372&amp;V$1,Pesos!$A:$I,9,FALSE)))</f>
        <v/>
      </c>
      <c r="AP372" s="80" t="str">
        <f>IF(W372="","",IF(W372="SIM",VLOOKUP($I372&amp;$J372&amp;W$1,Pesos!$A:$I,7,FALSE),VLOOKUP($I372&amp;$J372&amp;W$1,Pesos!$A:$I,9,FALSE)))</f>
        <v/>
      </c>
      <c r="AQ372" s="80" t="str">
        <f>IF(X372="","",IF(X372="SIM",VLOOKUP($I372&amp;$J372&amp;X$1,Pesos!$A:$I,7,FALSE),VLOOKUP($I372&amp;$J372&amp;X$1,Pesos!$A:$I,9,FALSE)))</f>
        <v/>
      </c>
      <c r="AR372" s="80" t="str">
        <f>IF(Y372="","",IF(Y372="SIM",VLOOKUP($I372&amp;$J372&amp;Y$1,Pesos!$A:$I,7,FALSE),VLOOKUP($I372&amp;$J372&amp;Y$1,Pesos!$A:$I,9,FALSE)))</f>
        <v/>
      </c>
      <c r="AS372" s="81" t="str">
        <f>IFERROR(Z372*VLOOKUP(J372,'BD Campos'!$Y$1:$Z$12,2,FALSE),"0")</f>
        <v>0</v>
      </c>
    </row>
    <row r="373" spans="1:45" x14ac:dyDescent="0.35">
      <c r="A373" s="68" t="str">
        <f t="shared" si="61"/>
        <v>Jan202510525PoliciaBAS</v>
      </c>
      <c r="B373" s="69" t="str">
        <f t="shared" si="62"/>
        <v>Jan2025105251BASPADRÃO</v>
      </c>
      <c r="C373" s="70">
        <v>1</v>
      </c>
      <c r="D373" s="71">
        <v>45691.489877083332</v>
      </c>
      <c r="E373" s="112" t="s">
        <v>74</v>
      </c>
      <c r="F373" s="72">
        <v>10525</v>
      </c>
      <c r="G373" s="69" t="s">
        <v>282</v>
      </c>
      <c r="H373" s="73">
        <v>1</v>
      </c>
      <c r="I373" s="69" t="s">
        <v>308</v>
      </c>
      <c r="J373" s="69" t="s">
        <v>146</v>
      </c>
      <c r="K373" s="69" t="s">
        <v>303</v>
      </c>
      <c r="L373" s="74"/>
      <c r="M373" s="75"/>
      <c r="N373" s="76"/>
      <c r="O373" s="76"/>
      <c r="P373" s="76"/>
      <c r="Q373" s="76"/>
      <c r="R373" s="76"/>
      <c r="S373" s="76"/>
      <c r="T373" s="76"/>
      <c r="U373" s="76"/>
      <c r="V373" s="76"/>
      <c r="W373" s="76"/>
      <c r="X373" s="76"/>
      <c r="Y373" s="76"/>
      <c r="Z373" s="77">
        <f t="shared" si="38"/>
        <v>0</v>
      </c>
      <c r="AA373" s="78"/>
      <c r="AB373" s="78"/>
      <c r="AC373" s="72" t="s">
        <v>47</v>
      </c>
      <c r="AE373" s="79" t="str">
        <f t="shared" si="63"/>
        <v>Jan10525</v>
      </c>
      <c r="AF373" s="80" t="str">
        <f>IF(N373="","",IF(N373="SIM",VLOOKUP($I373&amp;$J373&amp;N$1,Pesos!$A:$I,7,FALSE),VLOOKUP($I373&amp;$J373&amp;N$1,Pesos!$A:$I,9,FALSE)))</f>
        <v/>
      </c>
      <c r="AG373" s="80" t="str">
        <f>IF(O373="","",IF(O373="SIM",VLOOKUP($I373&amp;$J373&amp;O$1,Pesos!$A:$I,7,FALSE),VLOOKUP($I373&amp;$J373&amp;O$1,Pesos!$A:$I,9,FALSE)))</f>
        <v/>
      </c>
      <c r="AH373" s="80" t="str">
        <f>IF(P373="","",IF(P373="SIM",VLOOKUP($I373&amp;$J373&amp;P$1,Pesos!$A:$I,7,FALSE),VLOOKUP($I373&amp;$J373&amp;P$1,Pesos!$A:$I,9,FALSE)))</f>
        <v/>
      </c>
      <c r="AI373" s="80" t="str">
        <f>IF(Q373="","",IF(Q373="SIM",VLOOKUP($I373&amp;$J373&amp;Q$1,Pesos!$A:$I,7,FALSE),VLOOKUP($I373&amp;$J373&amp;Q$1,Pesos!$A:$I,9,FALSE)))</f>
        <v/>
      </c>
      <c r="AJ373" s="80" t="str">
        <f>IF(R373="","",IF(R373="SIM",VLOOKUP($I373&amp;$J373&amp;R$1,Pesos!$A:$I,7,FALSE),VLOOKUP($I373&amp;$J373&amp;R$1,Pesos!$A:$I,9,FALSE)))</f>
        <v/>
      </c>
      <c r="AK373" s="80" t="str">
        <f>IF(S373="","",IF(S373="SIM",VLOOKUP($I373&amp;$J373&amp;S$1,Pesos!$A:$I,7,FALSE),VLOOKUP($I373&amp;$J373&amp;S$1,Pesos!$A:$I,9,FALSE)))</f>
        <v/>
      </c>
      <c r="AL373" s="80">
        <f t="shared" si="64"/>
        <v>0</v>
      </c>
      <c r="AM373" s="80" t="str">
        <f>IF(T373="","",IF(T373="SIM",VLOOKUP($I373&amp;$J373&amp;T$1,Pesos!$A:$I,7,FALSE),VLOOKUP($I373&amp;$J373&amp;T$1,Pesos!$A:$I,9,FALSE)))</f>
        <v/>
      </c>
      <c r="AN373" s="80" t="str">
        <f>IF(U373="","",IF(U373="SIM",VLOOKUP($I373&amp;$J373&amp;U$1,Pesos!$A:$I,7,FALSE),VLOOKUP($I373&amp;$J373&amp;U$1,Pesos!$A:$I,9,FALSE)))</f>
        <v/>
      </c>
      <c r="AO373" s="80" t="str">
        <f>IF(V373="","",IF(V373="SIM",VLOOKUP($I373&amp;$J373&amp;V$1,Pesos!$A:$I,7,FALSE),VLOOKUP($I373&amp;$J373&amp;V$1,Pesos!$A:$I,9,FALSE)))</f>
        <v/>
      </c>
      <c r="AP373" s="80" t="str">
        <f>IF(W373="","",IF(W373="SIM",VLOOKUP($I373&amp;$J373&amp;W$1,Pesos!$A:$I,7,FALSE),VLOOKUP($I373&amp;$J373&amp;W$1,Pesos!$A:$I,9,FALSE)))</f>
        <v/>
      </c>
      <c r="AQ373" s="80" t="str">
        <f>IF(X373="","",IF(X373="SIM",VLOOKUP($I373&amp;$J373&amp;X$1,Pesos!$A:$I,7,FALSE),VLOOKUP($I373&amp;$J373&amp;X$1,Pesos!$A:$I,9,FALSE)))</f>
        <v/>
      </c>
      <c r="AR373" s="80" t="str">
        <f>IF(Y373="","",IF(Y373="SIM",VLOOKUP($I373&amp;$J373&amp;Y$1,Pesos!$A:$I,7,FALSE),VLOOKUP($I373&amp;$J373&amp;Y$1,Pesos!$A:$I,9,FALSE)))</f>
        <v/>
      </c>
      <c r="AS373" s="81">
        <f>IFERROR(Z373*VLOOKUP(J373,'BD Campos'!$Y$1:$Z$12,2,FALSE),"0")</f>
        <v>0</v>
      </c>
    </row>
    <row r="374" spans="1:45" x14ac:dyDescent="0.35">
      <c r="A374" s="68" t="str">
        <f t="shared" si="61"/>
        <v>Jan202510525Policia 2BAS</v>
      </c>
      <c r="B374" s="69" t="str">
        <f t="shared" si="62"/>
        <v>Jan2025105252BASPADRÃO</v>
      </c>
      <c r="C374" s="70">
        <v>1</v>
      </c>
      <c r="D374" s="71">
        <v>45691.489951967589</v>
      </c>
      <c r="E374" s="112" t="s">
        <v>74</v>
      </c>
      <c r="F374" s="72">
        <v>10525</v>
      </c>
      <c r="G374" s="69" t="s">
        <v>282</v>
      </c>
      <c r="H374" s="73">
        <v>2</v>
      </c>
      <c r="I374" s="69" t="s">
        <v>308</v>
      </c>
      <c r="J374" s="69" t="s">
        <v>304</v>
      </c>
      <c r="K374" s="69" t="s">
        <v>303</v>
      </c>
      <c r="L374" s="74"/>
      <c r="M374" s="75"/>
      <c r="N374" s="76"/>
      <c r="O374" s="76"/>
      <c r="P374" s="76"/>
      <c r="Q374" s="76"/>
      <c r="R374" s="76"/>
      <c r="S374" s="76"/>
      <c r="T374" s="76"/>
      <c r="U374" s="76"/>
      <c r="V374" s="76"/>
      <c r="W374" s="76"/>
      <c r="X374" s="76"/>
      <c r="Y374" s="76"/>
      <c r="Z374" s="77">
        <f t="shared" si="38"/>
        <v>0</v>
      </c>
      <c r="AA374" s="78"/>
      <c r="AB374" s="78"/>
      <c r="AC374" s="72" t="s">
        <v>47</v>
      </c>
      <c r="AE374" s="79" t="str">
        <f t="shared" si="63"/>
        <v>Jan10525</v>
      </c>
      <c r="AF374" s="80" t="str">
        <f>IF(N374="","",IF(N374="SIM",VLOOKUP($I374&amp;$J374&amp;N$1,Pesos!$A:$I,7,FALSE),VLOOKUP($I374&amp;$J374&amp;N$1,Pesos!$A:$I,9,FALSE)))</f>
        <v/>
      </c>
      <c r="AG374" s="80" t="str">
        <f>IF(O374="","",IF(O374="SIM",VLOOKUP($I374&amp;$J374&amp;O$1,Pesos!$A:$I,7,FALSE),VLOOKUP($I374&amp;$J374&amp;O$1,Pesos!$A:$I,9,FALSE)))</f>
        <v/>
      </c>
      <c r="AH374" s="80" t="str">
        <f>IF(P374="","",IF(P374="SIM",VLOOKUP($I374&amp;$J374&amp;P$1,Pesos!$A:$I,7,FALSE),VLOOKUP($I374&amp;$J374&amp;P$1,Pesos!$A:$I,9,FALSE)))</f>
        <v/>
      </c>
      <c r="AI374" s="80" t="str">
        <f>IF(Q374="","",IF(Q374="SIM",VLOOKUP($I374&amp;$J374&amp;Q$1,Pesos!$A:$I,7,FALSE),VLOOKUP($I374&amp;$J374&amp;Q$1,Pesos!$A:$I,9,FALSE)))</f>
        <v/>
      </c>
      <c r="AJ374" s="80" t="str">
        <f>IF(R374="","",IF(R374="SIM",VLOOKUP($I374&amp;$J374&amp;R$1,Pesos!$A:$I,7,FALSE),VLOOKUP($I374&amp;$J374&amp;R$1,Pesos!$A:$I,9,FALSE)))</f>
        <v/>
      </c>
      <c r="AK374" s="80" t="str">
        <f>IF(S374="","",IF(S374="SIM",VLOOKUP($I374&amp;$J374&amp;S$1,Pesos!$A:$I,7,FALSE),VLOOKUP($I374&amp;$J374&amp;S$1,Pesos!$A:$I,9,FALSE)))</f>
        <v/>
      </c>
      <c r="AL374" s="80">
        <f t="shared" si="64"/>
        <v>0</v>
      </c>
      <c r="AM374" s="80" t="str">
        <f>IF(T374="","",IF(T374="SIM",VLOOKUP($I374&amp;$J374&amp;T$1,Pesos!$A:$I,7,FALSE),VLOOKUP($I374&amp;$J374&amp;T$1,Pesos!$A:$I,9,FALSE)))</f>
        <v/>
      </c>
      <c r="AN374" s="80" t="str">
        <f>IF(U374="","",IF(U374="SIM",VLOOKUP($I374&amp;$J374&amp;U$1,Pesos!$A:$I,7,FALSE),VLOOKUP($I374&amp;$J374&amp;U$1,Pesos!$A:$I,9,FALSE)))</f>
        <v/>
      </c>
      <c r="AO374" s="80" t="str">
        <f>IF(V374="","",IF(V374="SIM",VLOOKUP($I374&amp;$J374&amp;V$1,Pesos!$A:$I,7,FALSE),VLOOKUP($I374&amp;$J374&amp;V$1,Pesos!$A:$I,9,FALSE)))</f>
        <v/>
      </c>
      <c r="AP374" s="80" t="str">
        <f>IF(W374="","",IF(W374="SIM",VLOOKUP($I374&amp;$J374&amp;W$1,Pesos!$A:$I,7,FALSE),VLOOKUP($I374&amp;$J374&amp;W$1,Pesos!$A:$I,9,FALSE)))</f>
        <v/>
      </c>
      <c r="AQ374" s="80" t="str">
        <f>IF(X374="","",IF(X374="SIM",VLOOKUP($I374&amp;$J374&amp;X$1,Pesos!$A:$I,7,FALSE),VLOOKUP($I374&amp;$J374&amp;X$1,Pesos!$A:$I,9,FALSE)))</f>
        <v/>
      </c>
      <c r="AR374" s="80" t="str">
        <f>IF(Y374="","",IF(Y374="SIM",VLOOKUP($I374&amp;$J374&amp;Y$1,Pesos!$A:$I,7,FALSE),VLOOKUP($I374&amp;$J374&amp;Y$1,Pesos!$A:$I,9,FALSE)))</f>
        <v/>
      </c>
      <c r="AS374" s="81" t="str">
        <f>IFERROR(Z374*VLOOKUP(J374,'BD Campos'!$Y$1:$Z$12,2,FALSE),"0")</f>
        <v>0</v>
      </c>
    </row>
    <row r="375" spans="1:45" x14ac:dyDescent="0.35">
      <c r="A375" s="68" t="str">
        <f t="shared" si="61"/>
        <v>Jan20251903PoliciaBAS</v>
      </c>
      <c r="B375" s="69" t="str">
        <f t="shared" si="62"/>
        <v>Jan202519031BASPADRÃO</v>
      </c>
      <c r="C375" s="70">
        <v>1</v>
      </c>
      <c r="D375" s="71">
        <v>45691.490059837961</v>
      </c>
      <c r="E375" s="112" t="s">
        <v>74</v>
      </c>
      <c r="F375" s="72">
        <v>1903</v>
      </c>
      <c r="G375" s="69" t="s">
        <v>290</v>
      </c>
      <c r="H375" s="73">
        <v>1</v>
      </c>
      <c r="I375" s="69" t="s">
        <v>308</v>
      </c>
      <c r="J375" s="69" t="s">
        <v>146</v>
      </c>
      <c r="K375" s="69" t="s">
        <v>303</v>
      </c>
      <c r="L375" s="74"/>
      <c r="M375" s="75"/>
      <c r="N375" s="76"/>
      <c r="O375" s="76"/>
      <c r="P375" s="76"/>
      <c r="Q375" s="76"/>
      <c r="R375" s="76"/>
      <c r="S375" s="76"/>
      <c r="T375" s="76"/>
      <c r="U375" s="76"/>
      <c r="V375" s="76"/>
      <c r="W375" s="76"/>
      <c r="X375" s="76"/>
      <c r="Y375" s="76"/>
      <c r="Z375" s="77">
        <f t="shared" si="38"/>
        <v>0</v>
      </c>
      <c r="AA375" s="78"/>
      <c r="AB375" s="78"/>
      <c r="AC375" s="72" t="s">
        <v>47</v>
      </c>
      <c r="AE375" s="79" t="str">
        <f t="shared" si="63"/>
        <v>Jan1903</v>
      </c>
      <c r="AF375" s="80" t="str">
        <f>IF(N375="","",IF(N375="SIM",VLOOKUP($I375&amp;$J375&amp;N$1,Pesos!$A:$I,7,FALSE),VLOOKUP($I375&amp;$J375&amp;N$1,Pesos!$A:$I,9,FALSE)))</f>
        <v/>
      </c>
      <c r="AG375" s="80" t="str">
        <f>IF(O375="","",IF(O375="SIM",VLOOKUP($I375&amp;$J375&amp;O$1,Pesos!$A:$I,7,FALSE),VLOOKUP($I375&amp;$J375&amp;O$1,Pesos!$A:$I,9,FALSE)))</f>
        <v/>
      </c>
      <c r="AH375" s="80" t="str">
        <f>IF(P375="","",IF(P375="SIM",VLOOKUP($I375&amp;$J375&amp;P$1,Pesos!$A:$I,7,FALSE),VLOOKUP($I375&amp;$J375&amp;P$1,Pesos!$A:$I,9,FALSE)))</f>
        <v/>
      </c>
      <c r="AI375" s="80" t="str">
        <f>IF(Q375="","",IF(Q375="SIM",VLOOKUP($I375&amp;$J375&amp;Q$1,Pesos!$A:$I,7,FALSE),VLOOKUP($I375&amp;$J375&amp;Q$1,Pesos!$A:$I,9,FALSE)))</f>
        <v/>
      </c>
      <c r="AJ375" s="80" t="str">
        <f>IF(R375="","",IF(R375="SIM",VLOOKUP($I375&amp;$J375&amp;R$1,Pesos!$A:$I,7,FALSE),VLOOKUP($I375&amp;$J375&amp;R$1,Pesos!$A:$I,9,FALSE)))</f>
        <v/>
      </c>
      <c r="AK375" s="80" t="str">
        <f>IF(S375="","",IF(S375="SIM",VLOOKUP($I375&amp;$J375&amp;S$1,Pesos!$A:$I,7,FALSE),VLOOKUP($I375&amp;$J375&amp;S$1,Pesos!$A:$I,9,FALSE)))</f>
        <v/>
      </c>
      <c r="AL375" s="80">
        <f t="shared" si="64"/>
        <v>0</v>
      </c>
      <c r="AM375" s="80" t="str">
        <f>IF(T375="","",IF(T375="SIM",VLOOKUP($I375&amp;$J375&amp;T$1,Pesos!$A:$I,7,FALSE),VLOOKUP($I375&amp;$J375&amp;T$1,Pesos!$A:$I,9,FALSE)))</f>
        <v/>
      </c>
      <c r="AN375" s="80" t="str">
        <f>IF(U375="","",IF(U375="SIM",VLOOKUP($I375&amp;$J375&amp;U$1,Pesos!$A:$I,7,FALSE),VLOOKUP($I375&amp;$J375&amp;U$1,Pesos!$A:$I,9,FALSE)))</f>
        <v/>
      </c>
      <c r="AO375" s="80" t="str">
        <f>IF(V375="","",IF(V375="SIM",VLOOKUP($I375&amp;$J375&amp;V$1,Pesos!$A:$I,7,FALSE),VLOOKUP($I375&amp;$J375&amp;V$1,Pesos!$A:$I,9,FALSE)))</f>
        <v/>
      </c>
      <c r="AP375" s="80" t="str">
        <f>IF(W375="","",IF(W375="SIM",VLOOKUP($I375&amp;$J375&amp;W$1,Pesos!$A:$I,7,FALSE),VLOOKUP($I375&amp;$J375&amp;W$1,Pesos!$A:$I,9,FALSE)))</f>
        <v/>
      </c>
      <c r="AQ375" s="80" t="str">
        <f>IF(X375="","",IF(X375="SIM",VLOOKUP($I375&amp;$J375&amp;X$1,Pesos!$A:$I,7,FALSE),VLOOKUP($I375&amp;$J375&amp;X$1,Pesos!$A:$I,9,FALSE)))</f>
        <v/>
      </c>
      <c r="AR375" s="80" t="str">
        <f>IF(Y375="","",IF(Y375="SIM",VLOOKUP($I375&amp;$J375&amp;Y$1,Pesos!$A:$I,7,FALSE),VLOOKUP($I375&amp;$J375&amp;Y$1,Pesos!$A:$I,9,FALSE)))</f>
        <v/>
      </c>
      <c r="AS375" s="81">
        <f>IFERROR(Z375*VLOOKUP(J375,'BD Campos'!$Y$1:$Z$12,2,FALSE),"0")</f>
        <v>0</v>
      </c>
    </row>
    <row r="376" spans="1:45" x14ac:dyDescent="0.35">
      <c r="A376" s="68" t="str">
        <f t="shared" si="61"/>
        <v>Jan20251903Policia 2BAS</v>
      </c>
      <c r="B376" s="69" t="str">
        <f t="shared" si="62"/>
        <v>Jan202519032BASPADRÃO</v>
      </c>
      <c r="C376" s="70">
        <v>1</v>
      </c>
      <c r="D376" s="71">
        <v>45691.49009861111</v>
      </c>
      <c r="E376" s="112" t="s">
        <v>74</v>
      </c>
      <c r="F376" s="72">
        <v>1903</v>
      </c>
      <c r="G376" s="69" t="s">
        <v>290</v>
      </c>
      <c r="H376" s="73">
        <v>2</v>
      </c>
      <c r="I376" s="69" t="s">
        <v>308</v>
      </c>
      <c r="J376" s="69" t="s">
        <v>304</v>
      </c>
      <c r="K376" s="69" t="s">
        <v>303</v>
      </c>
      <c r="L376" s="74"/>
      <c r="M376" s="75"/>
      <c r="N376" s="76"/>
      <c r="O376" s="76"/>
      <c r="P376" s="76"/>
      <c r="Q376" s="76"/>
      <c r="R376" s="76"/>
      <c r="S376" s="76"/>
      <c r="T376" s="76"/>
      <c r="U376" s="76"/>
      <c r="V376" s="76"/>
      <c r="W376" s="76"/>
      <c r="X376" s="76"/>
      <c r="Y376" s="76"/>
      <c r="Z376" s="77">
        <f t="shared" si="38"/>
        <v>0</v>
      </c>
      <c r="AA376" s="78"/>
      <c r="AB376" s="78"/>
      <c r="AC376" s="72" t="s">
        <v>47</v>
      </c>
      <c r="AE376" s="79" t="str">
        <f t="shared" si="63"/>
        <v>Jan1903</v>
      </c>
      <c r="AF376" s="80" t="str">
        <f>IF(N376="","",IF(N376="SIM",VLOOKUP($I376&amp;$J376&amp;N$1,Pesos!$A:$I,7,FALSE),VLOOKUP($I376&amp;$J376&amp;N$1,Pesos!$A:$I,9,FALSE)))</f>
        <v/>
      </c>
      <c r="AG376" s="80" t="str">
        <f>IF(O376="","",IF(O376="SIM",VLOOKUP($I376&amp;$J376&amp;O$1,Pesos!$A:$I,7,FALSE),VLOOKUP($I376&amp;$J376&amp;O$1,Pesos!$A:$I,9,FALSE)))</f>
        <v/>
      </c>
      <c r="AH376" s="80" t="str">
        <f>IF(P376="","",IF(P376="SIM",VLOOKUP($I376&amp;$J376&amp;P$1,Pesos!$A:$I,7,FALSE),VLOOKUP($I376&amp;$J376&amp;P$1,Pesos!$A:$I,9,FALSE)))</f>
        <v/>
      </c>
      <c r="AI376" s="80" t="str">
        <f>IF(Q376="","",IF(Q376="SIM",VLOOKUP($I376&amp;$J376&amp;Q$1,Pesos!$A:$I,7,FALSE),VLOOKUP($I376&amp;$J376&amp;Q$1,Pesos!$A:$I,9,FALSE)))</f>
        <v/>
      </c>
      <c r="AJ376" s="80" t="str">
        <f>IF(R376="","",IF(R376="SIM",VLOOKUP($I376&amp;$J376&amp;R$1,Pesos!$A:$I,7,FALSE),VLOOKUP($I376&amp;$J376&amp;R$1,Pesos!$A:$I,9,FALSE)))</f>
        <v/>
      </c>
      <c r="AK376" s="80" t="str">
        <f>IF(S376="","",IF(S376="SIM",VLOOKUP($I376&amp;$J376&amp;S$1,Pesos!$A:$I,7,FALSE),VLOOKUP($I376&amp;$J376&amp;S$1,Pesos!$A:$I,9,FALSE)))</f>
        <v/>
      </c>
      <c r="AL376" s="80">
        <f t="shared" si="64"/>
        <v>0</v>
      </c>
      <c r="AM376" s="80" t="str">
        <f>IF(T376="","",IF(T376="SIM",VLOOKUP($I376&amp;$J376&amp;T$1,Pesos!$A:$I,7,FALSE),VLOOKUP($I376&amp;$J376&amp;T$1,Pesos!$A:$I,9,FALSE)))</f>
        <v/>
      </c>
      <c r="AN376" s="80" t="str">
        <f>IF(U376="","",IF(U376="SIM",VLOOKUP($I376&amp;$J376&amp;U$1,Pesos!$A:$I,7,FALSE),VLOOKUP($I376&amp;$J376&amp;U$1,Pesos!$A:$I,9,FALSE)))</f>
        <v/>
      </c>
      <c r="AO376" s="80" t="str">
        <f>IF(V376="","",IF(V376="SIM",VLOOKUP($I376&amp;$J376&amp;V$1,Pesos!$A:$I,7,FALSE),VLOOKUP($I376&amp;$J376&amp;V$1,Pesos!$A:$I,9,FALSE)))</f>
        <v/>
      </c>
      <c r="AP376" s="80" t="str">
        <f>IF(W376="","",IF(W376="SIM",VLOOKUP($I376&amp;$J376&amp;W$1,Pesos!$A:$I,7,FALSE),VLOOKUP($I376&amp;$J376&amp;W$1,Pesos!$A:$I,9,FALSE)))</f>
        <v/>
      </c>
      <c r="AQ376" s="80" t="str">
        <f>IF(X376="","",IF(X376="SIM",VLOOKUP($I376&amp;$J376&amp;X$1,Pesos!$A:$I,7,FALSE),VLOOKUP($I376&amp;$J376&amp;X$1,Pesos!$A:$I,9,FALSE)))</f>
        <v/>
      </c>
      <c r="AR376" s="80" t="str">
        <f>IF(Y376="","",IF(Y376="SIM",VLOOKUP($I376&amp;$J376&amp;Y$1,Pesos!$A:$I,7,FALSE),VLOOKUP($I376&amp;$J376&amp;Y$1,Pesos!$A:$I,9,FALSE)))</f>
        <v/>
      </c>
      <c r="AS376" s="81" t="str">
        <f>IFERROR(Z376*VLOOKUP(J376,'BD Campos'!$Y$1:$Z$12,2,FALSE),"0")</f>
        <v>0</v>
      </c>
    </row>
    <row r="377" spans="1:45" x14ac:dyDescent="0.35">
      <c r="A377" s="68" t="str">
        <f t="shared" si="61"/>
        <v>Jan202510979Policia 2BAS</v>
      </c>
      <c r="B377" s="69" t="str">
        <f t="shared" si="62"/>
        <v>Jan2025109792BASPADRÃO</v>
      </c>
      <c r="C377" s="70">
        <v>1</v>
      </c>
      <c r="D377" s="71">
        <v>45691.490464930554</v>
      </c>
      <c r="E377" s="112" t="s">
        <v>74</v>
      </c>
      <c r="F377" s="72">
        <v>10979</v>
      </c>
      <c r="G377" s="69" t="s">
        <v>160</v>
      </c>
      <c r="H377" s="73">
        <v>2</v>
      </c>
      <c r="I377" s="69" t="s">
        <v>308</v>
      </c>
      <c r="J377" s="69" t="s">
        <v>304</v>
      </c>
      <c r="K377" s="69" t="s">
        <v>303</v>
      </c>
      <c r="L377" s="74"/>
      <c r="M377" s="75"/>
      <c r="N377" s="76"/>
      <c r="O377" s="76"/>
      <c r="P377" s="76"/>
      <c r="Q377" s="76"/>
      <c r="R377" s="76"/>
      <c r="S377" s="76"/>
      <c r="T377" s="76"/>
      <c r="U377" s="76"/>
      <c r="V377" s="76"/>
      <c r="W377" s="76"/>
      <c r="X377" s="76"/>
      <c r="Y377" s="76"/>
      <c r="Z377" s="77">
        <f t="shared" si="38"/>
        <v>0</v>
      </c>
      <c r="AA377" s="78"/>
      <c r="AB377" s="78"/>
      <c r="AC377" s="72" t="s">
        <v>47</v>
      </c>
      <c r="AE377" s="79" t="str">
        <f t="shared" si="63"/>
        <v>Jan10979</v>
      </c>
      <c r="AF377" s="80" t="str">
        <f>IF(N377="","",IF(N377="SIM",VLOOKUP($I377&amp;$J377&amp;N$1,Pesos!$A:$I,7,FALSE),VLOOKUP($I377&amp;$J377&amp;N$1,Pesos!$A:$I,9,FALSE)))</f>
        <v/>
      </c>
      <c r="AG377" s="80" t="str">
        <f>IF(O377="","",IF(O377="SIM",VLOOKUP($I377&amp;$J377&amp;O$1,Pesos!$A:$I,7,FALSE),VLOOKUP($I377&amp;$J377&amp;O$1,Pesos!$A:$I,9,FALSE)))</f>
        <v/>
      </c>
      <c r="AH377" s="80" t="str">
        <f>IF(P377="","",IF(P377="SIM",VLOOKUP($I377&amp;$J377&amp;P$1,Pesos!$A:$I,7,FALSE),VLOOKUP($I377&amp;$J377&amp;P$1,Pesos!$A:$I,9,FALSE)))</f>
        <v/>
      </c>
      <c r="AI377" s="80" t="str">
        <f>IF(Q377="","",IF(Q377="SIM",VLOOKUP($I377&amp;$J377&amp;Q$1,Pesos!$A:$I,7,FALSE),VLOOKUP($I377&amp;$J377&amp;Q$1,Pesos!$A:$I,9,FALSE)))</f>
        <v/>
      </c>
      <c r="AJ377" s="80" t="str">
        <f>IF(R377="","",IF(R377="SIM",VLOOKUP($I377&amp;$J377&amp;R$1,Pesos!$A:$I,7,FALSE),VLOOKUP($I377&amp;$J377&amp;R$1,Pesos!$A:$I,9,FALSE)))</f>
        <v/>
      </c>
      <c r="AK377" s="80" t="str">
        <f>IF(S377="","",IF(S377="SIM",VLOOKUP($I377&amp;$J377&amp;S$1,Pesos!$A:$I,7,FALSE),VLOOKUP($I377&amp;$J377&amp;S$1,Pesos!$A:$I,9,FALSE)))</f>
        <v/>
      </c>
      <c r="AL377" s="80">
        <f t="shared" si="64"/>
        <v>0</v>
      </c>
      <c r="AM377" s="80" t="str">
        <f>IF(T377="","",IF(T377="SIM",VLOOKUP($I377&amp;$J377&amp;T$1,Pesos!$A:$I,7,FALSE),VLOOKUP($I377&amp;$J377&amp;T$1,Pesos!$A:$I,9,FALSE)))</f>
        <v/>
      </c>
      <c r="AN377" s="80" t="str">
        <f>IF(U377="","",IF(U377="SIM",VLOOKUP($I377&amp;$J377&amp;U$1,Pesos!$A:$I,7,FALSE),VLOOKUP($I377&amp;$J377&amp;U$1,Pesos!$A:$I,9,FALSE)))</f>
        <v/>
      </c>
      <c r="AO377" s="80" t="str">
        <f>IF(V377="","",IF(V377="SIM",VLOOKUP($I377&amp;$J377&amp;V$1,Pesos!$A:$I,7,FALSE),VLOOKUP($I377&amp;$J377&amp;V$1,Pesos!$A:$I,9,FALSE)))</f>
        <v/>
      </c>
      <c r="AP377" s="80" t="str">
        <f>IF(W377="","",IF(W377="SIM",VLOOKUP($I377&amp;$J377&amp;W$1,Pesos!$A:$I,7,FALSE),VLOOKUP($I377&amp;$J377&amp;W$1,Pesos!$A:$I,9,FALSE)))</f>
        <v/>
      </c>
      <c r="AQ377" s="80" t="str">
        <f>IF(X377="","",IF(X377="SIM",VLOOKUP($I377&amp;$J377&amp;X$1,Pesos!$A:$I,7,FALSE),VLOOKUP($I377&amp;$J377&amp;X$1,Pesos!$A:$I,9,FALSE)))</f>
        <v/>
      </c>
      <c r="AR377" s="80" t="str">
        <f>IF(Y377="","",IF(Y377="SIM",VLOOKUP($I377&amp;$J377&amp;Y$1,Pesos!$A:$I,7,FALSE),VLOOKUP($I377&amp;$J377&amp;Y$1,Pesos!$A:$I,9,FALSE)))</f>
        <v/>
      </c>
      <c r="AS377" s="81" t="str">
        <f>IFERROR(Z377*VLOOKUP(J377,'BD Campos'!$Y$1:$Z$12,2,FALSE),"0")</f>
        <v>0</v>
      </c>
    </row>
    <row r="378" spans="1:45" x14ac:dyDescent="0.35">
      <c r="A378" s="68" t="str">
        <f t="shared" si="61"/>
        <v>Jan20251962PoliciaBAS</v>
      </c>
      <c r="B378" s="69" t="str">
        <f t="shared" si="62"/>
        <v>Jan202519621BASPADRÃO</v>
      </c>
      <c r="C378" s="70">
        <v>1</v>
      </c>
      <c r="D378" s="71">
        <v>45691.491498842595</v>
      </c>
      <c r="E378" s="112" t="s">
        <v>74</v>
      </c>
      <c r="F378" s="72">
        <v>1962</v>
      </c>
      <c r="G378" s="69" t="s">
        <v>311</v>
      </c>
      <c r="H378" s="73">
        <v>1</v>
      </c>
      <c r="I378" s="69" t="s">
        <v>308</v>
      </c>
      <c r="J378" s="69" t="s">
        <v>146</v>
      </c>
      <c r="K378" s="69" t="s">
        <v>303</v>
      </c>
      <c r="L378" s="74"/>
      <c r="M378" s="75"/>
      <c r="N378" s="76"/>
      <c r="O378" s="76"/>
      <c r="P378" s="76"/>
      <c r="Q378" s="76"/>
      <c r="R378" s="76"/>
      <c r="S378" s="76"/>
      <c r="T378" s="76"/>
      <c r="U378" s="76"/>
      <c r="V378" s="76"/>
      <c r="W378" s="76"/>
      <c r="X378" s="76"/>
      <c r="Y378" s="76"/>
      <c r="Z378" s="77">
        <f t="shared" si="38"/>
        <v>0</v>
      </c>
      <c r="AA378" s="78"/>
      <c r="AB378" s="78"/>
      <c r="AC378" s="72" t="s">
        <v>47</v>
      </c>
      <c r="AE378" s="79" t="str">
        <f t="shared" si="63"/>
        <v>Jan1962</v>
      </c>
      <c r="AF378" s="80" t="str">
        <f>IF(N378="","",IF(N378="SIM",VLOOKUP($I378&amp;$J378&amp;N$1,Pesos!$A:$I,7,FALSE),VLOOKUP($I378&amp;$J378&amp;N$1,Pesos!$A:$I,9,FALSE)))</f>
        <v/>
      </c>
      <c r="AG378" s="80" t="str">
        <f>IF(O378="","",IF(O378="SIM",VLOOKUP($I378&amp;$J378&amp;O$1,Pesos!$A:$I,7,FALSE),VLOOKUP($I378&amp;$J378&amp;O$1,Pesos!$A:$I,9,FALSE)))</f>
        <v/>
      </c>
      <c r="AH378" s="80" t="str">
        <f>IF(P378="","",IF(P378="SIM",VLOOKUP($I378&amp;$J378&amp;P$1,Pesos!$A:$I,7,FALSE),VLOOKUP($I378&amp;$J378&amp;P$1,Pesos!$A:$I,9,FALSE)))</f>
        <v/>
      </c>
      <c r="AI378" s="80" t="str">
        <f>IF(Q378="","",IF(Q378="SIM",VLOOKUP($I378&amp;$J378&amp;Q$1,Pesos!$A:$I,7,FALSE),VLOOKUP($I378&amp;$J378&amp;Q$1,Pesos!$A:$I,9,FALSE)))</f>
        <v/>
      </c>
      <c r="AJ378" s="80" t="str">
        <f>IF(R378="","",IF(R378="SIM",VLOOKUP($I378&amp;$J378&amp;R$1,Pesos!$A:$I,7,FALSE),VLOOKUP($I378&amp;$J378&amp;R$1,Pesos!$A:$I,9,FALSE)))</f>
        <v/>
      </c>
      <c r="AK378" s="80" t="str">
        <f>IF(S378="","",IF(S378="SIM",VLOOKUP($I378&amp;$J378&amp;S$1,Pesos!$A:$I,7,FALSE),VLOOKUP($I378&amp;$J378&amp;S$1,Pesos!$A:$I,9,FALSE)))</f>
        <v/>
      </c>
      <c r="AL378" s="80">
        <f t="shared" si="64"/>
        <v>0</v>
      </c>
      <c r="AM378" s="80" t="str">
        <f>IF(T378="","",IF(T378="SIM",VLOOKUP($I378&amp;$J378&amp;T$1,Pesos!$A:$I,7,FALSE),VLOOKUP($I378&amp;$J378&amp;T$1,Pesos!$A:$I,9,FALSE)))</f>
        <v/>
      </c>
      <c r="AN378" s="80" t="str">
        <f>IF(U378="","",IF(U378="SIM",VLOOKUP($I378&amp;$J378&amp;U$1,Pesos!$A:$I,7,FALSE),VLOOKUP($I378&amp;$J378&amp;U$1,Pesos!$A:$I,9,FALSE)))</f>
        <v/>
      </c>
      <c r="AO378" s="80" t="str">
        <f>IF(V378="","",IF(V378="SIM",VLOOKUP($I378&amp;$J378&amp;V$1,Pesos!$A:$I,7,FALSE),VLOOKUP($I378&amp;$J378&amp;V$1,Pesos!$A:$I,9,FALSE)))</f>
        <v/>
      </c>
      <c r="AP378" s="80" t="str">
        <f>IF(W378="","",IF(W378="SIM",VLOOKUP($I378&amp;$J378&amp;W$1,Pesos!$A:$I,7,FALSE),VLOOKUP($I378&amp;$J378&amp;W$1,Pesos!$A:$I,9,FALSE)))</f>
        <v/>
      </c>
      <c r="AQ378" s="80" t="str">
        <f>IF(X378="","",IF(X378="SIM",VLOOKUP($I378&amp;$J378&amp;X$1,Pesos!$A:$I,7,FALSE),VLOOKUP($I378&amp;$J378&amp;X$1,Pesos!$A:$I,9,FALSE)))</f>
        <v/>
      </c>
      <c r="AR378" s="80" t="str">
        <f>IF(Y378="","",IF(Y378="SIM",VLOOKUP($I378&amp;$J378&amp;Y$1,Pesos!$A:$I,7,FALSE),VLOOKUP($I378&amp;$J378&amp;Y$1,Pesos!$A:$I,9,FALSE)))</f>
        <v/>
      </c>
      <c r="AS378" s="81">
        <f>IFERROR(Z378*VLOOKUP(J378,'BD Campos'!$Y$1:$Z$12,2,FALSE),"0")</f>
        <v>0</v>
      </c>
    </row>
    <row r="379" spans="1:45" x14ac:dyDescent="0.35">
      <c r="A379" s="68" t="str">
        <f t="shared" si="61"/>
        <v>Jan20251962Policia 2BAS</v>
      </c>
      <c r="B379" s="69" t="str">
        <f t="shared" si="62"/>
        <v>Jan202519622BASPADRÃO</v>
      </c>
      <c r="C379" s="70">
        <v>1</v>
      </c>
      <c r="D379" s="71">
        <v>45691.49156678241</v>
      </c>
      <c r="E379" s="112" t="s">
        <v>74</v>
      </c>
      <c r="F379" s="72">
        <v>1962</v>
      </c>
      <c r="G379" s="69" t="s">
        <v>311</v>
      </c>
      <c r="H379" s="73">
        <v>2</v>
      </c>
      <c r="I379" s="69" t="s">
        <v>308</v>
      </c>
      <c r="J379" s="69" t="s">
        <v>304</v>
      </c>
      <c r="K379" s="69" t="s">
        <v>303</v>
      </c>
      <c r="L379" s="74"/>
      <c r="M379" s="75"/>
      <c r="N379" s="76"/>
      <c r="O379" s="76"/>
      <c r="P379" s="76"/>
      <c r="Q379" s="76"/>
      <c r="R379" s="76"/>
      <c r="S379" s="76"/>
      <c r="T379" s="76"/>
      <c r="U379" s="76"/>
      <c r="V379" s="76"/>
      <c r="W379" s="76"/>
      <c r="X379" s="76"/>
      <c r="Y379" s="76"/>
      <c r="Z379" s="77">
        <f t="shared" si="38"/>
        <v>0</v>
      </c>
      <c r="AA379" s="78"/>
      <c r="AB379" s="78"/>
      <c r="AC379" s="72" t="s">
        <v>47</v>
      </c>
      <c r="AE379" s="79" t="str">
        <f t="shared" si="63"/>
        <v>Jan1962</v>
      </c>
      <c r="AF379" s="80" t="str">
        <f>IF(N379="","",IF(N379="SIM",VLOOKUP($I379&amp;$J379&amp;N$1,Pesos!$A:$I,7,FALSE),VLOOKUP($I379&amp;$J379&amp;N$1,Pesos!$A:$I,9,FALSE)))</f>
        <v/>
      </c>
      <c r="AG379" s="80" t="str">
        <f>IF(O379="","",IF(O379="SIM",VLOOKUP($I379&amp;$J379&amp;O$1,Pesos!$A:$I,7,FALSE),VLOOKUP($I379&amp;$J379&amp;O$1,Pesos!$A:$I,9,FALSE)))</f>
        <v/>
      </c>
      <c r="AH379" s="80" t="str">
        <f>IF(P379="","",IF(P379="SIM",VLOOKUP($I379&amp;$J379&amp;P$1,Pesos!$A:$I,7,FALSE),VLOOKUP($I379&amp;$J379&amp;P$1,Pesos!$A:$I,9,FALSE)))</f>
        <v/>
      </c>
      <c r="AI379" s="80" t="str">
        <f>IF(Q379="","",IF(Q379="SIM",VLOOKUP($I379&amp;$J379&amp;Q$1,Pesos!$A:$I,7,FALSE),VLOOKUP($I379&amp;$J379&amp;Q$1,Pesos!$A:$I,9,FALSE)))</f>
        <v/>
      </c>
      <c r="AJ379" s="80" t="str">
        <f>IF(R379="","",IF(R379="SIM",VLOOKUP($I379&amp;$J379&amp;R$1,Pesos!$A:$I,7,FALSE),VLOOKUP($I379&amp;$J379&amp;R$1,Pesos!$A:$I,9,FALSE)))</f>
        <v/>
      </c>
      <c r="AK379" s="80" t="str">
        <f>IF(S379="","",IF(S379="SIM",VLOOKUP($I379&amp;$J379&amp;S$1,Pesos!$A:$I,7,FALSE),VLOOKUP($I379&amp;$J379&amp;S$1,Pesos!$A:$I,9,FALSE)))</f>
        <v/>
      </c>
      <c r="AL379" s="80">
        <f t="shared" si="64"/>
        <v>0</v>
      </c>
      <c r="AM379" s="80" t="str">
        <f>IF(T379="","",IF(T379="SIM",VLOOKUP($I379&amp;$J379&amp;T$1,Pesos!$A:$I,7,FALSE),VLOOKUP($I379&amp;$J379&amp;T$1,Pesos!$A:$I,9,FALSE)))</f>
        <v/>
      </c>
      <c r="AN379" s="80" t="str">
        <f>IF(U379="","",IF(U379="SIM",VLOOKUP($I379&amp;$J379&amp;U$1,Pesos!$A:$I,7,FALSE),VLOOKUP($I379&amp;$J379&amp;U$1,Pesos!$A:$I,9,FALSE)))</f>
        <v/>
      </c>
      <c r="AO379" s="80" t="str">
        <f>IF(V379="","",IF(V379="SIM",VLOOKUP($I379&amp;$J379&amp;V$1,Pesos!$A:$I,7,FALSE),VLOOKUP($I379&amp;$J379&amp;V$1,Pesos!$A:$I,9,FALSE)))</f>
        <v/>
      </c>
      <c r="AP379" s="80" t="str">
        <f>IF(W379="","",IF(W379="SIM",VLOOKUP($I379&amp;$J379&amp;W$1,Pesos!$A:$I,7,FALSE),VLOOKUP($I379&amp;$J379&amp;W$1,Pesos!$A:$I,9,FALSE)))</f>
        <v/>
      </c>
      <c r="AQ379" s="80" t="str">
        <f>IF(X379="","",IF(X379="SIM",VLOOKUP($I379&amp;$J379&amp;X$1,Pesos!$A:$I,7,FALSE),VLOOKUP($I379&amp;$J379&amp;X$1,Pesos!$A:$I,9,FALSE)))</f>
        <v/>
      </c>
      <c r="AR379" s="80" t="str">
        <f>IF(Y379="","",IF(Y379="SIM",VLOOKUP($I379&amp;$J379&amp;Y$1,Pesos!$A:$I,7,FALSE),VLOOKUP($I379&amp;$J379&amp;Y$1,Pesos!$A:$I,9,FALSE)))</f>
        <v/>
      </c>
      <c r="AS379" s="81" t="str">
        <f>IFERROR(Z379*VLOOKUP(J379,'BD Campos'!$Y$1:$Z$12,2,FALSE),"0")</f>
        <v>0</v>
      </c>
    </row>
    <row r="380" spans="1:45" x14ac:dyDescent="0.35">
      <c r="A380" s="68" t="str">
        <f t="shared" si="61"/>
        <v>Jan202510489LOGÍSTICA</v>
      </c>
      <c r="B380" s="69" t="str">
        <f t="shared" si="62"/>
        <v>Jan2025104891LOGÍSTICAPADRÃO</v>
      </c>
      <c r="C380" s="70">
        <v>1</v>
      </c>
      <c r="D380" s="71">
        <v>45691.492010532405</v>
      </c>
      <c r="E380" s="112" t="s">
        <v>74</v>
      </c>
      <c r="F380" s="72">
        <v>10489</v>
      </c>
      <c r="G380" s="69" t="s">
        <v>205</v>
      </c>
      <c r="H380" s="73">
        <v>1</v>
      </c>
      <c r="I380" s="69" t="s">
        <v>308</v>
      </c>
      <c r="J380" s="69"/>
      <c r="K380" s="69" t="s">
        <v>184</v>
      </c>
      <c r="L380" s="74"/>
      <c r="M380" s="75"/>
      <c r="N380" s="76"/>
      <c r="O380" s="76"/>
      <c r="P380" s="76"/>
      <c r="Q380" s="76"/>
      <c r="R380" s="76"/>
      <c r="S380" s="76"/>
      <c r="T380" s="76"/>
      <c r="U380" s="76"/>
      <c r="V380" s="76"/>
      <c r="W380" s="76"/>
      <c r="X380" s="76"/>
      <c r="Y380" s="76"/>
      <c r="Z380" s="77">
        <f t="shared" si="38"/>
        <v>0</v>
      </c>
      <c r="AA380" s="78"/>
      <c r="AB380" s="78"/>
      <c r="AC380" s="72" t="s">
        <v>47</v>
      </c>
      <c r="AE380" s="79" t="str">
        <f t="shared" si="63"/>
        <v>Jan10489</v>
      </c>
      <c r="AF380" s="80" t="str">
        <f>IF(N380="","",IF(N380="SIM",VLOOKUP($I380&amp;$J380&amp;N$1,Pesos!$A:$I,7,FALSE),VLOOKUP($I380&amp;$J380&amp;N$1,Pesos!$A:$I,9,FALSE)))</f>
        <v/>
      </c>
      <c r="AG380" s="80" t="str">
        <f>IF(O380="","",IF(O380="SIM",VLOOKUP($I380&amp;$J380&amp;O$1,Pesos!$A:$I,7,FALSE),VLOOKUP($I380&amp;$J380&amp;O$1,Pesos!$A:$I,9,FALSE)))</f>
        <v/>
      </c>
      <c r="AH380" s="80" t="str">
        <f>IF(P380="","",IF(P380="SIM",VLOOKUP($I380&amp;$J380&amp;P$1,Pesos!$A:$I,7,FALSE),VLOOKUP($I380&amp;$J380&amp;P$1,Pesos!$A:$I,9,FALSE)))</f>
        <v/>
      </c>
      <c r="AI380" s="80" t="str">
        <f>IF(Q380="","",IF(Q380="SIM",VLOOKUP($I380&amp;$J380&amp;Q$1,Pesos!$A:$I,7,FALSE),VLOOKUP($I380&amp;$J380&amp;Q$1,Pesos!$A:$I,9,FALSE)))</f>
        <v/>
      </c>
      <c r="AJ380" s="80" t="str">
        <f>IF(R380="","",IF(R380="SIM",VLOOKUP($I380&amp;$J380&amp;R$1,Pesos!$A:$I,7,FALSE),VLOOKUP($I380&amp;$J380&amp;R$1,Pesos!$A:$I,9,FALSE)))</f>
        <v/>
      </c>
      <c r="AK380" s="80" t="str">
        <f>IF(S380="","",IF(S380="SIM",VLOOKUP($I380&amp;$J380&amp;S$1,Pesos!$A:$I,7,FALSE),VLOOKUP($I380&amp;$J380&amp;S$1,Pesos!$A:$I,9,FALSE)))</f>
        <v/>
      </c>
      <c r="AL380" s="80">
        <f t="shared" si="64"/>
        <v>0</v>
      </c>
      <c r="AM380" s="80" t="str">
        <f>IF(T380="","",IF(T380="SIM",VLOOKUP($I380&amp;$J380&amp;T$1,Pesos!$A:$I,7,FALSE),VLOOKUP($I380&amp;$J380&amp;T$1,Pesos!$A:$I,9,FALSE)))</f>
        <v/>
      </c>
      <c r="AN380" s="80" t="str">
        <f>IF(U380="","",IF(U380="SIM",VLOOKUP($I380&amp;$J380&amp;U$1,Pesos!$A:$I,7,FALSE),VLOOKUP($I380&amp;$J380&amp;U$1,Pesos!$A:$I,9,FALSE)))</f>
        <v/>
      </c>
      <c r="AO380" s="80" t="str">
        <f>IF(V380="","",IF(V380="SIM",VLOOKUP($I380&amp;$J380&amp;V$1,Pesos!$A:$I,7,FALSE),VLOOKUP($I380&amp;$J380&amp;V$1,Pesos!$A:$I,9,FALSE)))</f>
        <v/>
      </c>
      <c r="AP380" s="80" t="str">
        <f>IF(W380="","",IF(W380="SIM",VLOOKUP($I380&amp;$J380&amp;W$1,Pesos!$A:$I,7,FALSE),VLOOKUP($I380&amp;$J380&amp;W$1,Pesos!$A:$I,9,FALSE)))</f>
        <v/>
      </c>
      <c r="AQ380" s="80" t="str">
        <f>IF(X380="","",IF(X380="SIM",VLOOKUP($I380&amp;$J380&amp;X$1,Pesos!$A:$I,7,FALSE),VLOOKUP($I380&amp;$J380&amp;X$1,Pesos!$A:$I,9,FALSE)))</f>
        <v/>
      </c>
      <c r="AR380" s="80" t="str">
        <f>IF(Y380="","",IF(Y380="SIM",VLOOKUP($I380&amp;$J380&amp;Y$1,Pesos!$A:$I,7,FALSE),VLOOKUP($I380&amp;$J380&amp;Y$1,Pesos!$A:$I,9,FALSE)))</f>
        <v/>
      </c>
      <c r="AS380" s="81" t="str">
        <f>IFERROR(Z380*VLOOKUP(J380,'BD Campos'!$Y$1:$Z$12,2,FALSE),"0")</f>
        <v>0</v>
      </c>
    </row>
    <row r="381" spans="1:45" x14ac:dyDescent="0.35">
      <c r="A381" s="68" t="str">
        <f t="shared" si="61"/>
        <v>Jan202510489LOGÍSTICA</v>
      </c>
      <c r="B381" s="69" t="str">
        <f t="shared" si="62"/>
        <v>Jan2025104892LOGÍSTICAPADRÃO</v>
      </c>
      <c r="C381" s="70">
        <v>1</v>
      </c>
      <c r="D381" s="71">
        <v>45691.49204409722</v>
      </c>
      <c r="E381" s="112" t="s">
        <v>74</v>
      </c>
      <c r="F381" s="72">
        <v>10489</v>
      </c>
      <c r="G381" s="69" t="s">
        <v>205</v>
      </c>
      <c r="H381" s="73">
        <v>2</v>
      </c>
      <c r="I381" s="69" t="s">
        <v>308</v>
      </c>
      <c r="J381" s="69"/>
      <c r="K381" s="69" t="s">
        <v>184</v>
      </c>
      <c r="L381" s="74"/>
      <c r="M381" s="75"/>
      <c r="N381" s="76"/>
      <c r="O381" s="76"/>
      <c r="P381" s="76"/>
      <c r="Q381" s="76"/>
      <c r="R381" s="76"/>
      <c r="S381" s="76"/>
      <c r="T381" s="76"/>
      <c r="U381" s="76"/>
      <c r="V381" s="76"/>
      <c r="W381" s="76"/>
      <c r="X381" s="76"/>
      <c r="Y381" s="76"/>
      <c r="Z381" s="77">
        <f t="shared" si="38"/>
        <v>0</v>
      </c>
      <c r="AA381" s="78"/>
      <c r="AB381" s="78"/>
      <c r="AC381" s="72" t="s">
        <v>47</v>
      </c>
      <c r="AE381" s="79" t="str">
        <f t="shared" si="63"/>
        <v>Jan10489</v>
      </c>
      <c r="AF381" s="80" t="str">
        <f>IF(N381="","",IF(N381="SIM",VLOOKUP($I381&amp;$J381&amp;N$1,Pesos!$A:$I,7,FALSE),VLOOKUP($I381&amp;$J381&amp;N$1,Pesos!$A:$I,9,FALSE)))</f>
        <v/>
      </c>
      <c r="AG381" s="80" t="str">
        <f>IF(O381="","",IF(O381="SIM",VLOOKUP($I381&amp;$J381&amp;O$1,Pesos!$A:$I,7,FALSE),VLOOKUP($I381&amp;$J381&amp;O$1,Pesos!$A:$I,9,FALSE)))</f>
        <v/>
      </c>
      <c r="AH381" s="80" t="str">
        <f>IF(P381="","",IF(P381="SIM",VLOOKUP($I381&amp;$J381&amp;P$1,Pesos!$A:$I,7,FALSE),VLOOKUP($I381&amp;$J381&amp;P$1,Pesos!$A:$I,9,FALSE)))</f>
        <v/>
      </c>
      <c r="AI381" s="80" t="str">
        <f>IF(Q381="","",IF(Q381="SIM",VLOOKUP($I381&amp;$J381&amp;Q$1,Pesos!$A:$I,7,FALSE),VLOOKUP($I381&amp;$J381&amp;Q$1,Pesos!$A:$I,9,FALSE)))</f>
        <v/>
      </c>
      <c r="AJ381" s="80" t="str">
        <f>IF(R381="","",IF(R381="SIM",VLOOKUP($I381&amp;$J381&amp;R$1,Pesos!$A:$I,7,FALSE),VLOOKUP($I381&amp;$J381&amp;R$1,Pesos!$A:$I,9,FALSE)))</f>
        <v/>
      </c>
      <c r="AK381" s="80" t="str">
        <f>IF(S381="","",IF(S381="SIM",VLOOKUP($I381&amp;$J381&amp;S$1,Pesos!$A:$I,7,FALSE),VLOOKUP($I381&amp;$J381&amp;S$1,Pesos!$A:$I,9,FALSE)))</f>
        <v/>
      </c>
      <c r="AL381" s="80">
        <f t="shared" si="64"/>
        <v>0</v>
      </c>
      <c r="AM381" s="80" t="str">
        <f>IF(T381="","",IF(T381="SIM",VLOOKUP($I381&amp;$J381&amp;T$1,Pesos!$A:$I,7,FALSE),VLOOKUP($I381&amp;$J381&amp;T$1,Pesos!$A:$I,9,FALSE)))</f>
        <v/>
      </c>
      <c r="AN381" s="80" t="str">
        <f>IF(U381="","",IF(U381="SIM",VLOOKUP($I381&amp;$J381&amp;U$1,Pesos!$A:$I,7,FALSE),VLOOKUP($I381&amp;$J381&amp;U$1,Pesos!$A:$I,9,FALSE)))</f>
        <v/>
      </c>
      <c r="AO381" s="80" t="str">
        <f>IF(V381="","",IF(V381="SIM",VLOOKUP($I381&amp;$J381&amp;V$1,Pesos!$A:$I,7,FALSE),VLOOKUP($I381&amp;$J381&amp;V$1,Pesos!$A:$I,9,FALSE)))</f>
        <v/>
      </c>
      <c r="AP381" s="80" t="str">
        <f>IF(W381="","",IF(W381="SIM",VLOOKUP($I381&amp;$J381&amp;W$1,Pesos!$A:$I,7,FALSE),VLOOKUP($I381&amp;$J381&amp;W$1,Pesos!$A:$I,9,FALSE)))</f>
        <v/>
      </c>
      <c r="AQ381" s="80" t="str">
        <f>IF(X381="","",IF(X381="SIM",VLOOKUP($I381&amp;$J381&amp;X$1,Pesos!$A:$I,7,FALSE),VLOOKUP($I381&amp;$J381&amp;X$1,Pesos!$A:$I,9,FALSE)))</f>
        <v/>
      </c>
      <c r="AR381" s="80" t="str">
        <f>IF(Y381="","",IF(Y381="SIM",VLOOKUP($I381&amp;$J381&amp;Y$1,Pesos!$A:$I,7,FALSE),VLOOKUP($I381&amp;$J381&amp;Y$1,Pesos!$A:$I,9,FALSE)))</f>
        <v/>
      </c>
      <c r="AS381" s="81" t="str">
        <f>IFERROR(Z381*VLOOKUP(J381,'BD Campos'!$Y$1:$Z$12,2,FALSE),"0")</f>
        <v>0</v>
      </c>
    </row>
    <row r="382" spans="1:45" x14ac:dyDescent="0.35">
      <c r="A382" s="68" t="str">
        <f t="shared" si="61"/>
        <v>Jan202510820LOGÍSTICA</v>
      </c>
      <c r="B382" s="69" t="str">
        <f t="shared" si="62"/>
        <v>Jan2025108201LOGÍSTICAPADRÃO</v>
      </c>
      <c r="C382" s="70">
        <v>1</v>
      </c>
      <c r="D382" s="71">
        <v>45691.492154861109</v>
      </c>
      <c r="E382" s="112" t="s">
        <v>74</v>
      </c>
      <c r="F382" s="72">
        <v>10820</v>
      </c>
      <c r="G382" s="69" t="s">
        <v>314</v>
      </c>
      <c r="H382" s="73">
        <v>1</v>
      </c>
      <c r="I382" s="69" t="s">
        <v>308</v>
      </c>
      <c r="J382" s="69"/>
      <c r="K382" s="69" t="s">
        <v>184</v>
      </c>
      <c r="L382" s="74"/>
      <c r="M382" s="75"/>
      <c r="N382" s="76"/>
      <c r="O382" s="76"/>
      <c r="P382" s="76"/>
      <c r="Q382" s="76"/>
      <c r="R382" s="76"/>
      <c r="S382" s="76"/>
      <c r="T382" s="76"/>
      <c r="U382" s="76"/>
      <c r="V382" s="76"/>
      <c r="W382" s="76"/>
      <c r="X382" s="76"/>
      <c r="Y382" s="76"/>
      <c r="Z382" s="77">
        <f t="shared" si="38"/>
        <v>0</v>
      </c>
      <c r="AA382" s="78"/>
      <c r="AB382" s="78"/>
      <c r="AC382" s="72" t="s">
        <v>47</v>
      </c>
      <c r="AE382" s="79" t="str">
        <f t="shared" si="63"/>
        <v>Jan10820</v>
      </c>
      <c r="AF382" s="80" t="str">
        <f>IF(N382="","",IF(N382="SIM",VLOOKUP($I382&amp;$J382&amp;N$1,Pesos!$A:$I,7,FALSE),VLOOKUP($I382&amp;$J382&amp;N$1,Pesos!$A:$I,9,FALSE)))</f>
        <v/>
      </c>
      <c r="AG382" s="80" t="str">
        <f>IF(O382="","",IF(O382="SIM",VLOOKUP($I382&amp;$J382&amp;O$1,Pesos!$A:$I,7,FALSE),VLOOKUP($I382&amp;$J382&amp;O$1,Pesos!$A:$I,9,FALSE)))</f>
        <v/>
      </c>
      <c r="AH382" s="80" t="str">
        <f>IF(P382="","",IF(P382="SIM",VLOOKUP($I382&amp;$J382&amp;P$1,Pesos!$A:$I,7,FALSE),VLOOKUP($I382&amp;$J382&amp;P$1,Pesos!$A:$I,9,FALSE)))</f>
        <v/>
      </c>
      <c r="AI382" s="80" t="str">
        <f>IF(Q382="","",IF(Q382="SIM",VLOOKUP($I382&amp;$J382&amp;Q$1,Pesos!$A:$I,7,FALSE),VLOOKUP($I382&amp;$J382&amp;Q$1,Pesos!$A:$I,9,FALSE)))</f>
        <v/>
      </c>
      <c r="AJ382" s="80" t="str">
        <f>IF(R382="","",IF(R382="SIM",VLOOKUP($I382&amp;$J382&amp;R$1,Pesos!$A:$I,7,FALSE),VLOOKUP($I382&amp;$J382&amp;R$1,Pesos!$A:$I,9,FALSE)))</f>
        <v/>
      </c>
      <c r="AK382" s="80" t="str">
        <f>IF(S382="","",IF(S382="SIM",VLOOKUP($I382&amp;$J382&amp;S$1,Pesos!$A:$I,7,FALSE),VLOOKUP($I382&amp;$J382&amp;S$1,Pesos!$A:$I,9,FALSE)))</f>
        <v/>
      </c>
      <c r="AL382" s="80">
        <f t="shared" si="64"/>
        <v>0</v>
      </c>
      <c r="AM382" s="80" t="str">
        <f>IF(T382="","",IF(T382="SIM",VLOOKUP($I382&amp;$J382&amp;T$1,Pesos!$A:$I,7,FALSE),VLOOKUP($I382&amp;$J382&amp;T$1,Pesos!$A:$I,9,FALSE)))</f>
        <v/>
      </c>
      <c r="AN382" s="80" t="str">
        <f>IF(U382="","",IF(U382="SIM",VLOOKUP($I382&amp;$J382&amp;U$1,Pesos!$A:$I,7,FALSE),VLOOKUP($I382&amp;$J382&amp;U$1,Pesos!$A:$I,9,FALSE)))</f>
        <v/>
      </c>
      <c r="AO382" s="80" t="str">
        <f>IF(V382="","",IF(V382="SIM",VLOOKUP($I382&amp;$J382&amp;V$1,Pesos!$A:$I,7,FALSE),VLOOKUP($I382&amp;$J382&amp;V$1,Pesos!$A:$I,9,FALSE)))</f>
        <v/>
      </c>
      <c r="AP382" s="80" t="str">
        <f>IF(W382="","",IF(W382="SIM",VLOOKUP($I382&amp;$J382&amp;W$1,Pesos!$A:$I,7,FALSE),VLOOKUP($I382&amp;$J382&amp;W$1,Pesos!$A:$I,9,FALSE)))</f>
        <v/>
      </c>
      <c r="AQ382" s="80" t="str">
        <f>IF(X382="","",IF(X382="SIM",VLOOKUP($I382&amp;$J382&amp;X$1,Pesos!$A:$I,7,FALSE),VLOOKUP($I382&amp;$J382&amp;X$1,Pesos!$A:$I,9,FALSE)))</f>
        <v/>
      </c>
      <c r="AR382" s="80" t="str">
        <f>IF(Y382="","",IF(Y382="SIM",VLOOKUP($I382&amp;$J382&amp;Y$1,Pesos!$A:$I,7,FALSE),VLOOKUP($I382&amp;$J382&amp;Y$1,Pesos!$A:$I,9,FALSE)))</f>
        <v/>
      </c>
      <c r="AS382" s="81" t="str">
        <f>IFERROR(Z382*VLOOKUP(J382,'BD Campos'!$Y$1:$Z$12,2,FALSE),"0")</f>
        <v>0</v>
      </c>
    </row>
    <row r="383" spans="1:45" x14ac:dyDescent="0.35">
      <c r="A383" s="68" t="str">
        <f t="shared" si="61"/>
        <v>Jan202510820LOGÍSTICA</v>
      </c>
      <c r="B383" s="69" t="str">
        <f t="shared" si="62"/>
        <v>Jan2025108202LOGÍSTICAPADRÃO</v>
      </c>
      <c r="C383" s="70">
        <v>1</v>
      </c>
      <c r="D383" s="71">
        <v>45691.492199189815</v>
      </c>
      <c r="E383" s="112" t="s">
        <v>74</v>
      </c>
      <c r="F383" s="72">
        <v>10820</v>
      </c>
      <c r="G383" s="69" t="s">
        <v>314</v>
      </c>
      <c r="H383" s="73">
        <v>2</v>
      </c>
      <c r="I383" s="69" t="s">
        <v>308</v>
      </c>
      <c r="J383" s="69"/>
      <c r="K383" s="69" t="s">
        <v>184</v>
      </c>
      <c r="L383" s="74"/>
      <c r="M383" s="75"/>
      <c r="N383" s="76"/>
      <c r="O383" s="76"/>
      <c r="P383" s="76"/>
      <c r="Q383" s="76"/>
      <c r="R383" s="76"/>
      <c r="S383" s="76"/>
      <c r="T383" s="76"/>
      <c r="U383" s="76"/>
      <c r="V383" s="76"/>
      <c r="W383" s="76"/>
      <c r="X383" s="76"/>
      <c r="Y383" s="76"/>
      <c r="Z383" s="77">
        <f t="shared" si="38"/>
        <v>0</v>
      </c>
      <c r="AA383" s="78"/>
      <c r="AB383" s="78"/>
      <c r="AC383" s="72" t="s">
        <v>47</v>
      </c>
      <c r="AE383" s="79" t="str">
        <f t="shared" si="63"/>
        <v>Jan10820</v>
      </c>
      <c r="AF383" s="80" t="str">
        <f>IF(N383="","",IF(N383="SIM",VLOOKUP($I383&amp;$J383&amp;N$1,Pesos!$A:$I,7,FALSE),VLOOKUP($I383&amp;$J383&amp;N$1,Pesos!$A:$I,9,FALSE)))</f>
        <v/>
      </c>
      <c r="AG383" s="80" t="str">
        <f>IF(O383="","",IF(O383="SIM",VLOOKUP($I383&amp;$J383&amp;O$1,Pesos!$A:$I,7,FALSE),VLOOKUP($I383&amp;$J383&amp;O$1,Pesos!$A:$I,9,FALSE)))</f>
        <v/>
      </c>
      <c r="AH383" s="80" t="str">
        <f>IF(P383="","",IF(P383="SIM",VLOOKUP($I383&amp;$J383&amp;P$1,Pesos!$A:$I,7,FALSE),VLOOKUP($I383&amp;$J383&amp;P$1,Pesos!$A:$I,9,FALSE)))</f>
        <v/>
      </c>
      <c r="AI383" s="80" t="str">
        <f>IF(Q383="","",IF(Q383="SIM",VLOOKUP($I383&amp;$J383&amp;Q$1,Pesos!$A:$I,7,FALSE),VLOOKUP($I383&amp;$J383&amp;Q$1,Pesos!$A:$I,9,FALSE)))</f>
        <v/>
      </c>
      <c r="AJ383" s="80" t="str">
        <f>IF(R383="","",IF(R383="SIM",VLOOKUP($I383&amp;$J383&amp;R$1,Pesos!$A:$I,7,FALSE),VLOOKUP($I383&amp;$J383&amp;R$1,Pesos!$A:$I,9,FALSE)))</f>
        <v/>
      </c>
      <c r="AK383" s="80" t="str">
        <f>IF(S383="","",IF(S383="SIM",VLOOKUP($I383&amp;$J383&amp;S$1,Pesos!$A:$I,7,FALSE),VLOOKUP($I383&amp;$J383&amp;S$1,Pesos!$A:$I,9,FALSE)))</f>
        <v/>
      </c>
      <c r="AL383" s="80">
        <f t="shared" si="64"/>
        <v>0</v>
      </c>
      <c r="AM383" s="80" t="str">
        <f>IF(T383="","",IF(T383="SIM",VLOOKUP($I383&amp;$J383&amp;T$1,Pesos!$A:$I,7,FALSE),VLOOKUP($I383&amp;$J383&amp;T$1,Pesos!$A:$I,9,FALSE)))</f>
        <v/>
      </c>
      <c r="AN383" s="80" t="str">
        <f>IF(U383="","",IF(U383="SIM",VLOOKUP($I383&amp;$J383&amp;U$1,Pesos!$A:$I,7,FALSE),VLOOKUP($I383&amp;$J383&amp;U$1,Pesos!$A:$I,9,FALSE)))</f>
        <v/>
      </c>
      <c r="AO383" s="80" t="str">
        <f>IF(V383="","",IF(V383="SIM",VLOOKUP($I383&amp;$J383&amp;V$1,Pesos!$A:$I,7,FALSE),VLOOKUP($I383&amp;$J383&amp;V$1,Pesos!$A:$I,9,FALSE)))</f>
        <v/>
      </c>
      <c r="AP383" s="80" t="str">
        <f>IF(W383="","",IF(W383="SIM",VLOOKUP($I383&amp;$J383&amp;W$1,Pesos!$A:$I,7,FALSE),VLOOKUP($I383&amp;$J383&amp;W$1,Pesos!$A:$I,9,FALSE)))</f>
        <v/>
      </c>
      <c r="AQ383" s="80" t="str">
        <f>IF(X383="","",IF(X383="SIM",VLOOKUP($I383&amp;$J383&amp;X$1,Pesos!$A:$I,7,FALSE),VLOOKUP($I383&amp;$J383&amp;X$1,Pesos!$A:$I,9,FALSE)))</f>
        <v/>
      </c>
      <c r="AR383" s="80" t="str">
        <f>IF(Y383="","",IF(Y383="SIM",VLOOKUP($I383&amp;$J383&amp;Y$1,Pesos!$A:$I,7,FALSE),VLOOKUP($I383&amp;$J383&amp;Y$1,Pesos!$A:$I,9,FALSE)))</f>
        <v/>
      </c>
      <c r="AS383" s="81" t="str">
        <f>IFERROR(Z383*VLOOKUP(J383,'BD Campos'!$Y$1:$Z$12,2,FALSE),"0")</f>
        <v>0</v>
      </c>
    </row>
    <row r="384" spans="1:45" x14ac:dyDescent="0.35">
      <c r="A384" s="68" t="str">
        <f t="shared" si="61"/>
        <v>Jan202511024TRANSFERÊNCIA</v>
      </c>
      <c r="B384" s="69" t="str">
        <f t="shared" si="62"/>
        <v>Jan2025110241TRANSFERÊNCIAPADRÃO</v>
      </c>
      <c r="C384" s="70">
        <v>1</v>
      </c>
      <c r="D384" s="71">
        <v>45691.49264837963</v>
      </c>
      <c r="E384" s="112" t="s">
        <v>74</v>
      </c>
      <c r="F384" s="72">
        <v>11024</v>
      </c>
      <c r="G384" s="69" t="s">
        <v>144</v>
      </c>
      <c r="H384" s="73">
        <v>1</v>
      </c>
      <c r="I384" s="69" t="s">
        <v>308</v>
      </c>
      <c r="J384" s="69"/>
      <c r="K384" s="69" t="s">
        <v>106</v>
      </c>
      <c r="L384" s="74"/>
      <c r="M384" s="75"/>
      <c r="N384" s="76"/>
      <c r="O384" s="76"/>
      <c r="P384" s="76"/>
      <c r="Q384" s="76"/>
      <c r="R384" s="76"/>
      <c r="S384" s="76"/>
      <c r="T384" s="76"/>
      <c r="U384" s="76"/>
      <c r="V384" s="76"/>
      <c r="W384" s="76"/>
      <c r="X384" s="76"/>
      <c r="Y384" s="76"/>
      <c r="Z384" s="77">
        <f t="shared" si="38"/>
        <v>0</v>
      </c>
      <c r="AA384" s="78"/>
      <c r="AB384" s="78"/>
      <c r="AC384" s="72" t="s">
        <v>47</v>
      </c>
      <c r="AE384" s="79" t="str">
        <f t="shared" si="63"/>
        <v>Jan11024</v>
      </c>
      <c r="AF384" s="80" t="str">
        <f>IF(N384="","",IF(N384="SIM",VLOOKUP($I384&amp;$J384&amp;N$1,Pesos!$A:$I,7,FALSE),VLOOKUP($I384&amp;$J384&amp;N$1,Pesos!$A:$I,9,FALSE)))</f>
        <v/>
      </c>
      <c r="AG384" s="80" t="str">
        <f>IF(O384="","",IF(O384="SIM",VLOOKUP($I384&amp;$J384&amp;O$1,Pesos!$A:$I,7,FALSE),VLOOKUP($I384&amp;$J384&amp;O$1,Pesos!$A:$I,9,FALSE)))</f>
        <v/>
      </c>
      <c r="AH384" s="80" t="str">
        <f>IF(P384="","",IF(P384="SIM",VLOOKUP($I384&amp;$J384&amp;P$1,Pesos!$A:$I,7,FALSE),VLOOKUP($I384&amp;$J384&amp;P$1,Pesos!$A:$I,9,FALSE)))</f>
        <v/>
      </c>
      <c r="AI384" s="80" t="str">
        <f>IF(Q384="","",IF(Q384="SIM",VLOOKUP($I384&amp;$J384&amp;Q$1,Pesos!$A:$I,7,FALSE),VLOOKUP($I384&amp;$J384&amp;Q$1,Pesos!$A:$I,9,FALSE)))</f>
        <v/>
      </c>
      <c r="AJ384" s="80" t="str">
        <f>IF(R384="","",IF(R384="SIM",VLOOKUP($I384&amp;$J384&amp;R$1,Pesos!$A:$I,7,FALSE),VLOOKUP($I384&amp;$J384&amp;R$1,Pesos!$A:$I,9,FALSE)))</f>
        <v/>
      </c>
      <c r="AK384" s="80" t="str">
        <f>IF(S384="","",IF(S384="SIM",VLOOKUP($I384&amp;$J384&amp;S$1,Pesos!$A:$I,7,FALSE),VLOOKUP($I384&amp;$J384&amp;S$1,Pesos!$A:$I,9,FALSE)))</f>
        <v/>
      </c>
      <c r="AL384" s="80">
        <f t="shared" si="64"/>
        <v>0</v>
      </c>
      <c r="AM384" s="80" t="str">
        <f>IF(T384="","",IF(T384="SIM",VLOOKUP($I384&amp;$J384&amp;T$1,Pesos!$A:$I,7,FALSE),VLOOKUP($I384&amp;$J384&amp;T$1,Pesos!$A:$I,9,FALSE)))</f>
        <v/>
      </c>
      <c r="AN384" s="80" t="str">
        <f>IF(U384="","",IF(U384="SIM",VLOOKUP($I384&amp;$J384&amp;U$1,Pesos!$A:$I,7,FALSE),VLOOKUP($I384&amp;$J384&amp;U$1,Pesos!$A:$I,9,FALSE)))</f>
        <v/>
      </c>
      <c r="AO384" s="80" t="str">
        <f>IF(V384="","",IF(V384="SIM",VLOOKUP($I384&amp;$J384&amp;V$1,Pesos!$A:$I,7,FALSE),VLOOKUP($I384&amp;$J384&amp;V$1,Pesos!$A:$I,9,FALSE)))</f>
        <v/>
      </c>
      <c r="AP384" s="80" t="str">
        <f>IF(W384="","",IF(W384="SIM",VLOOKUP($I384&amp;$J384&amp;W$1,Pesos!$A:$I,7,FALSE),VLOOKUP($I384&amp;$J384&amp;W$1,Pesos!$A:$I,9,FALSE)))</f>
        <v/>
      </c>
      <c r="AQ384" s="80" t="str">
        <f>IF(X384="","",IF(X384="SIM",VLOOKUP($I384&amp;$J384&amp;X$1,Pesos!$A:$I,7,FALSE),VLOOKUP($I384&amp;$J384&amp;X$1,Pesos!$A:$I,9,FALSE)))</f>
        <v/>
      </c>
      <c r="AR384" s="80" t="str">
        <f>IF(Y384="","",IF(Y384="SIM",VLOOKUP($I384&amp;$J384&amp;Y$1,Pesos!$A:$I,7,FALSE),VLOOKUP($I384&amp;$J384&amp;Y$1,Pesos!$A:$I,9,FALSE)))</f>
        <v/>
      </c>
      <c r="AS384" s="81" t="str">
        <f>IFERROR(Z384*VLOOKUP(J384,'BD Campos'!$Y$1:$Z$12,2,FALSE),"0")</f>
        <v>0</v>
      </c>
    </row>
    <row r="385" spans="1:45" x14ac:dyDescent="0.35">
      <c r="A385" s="68" t="str">
        <f t="shared" si="61"/>
        <v>Jan202510794TRANSFERÊNCIA</v>
      </c>
      <c r="B385" s="69" t="str">
        <f t="shared" si="62"/>
        <v>Jan2025107941TRANSFERÊNCIAPADRÃO</v>
      </c>
      <c r="C385" s="70">
        <v>1</v>
      </c>
      <c r="D385" s="71">
        <v>45691.492746759257</v>
      </c>
      <c r="E385" s="112" t="s">
        <v>74</v>
      </c>
      <c r="F385" s="72">
        <v>10794</v>
      </c>
      <c r="G385" s="69" t="s">
        <v>344</v>
      </c>
      <c r="H385" s="73">
        <v>1</v>
      </c>
      <c r="I385" s="69" t="s">
        <v>308</v>
      </c>
      <c r="J385" s="69"/>
      <c r="K385" s="69" t="s">
        <v>106</v>
      </c>
      <c r="L385" s="74"/>
      <c r="M385" s="75"/>
      <c r="N385" s="76"/>
      <c r="O385" s="76"/>
      <c r="P385" s="76"/>
      <c r="Q385" s="76"/>
      <c r="R385" s="76"/>
      <c r="S385" s="76"/>
      <c r="T385" s="76"/>
      <c r="U385" s="76"/>
      <c r="V385" s="76"/>
      <c r="W385" s="76"/>
      <c r="X385" s="76"/>
      <c r="Y385" s="76"/>
      <c r="Z385" s="77">
        <f t="shared" si="38"/>
        <v>0</v>
      </c>
      <c r="AA385" s="78"/>
      <c r="AB385" s="78"/>
      <c r="AC385" s="72" t="s">
        <v>47</v>
      </c>
      <c r="AE385" s="79" t="str">
        <f t="shared" si="63"/>
        <v>Jan10794</v>
      </c>
      <c r="AF385" s="80" t="str">
        <f>IF(N385="","",IF(N385="SIM",VLOOKUP($I385&amp;$J385&amp;N$1,Pesos!$A:$I,7,FALSE),VLOOKUP($I385&amp;$J385&amp;N$1,Pesos!$A:$I,9,FALSE)))</f>
        <v/>
      </c>
      <c r="AG385" s="80" t="str">
        <f>IF(O385="","",IF(O385="SIM",VLOOKUP($I385&amp;$J385&amp;O$1,Pesos!$A:$I,7,FALSE),VLOOKUP($I385&amp;$J385&amp;O$1,Pesos!$A:$I,9,FALSE)))</f>
        <v/>
      </c>
      <c r="AH385" s="80" t="str">
        <f>IF(P385="","",IF(P385="SIM",VLOOKUP($I385&amp;$J385&amp;P$1,Pesos!$A:$I,7,FALSE),VLOOKUP($I385&amp;$J385&amp;P$1,Pesos!$A:$I,9,FALSE)))</f>
        <v/>
      </c>
      <c r="AI385" s="80" t="str">
        <f>IF(Q385="","",IF(Q385="SIM",VLOOKUP($I385&amp;$J385&amp;Q$1,Pesos!$A:$I,7,FALSE),VLOOKUP($I385&amp;$J385&amp;Q$1,Pesos!$A:$I,9,FALSE)))</f>
        <v/>
      </c>
      <c r="AJ385" s="80" t="str">
        <f>IF(R385="","",IF(R385="SIM",VLOOKUP($I385&amp;$J385&amp;R$1,Pesos!$A:$I,7,FALSE),VLOOKUP($I385&amp;$J385&amp;R$1,Pesos!$A:$I,9,FALSE)))</f>
        <v/>
      </c>
      <c r="AK385" s="80" t="str">
        <f>IF(S385="","",IF(S385="SIM",VLOOKUP($I385&amp;$J385&amp;S$1,Pesos!$A:$I,7,FALSE),VLOOKUP($I385&amp;$J385&amp;S$1,Pesos!$A:$I,9,FALSE)))</f>
        <v/>
      </c>
      <c r="AL385" s="80">
        <f t="shared" si="64"/>
        <v>0</v>
      </c>
      <c r="AM385" s="80" t="str">
        <f>IF(T385="","",IF(T385="SIM",VLOOKUP($I385&amp;$J385&amp;T$1,Pesos!$A:$I,7,FALSE),VLOOKUP($I385&amp;$J385&amp;T$1,Pesos!$A:$I,9,FALSE)))</f>
        <v/>
      </c>
      <c r="AN385" s="80" t="str">
        <f>IF(U385="","",IF(U385="SIM",VLOOKUP($I385&amp;$J385&amp;U$1,Pesos!$A:$I,7,FALSE),VLOOKUP($I385&amp;$J385&amp;U$1,Pesos!$A:$I,9,FALSE)))</f>
        <v/>
      </c>
      <c r="AO385" s="80" t="str">
        <f>IF(V385="","",IF(V385="SIM",VLOOKUP($I385&amp;$J385&amp;V$1,Pesos!$A:$I,7,FALSE),VLOOKUP($I385&amp;$J385&amp;V$1,Pesos!$A:$I,9,FALSE)))</f>
        <v/>
      </c>
      <c r="AP385" s="80" t="str">
        <f>IF(W385="","",IF(W385="SIM",VLOOKUP($I385&amp;$J385&amp;W$1,Pesos!$A:$I,7,FALSE),VLOOKUP($I385&amp;$J385&amp;W$1,Pesos!$A:$I,9,FALSE)))</f>
        <v/>
      </c>
      <c r="AQ385" s="80" t="str">
        <f>IF(X385="","",IF(X385="SIM",VLOOKUP($I385&amp;$J385&amp;X$1,Pesos!$A:$I,7,FALSE),VLOOKUP($I385&amp;$J385&amp;X$1,Pesos!$A:$I,9,FALSE)))</f>
        <v/>
      </c>
      <c r="AR385" s="80" t="str">
        <f>IF(Y385="","",IF(Y385="SIM",VLOOKUP($I385&amp;$J385&amp;Y$1,Pesos!$A:$I,7,FALSE),VLOOKUP($I385&amp;$J385&amp;Y$1,Pesos!$A:$I,9,FALSE)))</f>
        <v/>
      </c>
      <c r="AS385" s="81" t="str">
        <f>IFERROR(Z385*VLOOKUP(J385,'BD Campos'!$Y$1:$Z$12,2,FALSE),"0")</f>
        <v>0</v>
      </c>
    </row>
    <row r="386" spans="1:45" x14ac:dyDescent="0.35">
      <c r="A386" s="68" t="str">
        <f t="shared" si="61"/>
        <v>Jan202510794ReceptivaTRANSFERÊNCIA</v>
      </c>
      <c r="B386" s="69" t="str">
        <f t="shared" si="62"/>
        <v>Jan2025107945TRANSFERÊNCIAPADRÃO</v>
      </c>
      <c r="C386" s="70">
        <v>1</v>
      </c>
      <c r="D386" s="71">
        <v>45691.492900462959</v>
      </c>
      <c r="E386" s="112" t="s">
        <v>74</v>
      </c>
      <c r="F386" s="72">
        <v>10794</v>
      </c>
      <c r="G386" s="69" t="s">
        <v>344</v>
      </c>
      <c r="H386" s="73">
        <v>5</v>
      </c>
      <c r="I386" s="69" t="s">
        <v>308</v>
      </c>
      <c r="J386" s="69" t="s">
        <v>98</v>
      </c>
      <c r="K386" s="69" t="s">
        <v>106</v>
      </c>
      <c r="L386" s="74"/>
      <c r="M386" s="75"/>
      <c r="N386" s="76"/>
      <c r="O386" s="76"/>
      <c r="P386" s="76"/>
      <c r="Q386" s="76"/>
      <c r="R386" s="76"/>
      <c r="S386" s="76"/>
      <c r="T386" s="76"/>
      <c r="U386" s="76"/>
      <c r="V386" s="76"/>
      <c r="W386" s="76"/>
      <c r="X386" s="76"/>
      <c r="Y386" s="76"/>
      <c r="Z386" s="77">
        <f t="shared" si="38"/>
        <v>0</v>
      </c>
      <c r="AA386" s="78"/>
      <c r="AB386" s="78"/>
      <c r="AC386" s="72" t="s">
        <v>47</v>
      </c>
      <c r="AE386" s="79" t="str">
        <f t="shared" si="63"/>
        <v>Jan10794</v>
      </c>
      <c r="AF386" s="80" t="str">
        <f>IF(N386="","",IF(N386="SIM",VLOOKUP($I386&amp;$J386&amp;N$1,Pesos!$A:$I,7,FALSE),VLOOKUP($I386&amp;$J386&amp;N$1,Pesos!$A:$I,9,FALSE)))</f>
        <v/>
      </c>
      <c r="AG386" s="80" t="str">
        <f>IF(O386="","",IF(O386="SIM",VLOOKUP($I386&amp;$J386&amp;O$1,Pesos!$A:$I,7,FALSE),VLOOKUP($I386&amp;$J386&amp;O$1,Pesos!$A:$I,9,FALSE)))</f>
        <v/>
      </c>
      <c r="AH386" s="80" t="str">
        <f>IF(P386="","",IF(P386="SIM",VLOOKUP($I386&amp;$J386&amp;P$1,Pesos!$A:$I,7,FALSE),VLOOKUP($I386&amp;$J386&amp;P$1,Pesos!$A:$I,9,FALSE)))</f>
        <v/>
      </c>
      <c r="AI386" s="80" t="str">
        <f>IF(Q386="","",IF(Q386="SIM",VLOOKUP($I386&amp;$J386&amp;Q$1,Pesos!$A:$I,7,FALSE),VLOOKUP($I386&amp;$J386&amp;Q$1,Pesos!$A:$I,9,FALSE)))</f>
        <v/>
      </c>
      <c r="AJ386" s="80" t="str">
        <f>IF(R386="","",IF(R386="SIM",VLOOKUP($I386&amp;$J386&amp;R$1,Pesos!$A:$I,7,FALSE),VLOOKUP($I386&amp;$J386&amp;R$1,Pesos!$A:$I,9,FALSE)))</f>
        <v/>
      </c>
      <c r="AK386" s="80" t="str">
        <f>IF(S386="","",IF(S386="SIM",VLOOKUP($I386&amp;$J386&amp;S$1,Pesos!$A:$I,7,FALSE),VLOOKUP($I386&amp;$J386&amp;S$1,Pesos!$A:$I,9,FALSE)))</f>
        <v/>
      </c>
      <c r="AL386" s="80">
        <f t="shared" si="64"/>
        <v>0</v>
      </c>
      <c r="AM386" s="80" t="str">
        <f>IF(T386="","",IF(T386="SIM",VLOOKUP($I386&amp;$J386&amp;T$1,Pesos!$A:$I,7,FALSE),VLOOKUP($I386&amp;$J386&amp;T$1,Pesos!$A:$I,9,FALSE)))</f>
        <v/>
      </c>
      <c r="AN386" s="80" t="str">
        <f>IF(U386="","",IF(U386="SIM",VLOOKUP($I386&amp;$J386&amp;U$1,Pesos!$A:$I,7,FALSE),VLOOKUP($I386&amp;$J386&amp;U$1,Pesos!$A:$I,9,FALSE)))</f>
        <v/>
      </c>
      <c r="AO386" s="80" t="str">
        <f>IF(V386="","",IF(V386="SIM",VLOOKUP($I386&amp;$J386&amp;V$1,Pesos!$A:$I,7,FALSE),VLOOKUP($I386&amp;$J386&amp;V$1,Pesos!$A:$I,9,FALSE)))</f>
        <v/>
      </c>
      <c r="AP386" s="80" t="str">
        <f>IF(W386="","",IF(W386="SIM",VLOOKUP($I386&amp;$J386&amp;W$1,Pesos!$A:$I,7,FALSE),VLOOKUP($I386&amp;$J386&amp;W$1,Pesos!$A:$I,9,FALSE)))</f>
        <v/>
      </c>
      <c r="AQ386" s="80" t="str">
        <f>IF(X386="","",IF(X386="SIM",VLOOKUP($I386&amp;$J386&amp;X$1,Pesos!$A:$I,7,FALSE),VLOOKUP($I386&amp;$J386&amp;X$1,Pesos!$A:$I,9,FALSE)))</f>
        <v/>
      </c>
      <c r="AR386" s="80" t="str">
        <f>IF(Y386="","",IF(Y386="SIM",VLOOKUP($I386&amp;$J386&amp;Y$1,Pesos!$A:$I,7,FALSE),VLOOKUP($I386&amp;$J386&amp;Y$1,Pesos!$A:$I,9,FALSE)))</f>
        <v/>
      </c>
      <c r="AS386" s="81">
        <f>IFERROR(Z386*VLOOKUP(J386,'BD Campos'!$Y$1:$Z$12,2,FALSE),"0")</f>
        <v>0</v>
      </c>
    </row>
    <row r="387" spans="1:45" x14ac:dyDescent="0.35">
      <c r="A387" s="68" t="str">
        <f t="shared" si="61"/>
        <v>Jan202510898TRANSFERÊNCIA</v>
      </c>
      <c r="B387" s="69" t="str">
        <f t="shared" si="62"/>
        <v>Jan2025108981TRANSFERÊNCIAPADRÃO</v>
      </c>
      <c r="C387" s="70">
        <v>1</v>
      </c>
      <c r="D387" s="71">
        <v>45691.608475347224</v>
      </c>
      <c r="E387" s="112" t="s">
        <v>74</v>
      </c>
      <c r="F387" s="72">
        <v>10898</v>
      </c>
      <c r="G387" s="69" t="s">
        <v>172</v>
      </c>
      <c r="H387" s="73">
        <v>1</v>
      </c>
      <c r="I387" s="69" t="s">
        <v>308</v>
      </c>
      <c r="J387" s="69"/>
      <c r="K387" s="69" t="s">
        <v>106</v>
      </c>
      <c r="L387" s="74"/>
      <c r="M387" s="75"/>
      <c r="N387" s="76"/>
      <c r="O387" s="76"/>
      <c r="P387" s="76"/>
      <c r="Q387" s="76"/>
      <c r="R387" s="76"/>
      <c r="S387" s="76"/>
      <c r="T387" s="76"/>
      <c r="U387" s="76"/>
      <c r="V387" s="76"/>
      <c r="W387" s="76"/>
      <c r="X387" s="76"/>
      <c r="Y387" s="76"/>
      <c r="Z387" s="77">
        <f t="shared" si="38"/>
        <v>0</v>
      </c>
      <c r="AA387" s="78"/>
      <c r="AB387" s="78"/>
      <c r="AC387" s="72" t="s">
        <v>47</v>
      </c>
      <c r="AE387" s="79" t="str">
        <f t="shared" si="63"/>
        <v>Jan10898</v>
      </c>
      <c r="AF387" s="80" t="str">
        <f>IF(N387="","",IF(N387="SIM",VLOOKUP($I387&amp;$J387&amp;N$1,Pesos!$A:$I,7,FALSE),VLOOKUP($I387&amp;$J387&amp;N$1,Pesos!$A:$I,9,FALSE)))</f>
        <v/>
      </c>
      <c r="AG387" s="80" t="str">
        <f>IF(O387="","",IF(O387="SIM",VLOOKUP($I387&amp;$J387&amp;O$1,Pesos!$A:$I,7,FALSE),VLOOKUP($I387&amp;$J387&amp;O$1,Pesos!$A:$I,9,FALSE)))</f>
        <v/>
      </c>
      <c r="AH387" s="80" t="str">
        <f>IF(P387="","",IF(P387="SIM",VLOOKUP($I387&amp;$J387&amp;P$1,Pesos!$A:$I,7,FALSE),VLOOKUP($I387&amp;$J387&amp;P$1,Pesos!$A:$I,9,FALSE)))</f>
        <v/>
      </c>
      <c r="AI387" s="80" t="str">
        <f>IF(Q387="","",IF(Q387="SIM",VLOOKUP($I387&amp;$J387&amp;Q$1,Pesos!$A:$I,7,FALSE),VLOOKUP($I387&amp;$J387&amp;Q$1,Pesos!$A:$I,9,FALSE)))</f>
        <v/>
      </c>
      <c r="AJ387" s="80" t="str">
        <f>IF(R387="","",IF(R387="SIM",VLOOKUP($I387&amp;$J387&amp;R$1,Pesos!$A:$I,7,FALSE),VLOOKUP($I387&amp;$J387&amp;R$1,Pesos!$A:$I,9,FALSE)))</f>
        <v/>
      </c>
      <c r="AK387" s="80" t="str">
        <f>IF(S387="","",IF(S387="SIM",VLOOKUP($I387&amp;$J387&amp;S$1,Pesos!$A:$I,7,FALSE),VLOOKUP($I387&amp;$J387&amp;S$1,Pesos!$A:$I,9,FALSE)))</f>
        <v/>
      </c>
      <c r="AL387" s="80">
        <f t="shared" si="64"/>
        <v>0</v>
      </c>
      <c r="AM387" s="80" t="str">
        <f>IF(T387="","",IF(T387="SIM",VLOOKUP($I387&amp;$J387&amp;T$1,Pesos!$A:$I,7,FALSE),VLOOKUP($I387&amp;$J387&amp;T$1,Pesos!$A:$I,9,FALSE)))</f>
        <v/>
      </c>
      <c r="AN387" s="80" t="str">
        <f>IF(U387="","",IF(U387="SIM",VLOOKUP($I387&amp;$J387&amp;U$1,Pesos!$A:$I,7,FALSE),VLOOKUP($I387&amp;$J387&amp;U$1,Pesos!$A:$I,9,FALSE)))</f>
        <v/>
      </c>
      <c r="AO387" s="80" t="str">
        <f>IF(V387="","",IF(V387="SIM",VLOOKUP($I387&amp;$J387&amp;V$1,Pesos!$A:$I,7,FALSE),VLOOKUP($I387&amp;$J387&amp;V$1,Pesos!$A:$I,9,FALSE)))</f>
        <v/>
      </c>
      <c r="AP387" s="80" t="str">
        <f>IF(W387="","",IF(W387="SIM",VLOOKUP($I387&amp;$J387&amp;W$1,Pesos!$A:$I,7,FALSE),VLOOKUP($I387&amp;$J387&amp;W$1,Pesos!$A:$I,9,FALSE)))</f>
        <v/>
      </c>
      <c r="AQ387" s="80" t="str">
        <f>IF(X387="","",IF(X387="SIM",VLOOKUP($I387&amp;$J387&amp;X$1,Pesos!$A:$I,7,FALSE),VLOOKUP($I387&amp;$J387&amp;X$1,Pesos!$A:$I,9,FALSE)))</f>
        <v/>
      </c>
      <c r="AR387" s="80" t="str">
        <f>IF(Y387="","",IF(Y387="SIM",VLOOKUP($I387&amp;$J387&amp;Y$1,Pesos!$A:$I,7,FALSE),VLOOKUP($I387&amp;$J387&amp;Y$1,Pesos!$A:$I,9,FALSE)))</f>
        <v/>
      </c>
      <c r="AS387" s="81" t="str">
        <f>IFERROR(Z387*VLOOKUP(J387,'BD Campos'!$Y$1:$Z$12,2,FALSE),"0")</f>
        <v>0</v>
      </c>
    </row>
    <row r="388" spans="1:45" x14ac:dyDescent="0.35">
      <c r="A388" s="68" t="str">
        <f t="shared" si="61"/>
        <v>Fev202511185MotoristaTRANSFERÊNCIA</v>
      </c>
      <c r="B388" s="69" t="str">
        <f t="shared" si="62"/>
        <v>Fev2025111851TRANSFERÊNCIAPADRÃO</v>
      </c>
      <c r="C388" s="70">
        <v>1</v>
      </c>
      <c r="D388" s="71">
        <v>45695.389693634257</v>
      </c>
      <c r="E388" s="112" t="s">
        <v>338</v>
      </c>
      <c r="F388" s="72">
        <v>11185</v>
      </c>
      <c r="G388" s="69" t="s">
        <v>1396</v>
      </c>
      <c r="H388" s="73">
        <v>1</v>
      </c>
      <c r="I388" s="69" t="s">
        <v>126</v>
      </c>
      <c r="J388" s="69" t="s">
        <v>122</v>
      </c>
      <c r="K388" s="69" t="s">
        <v>106</v>
      </c>
      <c r="L388" s="74">
        <v>31066075</v>
      </c>
      <c r="M388" s="75">
        <v>2.4305555555555556E-3</v>
      </c>
      <c r="N388" s="76" t="s">
        <v>79</v>
      </c>
      <c r="O388" s="76" t="s">
        <v>79</v>
      </c>
      <c r="P388" s="76" t="s">
        <v>79</v>
      </c>
      <c r="Q388" s="76" t="s">
        <v>79</v>
      </c>
      <c r="R388" s="76" t="s">
        <v>79</v>
      </c>
      <c r="S388" s="76" t="s">
        <v>79</v>
      </c>
      <c r="T388" s="76" t="s">
        <v>79</v>
      </c>
      <c r="U388" s="76" t="s">
        <v>79</v>
      </c>
      <c r="V388" s="76" t="s">
        <v>79</v>
      </c>
      <c r="W388" s="76" t="s">
        <v>79</v>
      </c>
      <c r="X388" s="76" t="s">
        <v>79</v>
      </c>
      <c r="Y388" s="76" t="s">
        <v>79</v>
      </c>
      <c r="Z388" s="77">
        <f t="shared" si="38"/>
        <v>10</v>
      </c>
      <c r="AA388" s="78"/>
      <c r="AB388" s="78" t="s">
        <v>1604</v>
      </c>
      <c r="AC388" s="72" t="s">
        <v>47</v>
      </c>
      <c r="AE388" s="79" t="str">
        <f t="shared" si="63"/>
        <v>Fev11185</v>
      </c>
      <c r="AF388" s="80">
        <f>IF(N388="","",IF(N388="SIM",VLOOKUP($I388&amp;$J388&amp;N$1,Pesos!$A:$I,7,FALSE),VLOOKUP($I388&amp;$J388&amp;N$1,Pesos!$A:$I,9,FALSE)))</f>
        <v>0.8</v>
      </c>
      <c r="AG388" s="80">
        <f>IF(O388="","",IF(O388="SIM",VLOOKUP($I388&amp;$J388&amp;O$1,Pesos!$A:$I,7,FALSE),VLOOKUP($I388&amp;$J388&amp;O$1,Pesos!$A:$I,9,FALSE)))</f>
        <v>0.8</v>
      </c>
      <c r="AH388" s="80">
        <f>IF(P388="","",IF(P388="SIM",VLOOKUP($I388&amp;$J388&amp;P$1,Pesos!$A:$I,7,FALSE),VLOOKUP($I388&amp;$J388&amp;P$1,Pesos!$A:$I,9,FALSE)))</f>
        <v>0.8</v>
      </c>
      <c r="AI388" s="80">
        <f>IF(Q388="","",IF(Q388="SIM",VLOOKUP($I388&amp;$J388&amp;Q$1,Pesos!$A:$I,7,FALSE),VLOOKUP($I388&amp;$J388&amp;Q$1,Pesos!$A:$I,9,FALSE)))</f>
        <v>0.8</v>
      </c>
      <c r="AJ388" s="80">
        <f>IF(R388="","",IF(R388="SIM",VLOOKUP($I388&amp;$J388&amp;R$1,Pesos!$A:$I,7,FALSE),VLOOKUP($I388&amp;$J388&amp;R$1,Pesos!$A:$I,9,FALSE)))</f>
        <v>0.8</v>
      </c>
      <c r="AK388" s="80">
        <f>IF(S388="","",IF(S388="SIM",VLOOKUP($I388&amp;$J388&amp;S$1,Pesos!$A:$I,7,FALSE),VLOOKUP($I388&amp;$J388&amp;S$1,Pesos!$A:$I,9,FALSE)))</f>
        <v>0.8</v>
      </c>
      <c r="AL388" s="80">
        <f t="shared" si="64"/>
        <v>4.8</v>
      </c>
      <c r="AM388" s="80">
        <f>IF(T388="","",IF(T388="SIM",VLOOKUP($I388&amp;$J388&amp;T$1,Pesos!$A:$I,7,FALSE),VLOOKUP($I388&amp;$J388&amp;T$1,Pesos!$A:$I,9,FALSE)))</f>
        <v>0.8</v>
      </c>
      <c r="AN388" s="80">
        <f>IF(U388="","",IF(U388="SIM",VLOOKUP($I388&amp;$J388&amp;U$1,Pesos!$A:$I,7,FALSE),VLOOKUP($I388&amp;$J388&amp;U$1,Pesos!$A:$I,9,FALSE)))</f>
        <v>0.8</v>
      </c>
      <c r="AO388" s="80">
        <f>IF(V388="","",IF(V388="SIM",VLOOKUP($I388&amp;$J388&amp;V$1,Pesos!$A:$I,7,FALSE),VLOOKUP($I388&amp;$J388&amp;V$1,Pesos!$A:$I,9,FALSE)))</f>
        <v>0.8</v>
      </c>
      <c r="AP388" s="80">
        <f>IF(W388="","",IF(W388="SIM",VLOOKUP($I388&amp;$J388&amp;W$1,Pesos!$A:$I,7,FALSE),VLOOKUP($I388&amp;$J388&amp;W$1,Pesos!$A:$I,9,FALSE)))</f>
        <v>0.8</v>
      </c>
      <c r="AQ388" s="80">
        <f>IF(X388="","",IF(X388="SIM",VLOOKUP($I388&amp;$J388&amp;X$1,Pesos!$A:$I,7,FALSE),VLOOKUP($I388&amp;$J388&amp;X$1,Pesos!$A:$I,9,FALSE)))</f>
        <v>1</v>
      </c>
      <c r="AR388" s="80">
        <f>IF(Y388="","",IF(Y388="SIM",VLOOKUP($I388&amp;$J388&amp;Y$1,Pesos!$A:$I,7,FALSE),VLOOKUP($I388&amp;$J388&amp;Y$1,Pesos!$A:$I,9,FALSE)))</f>
        <v>1</v>
      </c>
      <c r="AS388" s="81">
        <f>IFERROR(Z388*VLOOKUP(J388,'BD Campos'!$Y$1:$Z$12,2,FALSE),"0")</f>
        <v>10</v>
      </c>
    </row>
    <row r="389" spans="1:45" x14ac:dyDescent="0.35">
      <c r="A389" s="68" t="str">
        <f t="shared" si="61"/>
        <v>Fev202511185ReceptivaTRANSFERÊNCIA</v>
      </c>
      <c r="B389" s="69" t="str">
        <f t="shared" si="62"/>
        <v>Fev2025111855TRANSFERÊNCIAPADRÃO</v>
      </c>
      <c r="C389" s="70">
        <v>1</v>
      </c>
      <c r="D389" s="71">
        <v>45695.393601041666</v>
      </c>
      <c r="E389" s="112" t="s">
        <v>338</v>
      </c>
      <c r="F389" s="72">
        <v>11185</v>
      </c>
      <c r="G389" s="69" t="s">
        <v>1396</v>
      </c>
      <c r="H389" s="73">
        <v>5</v>
      </c>
      <c r="I389" s="69" t="s">
        <v>6</v>
      </c>
      <c r="J389" s="69" t="s">
        <v>98</v>
      </c>
      <c r="K389" s="69" t="s">
        <v>106</v>
      </c>
      <c r="L389" s="74"/>
      <c r="M389" s="75">
        <v>1.7476851851851852E-3</v>
      </c>
      <c r="N389" s="76" t="s">
        <v>79</v>
      </c>
      <c r="O389" s="76" t="s">
        <v>79</v>
      </c>
      <c r="P389" s="76" t="s">
        <v>79</v>
      </c>
      <c r="Q389" s="76" t="s">
        <v>79</v>
      </c>
      <c r="R389" s="76" t="s">
        <v>79</v>
      </c>
      <c r="S389" s="76" t="s">
        <v>83</v>
      </c>
      <c r="T389" s="76" t="s">
        <v>79</v>
      </c>
      <c r="U389" s="76" t="s">
        <v>79</v>
      </c>
      <c r="V389" s="76" t="s">
        <v>79</v>
      </c>
      <c r="W389" s="76" t="s">
        <v>79</v>
      </c>
      <c r="X389" s="76" t="s">
        <v>79</v>
      </c>
      <c r="Y389" s="76" t="s">
        <v>79</v>
      </c>
      <c r="Z389" s="77">
        <f t="shared" si="38"/>
        <v>9.16</v>
      </c>
      <c r="AA389" s="78"/>
      <c r="AB389" s="78"/>
      <c r="AC389" s="72" t="s">
        <v>47</v>
      </c>
      <c r="AE389" s="79" t="str">
        <f t="shared" si="63"/>
        <v>Fev11185</v>
      </c>
      <c r="AF389" s="80">
        <f>IF(N389="","",IF(N389="SIM",VLOOKUP($I389&amp;$J389&amp;N$1,Pesos!$A:$I,7,FALSE),VLOOKUP($I389&amp;$J389&amp;N$1,Pesos!$A:$I,9,FALSE)))</f>
        <v>0.8</v>
      </c>
      <c r="AG389" s="80">
        <f>IF(O389="","",IF(O389="SIM",VLOOKUP($I389&amp;$J389&amp;O$1,Pesos!$A:$I,7,FALSE),VLOOKUP($I389&amp;$J389&amp;O$1,Pesos!$A:$I,9,FALSE)))</f>
        <v>0.8</v>
      </c>
      <c r="AH389" s="80">
        <f>IF(P389="","",IF(P389="SIM",VLOOKUP($I389&amp;$J389&amp;P$1,Pesos!$A:$I,7,FALSE),VLOOKUP($I389&amp;$J389&amp;P$1,Pesos!$A:$I,9,FALSE)))</f>
        <v>1.2</v>
      </c>
      <c r="AI389" s="80">
        <f>IF(Q389="","",IF(Q389="SIM",VLOOKUP($I389&amp;$J389&amp;Q$1,Pesos!$A:$I,7,FALSE),VLOOKUP($I389&amp;$J389&amp;Q$1,Pesos!$A:$I,9,FALSE)))</f>
        <v>0.8</v>
      </c>
      <c r="AJ389" s="80">
        <f>IF(R389="","",IF(R389="SIM",VLOOKUP($I389&amp;$J389&amp;R$1,Pesos!$A:$I,7,FALSE),VLOOKUP($I389&amp;$J389&amp;R$1,Pesos!$A:$I,9,FALSE)))</f>
        <v>0.8</v>
      </c>
      <c r="AK389" s="80">
        <f>IF(S389="","",IF(S389="SIM",VLOOKUP($I389&amp;$J389&amp;S$1,Pesos!$A:$I,7,FALSE),VLOOKUP($I389&amp;$J389&amp;S$1,Pesos!$A:$I,9,FALSE)))</f>
        <v>-4.0000000000000008E-2</v>
      </c>
      <c r="AL389" s="80">
        <f t="shared" si="64"/>
        <v>4.3599999999999994</v>
      </c>
      <c r="AM389" s="80">
        <f>IF(T389="","",IF(T389="SIM",VLOOKUP($I389&amp;$J389&amp;T$1,Pesos!$A:$I,7,FALSE),VLOOKUP($I389&amp;$J389&amp;T$1,Pesos!$A:$I,9,FALSE)))</f>
        <v>0.8</v>
      </c>
      <c r="AN389" s="80">
        <f>IF(U389="","",IF(U389="SIM",VLOOKUP($I389&amp;$J389&amp;U$1,Pesos!$A:$I,7,FALSE),VLOOKUP($I389&amp;$J389&amp;U$1,Pesos!$A:$I,9,FALSE)))</f>
        <v>0.8</v>
      </c>
      <c r="AO389" s="80">
        <f>IF(V389="","",IF(V389="SIM",VLOOKUP($I389&amp;$J389&amp;V$1,Pesos!$A:$I,7,FALSE),VLOOKUP($I389&amp;$J389&amp;V$1,Pesos!$A:$I,9,FALSE)))</f>
        <v>0.8</v>
      </c>
      <c r="AP389" s="80">
        <f>IF(W389="","",IF(W389="SIM",VLOOKUP($I389&amp;$J389&amp;W$1,Pesos!$A:$I,7,FALSE),VLOOKUP($I389&amp;$J389&amp;W$1,Pesos!$A:$I,9,FALSE)))</f>
        <v>0.8</v>
      </c>
      <c r="AQ389" s="80">
        <f>IF(X389="","",IF(X389="SIM",VLOOKUP($I389&amp;$J389&amp;X$1,Pesos!$A:$I,7,FALSE),VLOOKUP($I389&amp;$J389&amp;X$1,Pesos!$A:$I,9,FALSE)))</f>
        <v>0.8</v>
      </c>
      <c r="AR389" s="80">
        <f>IF(Y389="","",IF(Y389="SIM",VLOOKUP($I389&amp;$J389&amp;Y$1,Pesos!$A:$I,7,FALSE),VLOOKUP($I389&amp;$J389&amp;Y$1,Pesos!$A:$I,9,FALSE)))</f>
        <v>0.8</v>
      </c>
      <c r="AS389" s="81">
        <f>IFERROR(Z389*VLOOKUP(J389,'BD Campos'!$Y$1:$Z$12,2,FALSE),"0")</f>
        <v>9.16</v>
      </c>
    </row>
    <row r="390" spans="1:45" x14ac:dyDescent="0.35">
      <c r="A390" s="68" t="str">
        <f t="shared" si="61"/>
        <v>Fev202511200MotoristaTRANSFERÊNCIA</v>
      </c>
      <c r="B390" s="69" t="str">
        <f t="shared" si="62"/>
        <v>Fev2025112001TRANSFERÊNCIAPADRÃO</v>
      </c>
      <c r="C390" s="70">
        <v>1</v>
      </c>
      <c r="D390" s="71">
        <v>45695.396924074077</v>
      </c>
      <c r="E390" s="112" t="s">
        <v>338</v>
      </c>
      <c r="F390" s="72">
        <v>11200</v>
      </c>
      <c r="G390" s="69" t="s">
        <v>1395</v>
      </c>
      <c r="H390" s="73">
        <v>1</v>
      </c>
      <c r="I390" s="69" t="s">
        <v>121</v>
      </c>
      <c r="J390" s="69" t="s">
        <v>122</v>
      </c>
      <c r="K390" s="69" t="s">
        <v>106</v>
      </c>
      <c r="L390" s="74">
        <v>31119283</v>
      </c>
      <c r="M390" s="75">
        <v>1.4004629629629629E-3</v>
      </c>
      <c r="N390" s="76"/>
      <c r="O390" s="76"/>
      <c r="P390" s="76"/>
      <c r="Q390" s="76"/>
      <c r="R390" s="76"/>
      <c r="S390" s="76"/>
      <c r="T390" s="76"/>
      <c r="U390" s="76"/>
      <c r="V390" s="76"/>
      <c r="W390" s="76"/>
      <c r="X390" s="76"/>
      <c r="Y390" s="76"/>
      <c r="Z390" s="77">
        <f t="shared" si="38"/>
        <v>0</v>
      </c>
      <c r="AA390" s="78" t="s">
        <v>1606</v>
      </c>
      <c r="AB390" s="78" t="s">
        <v>1605</v>
      </c>
      <c r="AC390" s="72" t="s">
        <v>47</v>
      </c>
      <c r="AE390" s="79" t="str">
        <f t="shared" si="63"/>
        <v>Fev11200</v>
      </c>
      <c r="AF390" s="80" t="str">
        <f>IF(N390="","",IF(N390="SIM",VLOOKUP($I390&amp;$J390&amp;N$1,Pesos!$A:$I,7,FALSE),VLOOKUP($I390&amp;$J390&amp;N$1,Pesos!$A:$I,9,FALSE)))</f>
        <v/>
      </c>
      <c r="AG390" s="80" t="str">
        <f>IF(O390="","",IF(O390="SIM",VLOOKUP($I390&amp;$J390&amp;O$1,Pesos!$A:$I,7,FALSE),VLOOKUP($I390&amp;$J390&amp;O$1,Pesos!$A:$I,9,FALSE)))</f>
        <v/>
      </c>
      <c r="AH390" s="80" t="str">
        <f>IF(P390="","",IF(P390="SIM",VLOOKUP($I390&amp;$J390&amp;P$1,Pesos!$A:$I,7,FALSE),VLOOKUP($I390&amp;$J390&amp;P$1,Pesos!$A:$I,9,FALSE)))</f>
        <v/>
      </c>
      <c r="AI390" s="80" t="str">
        <f>IF(Q390="","",IF(Q390="SIM",VLOOKUP($I390&amp;$J390&amp;Q$1,Pesos!$A:$I,7,FALSE),VLOOKUP($I390&amp;$J390&amp;Q$1,Pesos!$A:$I,9,FALSE)))</f>
        <v/>
      </c>
      <c r="AJ390" s="80" t="str">
        <f>IF(R390="","",IF(R390="SIM",VLOOKUP($I390&amp;$J390&amp;R$1,Pesos!$A:$I,7,FALSE),VLOOKUP($I390&amp;$J390&amp;R$1,Pesos!$A:$I,9,FALSE)))</f>
        <v/>
      </c>
      <c r="AK390" s="80" t="str">
        <f>IF(S390="","",IF(S390="SIM",VLOOKUP($I390&amp;$J390&amp;S$1,Pesos!$A:$I,7,FALSE),VLOOKUP($I390&amp;$J390&amp;S$1,Pesos!$A:$I,9,FALSE)))</f>
        <v/>
      </c>
      <c r="AL390" s="80">
        <f t="shared" si="64"/>
        <v>0</v>
      </c>
      <c r="AM390" s="80" t="str">
        <f>IF(T390="","",IF(T390="SIM",VLOOKUP($I390&amp;$J390&amp;T$1,Pesos!$A:$I,7,FALSE),VLOOKUP($I390&amp;$J390&amp;T$1,Pesos!$A:$I,9,FALSE)))</f>
        <v/>
      </c>
      <c r="AN390" s="80" t="str">
        <f>IF(U390="","",IF(U390="SIM",VLOOKUP($I390&amp;$J390&amp;U$1,Pesos!$A:$I,7,FALSE),VLOOKUP($I390&amp;$J390&amp;U$1,Pesos!$A:$I,9,FALSE)))</f>
        <v/>
      </c>
      <c r="AO390" s="80" t="str">
        <f>IF(V390="","",IF(V390="SIM",VLOOKUP($I390&amp;$J390&amp;V$1,Pesos!$A:$I,7,FALSE),VLOOKUP($I390&amp;$J390&amp;V$1,Pesos!$A:$I,9,FALSE)))</f>
        <v/>
      </c>
      <c r="AP390" s="80" t="str">
        <f>IF(W390="","",IF(W390="SIM",VLOOKUP($I390&amp;$J390&amp;W$1,Pesos!$A:$I,7,FALSE),VLOOKUP($I390&amp;$J390&amp;W$1,Pesos!$A:$I,9,FALSE)))</f>
        <v/>
      </c>
      <c r="AQ390" s="80" t="str">
        <f>IF(X390="","",IF(X390="SIM",VLOOKUP($I390&amp;$J390&amp;X$1,Pesos!$A:$I,7,FALSE),VLOOKUP($I390&amp;$J390&amp;X$1,Pesos!$A:$I,9,FALSE)))</f>
        <v/>
      </c>
      <c r="AR390" s="80" t="str">
        <f>IF(Y390="","",IF(Y390="SIM",VLOOKUP($I390&amp;$J390&amp;Y$1,Pesos!$A:$I,7,FALSE),VLOOKUP($I390&amp;$J390&amp;Y$1,Pesos!$A:$I,9,FALSE)))</f>
        <v/>
      </c>
      <c r="AS390" s="81">
        <f>IFERROR(Z390*VLOOKUP(J390,'BD Campos'!$Y$1:$Z$12,2,FALSE),"0")</f>
        <v>0</v>
      </c>
    </row>
    <row r="391" spans="1:45" x14ac:dyDescent="0.35">
      <c r="A391" s="68" t="str">
        <f t="shared" si="61"/>
        <v>Fev202511200ReceptivaTRANSFERÊNCIA</v>
      </c>
      <c r="B391" s="69" t="str">
        <f t="shared" si="62"/>
        <v>Fev2025112005TRANSFERÊNCIAPADRÃO</v>
      </c>
      <c r="C391" s="70">
        <v>1</v>
      </c>
      <c r="D391" s="71">
        <v>45695.402398495367</v>
      </c>
      <c r="E391" s="112" t="s">
        <v>338</v>
      </c>
      <c r="F391" s="72">
        <v>11200</v>
      </c>
      <c r="G391" s="69" t="s">
        <v>1395</v>
      </c>
      <c r="H391" s="73">
        <v>5</v>
      </c>
      <c r="I391" s="69" t="s">
        <v>6</v>
      </c>
      <c r="J391" s="69" t="s">
        <v>98</v>
      </c>
      <c r="K391" s="69" t="s">
        <v>106</v>
      </c>
      <c r="L391" s="74"/>
      <c r="M391" s="75">
        <v>9.4907407407407408E-4</v>
      </c>
      <c r="N391" s="76" t="s">
        <v>79</v>
      </c>
      <c r="O391" s="76" t="s">
        <v>79</v>
      </c>
      <c r="P391" s="76" t="s">
        <v>79</v>
      </c>
      <c r="Q391" s="76" t="s">
        <v>79</v>
      </c>
      <c r="R391" s="76" t="s">
        <v>79</v>
      </c>
      <c r="S391" s="76" t="s">
        <v>79</v>
      </c>
      <c r="T391" s="76" t="s">
        <v>79</v>
      </c>
      <c r="U391" s="76" t="s">
        <v>79</v>
      </c>
      <c r="V391" s="76" t="s">
        <v>79</v>
      </c>
      <c r="W391" s="76" t="s">
        <v>79</v>
      </c>
      <c r="X391" s="76" t="s">
        <v>79</v>
      </c>
      <c r="Y391" s="76" t="s">
        <v>79</v>
      </c>
      <c r="Z391" s="77">
        <f t="shared" si="38"/>
        <v>10</v>
      </c>
      <c r="AA391" s="78"/>
      <c r="AB391" s="78"/>
      <c r="AC391" s="72" t="s">
        <v>47</v>
      </c>
      <c r="AE391" s="79" t="str">
        <f t="shared" si="63"/>
        <v>Fev11200</v>
      </c>
      <c r="AF391" s="80">
        <f>IF(N391="","",IF(N391="SIM",VLOOKUP($I391&amp;$J391&amp;N$1,Pesos!$A:$I,7,FALSE),VLOOKUP($I391&amp;$J391&amp;N$1,Pesos!$A:$I,9,FALSE)))</f>
        <v>0.8</v>
      </c>
      <c r="AG391" s="80">
        <f>IF(O391="","",IF(O391="SIM",VLOOKUP($I391&amp;$J391&amp;O$1,Pesos!$A:$I,7,FALSE),VLOOKUP($I391&amp;$J391&amp;O$1,Pesos!$A:$I,9,FALSE)))</f>
        <v>0.8</v>
      </c>
      <c r="AH391" s="80">
        <f>IF(P391="","",IF(P391="SIM",VLOOKUP($I391&amp;$J391&amp;P$1,Pesos!$A:$I,7,FALSE),VLOOKUP($I391&amp;$J391&amp;P$1,Pesos!$A:$I,9,FALSE)))</f>
        <v>1.2</v>
      </c>
      <c r="AI391" s="80">
        <f>IF(Q391="","",IF(Q391="SIM",VLOOKUP($I391&amp;$J391&amp;Q$1,Pesos!$A:$I,7,FALSE),VLOOKUP($I391&amp;$J391&amp;Q$1,Pesos!$A:$I,9,FALSE)))</f>
        <v>0.8</v>
      </c>
      <c r="AJ391" s="80">
        <f>IF(R391="","",IF(R391="SIM",VLOOKUP($I391&amp;$J391&amp;R$1,Pesos!$A:$I,7,FALSE),VLOOKUP($I391&amp;$J391&amp;R$1,Pesos!$A:$I,9,FALSE)))</f>
        <v>0.8</v>
      </c>
      <c r="AK391" s="80">
        <f>IF(S391="","",IF(S391="SIM",VLOOKUP($I391&amp;$J391&amp;S$1,Pesos!$A:$I,7,FALSE),VLOOKUP($I391&amp;$J391&amp;S$1,Pesos!$A:$I,9,FALSE)))</f>
        <v>0.8</v>
      </c>
      <c r="AL391" s="80">
        <f t="shared" si="64"/>
        <v>5.1999999999999993</v>
      </c>
      <c r="AM391" s="80">
        <f>IF(T391="","",IF(T391="SIM",VLOOKUP($I391&amp;$J391&amp;T$1,Pesos!$A:$I,7,FALSE),VLOOKUP($I391&amp;$J391&amp;T$1,Pesos!$A:$I,9,FALSE)))</f>
        <v>0.8</v>
      </c>
      <c r="AN391" s="80">
        <f>IF(U391="","",IF(U391="SIM",VLOOKUP($I391&amp;$J391&amp;U$1,Pesos!$A:$I,7,FALSE),VLOOKUP($I391&amp;$J391&amp;U$1,Pesos!$A:$I,9,FALSE)))</f>
        <v>0.8</v>
      </c>
      <c r="AO391" s="80">
        <f>IF(V391="","",IF(V391="SIM",VLOOKUP($I391&amp;$J391&amp;V$1,Pesos!$A:$I,7,FALSE),VLOOKUP($I391&amp;$J391&amp;V$1,Pesos!$A:$I,9,FALSE)))</f>
        <v>0.8</v>
      </c>
      <c r="AP391" s="80">
        <f>IF(W391="","",IF(W391="SIM",VLOOKUP($I391&amp;$J391&amp;W$1,Pesos!$A:$I,7,FALSE),VLOOKUP($I391&amp;$J391&amp;W$1,Pesos!$A:$I,9,FALSE)))</f>
        <v>0.8</v>
      </c>
      <c r="AQ391" s="80">
        <f>IF(X391="","",IF(X391="SIM",VLOOKUP($I391&amp;$J391&amp;X$1,Pesos!$A:$I,7,FALSE),VLOOKUP($I391&amp;$J391&amp;X$1,Pesos!$A:$I,9,FALSE)))</f>
        <v>0.8</v>
      </c>
      <c r="AR391" s="80">
        <f>IF(Y391="","",IF(Y391="SIM",VLOOKUP($I391&amp;$J391&amp;Y$1,Pesos!$A:$I,7,FALSE),VLOOKUP($I391&amp;$J391&amp;Y$1,Pesos!$A:$I,9,FALSE)))</f>
        <v>0.8</v>
      </c>
      <c r="AS391" s="81">
        <f>IFERROR(Z391*VLOOKUP(J391,'BD Campos'!$Y$1:$Z$12,2,FALSE),"0")</f>
        <v>10</v>
      </c>
    </row>
    <row r="392" spans="1:45" x14ac:dyDescent="0.35">
      <c r="A392" s="68" t="str">
        <f t="shared" si="61"/>
        <v>Fev202511237MotoristaTRANSFERÊNCIA</v>
      </c>
      <c r="B392" s="69" t="str">
        <f t="shared" si="62"/>
        <v>Fev2025112371TRANSFERÊNCIAPADRÃO</v>
      </c>
      <c r="C392" s="70">
        <v>1</v>
      </c>
      <c r="D392" s="71">
        <v>45695.408755671298</v>
      </c>
      <c r="E392" s="112" t="s">
        <v>338</v>
      </c>
      <c r="F392" s="72">
        <v>11237</v>
      </c>
      <c r="G392" s="69" t="s">
        <v>1500</v>
      </c>
      <c r="H392" s="73">
        <v>1</v>
      </c>
      <c r="I392" s="69" t="s">
        <v>126</v>
      </c>
      <c r="J392" s="69" t="s">
        <v>122</v>
      </c>
      <c r="K392" s="69" t="s">
        <v>106</v>
      </c>
      <c r="L392" s="74">
        <v>31090002</v>
      </c>
      <c r="M392" s="75">
        <v>2.1180555555555553E-3</v>
      </c>
      <c r="N392" s="76" t="s">
        <v>79</v>
      </c>
      <c r="O392" s="76" t="s">
        <v>79</v>
      </c>
      <c r="P392" s="76" t="s">
        <v>79</v>
      </c>
      <c r="Q392" s="76" t="s">
        <v>79</v>
      </c>
      <c r="R392" s="76" t="s">
        <v>79</v>
      </c>
      <c r="S392" s="76" t="s">
        <v>79</v>
      </c>
      <c r="T392" s="76" t="s">
        <v>79</v>
      </c>
      <c r="U392" s="76" t="s">
        <v>79</v>
      </c>
      <c r="V392" s="76" t="s">
        <v>79</v>
      </c>
      <c r="W392" s="76" t="s">
        <v>79</v>
      </c>
      <c r="X392" s="76" t="s">
        <v>79</v>
      </c>
      <c r="Y392" s="76" t="s">
        <v>79</v>
      </c>
      <c r="Z392" s="77">
        <f t="shared" si="38"/>
        <v>10</v>
      </c>
      <c r="AA392" s="78"/>
      <c r="AB392" s="78" t="s">
        <v>1607</v>
      </c>
      <c r="AC392" s="72" t="s">
        <v>47</v>
      </c>
      <c r="AE392" s="79" t="str">
        <f t="shared" si="63"/>
        <v>Fev11237</v>
      </c>
      <c r="AF392" s="80">
        <f>IF(N392="","",IF(N392="SIM",VLOOKUP($I392&amp;$J392&amp;N$1,Pesos!$A:$I,7,FALSE),VLOOKUP($I392&amp;$J392&amp;N$1,Pesos!$A:$I,9,FALSE)))</f>
        <v>0.8</v>
      </c>
      <c r="AG392" s="80">
        <f>IF(O392="","",IF(O392="SIM",VLOOKUP($I392&amp;$J392&amp;O$1,Pesos!$A:$I,7,FALSE),VLOOKUP($I392&amp;$J392&amp;O$1,Pesos!$A:$I,9,FALSE)))</f>
        <v>0.8</v>
      </c>
      <c r="AH392" s="80">
        <f>IF(P392="","",IF(P392="SIM",VLOOKUP($I392&amp;$J392&amp;P$1,Pesos!$A:$I,7,FALSE),VLOOKUP($I392&amp;$J392&amp;P$1,Pesos!$A:$I,9,FALSE)))</f>
        <v>0.8</v>
      </c>
      <c r="AI392" s="80">
        <f>IF(Q392="","",IF(Q392="SIM",VLOOKUP($I392&amp;$J392&amp;Q$1,Pesos!$A:$I,7,FALSE),VLOOKUP($I392&amp;$J392&amp;Q$1,Pesos!$A:$I,9,FALSE)))</f>
        <v>0.8</v>
      </c>
      <c r="AJ392" s="80">
        <f>IF(R392="","",IF(R392="SIM",VLOOKUP($I392&amp;$J392&amp;R$1,Pesos!$A:$I,7,FALSE),VLOOKUP($I392&amp;$J392&amp;R$1,Pesos!$A:$I,9,FALSE)))</f>
        <v>0.8</v>
      </c>
      <c r="AK392" s="80">
        <f>IF(S392="","",IF(S392="SIM",VLOOKUP($I392&amp;$J392&amp;S$1,Pesos!$A:$I,7,FALSE),VLOOKUP($I392&amp;$J392&amp;S$1,Pesos!$A:$I,9,FALSE)))</f>
        <v>0.8</v>
      </c>
      <c r="AL392" s="80">
        <f t="shared" si="64"/>
        <v>4.8</v>
      </c>
      <c r="AM392" s="80">
        <f>IF(T392="","",IF(T392="SIM",VLOOKUP($I392&amp;$J392&amp;T$1,Pesos!$A:$I,7,FALSE),VLOOKUP($I392&amp;$J392&amp;T$1,Pesos!$A:$I,9,FALSE)))</f>
        <v>0.8</v>
      </c>
      <c r="AN392" s="80">
        <f>IF(U392="","",IF(U392="SIM",VLOOKUP($I392&amp;$J392&amp;U$1,Pesos!$A:$I,7,FALSE),VLOOKUP($I392&amp;$J392&amp;U$1,Pesos!$A:$I,9,FALSE)))</f>
        <v>0.8</v>
      </c>
      <c r="AO392" s="80">
        <f>IF(V392="","",IF(V392="SIM",VLOOKUP($I392&amp;$J392&amp;V$1,Pesos!$A:$I,7,FALSE),VLOOKUP($I392&amp;$J392&amp;V$1,Pesos!$A:$I,9,FALSE)))</f>
        <v>0.8</v>
      </c>
      <c r="AP392" s="80">
        <f>IF(W392="","",IF(W392="SIM",VLOOKUP($I392&amp;$J392&amp;W$1,Pesos!$A:$I,7,FALSE),VLOOKUP($I392&amp;$J392&amp;W$1,Pesos!$A:$I,9,FALSE)))</f>
        <v>0.8</v>
      </c>
      <c r="AQ392" s="80">
        <f>IF(X392="","",IF(X392="SIM",VLOOKUP($I392&amp;$J392&amp;X$1,Pesos!$A:$I,7,FALSE),VLOOKUP($I392&amp;$J392&amp;X$1,Pesos!$A:$I,9,FALSE)))</f>
        <v>1</v>
      </c>
      <c r="AR392" s="80">
        <f>IF(Y392="","",IF(Y392="SIM",VLOOKUP($I392&amp;$J392&amp;Y$1,Pesos!$A:$I,7,FALSE),VLOOKUP($I392&amp;$J392&amp;Y$1,Pesos!$A:$I,9,FALSE)))</f>
        <v>1</v>
      </c>
      <c r="AS392" s="81">
        <f>IFERROR(Z392*VLOOKUP(J392,'BD Campos'!$Y$1:$Z$12,2,FALSE),"0")</f>
        <v>10</v>
      </c>
    </row>
    <row r="393" spans="1:45" x14ac:dyDescent="0.35">
      <c r="A393" s="68" t="str">
        <f t="shared" si="61"/>
        <v>Fev202511237ReceptivaTRANSFERÊNCIA</v>
      </c>
      <c r="B393" s="69" t="str">
        <f t="shared" si="62"/>
        <v>Fev2025112375TRANSFERÊNCIAPADRÃO</v>
      </c>
      <c r="C393" s="70">
        <v>1</v>
      </c>
      <c r="D393" s="71">
        <v>45695.412429745367</v>
      </c>
      <c r="E393" s="112" t="s">
        <v>338</v>
      </c>
      <c r="F393" s="72">
        <v>11237</v>
      </c>
      <c r="G393" s="69" t="s">
        <v>1500</v>
      </c>
      <c r="H393" s="73">
        <v>5</v>
      </c>
      <c r="I393" s="69" t="s">
        <v>6</v>
      </c>
      <c r="J393" s="69" t="s">
        <v>98</v>
      </c>
      <c r="K393" s="69" t="s">
        <v>106</v>
      </c>
      <c r="L393" s="74"/>
      <c r="M393" s="75">
        <v>1.5393518518518519E-3</v>
      </c>
      <c r="N393" s="76" t="s">
        <v>79</v>
      </c>
      <c r="O393" s="76" t="s">
        <v>79</v>
      </c>
      <c r="P393" s="76" t="s">
        <v>79</v>
      </c>
      <c r="Q393" s="76" t="s">
        <v>79</v>
      </c>
      <c r="R393" s="76" t="s">
        <v>79</v>
      </c>
      <c r="S393" s="76" t="s">
        <v>79</v>
      </c>
      <c r="T393" s="76" t="s">
        <v>79</v>
      </c>
      <c r="U393" s="76" t="s">
        <v>79</v>
      </c>
      <c r="V393" s="76" t="s">
        <v>79</v>
      </c>
      <c r="W393" s="76" t="s">
        <v>79</v>
      </c>
      <c r="X393" s="76" t="s">
        <v>79</v>
      </c>
      <c r="Y393" s="76" t="s">
        <v>79</v>
      </c>
      <c r="Z393" s="77">
        <f t="shared" si="38"/>
        <v>10</v>
      </c>
      <c r="AA393" s="78"/>
      <c r="AB393" s="78"/>
      <c r="AC393" s="72" t="s">
        <v>47</v>
      </c>
      <c r="AE393" s="79" t="str">
        <f t="shared" si="63"/>
        <v>Fev11237</v>
      </c>
      <c r="AF393" s="80">
        <f>IF(N393="","",IF(N393="SIM",VLOOKUP($I393&amp;$J393&amp;N$1,Pesos!$A:$I,7,FALSE),VLOOKUP($I393&amp;$J393&amp;N$1,Pesos!$A:$I,9,FALSE)))</f>
        <v>0.8</v>
      </c>
      <c r="AG393" s="80">
        <f>IF(O393="","",IF(O393="SIM",VLOOKUP($I393&amp;$J393&amp;O$1,Pesos!$A:$I,7,FALSE),VLOOKUP($I393&amp;$J393&amp;O$1,Pesos!$A:$I,9,FALSE)))</f>
        <v>0.8</v>
      </c>
      <c r="AH393" s="80">
        <f>IF(P393="","",IF(P393="SIM",VLOOKUP($I393&amp;$J393&amp;P$1,Pesos!$A:$I,7,FALSE),VLOOKUP($I393&amp;$J393&amp;P$1,Pesos!$A:$I,9,FALSE)))</f>
        <v>1.2</v>
      </c>
      <c r="AI393" s="80">
        <f>IF(Q393="","",IF(Q393="SIM",VLOOKUP($I393&amp;$J393&amp;Q$1,Pesos!$A:$I,7,FALSE),VLOOKUP($I393&amp;$J393&amp;Q$1,Pesos!$A:$I,9,FALSE)))</f>
        <v>0.8</v>
      </c>
      <c r="AJ393" s="80">
        <f>IF(R393="","",IF(R393="SIM",VLOOKUP($I393&amp;$J393&amp;R$1,Pesos!$A:$I,7,FALSE),VLOOKUP($I393&amp;$J393&amp;R$1,Pesos!$A:$I,9,FALSE)))</f>
        <v>0.8</v>
      </c>
      <c r="AK393" s="80">
        <f>IF(S393="","",IF(S393="SIM",VLOOKUP($I393&amp;$J393&amp;S$1,Pesos!$A:$I,7,FALSE),VLOOKUP($I393&amp;$J393&amp;S$1,Pesos!$A:$I,9,FALSE)))</f>
        <v>0.8</v>
      </c>
      <c r="AL393" s="80">
        <f t="shared" si="64"/>
        <v>5.1999999999999993</v>
      </c>
      <c r="AM393" s="80">
        <f>IF(T393="","",IF(T393="SIM",VLOOKUP($I393&amp;$J393&amp;T$1,Pesos!$A:$I,7,FALSE),VLOOKUP($I393&amp;$J393&amp;T$1,Pesos!$A:$I,9,FALSE)))</f>
        <v>0.8</v>
      </c>
      <c r="AN393" s="80">
        <f>IF(U393="","",IF(U393="SIM",VLOOKUP($I393&amp;$J393&amp;U$1,Pesos!$A:$I,7,FALSE),VLOOKUP($I393&amp;$J393&amp;U$1,Pesos!$A:$I,9,FALSE)))</f>
        <v>0.8</v>
      </c>
      <c r="AO393" s="80">
        <f>IF(V393="","",IF(V393="SIM",VLOOKUP($I393&amp;$J393&amp;V$1,Pesos!$A:$I,7,FALSE),VLOOKUP($I393&amp;$J393&amp;V$1,Pesos!$A:$I,9,FALSE)))</f>
        <v>0.8</v>
      </c>
      <c r="AP393" s="80">
        <f>IF(W393="","",IF(W393="SIM",VLOOKUP($I393&amp;$J393&amp;W$1,Pesos!$A:$I,7,FALSE),VLOOKUP($I393&amp;$J393&amp;W$1,Pesos!$A:$I,9,FALSE)))</f>
        <v>0.8</v>
      </c>
      <c r="AQ393" s="80">
        <f>IF(X393="","",IF(X393="SIM",VLOOKUP($I393&amp;$J393&amp;X$1,Pesos!$A:$I,7,FALSE),VLOOKUP($I393&amp;$J393&amp;X$1,Pesos!$A:$I,9,FALSE)))</f>
        <v>0.8</v>
      </c>
      <c r="AR393" s="80">
        <f>IF(Y393="","",IF(Y393="SIM",VLOOKUP($I393&amp;$J393&amp;Y$1,Pesos!$A:$I,7,FALSE),VLOOKUP($I393&amp;$J393&amp;Y$1,Pesos!$A:$I,9,FALSE)))</f>
        <v>0.8</v>
      </c>
      <c r="AS393" s="81">
        <f>IFERROR(Z393*VLOOKUP(J393,'BD Campos'!$Y$1:$Z$12,2,FALSE),"0")</f>
        <v>10</v>
      </c>
    </row>
    <row r="394" spans="1:45" x14ac:dyDescent="0.35">
      <c r="A394" s="68" t="str">
        <f t="shared" si="61"/>
        <v>Fev202511082PoliciaTRANSFERÊNCIA</v>
      </c>
      <c r="B394" s="69" t="str">
        <f t="shared" si="62"/>
        <v>Fev2025110821TRANSFERÊNCIAPADRÃO</v>
      </c>
      <c r="C394" s="70">
        <v>1</v>
      </c>
      <c r="D394" s="71">
        <v>45695.41983460648</v>
      </c>
      <c r="E394" s="112" t="s">
        <v>338</v>
      </c>
      <c r="F394" s="72">
        <v>11082</v>
      </c>
      <c r="G394" s="69" t="s">
        <v>405</v>
      </c>
      <c r="H394" s="73">
        <v>1</v>
      </c>
      <c r="I394" s="69" t="s">
        <v>123</v>
      </c>
      <c r="J394" s="69" t="s">
        <v>146</v>
      </c>
      <c r="K394" s="69" t="s">
        <v>106</v>
      </c>
      <c r="L394" s="74">
        <v>31101265</v>
      </c>
      <c r="M394" s="75">
        <v>2.2685185185185182E-3</v>
      </c>
      <c r="N394" s="76" t="s">
        <v>79</v>
      </c>
      <c r="O394" s="76" t="s">
        <v>79</v>
      </c>
      <c r="P394" s="76" t="s">
        <v>79</v>
      </c>
      <c r="Q394" s="76" t="s">
        <v>79</v>
      </c>
      <c r="R394" s="76" t="s">
        <v>79</v>
      </c>
      <c r="S394" s="76" t="s">
        <v>79</v>
      </c>
      <c r="T394" s="76" t="s">
        <v>79</v>
      </c>
      <c r="U394" s="76" t="s">
        <v>79</v>
      </c>
      <c r="V394" s="76" t="s">
        <v>83</v>
      </c>
      <c r="W394" s="76" t="s">
        <v>79</v>
      </c>
      <c r="X394" s="76" t="s">
        <v>79</v>
      </c>
      <c r="Y394" s="76" t="s">
        <v>79</v>
      </c>
      <c r="Z394" s="77">
        <f t="shared" si="38"/>
        <v>9.16</v>
      </c>
      <c r="AA394" s="78"/>
      <c r="AB394" s="78" t="s">
        <v>1608</v>
      </c>
      <c r="AC394" s="72" t="s">
        <v>47</v>
      </c>
      <c r="AE394" s="79" t="str">
        <f t="shared" si="63"/>
        <v>Fev11082</v>
      </c>
      <c r="AF394" s="80">
        <f>IF(N394="","",IF(N394="SIM",VLOOKUP($I394&amp;$J394&amp;N$1,Pesos!$A:$I,7,FALSE),VLOOKUP($I394&amp;$J394&amp;N$1,Pesos!$A:$I,9,FALSE)))</f>
        <v>0.8</v>
      </c>
      <c r="AG394" s="80">
        <f>IF(O394="","",IF(O394="SIM",VLOOKUP($I394&amp;$J394&amp;O$1,Pesos!$A:$I,7,FALSE),VLOOKUP($I394&amp;$J394&amp;O$1,Pesos!$A:$I,9,FALSE)))</f>
        <v>0.8</v>
      </c>
      <c r="AH394" s="80">
        <f>IF(P394="","",IF(P394="SIM",VLOOKUP($I394&amp;$J394&amp;P$1,Pesos!$A:$I,7,FALSE),VLOOKUP($I394&amp;$J394&amp;P$1,Pesos!$A:$I,9,FALSE)))</f>
        <v>0.8</v>
      </c>
      <c r="AI394" s="80">
        <f>IF(Q394="","",IF(Q394="SIM",VLOOKUP($I394&amp;$J394&amp;Q$1,Pesos!$A:$I,7,FALSE),VLOOKUP($I394&amp;$J394&amp;Q$1,Pesos!$A:$I,9,FALSE)))</f>
        <v>0.8</v>
      </c>
      <c r="AJ394" s="80">
        <f>IF(R394="","",IF(R394="SIM",VLOOKUP($I394&amp;$J394&amp;R$1,Pesos!$A:$I,7,FALSE),VLOOKUP($I394&amp;$J394&amp;R$1,Pesos!$A:$I,9,FALSE)))</f>
        <v>0.8</v>
      </c>
      <c r="AK394" s="80">
        <f>IF(S394="","",IF(S394="SIM",VLOOKUP($I394&amp;$J394&amp;S$1,Pesos!$A:$I,7,FALSE),VLOOKUP($I394&amp;$J394&amp;S$1,Pesos!$A:$I,9,FALSE)))</f>
        <v>0.8</v>
      </c>
      <c r="AL394" s="80">
        <f t="shared" si="64"/>
        <v>4.8</v>
      </c>
      <c r="AM394" s="80">
        <f>IF(T394="","",IF(T394="SIM",VLOOKUP($I394&amp;$J394&amp;T$1,Pesos!$A:$I,7,FALSE),VLOOKUP($I394&amp;$J394&amp;T$1,Pesos!$A:$I,9,FALSE)))</f>
        <v>0.8</v>
      </c>
      <c r="AN394" s="80">
        <f>IF(U394="","",IF(U394="SIM",VLOOKUP($I394&amp;$J394&amp;U$1,Pesos!$A:$I,7,FALSE),VLOOKUP($I394&amp;$J394&amp;U$1,Pesos!$A:$I,9,FALSE)))</f>
        <v>0.8</v>
      </c>
      <c r="AO394" s="80">
        <f>IF(V394="","",IF(V394="SIM",VLOOKUP($I394&amp;$J394&amp;V$1,Pesos!$A:$I,7,FALSE),VLOOKUP($I394&amp;$J394&amp;V$1,Pesos!$A:$I,9,FALSE)))</f>
        <v>-4.0000000000000008E-2</v>
      </c>
      <c r="AP394" s="80">
        <f>IF(W394="","",IF(W394="SIM",VLOOKUP($I394&amp;$J394&amp;W$1,Pesos!$A:$I,7,FALSE),VLOOKUP($I394&amp;$J394&amp;W$1,Pesos!$A:$I,9,FALSE)))</f>
        <v>0.8</v>
      </c>
      <c r="AQ394" s="80">
        <f>IF(X394="","",IF(X394="SIM",VLOOKUP($I394&amp;$J394&amp;X$1,Pesos!$A:$I,7,FALSE),VLOOKUP($I394&amp;$J394&amp;X$1,Pesos!$A:$I,9,FALSE)))</f>
        <v>1</v>
      </c>
      <c r="AR394" s="80">
        <f>IF(Y394="","",IF(Y394="SIM",VLOOKUP($I394&amp;$J394&amp;Y$1,Pesos!$A:$I,7,FALSE),VLOOKUP($I394&amp;$J394&amp;Y$1,Pesos!$A:$I,9,FALSE)))</f>
        <v>1</v>
      </c>
      <c r="AS394" s="81">
        <f>IFERROR(Z394*VLOOKUP(J394,'BD Campos'!$Y$1:$Z$12,2,FALSE),"0")</f>
        <v>9.16</v>
      </c>
    </row>
    <row r="395" spans="1:45" x14ac:dyDescent="0.35">
      <c r="A395" s="68" t="str">
        <f t="shared" si="61"/>
        <v>Fev202511082ReceptivaTRANSFERÊNCIA</v>
      </c>
      <c r="B395" s="69" t="str">
        <f t="shared" si="62"/>
        <v>Fev2025110825TRANSFERÊNCIAPADRÃO</v>
      </c>
      <c r="C395" s="70">
        <v>1</v>
      </c>
      <c r="D395" s="71">
        <v>45695.423659722219</v>
      </c>
      <c r="E395" s="112" t="s">
        <v>338</v>
      </c>
      <c r="F395" s="72">
        <v>11082</v>
      </c>
      <c r="G395" s="69" t="s">
        <v>405</v>
      </c>
      <c r="H395" s="73">
        <v>5</v>
      </c>
      <c r="I395" s="69" t="s">
        <v>6</v>
      </c>
      <c r="J395" s="69" t="s">
        <v>98</v>
      </c>
      <c r="K395" s="69" t="s">
        <v>106</v>
      </c>
      <c r="L395" s="74"/>
      <c r="M395" s="75">
        <v>1.689814814814815E-3</v>
      </c>
      <c r="N395" s="76" t="s">
        <v>83</v>
      </c>
      <c r="O395" s="76" t="s">
        <v>79</v>
      </c>
      <c r="P395" s="76" t="s">
        <v>79</v>
      </c>
      <c r="Q395" s="76" t="s">
        <v>79</v>
      </c>
      <c r="R395" s="76" t="s">
        <v>79</v>
      </c>
      <c r="S395" s="76" t="s">
        <v>79</v>
      </c>
      <c r="T395" s="76" t="s">
        <v>79</v>
      </c>
      <c r="U395" s="76" t="s">
        <v>79</v>
      </c>
      <c r="V395" s="76" t="s">
        <v>79</v>
      </c>
      <c r="W395" s="76" t="s">
        <v>79</v>
      </c>
      <c r="X395" s="76" t="s">
        <v>79</v>
      </c>
      <c r="Y395" s="76" t="s">
        <v>79</v>
      </c>
      <c r="Z395" s="77">
        <f t="shared" si="38"/>
        <v>9.16</v>
      </c>
      <c r="AA395" s="78" t="s">
        <v>1609</v>
      </c>
      <c r="AB395" s="78"/>
      <c r="AC395" s="72" t="s">
        <v>47</v>
      </c>
      <c r="AE395" s="79" t="str">
        <f t="shared" si="63"/>
        <v>Fev11082</v>
      </c>
      <c r="AF395" s="80">
        <f>IF(N395="","",IF(N395="SIM",VLOOKUP($I395&amp;$J395&amp;N$1,Pesos!$A:$I,7,FALSE),VLOOKUP($I395&amp;$J395&amp;N$1,Pesos!$A:$I,9,FALSE)))</f>
        <v>-4.0000000000000008E-2</v>
      </c>
      <c r="AG395" s="80">
        <f>IF(O395="","",IF(O395="SIM",VLOOKUP($I395&amp;$J395&amp;O$1,Pesos!$A:$I,7,FALSE),VLOOKUP($I395&amp;$J395&amp;O$1,Pesos!$A:$I,9,FALSE)))</f>
        <v>0.8</v>
      </c>
      <c r="AH395" s="80">
        <f>IF(P395="","",IF(P395="SIM",VLOOKUP($I395&amp;$J395&amp;P$1,Pesos!$A:$I,7,FALSE),VLOOKUP($I395&amp;$J395&amp;P$1,Pesos!$A:$I,9,FALSE)))</f>
        <v>1.2</v>
      </c>
      <c r="AI395" s="80">
        <f>IF(Q395="","",IF(Q395="SIM",VLOOKUP($I395&amp;$J395&amp;Q$1,Pesos!$A:$I,7,FALSE),VLOOKUP($I395&amp;$J395&amp;Q$1,Pesos!$A:$I,9,FALSE)))</f>
        <v>0.8</v>
      </c>
      <c r="AJ395" s="80">
        <f>IF(R395="","",IF(R395="SIM",VLOOKUP($I395&amp;$J395&amp;R$1,Pesos!$A:$I,7,FALSE),VLOOKUP($I395&amp;$J395&amp;R$1,Pesos!$A:$I,9,FALSE)))</f>
        <v>0.8</v>
      </c>
      <c r="AK395" s="80">
        <f>IF(S395="","",IF(S395="SIM",VLOOKUP($I395&amp;$J395&amp;S$1,Pesos!$A:$I,7,FALSE),VLOOKUP($I395&amp;$J395&amp;S$1,Pesos!$A:$I,9,FALSE)))</f>
        <v>0.8</v>
      </c>
      <c r="AL395" s="80">
        <f t="shared" si="64"/>
        <v>4.3599999999999994</v>
      </c>
      <c r="AM395" s="80">
        <f>IF(T395="","",IF(T395="SIM",VLOOKUP($I395&amp;$J395&amp;T$1,Pesos!$A:$I,7,FALSE),VLOOKUP($I395&amp;$J395&amp;T$1,Pesos!$A:$I,9,FALSE)))</f>
        <v>0.8</v>
      </c>
      <c r="AN395" s="80">
        <f>IF(U395="","",IF(U395="SIM",VLOOKUP($I395&amp;$J395&amp;U$1,Pesos!$A:$I,7,FALSE),VLOOKUP($I395&amp;$J395&amp;U$1,Pesos!$A:$I,9,FALSE)))</f>
        <v>0.8</v>
      </c>
      <c r="AO395" s="80">
        <f>IF(V395="","",IF(V395="SIM",VLOOKUP($I395&amp;$J395&amp;V$1,Pesos!$A:$I,7,FALSE),VLOOKUP($I395&amp;$J395&amp;V$1,Pesos!$A:$I,9,FALSE)))</f>
        <v>0.8</v>
      </c>
      <c r="AP395" s="80">
        <f>IF(W395="","",IF(W395="SIM",VLOOKUP($I395&amp;$J395&amp;W$1,Pesos!$A:$I,7,FALSE),VLOOKUP($I395&amp;$J395&amp;W$1,Pesos!$A:$I,9,FALSE)))</f>
        <v>0.8</v>
      </c>
      <c r="AQ395" s="80">
        <f>IF(X395="","",IF(X395="SIM",VLOOKUP($I395&amp;$J395&amp;X$1,Pesos!$A:$I,7,FALSE),VLOOKUP($I395&amp;$J395&amp;X$1,Pesos!$A:$I,9,FALSE)))</f>
        <v>0.8</v>
      </c>
      <c r="AR395" s="80">
        <f>IF(Y395="","",IF(Y395="SIM",VLOOKUP($I395&amp;$J395&amp;Y$1,Pesos!$A:$I,7,FALSE),VLOOKUP($I395&amp;$J395&amp;Y$1,Pesos!$A:$I,9,FALSE)))</f>
        <v>0.8</v>
      </c>
      <c r="AS395" s="81">
        <f>IFERROR(Z395*VLOOKUP(J395,'BD Campos'!$Y$1:$Z$12,2,FALSE),"0")</f>
        <v>9.16</v>
      </c>
    </row>
    <row r="396" spans="1:45" x14ac:dyDescent="0.35">
      <c r="A396" s="68" t="str">
        <f t="shared" si="61"/>
        <v>Fev202511177MotoristaTRANSFERÊNCIA</v>
      </c>
      <c r="B396" s="69" t="str">
        <f t="shared" si="62"/>
        <v>Fev2025111771TRANSFERÊNCIAPADRÃO</v>
      </c>
      <c r="C396" s="70">
        <v>1</v>
      </c>
      <c r="D396" s="71">
        <v>45695.427374768522</v>
      </c>
      <c r="E396" s="112" t="s">
        <v>338</v>
      </c>
      <c r="F396" s="72">
        <v>11177</v>
      </c>
      <c r="G396" s="69" t="s">
        <v>1397</v>
      </c>
      <c r="H396" s="73">
        <v>1</v>
      </c>
      <c r="I396" s="69" t="s">
        <v>123</v>
      </c>
      <c r="J396" s="69" t="s">
        <v>122</v>
      </c>
      <c r="K396" s="69" t="s">
        <v>106</v>
      </c>
      <c r="L396" s="74">
        <v>31114504</v>
      </c>
      <c r="M396" s="75">
        <v>1.3078703703703705E-3</v>
      </c>
      <c r="N396" s="76" t="s">
        <v>79</v>
      </c>
      <c r="O396" s="76" t="s">
        <v>79</v>
      </c>
      <c r="P396" s="76" t="s">
        <v>79</v>
      </c>
      <c r="Q396" s="76" t="s">
        <v>79</v>
      </c>
      <c r="R396" s="76" t="s">
        <v>79</v>
      </c>
      <c r="S396" s="76" t="s">
        <v>79</v>
      </c>
      <c r="T396" s="76" t="s">
        <v>79</v>
      </c>
      <c r="U396" s="76" t="s">
        <v>79</v>
      </c>
      <c r="V396" s="76" t="s">
        <v>79</v>
      </c>
      <c r="W396" s="76" t="s">
        <v>79</v>
      </c>
      <c r="X396" s="76"/>
      <c r="Y396" s="76"/>
      <c r="Z396" s="77">
        <f t="shared" si="38"/>
        <v>10</v>
      </c>
      <c r="AA396" s="78"/>
      <c r="AB396" s="78" t="s">
        <v>1610</v>
      </c>
      <c r="AC396" s="72" t="s">
        <v>47</v>
      </c>
      <c r="AE396" s="79" t="str">
        <f t="shared" si="63"/>
        <v>Fev11177</v>
      </c>
      <c r="AF396" s="80">
        <f>IF(N396="","",IF(N396="SIM",VLOOKUP($I396&amp;$J396&amp;N$1,Pesos!$A:$I,7,FALSE),VLOOKUP($I396&amp;$J396&amp;N$1,Pesos!$A:$I,9,FALSE)))</f>
        <v>1</v>
      </c>
      <c r="AG396" s="80">
        <f>IF(O396="","",IF(O396="SIM",VLOOKUP($I396&amp;$J396&amp;O$1,Pesos!$A:$I,7,FALSE),VLOOKUP($I396&amp;$J396&amp;O$1,Pesos!$A:$I,9,FALSE)))</f>
        <v>1</v>
      </c>
      <c r="AH396" s="80">
        <f>IF(P396="","",IF(P396="SIM",VLOOKUP($I396&amp;$J396&amp;P$1,Pesos!$A:$I,7,FALSE),VLOOKUP($I396&amp;$J396&amp;P$1,Pesos!$A:$I,9,FALSE)))</f>
        <v>1</v>
      </c>
      <c r="AI396" s="80">
        <f>IF(Q396="","",IF(Q396="SIM",VLOOKUP($I396&amp;$J396&amp;Q$1,Pesos!$A:$I,7,FALSE),VLOOKUP($I396&amp;$J396&amp;Q$1,Pesos!$A:$I,9,FALSE)))</f>
        <v>1</v>
      </c>
      <c r="AJ396" s="80">
        <f>IF(R396="","",IF(R396="SIM",VLOOKUP($I396&amp;$J396&amp;R$1,Pesos!$A:$I,7,FALSE),VLOOKUP($I396&amp;$J396&amp;R$1,Pesos!$A:$I,9,FALSE)))</f>
        <v>1</v>
      </c>
      <c r="AK396" s="80">
        <f>IF(S396="","",IF(S396="SIM",VLOOKUP($I396&amp;$J396&amp;S$1,Pesos!$A:$I,7,FALSE),VLOOKUP($I396&amp;$J396&amp;S$1,Pesos!$A:$I,9,FALSE)))</f>
        <v>1</v>
      </c>
      <c r="AL396" s="80">
        <f t="shared" si="64"/>
        <v>6</v>
      </c>
      <c r="AM396" s="80">
        <f>IF(T396="","",IF(T396="SIM",VLOOKUP($I396&amp;$J396&amp;T$1,Pesos!$A:$I,7,FALSE),VLOOKUP($I396&amp;$J396&amp;T$1,Pesos!$A:$I,9,FALSE)))</f>
        <v>1</v>
      </c>
      <c r="AN396" s="80">
        <f>IF(U396="","",IF(U396="SIM",VLOOKUP($I396&amp;$J396&amp;U$1,Pesos!$A:$I,7,FALSE),VLOOKUP($I396&amp;$J396&amp;U$1,Pesos!$A:$I,9,FALSE)))</f>
        <v>1</v>
      </c>
      <c r="AO396" s="80">
        <f>IF(V396="","",IF(V396="SIM",VLOOKUP($I396&amp;$J396&amp;V$1,Pesos!$A:$I,7,FALSE),VLOOKUP($I396&amp;$J396&amp;V$1,Pesos!$A:$I,9,FALSE)))</f>
        <v>1</v>
      </c>
      <c r="AP396" s="80">
        <f>IF(W396="","",IF(W396="SIM",VLOOKUP($I396&amp;$J396&amp;W$1,Pesos!$A:$I,7,FALSE),VLOOKUP($I396&amp;$J396&amp;W$1,Pesos!$A:$I,9,FALSE)))</f>
        <v>1</v>
      </c>
      <c r="AQ396" s="80" t="str">
        <f>IF(X396="","",IF(X396="SIM",VLOOKUP($I396&amp;$J396&amp;X$1,Pesos!$A:$I,7,FALSE),VLOOKUP($I396&amp;$J396&amp;X$1,Pesos!$A:$I,9,FALSE)))</f>
        <v/>
      </c>
      <c r="AR396" s="80" t="str">
        <f>IF(Y396="","",IF(Y396="SIM",VLOOKUP($I396&amp;$J396&amp;Y$1,Pesos!$A:$I,7,FALSE),VLOOKUP($I396&amp;$J396&amp;Y$1,Pesos!$A:$I,9,FALSE)))</f>
        <v/>
      </c>
      <c r="AS396" s="81">
        <f>IFERROR(Z396*VLOOKUP(J396,'BD Campos'!$Y$1:$Z$12,2,FALSE),"0")</f>
        <v>10</v>
      </c>
    </row>
    <row r="397" spans="1:45" x14ac:dyDescent="0.35">
      <c r="A397" s="68" t="str">
        <f t="shared" si="61"/>
        <v>Fev202511177ReceptivaTRANSFERÊNCIA</v>
      </c>
      <c r="B397" s="69" t="str">
        <f t="shared" si="62"/>
        <v>Fev2025111775TRANSFERÊNCIAPADRÃO</v>
      </c>
      <c r="C397" s="70">
        <v>1</v>
      </c>
      <c r="D397" s="71">
        <v>45695.436086689813</v>
      </c>
      <c r="E397" s="112" t="s">
        <v>338</v>
      </c>
      <c r="F397" s="72">
        <v>11177</v>
      </c>
      <c r="G397" s="69" t="s">
        <v>1397</v>
      </c>
      <c r="H397" s="73">
        <v>5</v>
      </c>
      <c r="I397" s="69" t="s">
        <v>6</v>
      </c>
      <c r="J397" s="69" t="s">
        <v>98</v>
      </c>
      <c r="K397" s="69" t="s">
        <v>106</v>
      </c>
      <c r="L397" s="74"/>
      <c r="M397" s="75">
        <v>1.6319444444444445E-3</v>
      </c>
      <c r="N397" s="76" t="s">
        <v>79</v>
      </c>
      <c r="O397" s="76" t="s">
        <v>79</v>
      </c>
      <c r="P397" s="76" t="s">
        <v>79</v>
      </c>
      <c r="Q397" s="76" t="s">
        <v>79</v>
      </c>
      <c r="R397" s="76" t="s">
        <v>79</v>
      </c>
      <c r="S397" s="76" t="s">
        <v>79</v>
      </c>
      <c r="T397" s="76" t="s">
        <v>79</v>
      </c>
      <c r="U397" s="76" t="s">
        <v>79</v>
      </c>
      <c r="V397" s="76" t="s">
        <v>79</v>
      </c>
      <c r="W397" s="76" t="s">
        <v>79</v>
      </c>
      <c r="X397" s="76" t="s">
        <v>79</v>
      </c>
      <c r="Y397" s="76" t="s">
        <v>79</v>
      </c>
      <c r="Z397" s="77">
        <f t="shared" si="38"/>
        <v>10</v>
      </c>
      <c r="AA397" s="78"/>
      <c r="AB397" s="78"/>
      <c r="AC397" s="72" t="s">
        <v>47</v>
      </c>
      <c r="AE397" s="79" t="str">
        <f t="shared" si="63"/>
        <v>Fev11177</v>
      </c>
      <c r="AF397" s="80">
        <f>IF(N397="","",IF(N397="SIM",VLOOKUP($I397&amp;$J397&amp;N$1,Pesos!$A:$I,7,FALSE),VLOOKUP($I397&amp;$J397&amp;N$1,Pesos!$A:$I,9,FALSE)))</f>
        <v>0.8</v>
      </c>
      <c r="AG397" s="80">
        <f>IF(O397="","",IF(O397="SIM",VLOOKUP($I397&amp;$J397&amp;O$1,Pesos!$A:$I,7,FALSE),VLOOKUP($I397&amp;$J397&amp;O$1,Pesos!$A:$I,9,FALSE)))</f>
        <v>0.8</v>
      </c>
      <c r="AH397" s="80">
        <f>IF(P397="","",IF(P397="SIM",VLOOKUP($I397&amp;$J397&amp;P$1,Pesos!$A:$I,7,FALSE),VLOOKUP($I397&amp;$J397&amp;P$1,Pesos!$A:$I,9,FALSE)))</f>
        <v>1.2</v>
      </c>
      <c r="AI397" s="80">
        <f>IF(Q397="","",IF(Q397="SIM",VLOOKUP($I397&amp;$J397&amp;Q$1,Pesos!$A:$I,7,FALSE),VLOOKUP($I397&amp;$J397&amp;Q$1,Pesos!$A:$I,9,FALSE)))</f>
        <v>0.8</v>
      </c>
      <c r="AJ397" s="80">
        <f>IF(R397="","",IF(R397="SIM",VLOOKUP($I397&amp;$J397&amp;R$1,Pesos!$A:$I,7,FALSE),VLOOKUP($I397&amp;$J397&amp;R$1,Pesos!$A:$I,9,FALSE)))</f>
        <v>0.8</v>
      </c>
      <c r="AK397" s="80">
        <f>IF(S397="","",IF(S397="SIM",VLOOKUP($I397&amp;$J397&amp;S$1,Pesos!$A:$I,7,FALSE),VLOOKUP($I397&amp;$J397&amp;S$1,Pesos!$A:$I,9,FALSE)))</f>
        <v>0.8</v>
      </c>
      <c r="AL397" s="80">
        <f t="shared" si="64"/>
        <v>5.1999999999999993</v>
      </c>
      <c r="AM397" s="80">
        <f>IF(T397="","",IF(T397="SIM",VLOOKUP($I397&amp;$J397&amp;T$1,Pesos!$A:$I,7,FALSE),VLOOKUP($I397&amp;$J397&amp;T$1,Pesos!$A:$I,9,FALSE)))</f>
        <v>0.8</v>
      </c>
      <c r="AN397" s="80">
        <f>IF(U397="","",IF(U397="SIM",VLOOKUP($I397&amp;$J397&amp;U$1,Pesos!$A:$I,7,FALSE),VLOOKUP($I397&amp;$J397&amp;U$1,Pesos!$A:$I,9,FALSE)))</f>
        <v>0.8</v>
      </c>
      <c r="AO397" s="80">
        <f>IF(V397="","",IF(V397="SIM",VLOOKUP($I397&amp;$J397&amp;V$1,Pesos!$A:$I,7,FALSE),VLOOKUP($I397&amp;$J397&amp;V$1,Pesos!$A:$I,9,FALSE)))</f>
        <v>0.8</v>
      </c>
      <c r="AP397" s="80">
        <f>IF(W397="","",IF(W397="SIM",VLOOKUP($I397&amp;$J397&amp;W$1,Pesos!$A:$I,7,FALSE),VLOOKUP($I397&amp;$J397&amp;W$1,Pesos!$A:$I,9,FALSE)))</f>
        <v>0.8</v>
      </c>
      <c r="AQ397" s="80">
        <f>IF(X397="","",IF(X397="SIM",VLOOKUP($I397&amp;$J397&amp;X$1,Pesos!$A:$I,7,FALSE),VLOOKUP($I397&amp;$J397&amp;X$1,Pesos!$A:$I,9,FALSE)))</f>
        <v>0.8</v>
      </c>
      <c r="AR397" s="80">
        <f>IF(Y397="","",IF(Y397="SIM",VLOOKUP($I397&amp;$J397&amp;Y$1,Pesos!$A:$I,7,FALSE),VLOOKUP($I397&amp;$J397&amp;Y$1,Pesos!$A:$I,9,FALSE)))</f>
        <v>0.8</v>
      </c>
      <c r="AS397" s="81">
        <f>IFERROR(Z397*VLOOKUP(J397,'BD Campos'!$Y$1:$Z$12,2,FALSE),"0")</f>
        <v>10</v>
      </c>
    </row>
    <row r="398" spans="1:45" x14ac:dyDescent="0.35">
      <c r="A398" s="68" t="str">
        <f t="shared" si="61"/>
        <v>Fev202510984ReceptivaTRANSFERÊNCIA</v>
      </c>
      <c r="B398" s="69" t="str">
        <f t="shared" si="62"/>
        <v>Fev2025109845TRANSFERÊNCIAPADRÃO</v>
      </c>
      <c r="C398" s="70">
        <v>1</v>
      </c>
      <c r="D398" s="71">
        <v>45695.439353472226</v>
      </c>
      <c r="E398" s="112" t="s">
        <v>338</v>
      </c>
      <c r="F398" s="72">
        <v>10984</v>
      </c>
      <c r="G398" s="69" t="s">
        <v>161</v>
      </c>
      <c r="H398" s="73">
        <v>5</v>
      </c>
      <c r="I398" s="69" t="s">
        <v>6</v>
      </c>
      <c r="J398" s="69" t="s">
        <v>98</v>
      </c>
      <c r="K398" s="69" t="s">
        <v>106</v>
      </c>
      <c r="L398" s="74"/>
      <c r="M398" s="75">
        <v>1.5972222222222221E-3</v>
      </c>
      <c r="N398" s="76" t="s">
        <v>79</v>
      </c>
      <c r="O398" s="76" t="s">
        <v>79</v>
      </c>
      <c r="P398" s="76" t="s">
        <v>79</v>
      </c>
      <c r="Q398" s="76" t="s">
        <v>79</v>
      </c>
      <c r="R398" s="76" t="s">
        <v>79</v>
      </c>
      <c r="S398" s="76" t="s">
        <v>79</v>
      </c>
      <c r="T398" s="76" t="s">
        <v>79</v>
      </c>
      <c r="U398" s="76" t="s">
        <v>79</v>
      </c>
      <c r="V398" s="76" t="s">
        <v>79</v>
      </c>
      <c r="W398" s="76" t="s">
        <v>79</v>
      </c>
      <c r="X398" s="76" t="s">
        <v>79</v>
      </c>
      <c r="Y398" s="76" t="s">
        <v>79</v>
      </c>
      <c r="Z398" s="77">
        <f t="shared" si="38"/>
        <v>10</v>
      </c>
      <c r="AA398" s="78"/>
      <c r="AB398" s="78"/>
      <c r="AC398" s="72" t="s">
        <v>47</v>
      </c>
      <c r="AE398" s="79" t="str">
        <f t="shared" si="63"/>
        <v>Fev10984</v>
      </c>
      <c r="AF398" s="80">
        <f>IF(N398="","",IF(N398="SIM",VLOOKUP($I398&amp;$J398&amp;N$1,Pesos!$A:$I,7,FALSE),VLOOKUP($I398&amp;$J398&amp;N$1,Pesos!$A:$I,9,FALSE)))</f>
        <v>0.8</v>
      </c>
      <c r="AG398" s="80">
        <f>IF(O398="","",IF(O398="SIM",VLOOKUP($I398&amp;$J398&amp;O$1,Pesos!$A:$I,7,FALSE),VLOOKUP($I398&amp;$J398&amp;O$1,Pesos!$A:$I,9,FALSE)))</f>
        <v>0.8</v>
      </c>
      <c r="AH398" s="80">
        <f>IF(P398="","",IF(P398="SIM",VLOOKUP($I398&amp;$J398&amp;P$1,Pesos!$A:$I,7,FALSE),VLOOKUP($I398&amp;$J398&amp;P$1,Pesos!$A:$I,9,FALSE)))</f>
        <v>1.2</v>
      </c>
      <c r="AI398" s="80">
        <f>IF(Q398="","",IF(Q398="SIM",VLOOKUP($I398&amp;$J398&amp;Q$1,Pesos!$A:$I,7,FALSE),VLOOKUP($I398&amp;$J398&amp;Q$1,Pesos!$A:$I,9,FALSE)))</f>
        <v>0.8</v>
      </c>
      <c r="AJ398" s="80">
        <f>IF(R398="","",IF(R398="SIM",VLOOKUP($I398&amp;$J398&amp;R$1,Pesos!$A:$I,7,FALSE),VLOOKUP($I398&amp;$J398&amp;R$1,Pesos!$A:$I,9,FALSE)))</f>
        <v>0.8</v>
      </c>
      <c r="AK398" s="80">
        <f>IF(S398="","",IF(S398="SIM",VLOOKUP($I398&amp;$J398&amp;S$1,Pesos!$A:$I,7,FALSE),VLOOKUP($I398&amp;$J398&amp;S$1,Pesos!$A:$I,9,FALSE)))</f>
        <v>0.8</v>
      </c>
      <c r="AL398" s="80">
        <f t="shared" si="64"/>
        <v>5.1999999999999993</v>
      </c>
      <c r="AM398" s="80">
        <f>IF(T398="","",IF(T398="SIM",VLOOKUP($I398&amp;$J398&amp;T$1,Pesos!$A:$I,7,FALSE),VLOOKUP($I398&amp;$J398&amp;T$1,Pesos!$A:$I,9,FALSE)))</f>
        <v>0.8</v>
      </c>
      <c r="AN398" s="80">
        <f>IF(U398="","",IF(U398="SIM",VLOOKUP($I398&amp;$J398&amp;U$1,Pesos!$A:$I,7,FALSE),VLOOKUP($I398&amp;$J398&amp;U$1,Pesos!$A:$I,9,FALSE)))</f>
        <v>0.8</v>
      </c>
      <c r="AO398" s="80">
        <f>IF(V398="","",IF(V398="SIM",VLOOKUP($I398&amp;$J398&amp;V$1,Pesos!$A:$I,7,FALSE),VLOOKUP($I398&amp;$J398&amp;V$1,Pesos!$A:$I,9,FALSE)))</f>
        <v>0.8</v>
      </c>
      <c r="AP398" s="80">
        <f>IF(W398="","",IF(W398="SIM",VLOOKUP($I398&amp;$J398&amp;W$1,Pesos!$A:$I,7,FALSE),VLOOKUP($I398&amp;$J398&amp;W$1,Pesos!$A:$I,9,FALSE)))</f>
        <v>0.8</v>
      </c>
      <c r="AQ398" s="80">
        <f>IF(X398="","",IF(X398="SIM",VLOOKUP($I398&amp;$J398&amp;X$1,Pesos!$A:$I,7,FALSE),VLOOKUP($I398&amp;$J398&amp;X$1,Pesos!$A:$I,9,FALSE)))</f>
        <v>0.8</v>
      </c>
      <c r="AR398" s="80">
        <f>IF(Y398="","",IF(Y398="SIM",VLOOKUP($I398&amp;$J398&amp;Y$1,Pesos!$A:$I,7,FALSE),VLOOKUP($I398&amp;$J398&amp;Y$1,Pesos!$A:$I,9,FALSE)))</f>
        <v>0.8</v>
      </c>
      <c r="AS398" s="81">
        <f>IFERROR(Z398*VLOOKUP(J398,'BD Campos'!$Y$1:$Z$12,2,FALSE),"0")</f>
        <v>10</v>
      </c>
    </row>
    <row r="399" spans="1:45" x14ac:dyDescent="0.35">
      <c r="A399" s="68" t="str">
        <f t="shared" si="61"/>
        <v>Fev202511184ReceptivaTRANSFERÊNCIA</v>
      </c>
      <c r="B399" s="69" t="str">
        <f t="shared" si="62"/>
        <v>Fev2025111845TRANSFERÊNCIAPADRÃO</v>
      </c>
      <c r="C399" s="70">
        <v>1</v>
      </c>
      <c r="D399" s="71">
        <v>45695.457892939812</v>
      </c>
      <c r="E399" s="112" t="s">
        <v>338</v>
      </c>
      <c r="F399" s="72">
        <v>11184</v>
      </c>
      <c r="G399" s="69" t="s">
        <v>1394</v>
      </c>
      <c r="H399" s="73">
        <v>5</v>
      </c>
      <c r="I399" s="69" t="s">
        <v>6</v>
      </c>
      <c r="J399" s="69" t="s">
        <v>98</v>
      </c>
      <c r="K399" s="69" t="s">
        <v>106</v>
      </c>
      <c r="L399" s="74"/>
      <c r="M399" s="75">
        <v>1.6319444444444445E-3</v>
      </c>
      <c r="N399" s="76" t="s">
        <v>79</v>
      </c>
      <c r="O399" s="76" t="s">
        <v>79</v>
      </c>
      <c r="P399" s="76" t="s">
        <v>79</v>
      </c>
      <c r="Q399" s="76" t="s">
        <v>79</v>
      </c>
      <c r="R399" s="76" t="s">
        <v>79</v>
      </c>
      <c r="S399" s="76" t="s">
        <v>79</v>
      </c>
      <c r="T399" s="76" t="s">
        <v>79</v>
      </c>
      <c r="U399" s="76" t="s">
        <v>79</v>
      </c>
      <c r="V399" s="76" t="s">
        <v>79</v>
      </c>
      <c r="W399" s="76" t="s">
        <v>79</v>
      </c>
      <c r="X399" s="76" t="s">
        <v>79</v>
      </c>
      <c r="Y399" s="76" t="s">
        <v>79</v>
      </c>
      <c r="Z399" s="77">
        <f t="shared" si="38"/>
        <v>10</v>
      </c>
      <c r="AA399" s="78"/>
      <c r="AB399" s="78"/>
      <c r="AC399" s="72" t="s">
        <v>47</v>
      </c>
      <c r="AE399" s="79" t="str">
        <f t="shared" si="63"/>
        <v>Fev11184</v>
      </c>
      <c r="AF399" s="80">
        <f>IF(N399="","",IF(N399="SIM",VLOOKUP($I399&amp;$J399&amp;N$1,Pesos!$A:$I,7,FALSE),VLOOKUP($I399&amp;$J399&amp;N$1,Pesos!$A:$I,9,FALSE)))</f>
        <v>0.8</v>
      </c>
      <c r="AG399" s="80">
        <f>IF(O399="","",IF(O399="SIM",VLOOKUP($I399&amp;$J399&amp;O$1,Pesos!$A:$I,7,FALSE),VLOOKUP($I399&amp;$J399&amp;O$1,Pesos!$A:$I,9,FALSE)))</f>
        <v>0.8</v>
      </c>
      <c r="AH399" s="80">
        <f>IF(P399="","",IF(P399="SIM",VLOOKUP($I399&amp;$J399&amp;P$1,Pesos!$A:$I,7,FALSE),VLOOKUP($I399&amp;$J399&amp;P$1,Pesos!$A:$I,9,FALSE)))</f>
        <v>1.2</v>
      </c>
      <c r="AI399" s="80">
        <f>IF(Q399="","",IF(Q399="SIM",VLOOKUP($I399&amp;$J399&amp;Q$1,Pesos!$A:$I,7,FALSE),VLOOKUP($I399&amp;$J399&amp;Q$1,Pesos!$A:$I,9,FALSE)))</f>
        <v>0.8</v>
      </c>
      <c r="AJ399" s="80">
        <f>IF(R399="","",IF(R399="SIM",VLOOKUP($I399&amp;$J399&amp;R$1,Pesos!$A:$I,7,FALSE),VLOOKUP($I399&amp;$J399&amp;R$1,Pesos!$A:$I,9,FALSE)))</f>
        <v>0.8</v>
      </c>
      <c r="AK399" s="80">
        <f>IF(S399="","",IF(S399="SIM",VLOOKUP($I399&amp;$J399&amp;S$1,Pesos!$A:$I,7,FALSE),VLOOKUP($I399&amp;$J399&amp;S$1,Pesos!$A:$I,9,FALSE)))</f>
        <v>0.8</v>
      </c>
      <c r="AL399" s="80">
        <f t="shared" si="64"/>
        <v>5.1999999999999993</v>
      </c>
      <c r="AM399" s="80">
        <f>IF(T399="","",IF(T399="SIM",VLOOKUP($I399&amp;$J399&amp;T$1,Pesos!$A:$I,7,FALSE),VLOOKUP($I399&amp;$J399&amp;T$1,Pesos!$A:$I,9,FALSE)))</f>
        <v>0.8</v>
      </c>
      <c r="AN399" s="80">
        <f>IF(U399="","",IF(U399="SIM",VLOOKUP($I399&amp;$J399&amp;U$1,Pesos!$A:$I,7,FALSE),VLOOKUP($I399&amp;$J399&amp;U$1,Pesos!$A:$I,9,FALSE)))</f>
        <v>0.8</v>
      </c>
      <c r="AO399" s="80">
        <f>IF(V399="","",IF(V399="SIM",VLOOKUP($I399&amp;$J399&amp;V$1,Pesos!$A:$I,7,FALSE),VLOOKUP($I399&amp;$J399&amp;V$1,Pesos!$A:$I,9,FALSE)))</f>
        <v>0.8</v>
      </c>
      <c r="AP399" s="80">
        <f>IF(W399="","",IF(W399="SIM",VLOOKUP($I399&amp;$J399&amp;W$1,Pesos!$A:$I,7,FALSE),VLOOKUP($I399&amp;$J399&amp;W$1,Pesos!$A:$I,9,FALSE)))</f>
        <v>0.8</v>
      </c>
      <c r="AQ399" s="80">
        <f>IF(X399="","",IF(X399="SIM",VLOOKUP($I399&amp;$J399&amp;X$1,Pesos!$A:$I,7,FALSE),VLOOKUP($I399&amp;$J399&amp;X$1,Pesos!$A:$I,9,FALSE)))</f>
        <v>0.8</v>
      </c>
      <c r="AR399" s="80">
        <f>IF(Y399="","",IF(Y399="SIM",VLOOKUP($I399&amp;$J399&amp;Y$1,Pesos!$A:$I,7,FALSE),VLOOKUP($I399&amp;$J399&amp;Y$1,Pesos!$A:$I,9,FALSE)))</f>
        <v>0.8</v>
      </c>
      <c r="AS399" s="81">
        <f>IFERROR(Z399*VLOOKUP(J399,'BD Campos'!$Y$1:$Z$12,2,FALSE),"0")</f>
        <v>10</v>
      </c>
    </row>
    <row r="400" spans="1:45" x14ac:dyDescent="0.35">
      <c r="A400" s="68" t="str">
        <f t="shared" si="61"/>
        <v>Fev202511050ReceptivaTRANSFERÊNCIA</v>
      </c>
      <c r="B400" s="69" t="str">
        <f t="shared" si="62"/>
        <v>Fev2025110505TRANSFERÊNCIAPADRÃO</v>
      </c>
      <c r="C400" s="70">
        <v>1</v>
      </c>
      <c r="D400" s="71">
        <v>45695.460345601852</v>
      </c>
      <c r="E400" s="112" t="s">
        <v>338</v>
      </c>
      <c r="F400" s="72">
        <v>11050</v>
      </c>
      <c r="G400" s="69" t="s">
        <v>379</v>
      </c>
      <c r="H400" s="73">
        <v>5</v>
      </c>
      <c r="I400" s="69" t="s">
        <v>6</v>
      </c>
      <c r="J400" s="69" t="s">
        <v>98</v>
      </c>
      <c r="K400" s="69" t="s">
        <v>106</v>
      </c>
      <c r="L400" s="74"/>
      <c r="M400" s="75">
        <v>7.9861111111111105E-4</v>
      </c>
      <c r="N400" s="76" t="s">
        <v>79</v>
      </c>
      <c r="O400" s="76" t="s">
        <v>79</v>
      </c>
      <c r="P400" s="76" t="s">
        <v>79</v>
      </c>
      <c r="Q400" s="76" t="s">
        <v>79</v>
      </c>
      <c r="R400" s="76" t="s">
        <v>79</v>
      </c>
      <c r="S400" s="76" t="s">
        <v>79</v>
      </c>
      <c r="T400" s="76" t="s">
        <v>79</v>
      </c>
      <c r="U400" s="76" t="s">
        <v>79</v>
      </c>
      <c r="V400" s="76" t="s">
        <v>79</v>
      </c>
      <c r="W400" s="76" t="s">
        <v>79</v>
      </c>
      <c r="X400" s="76" t="s">
        <v>79</v>
      </c>
      <c r="Y400" s="76" t="s">
        <v>79</v>
      </c>
      <c r="Z400" s="77">
        <f t="shared" si="38"/>
        <v>10</v>
      </c>
      <c r="AA400" s="78"/>
      <c r="AB400" s="78"/>
      <c r="AC400" s="72" t="s">
        <v>47</v>
      </c>
      <c r="AE400" s="79" t="str">
        <f t="shared" si="63"/>
        <v>Fev11050</v>
      </c>
      <c r="AF400" s="80">
        <f>IF(N400="","",IF(N400="SIM",VLOOKUP($I400&amp;$J400&amp;N$1,Pesos!$A:$I,7,FALSE),VLOOKUP($I400&amp;$J400&amp;N$1,Pesos!$A:$I,9,FALSE)))</f>
        <v>0.8</v>
      </c>
      <c r="AG400" s="80">
        <f>IF(O400="","",IF(O400="SIM",VLOOKUP($I400&amp;$J400&amp;O$1,Pesos!$A:$I,7,FALSE),VLOOKUP($I400&amp;$J400&amp;O$1,Pesos!$A:$I,9,FALSE)))</f>
        <v>0.8</v>
      </c>
      <c r="AH400" s="80">
        <f>IF(P400="","",IF(P400="SIM",VLOOKUP($I400&amp;$J400&amp;P$1,Pesos!$A:$I,7,FALSE),VLOOKUP($I400&amp;$J400&amp;P$1,Pesos!$A:$I,9,FALSE)))</f>
        <v>1.2</v>
      </c>
      <c r="AI400" s="80">
        <f>IF(Q400="","",IF(Q400="SIM",VLOOKUP($I400&amp;$J400&amp;Q$1,Pesos!$A:$I,7,FALSE),VLOOKUP($I400&amp;$J400&amp;Q$1,Pesos!$A:$I,9,FALSE)))</f>
        <v>0.8</v>
      </c>
      <c r="AJ400" s="80">
        <f>IF(R400="","",IF(R400="SIM",VLOOKUP($I400&amp;$J400&amp;R$1,Pesos!$A:$I,7,FALSE),VLOOKUP($I400&amp;$J400&amp;R$1,Pesos!$A:$I,9,FALSE)))</f>
        <v>0.8</v>
      </c>
      <c r="AK400" s="80">
        <f>IF(S400="","",IF(S400="SIM",VLOOKUP($I400&amp;$J400&amp;S$1,Pesos!$A:$I,7,FALSE),VLOOKUP($I400&amp;$J400&amp;S$1,Pesos!$A:$I,9,FALSE)))</f>
        <v>0.8</v>
      </c>
      <c r="AL400" s="80">
        <f t="shared" si="64"/>
        <v>5.1999999999999993</v>
      </c>
      <c r="AM400" s="80">
        <f>IF(T400="","",IF(T400="SIM",VLOOKUP($I400&amp;$J400&amp;T$1,Pesos!$A:$I,7,FALSE),VLOOKUP($I400&amp;$J400&amp;T$1,Pesos!$A:$I,9,FALSE)))</f>
        <v>0.8</v>
      </c>
      <c r="AN400" s="80">
        <f>IF(U400="","",IF(U400="SIM",VLOOKUP($I400&amp;$J400&amp;U$1,Pesos!$A:$I,7,FALSE),VLOOKUP($I400&amp;$J400&amp;U$1,Pesos!$A:$I,9,FALSE)))</f>
        <v>0.8</v>
      </c>
      <c r="AO400" s="80">
        <f>IF(V400="","",IF(V400="SIM",VLOOKUP($I400&amp;$J400&amp;V$1,Pesos!$A:$I,7,FALSE),VLOOKUP($I400&amp;$J400&amp;V$1,Pesos!$A:$I,9,FALSE)))</f>
        <v>0.8</v>
      </c>
      <c r="AP400" s="80">
        <f>IF(W400="","",IF(W400="SIM",VLOOKUP($I400&amp;$J400&amp;W$1,Pesos!$A:$I,7,FALSE),VLOOKUP($I400&amp;$J400&amp;W$1,Pesos!$A:$I,9,FALSE)))</f>
        <v>0.8</v>
      </c>
      <c r="AQ400" s="80">
        <f>IF(X400="","",IF(X400="SIM",VLOOKUP($I400&amp;$J400&amp;X$1,Pesos!$A:$I,7,FALSE),VLOOKUP($I400&amp;$J400&amp;X$1,Pesos!$A:$I,9,FALSE)))</f>
        <v>0.8</v>
      </c>
      <c r="AR400" s="80">
        <f>IF(Y400="","",IF(Y400="SIM",VLOOKUP($I400&amp;$J400&amp;Y$1,Pesos!$A:$I,7,FALSE),VLOOKUP($I400&amp;$J400&amp;Y$1,Pesos!$A:$I,9,FALSE)))</f>
        <v>0.8</v>
      </c>
      <c r="AS400" s="81">
        <f>IFERROR(Z400*VLOOKUP(J400,'BD Campos'!$Y$1:$Z$12,2,FALSE),"0")</f>
        <v>10</v>
      </c>
    </row>
    <row r="401" spans="1:45" x14ac:dyDescent="0.35">
      <c r="A401" s="68" t="str">
        <f t="shared" si="61"/>
        <v>Fev202510751ReceptivaCADASTRO</v>
      </c>
      <c r="B401" s="69" t="str">
        <f t="shared" si="62"/>
        <v>Fev2025107515CADASTROPADRÃO</v>
      </c>
      <c r="C401" s="70">
        <v>1</v>
      </c>
      <c r="D401" s="71">
        <v>45695.470518634262</v>
      </c>
      <c r="E401" s="112" t="s">
        <v>338</v>
      </c>
      <c r="F401" s="72">
        <v>10751</v>
      </c>
      <c r="G401" s="69" t="s">
        <v>82</v>
      </c>
      <c r="H401" s="73">
        <v>5</v>
      </c>
      <c r="I401" s="69" t="s">
        <v>76</v>
      </c>
      <c r="J401" s="69" t="s">
        <v>98</v>
      </c>
      <c r="K401" s="69" t="s">
        <v>78</v>
      </c>
      <c r="L401" s="74"/>
      <c r="M401" s="75">
        <v>3.5416666666666665E-3</v>
      </c>
      <c r="N401" s="76" t="s">
        <v>79</v>
      </c>
      <c r="O401" s="76" t="s">
        <v>79</v>
      </c>
      <c r="P401" s="76" t="s">
        <v>79</v>
      </c>
      <c r="Q401" s="76" t="s">
        <v>79</v>
      </c>
      <c r="R401" s="76" t="s">
        <v>79</v>
      </c>
      <c r="S401" s="76" t="s">
        <v>79</v>
      </c>
      <c r="T401" s="76" t="s">
        <v>79</v>
      </c>
      <c r="U401" s="76" t="s">
        <v>79</v>
      </c>
      <c r="V401" s="76" t="s">
        <v>79</v>
      </c>
      <c r="W401" s="76" t="s">
        <v>79</v>
      </c>
      <c r="X401" s="76" t="s">
        <v>79</v>
      </c>
      <c r="Y401" s="76" t="s">
        <v>79</v>
      </c>
      <c r="Z401" s="77">
        <f t="shared" si="38"/>
        <v>10</v>
      </c>
      <c r="AA401" s="78"/>
      <c r="AB401" s="78"/>
      <c r="AC401" s="72" t="s">
        <v>47</v>
      </c>
      <c r="AE401" s="79" t="str">
        <f t="shared" ref="AE401:AE416" si="65">E401&amp;F401</f>
        <v>Fev10751</v>
      </c>
      <c r="AF401" s="80">
        <f>IF(N401="","",IF(N401="SIM",VLOOKUP($I401&amp;$J401&amp;N$1,Pesos!$A:$I,7,FALSE),VLOOKUP($I401&amp;$J401&amp;N$1,Pesos!$A:$I,9,FALSE)))</f>
        <v>0.8</v>
      </c>
      <c r="AG401" s="80">
        <f>IF(O401="","",IF(O401="SIM",VLOOKUP($I401&amp;$J401&amp;O$1,Pesos!$A:$I,7,FALSE),VLOOKUP($I401&amp;$J401&amp;O$1,Pesos!$A:$I,9,FALSE)))</f>
        <v>0.8</v>
      </c>
      <c r="AH401" s="80">
        <f>IF(P401="","",IF(P401="SIM",VLOOKUP($I401&amp;$J401&amp;P$1,Pesos!$A:$I,7,FALSE),VLOOKUP($I401&amp;$J401&amp;P$1,Pesos!$A:$I,9,FALSE)))</f>
        <v>1.2</v>
      </c>
      <c r="AI401" s="80">
        <f>IF(Q401="","",IF(Q401="SIM",VLOOKUP($I401&amp;$J401&amp;Q$1,Pesos!$A:$I,7,FALSE),VLOOKUP($I401&amp;$J401&amp;Q$1,Pesos!$A:$I,9,FALSE)))</f>
        <v>0.8</v>
      </c>
      <c r="AJ401" s="80">
        <f>IF(R401="","",IF(R401="SIM",VLOOKUP($I401&amp;$J401&amp;R$1,Pesos!$A:$I,7,FALSE),VLOOKUP($I401&amp;$J401&amp;R$1,Pesos!$A:$I,9,FALSE)))</f>
        <v>0.8</v>
      </c>
      <c r="AK401" s="80">
        <f>IF(S401="","",IF(S401="SIM",VLOOKUP($I401&amp;$J401&amp;S$1,Pesos!$A:$I,7,FALSE),VLOOKUP($I401&amp;$J401&amp;S$1,Pesos!$A:$I,9,FALSE)))</f>
        <v>0.8</v>
      </c>
      <c r="AL401" s="80">
        <f t="shared" ref="AL401:AL464" si="66">SUM(AF401:AK401)</f>
        <v>5.1999999999999993</v>
      </c>
      <c r="AM401" s="80">
        <f>IF(T401="","",IF(T401="SIM",VLOOKUP($I401&amp;$J401&amp;T$1,Pesos!$A:$I,7,FALSE),VLOOKUP($I401&amp;$J401&amp;T$1,Pesos!$A:$I,9,FALSE)))</f>
        <v>0.8</v>
      </c>
      <c r="AN401" s="80">
        <f>IF(U401="","",IF(U401="SIM",VLOOKUP($I401&amp;$J401&amp;U$1,Pesos!$A:$I,7,FALSE),VLOOKUP($I401&amp;$J401&amp;U$1,Pesos!$A:$I,9,FALSE)))</f>
        <v>0.8</v>
      </c>
      <c r="AO401" s="80">
        <f>IF(V401="","",IF(V401="SIM",VLOOKUP($I401&amp;$J401&amp;V$1,Pesos!$A:$I,7,FALSE),VLOOKUP($I401&amp;$J401&amp;V$1,Pesos!$A:$I,9,FALSE)))</f>
        <v>0.8</v>
      </c>
      <c r="AP401" s="80">
        <f>IF(W401="","",IF(W401="SIM",VLOOKUP($I401&amp;$J401&amp;W$1,Pesos!$A:$I,7,FALSE),VLOOKUP($I401&amp;$J401&amp;W$1,Pesos!$A:$I,9,FALSE)))</f>
        <v>0.8</v>
      </c>
      <c r="AQ401" s="80">
        <f>IF(X401="","",IF(X401="SIM",VLOOKUP($I401&amp;$J401&amp;X$1,Pesos!$A:$I,7,FALSE),VLOOKUP($I401&amp;$J401&amp;X$1,Pesos!$A:$I,9,FALSE)))</f>
        <v>0.8</v>
      </c>
      <c r="AR401" s="80">
        <f>IF(Y401="","",IF(Y401="SIM",VLOOKUP($I401&amp;$J401&amp;Y$1,Pesos!$A:$I,7,FALSE),VLOOKUP($I401&amp;$J401&amp;Y$1,Pesos!$A:$I,9,FALSE)))</f>
        <v>0.8</v>
      </c>
      <c r="AS401" s="81">
        <f>IFERROR(Z401*VLOOKUP(J401,'BD Campos'!$Y$1:$Z$12,2,FALSE),"0")</f>
        <v>10</v>
      </c>
    </row>
    <row r="402" spans="1:45" x14ac:dyDescent="0.35">
      <c r="A402" s="68" t="str">
        <f t="shared" si="61"/>
        <v>Fev202510751Receptiva 2CADASTRO</v>
      </c>
      <c r="B402" s="69" t="str">
        <f t="shared" si="62"/>
        <v>Fev2025107516CADASTROPADRÃO</v>
      </c>
      <c r="C402" s="70">
        <v>1</v>
      </c>
      <c r="D402" s="71">
        <v>45695.474581944443</v>
      </c>
      <c r="E402" s="112" t="s">
        <v>338</v>
      </c>
      <c r="F402" s="72">
        <v>10751</v>
      </c>
      <c r="G402" s="69" t="s">
        <v>82</v>
      </c>
      <c r="H402" s="73">
        <v>6</v>
      </c>
      <c r="I402" s="69" t="s">
        <v>76</v>
      </c>
      <c r="J402" s="69" t="s">
        <v>100</v>
      </c>
      <c r="K402" s="69" t="s">
        <v>78</v>
      </c>
      <c r="L402" s="74"/>
      <c r="M402" s="75">
        <v>2.4421296296296296E-3</v>
      </c>
      <c r="N402" s="76" t="s">
        <v>79</v>
      </c>
      <c r="O402" s="76" t="s">
        <v>79</v>
      </c>
      <c r="P402" s="76" t="s">
        <v>79</v>
      </c>
      <c r="Q402" s="76" t="s">
        <v>79</v>
      </c>
      <c r="R402" s="76" t="s">
        <v>79</v>
      </c>
      <c r="S402" s="76" t="s">
        <v>79</v>
      </c>
      <c r="T402" s="76" t="s">
        <v>79</v>
      </c>
      <c r="U402" s="76" t="s">
        <v>79</v>
      </c>
      <c r="V402" s="76" t="s">
        <v>79</v>
      </c>
      <c r="W402" s="76" t="s">
        <v>79</v>
      </c>
      <c r="X402" s="76" t="s">
        <v>79</v>
      </c>
      <c r="Y402" s="76" t="s">
        <v>79</v>
      </c>
      <c r="Z402" s="77">
        <f t="shared" si="38"/>
        <v>10</v>
      </c>
      <c r="AA402" s="78"/>
      <c r="AB402" s="78"/>
      <c r="AC402" s="72" t="s">
        <v>47</v>
      </c>
      <c r="AE402" s="79" t="str">
        <f t="shared" si="65"/>
        <v>Fev10751</v>
      </c>
      <c r="AF402" s="80">
        <f>IF(N402="","",IF(N402="SIM",VLOOKUP($I402&amp;$J402&amp;N$1,Pesos!$A:$I,7,FALSE),VLOOKUP($I402&amp;$J402&amp;N$1,Pesos!$A:$I,9,FALSE)))</f>
        <v>0.8</v>
      </c>
      <c r="AG402" s="80">
        <f>IF(O402="","",IF(O402="SIM",VLOOKUP($I402&amp;$J402&amp;O$1,Pesos!$A:$I,7,FALSE),VLOOKUP($I402&amp;$J402&amp;O$1,Pesos!$A:$I,9,FALSE)))</f>
        <v>0.8</v>
      </c>
      <c r="AH402" s="80">
        <f>IF(P402="","",IF(P402="SIM",VLOOKUP($I402&amp;$J402&amp;P$1,Pesos!$A:$I,7,FALSE),VLOOKUP($I402&amp;$J402&amp;P$1,Pesos!$A:$I,9,FALSE)))</f>
        <v>1.2</v>
      </c>
      <c r="AI402" s="80">
        <f>IF(Q402="","",IF(Q402="SIM",VLOOKUP($I402&amp;$J402&amp;Q$1,Pesos!$A:$I,7,FALSE),VLOOKUP($I402&amp;$J402&amp;Q$1,Pesos!$A:$I,9,FALSE)))</f>
        <v>0.8</v>
      </c>
      <c r="AJ402" s="80">
        <f>IF(R402="","",IF(R402="SIM",VLOOKUP($I402&amp;$J402&amp;R$1,Pesos!$A:$I,7,FALSE),VLOOKUP($I402&amp;$J402&amp;R$1,Pesos!$A:$I,9,FALSE)))</f>
        <v>0.8</v>
      </c>
      <c r="AK402" s="80">
        <f>IF(S402="","",IF(S402="SIM",VLOOKUP($I402&amp;$J402&amp;S$1,Pesos!$A:$I,7,FALSE),VLOOKUP($I402&amp;$J402&amp;S$1,Pesos!$A:$I,9,FALSE)))</f>
        <v>0.8</v>
      </c>
      <c r="AL402" s="80">
        <f t="shared" si="66"/>
        <v>5.1999999999999993</v>
      </c>
      <c r="AM402" s="80">
        <f>IF(T402="","",IF(T402="SIM",VLOOKUP($I402&amp;$J402&amp;T$1,Pesos!$A:$I,7,FALSE),VLOOKUP($I402&amp;$J402&amp;T$1,Pesos!$A:$I,9,FALSE)))</f>
        <v>0.8</v>
      </c>
      <c r="AN402" s="80">
        <f>IF(U402="","",IF(U402="SIM",VLOOKUP($I402&amp;$J402&amp;U$1,Pesos!$A:$I,7,FALSE),VLOOKUP($I402&amp;$J402&amp;U$1,Pesos!$A:$I,9,FALSE)))</f>
        <v>0.8</v>
      </c>
      <c r="AO402" s="80">
        <f>IF(V402="","",IF(V402="SIM",VLOOKUP($I402&amp;$J402&amp;V$1,Pesos!$A:$I,7,FALSE),VLOOKUP($I402&amp;$J402&amp;V$1,Pesos!$A:$I,9,FALSE)))</f>
        <v>0.8</v>
      </c>
      <c r="AP402" s="80">
        <f>IF(W402="","",IF(W402="SIM",VLOOKUP($I402&amp;$J402&amp;W$1,Pesos!$A:$I,7,FALSE),VLOOKUP($I402&amp;$J402&amp;W$1,Pesos!$A:$I,9,FALSE)))</f>
        <v>0.8</v>
      </c>
      <c r="AQ402" s="80">
        <f>IF(X402="","",IF(X402="SIM",VLOOKUP($I402&amp;$J402&amp;X$1,Pesos!$A:$I,7,FALSE),VLOOKUP($I402&amp;$J402&amp;X$1,Pesos!$A:$I,9,FALSE)))</f>
        <v>0.8</v>
      </c>
      <c r="AR402" s="80">
        <f>IF(Y402="","",IF(Y402="SIM",VLOOKUP($I402&amp;$J402&amp;Y$1,Pesos!$A:$I,7,FALSE),VLOOKUP($I402&amp;$J402&amp;Y$1,Pesos!$A:$I,9,FALSE)))</f>
        <v>0.8</v>
      </c>
      <c r="AS402" s="81">
        <f>IFERROR(Z402*VLOOKUP(J402,'BD Campos'!$Y$1:$Z$12,2,FALSE),"0")</f>
        <v>10</v>
      </c>
    </row>
    <row r="403" spans="1:45" x14ac:dyDescent="0.35">
      <c r="A403" s="68" t="str">
        <f t="shared" si="61"/>
        <v>Fev202510089ReceptivaCADASTRO</v>
      </c>
      <c r="B403" s="69" t="str">
        <f t="shared" si="62"/>
        <v>Fev2025100895CADASTROPADRÃO</v>
      </c>
      <c r="C403" s="70">
        <v>1</v>
      </c>
      <c r="D403" s="71">
        <v>45695.479542476853</v>
      </c>
      <c r="E403" s="112" t="s">
        <v>338</v>
      </c>
      <c r="F403" s="72">
        <v>10089</v>
      </c>
      <c r="G403" s="69" t="s">
        <v>84</v>
      </c>
      <c r="H403" s="73">
        <v>5</v>
      </c>
      <c r="I403" s="69" t="s">
        <v>76</v>
      </c>
      <c r="J403" s="69" t="s">
        <v>98</v>
      </c>
      <c r="K403" s="69" t="s">
        <v>78</v>
      </c>
      <c r="L403" s="74"/>
      <c r="M403" s="75">
        <v>2.4537037037037036E-3</v>
      </c>
      <c r="N403" s="76" t="s">
        <v>79</v>
      </c>
      <c r="O403" s="76" t="s">
        <v>79</v>
      </c>
      <c r="P403" s="76" t="s">
        <v>79</v>
      </c>
      <c r="Q403" s="76" t="s">
        <v>79</v>
      </c>
      <c r="R403" s="76" t="s">
        <v>79</v>
      </c>
      <c r="S403" s="76" t="s">
        <v>79</v>
      </c>
      <c r="T403" s="76" t="s">
        <v>79</v>
      </c>
      <c r="U403" s="76" t="s">
        <v>79</v>
      </c>
      <c r="V403" s="76" t="s">
        <v>79</v>
      </c>
      <c r="W403" s="76" t="s">
        <v>79</v>
      </c>
      <c r="X403" s="76" t="s">
        <v>79</v>
      </c>
      <c r="Y403" s="76" t="s">
        <v>79</v>
      </c>
      <c r="Z403" s="77">
        <f t="shared" si="38"/>
        <v>10</v>
      </c>
      <c r="AA403" s="78"/>
      <c r="AB403" s="78"/>
      <c r="AC403" s="72" t="s">
        <v>47</v>
      </c>
      <c r="AE403" s="79" t="str">
        <f t="shared" si="65"/>
        <v>Fev10089</v>
      </c>
      <c r="AF403" s="80">
        <f>IF(N403="","",IF(N403="SIM",VLOOKUP($I403&amp;$J403&amp;N$1,Pesos!$A:$I,7,FALSE),VLOOKUP($I403&amp;$J403&amp;N$1,Pesos!$A:$I,9,FALSE)))</f>
        <v>0.8</v>
      </c>
      <c r="AG403" s="80">
        <f>IF(O403="","",IF(O403="SIM",VLOOKUP($I403&amp;$J403&amp;O$1,Pesos!$A:$I,7,FALSE),VLOOKUP($I403&amp;$J403&amp;O$1,Pesos!$A:$I,9,FALSE)))</f>
        <v>0.8</v>
      </c>
      <c r="AH403" s="80">
        <f>IF(P403="","",IF(P403="SIM",VLOOKUP($I403&amp;$J403&amp;P$1,Pesos!$A:$I,7,FALSE),VLOOKUP($I403&amp;$J403&amp;P$1,Pesos!$A:$I,9,FALSE)))</f>
        <v>1.2</v>
      </c>
      <c r="AI403" s="80">
        <f>IF(Q403="","",IF(Q403="SIM",VLOOKUP($I403&amp;$J403&amp;Q$1,Pesos!$A:$I,7,FALSE),VLOOKUP($I403&amp;$J403&amp;Q$1,Pesos!$A:$I,9,FALSE)))</f>
        <v>0.8</v>
      </c>
      <c r="AJ403" s="80">
        <f>IF(R403="","",IF(R403="SIM",VLOOKUP($I403&amp;$J403&amp;R$1,Pesos!$A:$I,7,FALSE),VLOOKUP($I403&amp;$J403&amp;R$1,Pesos!$A:$I,9,FALSE)))</f>
        <v>0.8</v>
      </c>
      <c r="AK403" s="80">
        <f>IF(S403="","",IF(S403="SIM",VLOOKUP($I403&amp;$J403&amp;S$1,Pesos!$A:$I,7,FALSE),VLOOKUP($I403&amp;$J403&amp;S$1,Pesos!$A:$I,9,FALSE)))</f>
        <v>0.8</v>
      </c>
      <c r="AL403" s="80">
        <f t="shared" si="66"/>
        <v>5.1999999999999993</v>
      </c>
      <c r="AM403" s="80">
        <f>IF(T403="","",IF(T403="SIM",VLOOKUP($I403&amp;$J403&amp;T$1,Pesos!$A:$I,7,FALSE),VLOOKUP($I403&amp;$J403&amp;T$1,Pesos!$A:$I,9,FALSE)))</f>
        <v>0.8</v>
      </c>
      <c r="AN403" s="80">
        <f>IF(U403="","",IF(U403="SIM",VLOOKUP($I403&amp;$J403&amp;U$1,Pesos!$A:$I,7,FALSE),VLOOKUP($I403&amp;$J403&amp;U$1,Pesos!$A:$I,9,FALSE)))</f>
        <v>0.8</v>
      </c>
      <c r="AO403" s="80">
        <f>IF(V403="","",IF(V403="SIM",VLOOKUP($I403&amp;$J403&amp;V$1,Pesos!$A:$I,7,FALSE),VLOOKUP($I403&amp;$J403&amp;V$1,Pesos!$A:$I,9,FALSE)))</f>
        <v>0.8</v>
      </c>
      <c r="AP403" s="80">
        <f>IF(W403="","",IF(W403="SIM",VLOOKUP($I403&amp;$J403&amp;W$1,Pesos!$A:$I,7,FALSE),VLOOKUP($I403&amp;$J403&amp;W$1,Pesos!$A:$I,9,FALSE)))</f>
        <v>0.8</v>
      </c>
      <c r="AQ403" s="80">
        <f>IF(X403="","",IF(X403="SIM",VLOOKUP($I403&amp;$J403&amp;X$1,Pesos!$A:$I,7,FALSE),VLOOKUP($I403&amp;$J403&amp;X$1,Pesos!$A:$I,9,FALSE)))</f>
        <v>0.8</v>
      </c>
      <c r="AR403" s="80">
        <f>IF(Y403="","",IF(Y403="SIM",VLOOKUP($I403&amp;$J403&amp;Y$1,Pesos!$A:$I,7,FALSE),VLOOKUP($I403&amp;$J403&amp;Y$1,Pesos!$A:$I,9,FALSE)))</f>
        <v>0.8</v>
      </c>
      <c r="AS403" s="81">
        <f>IFERROR(Z403*VLOOKUP(J403,'BD Campos'!$Y$1:$Z$12,2,FALSE),"0")</f>
        <v>10</v>
      </c>
    </row>
    <row r="404" spans="1:45" x14ac:dyDescent="0.35">
      <c r="A404" s="68" t="str">
        <f t="shared" si="61"/>
        <v>Fev202510089Receptiva 2CADASTRO</v>
      </c>
      <c r="B404" s="69" t="str">
        <f t="shared" si="62"/>
        <v>Fev2025100896CADASTROPADRÃO</v>
      </c>
      <c r="C404" s="70">
        <v>1</v>
      </c>
      <c r="D404" s="71">
        <v>45695.490253935182</v>
      </c>
      <c r="E404" s="112" t="s">
        <v>338</v>
      </c>
      <c r="F404" s="72">
        <v>10089</v>
      </c>
      <c r="G404" s="69" t="s">
        <v>84</v>
      </c>
      <c r="H404" s="73">
        <v>6</v>
      </c>
      <c r="I404" s="69" t="s">
        <v>76</v>
      </c>
      <c r="J404" s="69" t="s">
        <v>100</v>
      </c>
      <c r="K404" s="69" t="s">
        <v>78</v>
      </c>
      <c r="L404" s="74"/>
      <c r="M404" s="75">
        <v>2.7777777777777779E-3</v>
      </c>
      <c r="N404" s="76" t="s">
        <v>79</v>
      </c>
      <c r="O404" s="76" t="s">
        <v>79</v>
      </c>
      <c r="P404" s="76" t="s">
        <v>79</v>
      </c>
      <c r="Q404" s="76" t="s">
        <v>79</v>
      </c>
      <c r="R404" s="76" t="s">
        <v>79</v>
      </c>
      <c r="S404" s="76" t="s">
        <v>79</v>
      </c>
      <c r="T404" s="76" t="s">
        <v>79</v>
      </c>
      <c r="U404" s="76" t="s">
        <v>79</v>
      </c>
      <c r="V404" s="76" t="s">
        <v>79</v>
      </c>
      <c r="W404" s="76" t="s">
        <v>79</v>
      </c>
      <c r="X404" s="76" t="s">
        <v>79</v>
      </c>
      <c r="Y404" s="76" t="s">
        <v>79</v>
      </c>
      <c r="Z404" s="77">
        <f t="shared" si="38"/>
        <v>10</v>
      </c>
      <c r="AA404" s="78"/>
      <c r="AB404" s="78"/>
      <c r="AC404" s="72" t="s">
        <v>47</v>
      </c>
      <c r="AE404" s="79" t="str">
        <f t="shared" si="65"/>
        <v>Fev10089</v>
      </c>
      <c r="AF404" s="80">
        <f>IF(N404="","",IF(N404="SIM",VLOOKUP($I404&amp;$J404&amp;N$1,Pesos!$A:$I,7,FALSE),VLOOKUP($I404&amp;$J404&amp;N$1,Pesos!$A:$I,9,FALSE)))</f>
        <v>0.8</v>
      </c>
      <c r="AG404" s="80">
        <f>IF(O404="","",IF(O404="SIM",VLOOKUP($I404&amp;$J404&amp;O$1,Pesos!$A:$I,7,FALSE),VLOOKUP($I404&amp;$J404&amp;O$1,Pesos!$A:$I,9,FALSE)))</f>
        <v>0.8</v>
      </c>
      <c r="AH404" s="80">
        <f>IF(P404="","",IF(P404="SIM",VLOOKUP($I404&amp;$J404&amp;P$1,Pesos!$A:$I,7,FALSE),VLOOKUP($I404&amp;$J404&amp;P$1,Pesos!$A:$I,9,FALSE)))</f>
        <v>1.2</v>
      </c>
      <c r="AI404" s="80">
        <f>IF(Q404="","",IF(Q404="SIM",VLOOKUP($I404&amp;$J404&amp;Q$1,Pesos!$A:$I,7,FALSE),VLOOKUP($I404&amp;$J404&amp;Q$1,Pesos!$A:$I,9,FALSE)))</f>
        <v>0.8</v>
      </c>
      <c r="AJ404" s="80">
        <f>IF(R404="","",IF(R404="SIM",VLOOKUP($I404&amp;$J404&amp;R$1,Pesos!$A:$I,7,FALSE),VLOOKUP($I404&amp;$J404&amp;R$1,Pesos!$A:$I,9,FALSE)))</f>
        <v>0.8</v>
      </c>
      <c r="AK404" s="80">
        <f>IF(S404="","",IF(S404="SIM",VLOOKUP($I404&amp;$J404&amp;S$1,Pesos!$A:$I,7,FALSE),VLOOKUP($I404&amp;$J404&amp;S$1,Pesos!$A:$I,9,FALSE)))</f>
        <v>0.8</v>
      </c>
      <c r="AL404" s="80">
        <f t="shared" si="66"/>
        <v>5.1999999999999993</v>
      </c>
      <c r="AM404" s="80">
        <f>IF(T404="","",IF(T404="SIM",VLOOKUP($I404&amp;$J404&amp;T$1,Pesos!$A:$I,7,FALSE),VLOOKUP($I404&amp;$J404&amp;T$1,Pesos!$A:$I,9,FALSE)))</f>
        <v>0.8</v>
      </c>
      <c r="AN404" s="80">
        <f>IF(U404="","",IF(U404="SIM",VLOOKUP($I404&amp;$J404&amp;U$1,Pesos!$A:$I,7,FALSE),VLOOKUP($I404&amp;$J404&amp;U$1,Pesos!$A:$I,9,FALSE)))</f>
        <v>0.8</v>
      </c>
      <c r="AO404" s="80">
        <f>IF(V404="","",IF(V404="SIM",VLOOKUP($I404&amp;$J404&amp;V$1,Pesos!$A:$I,7,FALSE),VLOOKUP($I404&amp;$J404&amp;V$1,Pesos!$A:$I,9,FALSE)))</f>
        <v>0.8</v>
      </c>
      <c r="AP404" s="80">
        <f>IF(W404="","",IF(W404="SIM",VLOOKUP($I404&amp;$J404&amp;W$1,Pesos!$A:$I,7,FALSE),VLOOKUP($I404&amp;$J404&amp;W$1,Pesos!$A:$I,9,FALSE)))</f>
        <v>0.8</v>
      </c>
      <c r="AQ404" s="80">
        <f>IF(X404="","",IF(X404="SIM",VLOOKUP($I404&amp;$J404&amp;X$1,Pesos!$A:$I,7,FALSE),VLOOKUP($I404&amp;$J404&amp;X$1,Pesos!$A:$I,9,FALSE)))</f>
        <v>0.8</v>
      </c>
      <c r="AR404" s="80">
        <f>IF(Y404="","",IF(Y404="SIM",VLOOKUP($I404&amp;$J404&amp;Y$1,Pesos!$A:$I,7,FALSE),VLOOKUP($I404&amp;$J404&amp;Y$1,Pesos!$A:$I,9,FALSE)))</f>
        <v>0.8</v>
      </c>
      <c r="AS404" s="81">
        <f>IFERROR(Z404*VLOOKUP(J404,'BD Campos'!$Y$1:$Z$12,2,FALSE),"0")</f>
        <v>10</v>
      </c>
    </row>
    <row r="405" spans="1:45" x14ac:dyDescent="0.35">
      <c r="A405" s="68" t="str">
        <f t="shared" si="61"/>
        <v>Fev202510891ReceptivaCADASTRO</v>
      </c>
      <c r="B405" s="69" t="str">
        <f t="shared" si="62"/>
        <v>Fev2025108915CADASTROPADRÃO</v>
      </c>
      <c r="C405" s="70">
        <v>1</v>
      </c>
      <c r="D405" s="71">
        <v>45695.557090625</v>
      </c>
      <c r="E405" s="112" t="s">
        <v>338</v>
      </c>
      <c r="F405" s="72">
        <v>10891</v>
      </c>
      <c r="G405" s="69" t="s">
        <v>87</v>
      </c>
      <c r="H405" s="73">
        <v>5</v>
      </c>
      <c r="I405" s="69" t="s">
        <v>76</v>
      </c>
      <c r="J405" s="69" t="s">
        <v>98</v>
      </c>
      <c r="K405" s="69" t="s">
        <v>78</v>
      </c>
      <c r="L405" s="74"/>
      <c r="M405" s="75">
        <v>2.2800925925925927E-3</v>
      </c>
      <c r="N405" s="76" t="s">
        <v>79</v>
      </c>
      <c r="O405" s="76" t="s">
        <v>79</v>
      </c>
      <c r="P405" s="76" t="s">
        <v>79</v>
      </c>
      <c r="Q405" s="76" t="s">
        <v>79</v>
      </c>
      <c r="R405" s="76" t="s">
        <v>79</v>
      </c>
      <c r="S405" s="76" t="s">
        <v>79</v>
      </c>
      <c r="T405" s="76" t="s">
        <v>79</v>
      </c>
      <c r="U405" s="76" t="s">
        <v>79</v>
      </c>
      <c r="V405" s="76" t="s">
        <v>79</v>
      </c>
      <c r="W405" s="76" t="s">
        <v>79</v>
      </c>
      <c r="X405" s="76" t="s">
        <v>79</v>
      </c>
      <c r="Y405" s="76" t="s">
        <v>79</v>
      </c>
      <c r="Z405" s="77">
        <f t="shared" si="38"/>
        <v>10</v>
      </c>
      <c r="AA405" s="78"/>
      <c r="AB405" s="78"/>
      <c r="AC405" s="72" t="s">
        <v>47</v>
      </c>
      <c r="AE405" s="79" t="str">
        <f t="shared" si="65"/>
        <v>Fev10891</v>
      </c>
      <c r="AF405" s="80">
        <f>IF(N405="","",IF(N405="SIM",VLOOKUP($I405&amp;$J405&amp;N$1,Pesos!$A:$I,7,FALSE),VLOOKUP($I405&amp;$J405&amp;N$1,Pesos!$A:$I,9,FALSE)))</f>
        <v>0.8</v>
      </c>
      <c r="AG405" s="80">
        <f>IF(O405="","",IF(O405="SIM",VLOOKUP($I405&amp;$J405&amp;O$1,Pesos!$A:$I,7,FALSE),VLOOKUP($I405&amp;$J405&amp;O$1,Pesos!$A:$I,9,FALSE)))</f>
        <v>0.8</v>
      </c>
      <c r="AH405" s="80">
        <f>IF(P405="","",IF(P405="SIM",VLOOKUP($I405&amp;$J405&amp;P$1,Pesos!$A:$I,7,FALSE),VLOOKUP($I405&amp;$J405&amp;P$1,Pesos!$A:$I,9,FALSE)))</f>
        <v>1.2</v>
      </c>
      <c r="AI405" s="80">
        <f>IF(Q405="","",IF(Q405="SIM",VLOOKUP($I405&amp;$J405&amp;Q$1,Pesos!$A:$I,7,FALSE),VLOOKUP($I405&amp;$J405&amp;Q$1,Pesos!$A:$I,9,FALSE)))</f>
        <v>0.8</v>
      </c>
      <c r="AJ405" s="80">
        <f>IF(R405="","",IF(R405="SIM",VLOOKUP($I405&amp;$J405&amp;R$1,Pesos!$A:$I,7,FALSE),VLOOKUP($I405&amp;$J405&amp;R$1,Pesos!$A:$I,9,FALSE)))</f>
        <v>0.8</v>
      </c>
      <c r="AK405" s="80">
        <f>IF(S405="","",IF(S405="SIM",VLOOKUP($I405&amp;$J405&amp;S$1,Pesos!$A:$I,7,FALSE),VLOOKUP($I405&amp;$J405&amp;S$1,Pesos!$A:$I,9,FALSE)))</f>
        <v>0.8</v>
      </c>
      <c r="AL405" s="80">
        <f t="shared" si="66"/>
        <v>5.1999999999999993</v>
      </c>
      <c r="AM405" s="80">
        <f>IF(T405="","",IF(T405="SIM",VLOOKUP($I405&amp;$J405&amp;T$1,Pesos!$A:$I,7,FALSE),VLOOKUP($I405&amp;$J405&amp;T$1,Pesos!$A:$I,9,FALSE)))</f>
        <v>0.8</v>
      </c>
      <c r="AN405" s="80">
        <f>IF(U405="","",IF(U405="SIM",VLOOKUP($I405&amp;$J405&amp;U$1,Pesos!$A:$I,7,FALSE),VLOOKUP($I405&amp;$J405&amp;U$1,Pesos!$A:$I,9,FALSE)))</f>
        <v>0.8</v>
      </c>
      <c r="AO405" s="80">
        <f>IF(V405="","",IF(V405="SIM",VLOOKUP($I405&amp;$J405&amp;V$1,Pesos!$A:$I,7,FALSE),VLOOKUP($I405&amp;$J405&amp;V$1,Pesos!$A:$I,9,FALSE)))</f>
        <v>0.8</v>
      </c>
      <c r="AP405" s="80">
        <f>IF(W405="","",IF(W405="SIM",VLOOKUP($I405&amp;$J405&amp;W$1,Pesos!$A:$I,7,FALSE),VLOOKUP($I405&amp;$J405&amp;W$1,Pesos!$A:$I,9,FALSE)))</f>
        <v>0.8</v>
      </c>
      <c r="AQ405" s="80">
        <f>IF(X405="","",IF(X405="SIM",VLOOKUP($I405&amp;$J405&amp;X$1,Pesos!$A:$I,7,FALSE),VLOOKUP($I405&amp;$J405&amp;X$1,Pesos!$A:$I,9,FALSE)))</f>
        <v>0.8</v>
      </c>
      <c r="AR405" s="80">
        <f>IF(Y405="","",IF(Y405="SIM",VLOOKUP($I405&amp;$J405&amp;Y$1,Pesos!$A:$I,7,FALSE),VLOOKUP($I405&amp;$J405&amp;Y$1,Pesos!$A:$I,9,FALSE)))</f>
        <v>0.8</v>
      </c>
      <c r="AS405" s="81">
        <f>IFERROR(Z405*VLOOKUP(J405,'BD Campos'!$Y$1:$Z$12,2,FALSE),"0")</f>
        <v>10</v>
      </c>
    </row>
    <row r="406" spans="1:45" x14ac:dyDescent="0.35">
      <c r="A406" s="68" t="str">
        <f t="shared" si="61"/>
        <v>Fev202510891Receptiva 2CADASTRO</v>
      </c>
      <c r="B406" s="69" t="str">
        <f t="shared" si="62"/>
        <v>Fev2025108916CADASTROPADRÃO</v>
      </c>
      <c r="C406" s="70">
        <v>1</v>
      </c>
      <c r="D406" s="71">
        <v>45695.56288946759</v>
      </c>
      <c r="E406" s="112" t="s">
        <v>338</v>
      </c>
      <c r="F406" s="72">
        <v>10891</v>
      </c>
      <c r="G406" s="69" t="s">
        <v>87</v>
      </c>
      <c r="H406" s="73">
        <v>6</v>
      </c>
      <c r="I406" s="69" t="s">
        <v>76</v>
      </c>
      <c r="J406" s="69" t="s">
        <v>100</v>
      </c>
      <c r="K406" s="69" t="s">
        <v>78</v>
      </c>
      <c r="L406" s="74"/>
      <c r="M406" s="75">
        <v>3.6226851851851854E-3</v>
      </c>
      <c r="N406" s="76" t="s">
        <v>79</v>
      </c>
      <c r="O406" s="76" t="s">
        <v>79</v>
      </c>
      <c r="P406" s="76" t="s">
        <v>79</v>
      </c>
      <c r="Q406" s="76" t="s">
        <v>79</v>
      </c>
      <c r="R406" s="76" t="s">
        <v>79</v>
      </c>
      <c r="S406" s="76" t="s">
        <v>79</v>
      </c>
      <c r="T406" s="76" t="s">
        <v>79</v>
      </c>
      <c r="U406" s="76" t="s">
        <v>79</v>
      </c>
      <c r="V406" s="76" t="s">
        <v>79</v>
      </c>
      <c r="W406" s="76" t="s">
        <v>79</v>
      </c>
      <c r="X406" s="76" t="s">
        <v>79</v>
      </c>
      <c r="Y406" s="76" t="s">
        <v>79</v>
      </c>
      <c r="Z406" s="77">
        <f t="shared" si="38"/>
        <v>10</v>
      </c>
      <c r="AA406" s="78"/>
      <c r="AB406" s="78"/>
      <c r="AC406" s="72" t="s">
        <v>47</v>
      </c>
      <c r="AE406" s="79" t="str">
        <f t="shared" si="65"/>
        <v>Fev10891</v>
      </c>
      <c r="AF406" s="80">
        <f>IF(N406="","",IF(N406="SIM",VLOOKUP($I406&amp;$J406&amp;N$1,Pesos!$A:$I,7,FALSE),VLOOKUP($I406&amp;$J406&amp;N$1,Pesos!$A:$I,9,FALSE)))</f>
        <v>0.8</v>
      </c>
      <c r="AG406" s="80">
        <f>IF(O406="","",IF(O406="SIM",VLOOKUP($I406&amp;$J406&amp;O$1,Pesos!$A:$I,7,FALSE),VLOOKUP($I406&amp;$J406&amp;O$1,Pesos!$A:$I,9,FALSE)))</f>
        <v>0.8</v>
      </c>
      <c r="AH406" s="80">
        <f>IF(P406="","",IF(P406="SIM",VLOOKUP($I406&amp;$J406&amp;P$1,Pesos!$A:$I,7,FALSE),VLOOKUP($I406&amp;$J406&amp;P$1,Pesos!$A:$I,9,FALSE)))</f>
        <v>1.2</v>
      </c>
      <c r="AI406" s="80">
        <f>IF(Q406="","",IF(Q406="SIM",VLOOKUP($I406&amp;$J406&amp;Q$1,Pesos!$A:$I,7,FALSE),VLOOKUP($I406&amp;$J406&amp;Q$1,Pesos!$A:$I,9,FALSE)))</f>
        <v>0.8</v>
      </c>
      <c r="AJ406" s="80">
        <f>IF(R406="","",IF(R406="SIM",VLOOKUP($I406&amp;$J406&amp;R$1,Pesos!$A:$I,7,FALSE),VLOOKUP($I406&amp;$J406&amp;R$1,Pesos!$A:$I,9,FALSE)))</f>
        <v>0.8</v>
      </c>
      <c r="AK406" s="80">
        <f>IF(S406="","",IF(S406="SIM",VLOOKUP($I406&amp;$J406&amp;S$1,Pesos!$A:$I,7,FALSE),VLOOKUP($I406&amp;$J406&amp;S$1,Pesos!$A:$I,9,FALSE)))</f>
        <v>0.8</v>
      </c>
      <c r="AL406" s="80">
        <f t="shared" si="66"/>
        <v>5.1999999999999993</v>
      </c>
      <c r="AM406" s="80">
        <f>IF(T406="","",IF(T406="SIM",VLOOKUP($I406&amp;$J406&amp;T$1,Pesos!$A:$I,7,FALSE),VLOOKUP($I406&amp;$J406&amp;T$1,Pesos!$A:$I,9,FALSE)))</f>
        <v>0.8</v>
      </c>
      <c r="AN406" s="80">
        <f>IF(U406="","",IF(U406="SIM",VLOOKUP($I406&amp;$J406&amp;U$1,Pesos!$A:$I,7,FALSE),VLOOKUP($I406&amp;$J406&amp;U$1,Pesos!$A:$I,9,FALSE)))</f>
        <v>0.8</v>
      </c>
      <c r="AO406" s="80">
        <f>IF(V406="","",IF(V406="SIM",VLOOKUP($I406&amp;$J406&amp;V$1,Pesos!$A:$I,7,FALSE),VLOOKUP($I406&amp;$J406&amp;V$1,Pesos!$A:$I,9,FALSE)))</f>
        <v>0.8</v>
      </c>
      <c r="AP406" s="80">
        <f>IF(W406="","",IF(W406="SIM",VLOOKUP($I406&amp;$J406&amp;W$1,Pesos!$A:$I,7,FALSE),VLOOKUP($I406&amp;$J406&amp;W$1,Pesos!$A:$I,9,FALSE)))</f>
        <v>0.8</v>
      </c>
      <c r="AQ406" s="80">
        <f>IF(X406="","",IF(X406="SIM",VLOOKUP($I406&amp;$J406&amp;X$1,Pesos!$A:$I,7,FALSE),VLOOKUP($I406&amp;$J406&amp;X$1,Pesos!$A:$I,9,FALSE)))</f>
        <v>0.8</v>
      </c>
      <c r="AR406" s="80">
        <f>IF(Y406="","",IF(Y406="SIM",VLOOKUP($I406&amp;$J406&amp;Y$1,Pesos!$A:$I,7,FALSE),VLOOKUP($I406&amp;$J406&amp;Y$1,Pesos!$A:$I,9,FALSE)))</f>
        <v>0.8</v>
      </c>
      <c r="AS406" s="81">
        <f>IFERROR(Z406*VLOOKUP(J406,'BD Campos'!$Y$1:$Z$12,2,FALSE),"0")</f>
        <v>10</v>
      </c>
    </row>
    <row r="407" spans="1:45" x14ac:dyDescent="0.35">
      <c r="A407" s="68" t="str">
        <f t="shared" si="61"/>
        <v>Fev202510674ReceptivaCADASTRO</v>
      </c>
      <c r="B407" s="69" t="str">
        <f t="shared" si="62"/>
        <v>Fev2025106745CADASTROPADRÃO</v>
      </c>
      <c r="C407" s="70">
        <v>1</v>
      </c>
      <c r="D407" s="71">
        <v>45695.567836574075</v>
      </c>
      <c r="E407" s="112" t="s">
        <v>338</v>
      </c>
      <c r="F407" s="72">
        <v>10674</v>
      </c>
      <c r="G407" s="69" t="s">
        <v>88</v>
      </c>
      <c r="H407" s="73">
        <v>5</v>
      </c>
      <c r="I407" s="69" t="s">
        <v>76</v>
      </c>
      <c r="J407" s="69" t="s">
        <v>98</v>
      </c>
      <c r="K407" s="69" t="s">
        <v>78</v>
      </c>
      <c r="L407" s="74"/>
      <c r="M407" s="75">
        <v>2.8472222222222219E-3</v>
      </c>
      <c r="N407" s="76" t="s">
        <v>79</v>
      </c>
      <c r="O407" s="76" t="s">
        <v>79</v>
      </c>
      <c r="P407" s="76" t="s">
        <v>79</v>
      </c>
      <c r="Q407" s="76" t="s">
        <v>79</v>
      </c>
      <c r="R407" s="76" t="s">
        <v>79</v>
      </c>
      <c r="S407" s="76" t="s">
        <v>79</v>
      </c>
      <c r="T407" s="76" t="s">
        <v>79</v>
      </c>
      <c r="U407" s="76" t="s">
        <v>79</v>
      </c>
      <c r="V407" s="76" t="s">
        <v>79</v>
      </c>
      <c r="W407" s="76" t="s">
        <v>79</v>
      </c>
      <c r="X407" s="76" t="s">
        <v>79</v>
      </c>
      <c r="Y407" s="76" t="s">
        <v>79</v>
      </c>
      <c r="Z407" s="77">
        <f t="shared" si="38"/>
        <v>10</v>
      </c>
      <c r="AA407" s="78"/>
      <c r="AB407" s="78"/>
      <c r="AC407" s="72" t="s">
        <v>47</v>
      </c>
      <c r="AE407" s="79" t="str">
        <f t="shared" si="65"/>
        <v>Fev10674</v>
      </c>
      <c r="AF407" s="80">
        <f>IF(N407="","",IF(N407="SIM",VLOOKUP($I407&amp;$J407&amp;N$1,Pesos!$A:$I,7,FALSE),VLOOKUP($I407&amp;$J407&amp;N$1,Pesos!$A:$I,9,FALSE)))</f>
        <v>0.8</v>
      </c>
      <c r="AG407" s="80">
        <f>IF(O407="","",IF(O407="SIM",VLOOKUP($I407&amp;$J407&amp;O$1,Pesos!$A:$I,7,FALSE),VLOOKUP($I407&amp;$J407&amp;O$1,Pesos!$A:$I,9,FALSE)))</f>
        <v>0.8</v>
      </c>
      <c r="AH407" s="80">
        <f>IF(P407="","",IF(P407="SIM",VLOOKUP($I407&amp;$J407&amp;P$1,Pesos!$A:$I,7,FALSE),VLOOKUP($I407&amp;$J407&amp;P$1,Pesos!$A:$I,9,FALSE)))</f>
        <v>1.2</v>
      </c>
      <c r="AI407" s="80">
        <f>IF(Q407="","",IF(Q407="SIM",VLOOKUP($I407&amp;$J407&amp;Q$1,Pesos!$A:$I,7,FALSE),VLOOKUP($I407&amp;$J407&amp;Q$1,Pesos!$A:$I,9,FALSE)))</f>
        <v>0.8</v>
      </c>
      <c r="AJ407" s="80">
        <f>IF(R407="","",IF(R407="SIM",VLOOKUP($I407&amp;$J407&amp;R$1,Pesos!$A:$I,7,FALSE),VLOOKUP($I407&amp;$J407&amp;R$1,Pesos!$A:$I,9,FALSE)))</f>
        <v>0.8</v>
      </c>
      <c r="AK407" s="80">
        <f>IF(S407="","",IF(S407="SIM",VLOOKUP($I407&amp;$J407&amp;S$1,Pesos!$A:$I,7,FALSE),VLOOKUP($I407&amp;$J407&amp;S$1,Pesos!$A:$I,9,FALSE)))</f>
        <v>0.8</v>
      </c>
      <c r="AL407" s="80">
        <f t="shared" si="66"/>
        <v>5.1999999999999993</v>
      </c>
      <c r="AM407" s="80">
        <f>IF(T407="","",IF(T407="SIM",VLOOKUP($I407&amp;$J407&amp;T$1,Pesos!$A:$I,7,FALSE),VLOOKUP($I407&amp;$J407&amp;T$1,Pesos!$A:$I,9,FALSE)))</f>
        <v>0.8</v>
      </c>
      <c r="AN407" s="80">
        <f>IF(U407="","",IF(U407="SIM",VLOOKUP($I407&amp;$J407&amp;U$1,Pesos!$A:$I,7,FALSE),VLOOKUP($I407&amp;$J407&amp;U$1,Pesos!$A:$I,9,FALSE)))</f>
        <v>0.8</v>
      </c>
      <c r="AO407" s="80">
        <f>IF(V407="","",IF(V407="SIM",VLOOKUP($I407&amp;$J407&amp;V$1,Pesos!$A:$I,7,FALSE),VLOOKUP($I407&amp;$J407&amp;V$1,Pesos!$A:$I,9,FALSE)))</f>
        <v>0.8</v>
      </c>
      <c r="AP407" s="80">
        <f>IF(W407="","",IF(W407="SIM",VLOOKUP($I407&amp;$J407&amp;W$1,Pesos!$A:$I,7,FALSE),VLOOKUP($I407&amp;$J407&amp;W$1,Pesos!$A:$I,9,FALSE)))</f>
        <v>0.8</v>
      </c>
      <c r="AQ407" s="80">
        <f>IF(X407="","",IF(X407="SIM",VLOOKUP($I407&amp;$J407&amp;X$1,Pesos!$A:$I,7,FALSE),VLOOKUP($I407&amp;$J407&amp;X$1,Pesos!$A:$I,9,FALSE)))</f>
        <v>0.8</v>
      </c>
      <c r="AR407" s="80">
        <f>IF(Y407="","",IF(Y407="SIM",VLOOKUP($I407&amp;$J407&amp;Y$1,Pesos!$A:$I,7,FALSE),VLOOKUP($I407&amp;$J407&amp;Y$1,Pesos!$A:$I,9,FALSE)))</f>
        <v>0.8</v>
      </c>
      <c r="AS407" s="81">
        <f>IFERROR(Z407*VLOOKUP(J407,'BD Campos'!$Y$1:$Z$12,2,FALSE),"0")</f>
        <v>10</v>
      </c>
    </row>
    <row r="408" spans="1:45" x14ac:dyDescent="0.35">
      <c r="A408" s="68" t="str">
        <f t="shared" si="61"/>
        <v>Fev202510674Receptiva 2CADASTRO</v>
      </c>
      <c r="B408" s="69" t="str">
        <f t="shared" si="62"/>
        <v>Fev2025106746CADASTROPADRÃO</v>
      </c>
      <c r="C408" s="70">
        <v>1</v>
      </c>
      <c r="D408" s="71">
        <v>45695.571386226853</v>
      </c>
      <c r="E408" s="112" t="s">
        <v>338</v>
      </c>
      <c r="F408" s="72">
        <v>10674</v>
      </c>
      <c r="G408" s="69" t="s">
        <v>88</v>
      </c>
      <c r="H408" s="73">
        <v>6</v>
      </c>
      <c r="I408" s="69" t="s">
        <v>76</v>
      </c>
      <c r="J408" s="69" t="s">
        <v>100</v>
      </c>
      <c r="K408" s="69" t="s">
        <v>78</v>
      </c>
      <c r="L408" s="74"/>
      <c r="M408" s="75" t="s">
        <v>1611</v>
      </c>
      <c r="N408" s="76" t="s">
        <v>79</v>
      </c>
      <c r="O408" s="76" t="s">
        <v>79</v>
      </c>
      <c r="P408" s="76" t="s">
        <v>79</v>
      </c>
      <c r="Q408" s="76" t="s">
        <v>79</v>
      </c>
      <c r="R408" s="76" t="s">
        <v>79</v>
      </c>
      <c r="S408" s="76" t="s">
        <v>79</v>
      </c>
      <c r="T408" s="76" t="s">
        <v>79</v>
      </c>
      <c r="U408" s="76" t="s">
        <v>1612</v>
      </c>
      <c r="V408" s="76" t="s">
        <v>79</v>
      </c>
      <c r="W408" s="76" t="s">
        <v>79</v>
      </c>
      <c r="X408" s="76" t="s">
        <v>79</v>
      </c>
      <c r="Y408" s="76" t="s">
        <v>79</v>
      </c>
      <c r="Z408" s="77">
        <f t="shared" si="38"/>
        <v>10</v>
      </c>
      <c r="AA408" s="78"/>
      <c r="AB408" s="78"/>
      <c r="AC408" s="72" t="s">
        <v>47</v>
      </c>
      <c r="AE408" s="79" t="str">
        <f t="shared" si="65"/>
        <v>Fev10674</v>
      </c>
      <c r="AF408" s="80">
        <f>IF(N408="","",IF(N408="SIM",VLOOKUP($I408&amp;$J408&amp;N$1,Pesos!$A:$I,7,FALSE),VLOOKUP($I408&amp;$J408&amp;N$1,Pesos!$A:$I,9,FALSE)))</f>
        <v>0.8</v>
      </c>
      <c r="AG408" s="80">
        <f>IF(O408="","",IF(O408="SIM",VLOOKUP($I408&amp;$J408&amp;O$1,Pesos!$A:$I,7,FALSE),VLOOKUP($I408&amp;$J408&amp;O$1,Pesos!$A:$I,9,FALSE)))</f>
        <v>0.8</v>
      </c>
      <c r="AH408" s="80">
        <f>IF(P408="","",IF(P408="SIM",VLOOKUP($I408&amp;$J408&amp;P$1,Pesos!$A:$I,7,FALSE),VLOOKUP($I408&amp;$J408&amp;P$1,Pesos!$A:$I,9,FALSE)))</f>
        <v>1.2</v>
      </c>
      <c r="AI408" s="80">
        <f>IF(Q408="","",IF(Q408="SIM",VLOOKUP($I408&amp;$J408&amp;Q$1,Pesos!$A:$I,7,FALSE),VLOOKUP($I408&amp;$J408&amp;Q$1,Pesos!$A:$I,9,FALSE)))</f>
        <v>0.8</v>
      </c>
      <c r="AJ408" s="80">
        <f>IF(R408="","",IF(R408="SIM",VLOOKUP($I408&amp;$J408&amp;R$1,Pesos!$A:$I,7,FALSE),VLOOKUP($I408&amp;$J408&amp;R$1,Pesos!$A:$I,9,FALSE)))</f>
        <v>0.8</v>
      </c>
      <c r="AK408" s="80">
        <f>IF(S408="","",IF(S408="SIM",VLOOKUP($I408&amp;$J408&amp;S$1,Pesos!$A:$I,7,FALSE),VLOOKUP($I408&amp;$J408&amp;S$1,Pesos!$A:$I,9,FALSE)))</f>
        <v>0.8</v>
      </c>
      <c r="AL408" s="80">
        <f t="shared" si="66"/>
        <v>5.1999999999999993</v>
      </c>
      <c r="AM408" s="80">
        <f>IF(T408="","",IF(T408="SIM",VLOOKUP($I408&amp;$J408&amp;T$1,Pesos!$A:$I,7,FALSE),VLOOKUP($I408&amp;$J408&amp;T$1,Pesos!$A:$I,9,FALSE)))</f>
        <v>0.8</v>
      </c>
      <c r="AN408" s="80">
        <f>IF(U408="","",IF(U408="SIM",VLOOKUP($I408&amp;$J408&amp;U$1,Pesos!$A:$I,7,FALSE),VLOOKUP($I408&amp;$J408&amp;U$1,Pesos!$A:$I,9,FALSE)))</f>
        <v>0.8</v>
      </c>
      <c r="AO408" s="80">
        <f>IF(V408="","",IF(V408="SIM",VLOOKUP($I408&amp;$J408&amp;V$1,Pesos!$A:$I,7,FALSE),VLOOKUP($I408&amp;$J408&amp;V$1,Pesos!$A:$I,9,FALSE)))</f>
        <v>0.8</v>
      </c>
      <c r="AP408" s="80">
        <f>IF(W408="","",IF(W408="SIM",VLOOKUP($I408&amp;$J408&amp;W$1,Pesos!$A:$I,7,FALSE),VLOOKUP($I408&amp;$J408&amp;W$1,Pesos!$A:$I,9,FALSE)))</f>
        <v>0.8</v>
      </c>
      <c r="AQ408" s="80">
        <f>IF(X408="","",IF(X408="SIM",VLOOKUP($I408&amp;$J408&amp;X$1,Pesos!$A:$I,7,FALSE),VLOOKUP($I408&amp;$J408&amp;X$1,Pesos!$A:$I,9,FALSE)))</f>
        <v>0.8</v>
      </c>
      <c r="AR408" s="80">
        <f>IF(Y408="","",IF(Y408="SIM",VLOOKUP($I408&amp;$J408&amp;Y$1,Pesos!$A:$I,7,FALSE),VLOOKUP($I408&amp;$J408&amp;Y$1,Pesos!$A:$I,9,FALSE)))</f>
        <v>0.8</v>
      </c>
      <c r="AS408" s="81">
        <f>IFERROR(Z408*VLOOKUP(J408,'BD Campos'!$Y$1:$Z$12,2,FALSE),"0")</f>
        <v>10</v>
      </c>
    </row>
    <row r="409" spans="1:45" x14ac:dyDescent="0.35">
      <c r="A409" s="68" t="str">
        <f t="shared" si="61"/>
        <v>Fev202510667ReceptivaCADASTRO</v>
      </c>
      <c r="B409" s="69" t="str">
        <f t="shared" si="62"/>
        <v>Fev2025106675CADASTROPADRÃO</v>
      </c>
      <c r="C409" s="70">
        <v>1</v>
      </c>
      <c r="D409" s="71">
        <v>45695.575558449076</v>
      </c>
      <c r="E409" s="112" t="s">
        <v>338</v>
      </c>
      <c r="F409" s="72">
        <v>10667</v>
      </c>
      <c r="G409" s="69" t="s">
        <v>90</v>
      </c>
      <c r="H409" s="73">
        <v>5</v>
      </c>
      <c r="I409" s="69" t="s">
        <v>76</v>
      </c>
      <c r="J409" s="69" t="s">
        <v>98</v>
      </c>
      <c r="K409" s="69" t="s">
        <v>78</v>
      </c>
      <c r="L409" s="74"/>
      <c r="M409" s="75">
        <v>2.9513888888888888E-3</v>
      </c>
      <c r="N409" s="76" t="s">
        <v>79</v>
      </c>
      <c r="O409" s="76" t="s">
        <v>79</v>
      </c>
      <c r="P409" s="76" t="s">
        <v>79</v>
      </c>
      <c r="Q409" s="76" t="s">
        <v>79</v>
      </c>
      <c r="R409" s="76" t="s">
        <v>79</v>
      </c>
      <c r="S409" s="76" t="s">
        <v>79</v>
      </c>
      <c r="T409" s="76" t="s">
        <v>79</v>
      </c>
      <c r="U409" s="76" t="s">
        <v>79</v>
      </c>
      <c r="V409" s="76" t="s">
        <v>79</v>
      </c>
      <c r="W409" s="76" t="s">
        <v>79</v>
      </c>
      <c r="X409" s="76" t="s">
        <v>79</v>
      </c>
      <c r="Y409" s="76" t="s">
        <v>79</v>
      </c>
      <c r="Z409" s="77">
        <f t="shared" si="38"/>
        <v>10</v>
      </c>
      <c r="AA409" s="78"/>
      <c r="AB409" s="78"/>
      <c r="AC409" s="72" t="s">
        <v>47</v>
      </c>
      <c r="AE409" s="79" t="str">
        <f t="shared" si="65"/>
        <v>Fev10667</v>
      </c>
      <c r="AF409" s="80">
        <f>IF(N409="","",IF(N409="SIM",VLOOKUP($I409&amp;$J409&amp;N$1,Pesos!$A:$I,7,FALSE),VLOOKUP($I409&amp;$J409&amp;N$1,Pesos!$A:$I,9,FALSE)))</f>
        <v>0.8</v>
      </c>
      <c r="AG409" s="80">
        <f>IF(O409="","",IF(O409="SIM",VLOOKUP($I409&amp;$J409&amp;O$1,Pesos!$A:$I,7,FALSE),VLOOKUP($I409&amp;$J409&amp;O$1,Pesos!$A:$I,9,FALSE)))</f>
        <v>0.8</v>
      </c>
      <c r="AH409" s="80">
        <f>IF(P409="","",IF(P409="SIM",VLOOKUP($I409&amp;$J409&amp;P$1,Pesos!$A:$I,7,FALSE),VLOOKUP($I409&amp;$J409&amp;P$1,Pesos!$A:$I,9,FALSE)))</f>
        <v>1.2</v>
      </c>
      <c r="AI409" s="80">
        <f>IF(Q409="","",IF(Q409="SIM",VLOOKUP($I409&amp;$J409&amp;Q$1,Pesos!$A:$I,7,FALSE),VLOOKUP($I409&amp;$J409&amp;Q$1,Pesos!$A:$I,9,FALSE)))</f>
        <v>0.8</v>
      </c>
      <c r="AJ409" s="80">
        <f>IF(R409="","",IF(R409="SIM",VLOOKUP($I409&amp;$J409&amp;R$1,Pesos!$A:$I,7,FALSE),VLOOKUP($I409&amp;$J409&amp;R$1,Pesos!$A:$I,9,FALSE)))</f>
        <v>0.8</v>
      </c>
      <c r="AK409" s="80">
        <f>IF(S409="","",IF(S409="SIM",VLOOKUP($I409&amp;$J409&amp;S$1,Pesos!$A:$I,7,FALSE),VLOOKUP($I409&amp;$J409&amp;S$1,Pesos!$A:$I,9,FALSE)))</f>
        <v>0.8</v>
      </c>
      <c r="AL409" s="80">
        <f t="shared" si="66"/>
        <v>5.1999999999999993</v>
      </c>
      <c r="AM409" s="80">
        <f>IF(T409="","",IF(T409="SIM",VLOOKUP($I409&amp;$J409&amp;T$1,Pesos!$A:$I,7,FALSE),VLOOKUP($I409&amp;$J409&amp;T$1,Pesos!$A:$I,9,FALSE)))</f>
        <v>0.8</v>
      </c>
      <c r="AN409" s="80">
        <f>IF(U409="","",IF(U409="SIM",VLOOKUP($I409&amp;$J409&amp;U$1,Pesos!$A:$I,7,FALSE),VLOOKUP($I409&amp;$J409&amp;U$1,Pesos!$A:$I,9,FALSE)))</f>
        <v>0.8</v>
      </c>
      <c r="AO409" s="80">
        <f>IF(V409="","",IF(V409="SIM",VLOOKUP($I409&amp;$J409&amp;V$1,Pesos!$A:$I,7,FALSE),VLOOKUP($I409&amp;$J409&amp;V$1,Pesos!$A:$I,9,FALSE)))</f>
        <v>0.8</v>
      </c>
      <c r="AP409" s="80">
        <f>IF(W409="","",IF(W409="SIM",VLOOKUP($I409&amp;$J409&amp;W$1,Pesos!$A:$I,7,FALSE),VLOOKUP($I409&amp;$J409&amp;W$1,Pesos!$A:$I,9,FALSE)))</f>
        <v>0.8</v>
      </c>
      <c r="AQ409" s="80">
        <f>IF(X409="","",IF(X409="SIM",VLOOKUP($I409&amp;$J409&amp;X$1,Pesos!$A:$I,7,FALSE),VLOOKUP($I409&amp;$J409&amp;X$1,Pesos!$A:$I,9,FALSE)))</f>
        <v>0.8</v>
      </c>
      <c r="AR409" s="80">
        <f>IF(Y409="","",IF(Y409="SIM",VLOOKUP($I409&amp;$J409&amp;Y$1,Pesos!$A:$I,7,FALSE),VLOOKUP($I409&amp;$J409&amp;Y$1,Pesos!$A:$I,9,FALSE)))</f>
        <v>0.8</v>
      </c>
      <c r="AS409" s="81">
        <f>IFERROR(Z409*VLOOKUP(J409,'BD Campos'!$Y$1:$Z$12,2,FALSE),"0")</f>
        <v>10</v>
      </c>
    </row>
    <row r="410" spans="1:45" x14ac:dyDescent="0.35">
      <c r="A410" s="68" t="str">
        <f t="shared" si="61"/>
        <v>Fev202510667Receptiva 2CADASTRO</v>
      </c>
      <c r="B410" s="69" t="str">
        <f t="shared" si="62"/>
        <v>Fev2025106676CADASTROPADRÃO</v>
      </c>
      <c r="C410" s="70">
        <v>1</v>
      </c>
      <c r="D410" s="71">
        <v>45695.581276620367</v>
      </c>
      <c r="E410" s="112" t="s">
        <v>338</v>
      </c>
      <c r="F410" s="72">
        <v>10667</v>
      </c>
      <c r="G410" s="69" t="s">
        <v>90</v>
      </c>
      <c r="H410" s="73">
        <v>6</v>
      </c>
      <c r="I410" s="69" t="s">
        <v>76</v>
      </c>
      <c r="J410" s="69" t="s">
        <v>100</v>
      </c>
      <c r="K410" s="69" t="s">
        <v>78</v>
      </c>
      <c r="L410" s="74"/>
      <c r="M410" s="75">
        <v>3.7152777777777774E-3</v>
      </c>
      <c r="N410" s="76" t="s">
        <v>79</v>
      </c>
      <c r="O410" s="76" t="s">
        <v>79</v>
      </c>
      <c r="P410" s="76" t="s">
        <v>79</v>
      </c>
      <c r="Q410" s="76" t="s">
        <v>79</v>
      </c>
      <c r="R410" s="76" t="s">
        <v>79</v>
      </c>
      <c r="S410" s="76" t="s">
        <v>79</v>
      </c>
      <c r="T410" s="76" t="s">
        <v>79</v>
      </c>
      <c r="U410" s="76" t="s">
        <v>79</v>
      </c>
      <c r="V410" s="76" t="s">
        <v>79</v>
      </c>
      <c r="W410" s="76" t="s">
        <v>79</v>
      </c>
      <c r="X410" s="76" t="s">
        <v>79</v>
      </c>
      <c r="Y410" s="76" t="s">
        <v>79</v>
      </c>
      <c r="Z410" s="77">
        <f t="shared" si="38"/>
        <v>10</v>
      </c>
      <c r="AA410" s="78"/>
      <c r="AB410" s="78"/>
      <c r="AC410" s="72" t="s">
        <v>47</v>
      </c>
      <c r="AE410" s="79" t="str">
        <f t="shared" si="65"/>
        <v>Fev10667</v>
      </c>
      <c r="AF410" s="80">
        <f>IF(N410="","",IF(N410="SIM",VLOOKUP($I410&amp;$J410&amp;N$1,Pesos!$A:$I,7,FALSE),VLOOKUP($I410&amp;$J410&amp;N$1,Pesos!$A:$I,9,FALSE)))</f>
        <v>0.8</v>
      </c>
      <c r="AG410" s="80">
        <f>IF(O410="","",IF(O410="SIM",VLOOKUP($I410&amp;$J410&amp;O$1,Pesos!$A:$I,7,FALSE),VLOOKUP($I410&amp;$J410&amp;O$1,Pesos!$A:$I,9,FALSE)))</f>
        <v>0.8</v>
      </c>
      <c r="AH410" s="80">
        <f>IF(P410="","",IF(P410="SIM",VLOOKUP($I410&amp;$J410&amp;P$1,Pesos!$A:$I,7,FALSE),VLOOKUP($I410&amp;$J410&amp;P$1,Pesos!$A:$I,9,FALSE)))</f>
        <v>1.2</v>
      </c>
      <c r="AI410" s="80">
        <f>IF(Q410="","",IF(Q410="SIM",VLOOKUP($I410&amp;$J410&amp;Q$1,Pesos!$A:$I,7,FALSE),VLOOKUP($I410&amp;$J410&amp;Q$1,Pesos!$A:$I,9,FALSE)))</f>
        <v>0.8</v>
      </c>
      <c r="AJ410" s="80">
        <f>IF(R410="","",IF(R410="SIM",VLOOKUP($I410&amp;$J410&amp;R$1,Pesos!$A:$I,7,FALSE),VLOOKUP($I410&amp;$J410&amp;R$1,Pesos!$A:$I,9,FALSE)))</f>
        <v>0.8</v>
      </c>
      <c r="AK410" s="80">
        <f>IF(S410="","",IF(S410="SIM",VLOOKUP($I410&amp;$J410&amp;S$1,Pesos!$A:$I,7,FALSE),VLOOKUP($I410&amp;$J410&amp;S$1,Pesos!$A:$I,9,FALSE)))</f>
        <v>0.8</v>
      </c>
      <c r="AL410" s="80">
        <f t="shared" si="66"/>
        <v>5.1999999999999993</v>
      </c>
      <c r="AM410" s="80">
        <f>IF(T410="","",IF(T410="SIM",VLOOKUP($I410&amp;$J410&amp;T$1,Pesos!$A:$I,7,FALSE),VLOOKUP($I410&amp;$J410&amp;T$1,Pesos!$A:$I,9,FALSE)))</f>
        <v>0.8</v>
      </c>
      <c r="AN410" s="80">
        <f>IF(U410="","",IF(U410="SIM",VLOOKUP($I410&amp;$J410&amp;U$1,Pesos!$A:$I,7,FALSE),VLOOKUP($I410&amp;$J410&amp;U$1,Pesos!$A:$I,9,FALSE)))</f>
        <v>0.8</v>
      </c>
      <c r="AO410" s="80">
        <f>IF(V410="","",IF(V410="SIM",VLOOKUP($I410&amp;$J410&amp;V$1,Pesos!$A:$I,7,FALSE),VLOOKUP($I410&amp;$J410&amp;V$1,Pesos!$A:$I,9,FALSE)))</f>
        <v>0.8</v>
      </c>
      <c r="AP410" s="80">
        <f>IF(W410="","",IF(W410="SIM",VLOOKUP($I410&amp;$J410&amp;W$1,Pesos!$A:$I,7,FALSE),VLOOKUP($I410&amp;$J410&amp;W$1,Pesos!$A:$I,9,FALSE)))</f>
        <v>0.8</v>
      </c>
      <c r="AQ410" s="80">
        <f>IF(X410="","",IF(X410="SIM",VLOOKUP($I410&amp;$J410&amp;X$1,Pesos!$A:$I,7,FALSE),VLOOKUP($I410&amp;$J410&amp;X$1,Pesos!$A:$I,9,FALSE)))</f>
        <v>0.8</v>
      </c>
      <c r="AR410" s="80">
        <f>IF(Y410="","",IF(Y410="SIM",VLOOKUP($I410&amp;$J410&amp;Y$1,Pesos!$A:$I,7,FALSE),VLOOKUP($I410&amp;$J410&amp;Y$1,Pesos!$A:$I,9,FALSE)))</f>
        <v>0.8</v>
      </c>
      <c r="AS410" s="81">
        <f>IFERROR(Z410*VLOOKUP(J410,'BD Campos'!$Y$1:$Z$12,2,FALSE),"0")</f>
        <v>10</v>
      </c>
    </row>
    <row r="411" spans="1:45" x14ac:dyDescent="0.35">
      <c r="A411" s="68" t="str">
        <f t="shared" si="61"/>
        <v>Fev20251600ReceptivaCADASTRO</v>
      </c>
      <c r="B411" s="69" t="str">
        <f t="shared" si="62"/>
        <v>Fev202516005CADASTROPADRÃO</v>
      </c>
      <c r="C411" s="70">
        <v>1</v>
      </c>
      <c r="D411" s="71">
        <v>45695.646565740739</v>
      </c>
      <c r="E411" s="112" t="s">
        <v>338</v>
      </c>
      <c r="F411" s="72">
        <v>1600</v>
      </c>
      <c r="G411" s="69" t="s">
        <v>93</v>
      </c>
      <c r="H411" s="73">
        <v>5</v>
      </c>
      <c r="I411" s="69" t="s">
        <v>76</v>
      </c>
      <c r="J411" s="69" t="s">
        <v>98</v>
      </c>
      <c r="K411" s="69" t="s">
        <v>78</v>
      </c>
      <c r="L411" s="74"/>
      <c r="M411" s="75">
        <v>3.1249999999999997E-3</v>
      </c>
      <c r="N411" s="76" t="s">
        <v>79</v>
      </c>
      <c r="O411" s="76" t="s">
        <v>79</v>
      </c>
      <c r="P411" s="76" t="s">
        <v>79</v>
      </c>
      <c r="Q411" s="76" t="s">
        <v>79</v>
      </c>
      <c r="R411" s="76" t="s">
        <v>79</v>
      </c>
      <c r="S411" s="76" t="s">
        <v>79</v>
      </c>
      <c r="T411" s="76" t="s">
        <v>79</v>
      </c>
      <c r="U411" s="76" t="s">
        <v>79</v>
      </c>
      <c r="V411" s="76" t="s">
        <v>79</v>
      </c>
      <c r="W411" s="76" t="s">
        <v>79</v>
      </c>
      <c r="X411" s="76" t="s">
        <v>79</v>
      </c>
      <c r="Y411" s="76" t="s">
        <v>79</v>
      </c>
      <c r="Z411" s="77">
        <f t="shared" si="38"/>
        <v>10</v>
      </c>
      <c r="AA411" s="78"/>
      <c r="AB411" s="78"/>
      <c r="AC411" s="72" t="s">
        <v>47</v>
      </c>
      <c r="AE411" s="79" t="str">
        <f t="shared" si="65"/>
        <v>Fev1600</v>
      </c>
      <c r="AF411" s="80">
        <f>IF(N411="","",IF(N411="SIM",VLOOKUP($I411&amp;$J411&amp;N$1,Pesos!$A:$I,7,FALSE),VLOOKUP($I411&amp;$J411&amp;N$1,Pesos!$A:$I,9,FALSE)))</f>
        <v>0.8</v>
      </c>
      <c r="AG411" s="80">
        <f>IF(O411="","",IF(O411="SIM",VLOOKUP($I411&amp;$J411&amp;O$1,Pesos!$A:$I,7,FALSE),VLOOKUP($I411&amp;$J411&amp;O$1,Pesos!$A:$I,9,FALSE)))</f>
        <v>0.8</v>
      </c>
      <c r="AH411" s="80">
        <f>IF(P411="","",IF(P411="SIM",VLOOKUP($I411&amp;$J411&amp;P$1,Pesos!$A:$I,7,FALSE),VLOOKUP($I411&amp;$J411&amp;P$1,Pesos!$A:$I,9,FALSE)))</f>
        <v>1.2</v>
      </c>
      <c r="AI411" s="80">
        <f>IF(Q411="","",IF(Q411="SIM",VLOOKUP($I411&amp;$J411&amp;Q$1,Pesos!$A:$I,7,FALSE),VLOOKUP($I411&amp;$J411&amp;Q$1,Pesos!$A:$I,9,FALSE)))</f>
        <v>0.8</v>
      </c>
      <c r="AJ411" s="80">
        <f>IF(R411="","",IF(R411="SIM",VLOOKUP($I411&amp;$J411&amp;R$1,Pesos!$A:$I,7,FALSE),VLOOKUP($I411&amp;$J411&amp;R$1,Pesos!$A:$I,9,FALSE)))</f>
        <v>0.8</v>
      </c>
      <c r="AK411" s="80">
        <f>IF(S411="","",IF(S411="SIM",VLOOKUP($I411&amp;$J411&amp;S$1,Pesos!$A:$I,7,FALSE),VLOOKUP($I411&amp;$J411&amp;S$1,Pesos!$A:$I,9,FALSE)))</f>
        <v>0.8</v>
      </c>
      <c r="AL411" s="80">
        <f t="shared" si="66"/>
        <v>5.1999999999999993</v>
      </c>
      <c r="AM411" s="80">
        <f>IF(T411="","",IF(T411="SIM",VLOOKUP($I411&amp;$J411&amp;T$1,Pesos!$A:$I,7,FALSE),VLOOKUP($I411&amp;$J411&amp;T$1,Pesos!$A:$I,9,FALSE)))</f>
        <v>0.8</v>
      </c>
      <c r="AN411" s="80">
        <f>IF(U411="","",IF(U411="SIM",VLOOKUP($I411&amp;$J411&amp;U$1,Pesos!$A:$I,7,FALSE),VLOOKUP($I411&amp;$J411&amp;U$1,Pesos!$A:$I,9,FALSE)))</f>
        <v>0.8</v>
      </c>
      <c r="AO411" s="80">
        <f>IF(V411="","",IF(V411="SIM",VLOOKUP($I411&amp;$J411&amp;V$1,Pesos!$A:$I,7,FALSE),VLOOKUP($I411&amp;$J411&amp;V$1,Pesos!$A:$I,9,FALSE)))</f>
        <v>0.8</v>
      </c>
      <c r="AP411" s="80">
        <f>IF(W411="","",IF(W411="SIM",VLOOKUP($I411&amp;$J411&amp;W$1,Pesos!$A:$I,7,FALSE),VLOOKUP($I411&amp;$J411&amp;W$1,Pesos!$A:$I,9,FALSE)))</f>
        <v>0.8</v>
      </c>
      <c r="AQ411" s="80">
        <f>IF(X411="","",IF(X411="SIM",VLOOKUP($I411&amp;$J411&amp;X$1,Pesos!$A:$I,7,FALSE),VLOOKUP($I411&amp;$J411&amp;X$1,Pesos!$A:$I,9,FALSE)))</f>
        <v>0.8</v>
      </c>
      <c r="AR411" s="80">
        <f>IF(Y411="","",IF(Y411="SIM",VLOOKUP($I411&amp;$J411&amp;Y$1,Pesos!$A:$I,7,FALSE),VLOOKUP($I411&amp;$J411&amp;Y$1,Pesos!$A:$I,9,FALSE)))</f>
        <v>0.8</v>
      </c>
      <c r="AS411" s="81">
        <f>IFERROR(Z411*VLOOKUP(J411,'BD Campos'!$Y$1:$Z$12,2,FALSE),"0")</f>
        <v>10</v>
      </c>
    </row>
    <row r="412" spans="1:45" x14ac:dyDescent="0.35">
      <c r="A412" s="68" t="str">
        <f t="shared" si="61"/>
        <v>Fev20251600Receptiva 2CADASTRO</v>
      </c>
      <c r="B412" s="69" t="str">
        <f t="shared" si="62"/>
        <v>Fev202516006CADASTROPADRÃO</v>
      </c>
      <c r="C412" s="70">
        <v>1</v>
      </c>
      <c r="D412" s="71">
        <v>45695.65138865741</v>
      </c>
      <c r="E412" s="112" t="s">
        <v>338</v>
      </c>
      <c r="F412" s="72">
        <v>1600</v>
      </c>
      <c r="G412" s="69" t="s">
        <v>93</v>
      </c>
      <c r="H412" s="73">
        <v>6</v>
      </c>
      <c r="I412" s="69" t="s">
        <v>76</v>
      </c>
      <c r="J412" s="69" t="s">
        <v>100</v>
      </c>
      <c r="K412" s="69" t="s">
        <v>78</v>
      </c>
      <c r="L412" s="74"/>
      <c r="M412" s="75">
        <v>3.1018518518518522E-3</v>
      </c>
      <c r="N412" s="76" t="s">
        <v>79</v>
      </c>
      <c r="O412" s="76" t="s">
        <v>79</v>
      </c>
      <c r="P412" s="76" t="s">
        <v>79</v>
      </c>
      <c r="Q412" s="76" t="s">
        <v>79</v>
      </c>
      <c r="R412" s="76" t="s">
        <v>79</v>
      </c>
      <c r="S412" s="76" t="s">
        <v>79</v>
      </c>
      <c r="T412" s="76" t="s">
        <v>79</v>
      </c>
      <c r="U412" s="76" t="s">
        <v>79</v>
      </c>
      <c r="V412" s="76" t="s">
        <v>79</v>
      </c>
      <c r="W412" s="76" t="s">
        <v>79</v>
      </c>
      <c r="X412" s="76" t="s">
        <v>79</v>
      </c>
      <c r="Y412" s="76" t="s">
        <v>79</v>
      </c>
      <c r="Z412" s="77">
        <f t="shared" si="38"/>
        <v>10</v>
      </c>
      <c r="AA412" s="78"/>
      <c r="AB412" s="78"/>
      <c r="AC412" s="72" t="s">
        <v>47</v>
      </c>
      <c r="AE412" s="79" t="str">
        <f t="shared" si="65"/>
        <v>Fev1600</v>
      </c>
      <c r="AF412" s="80">
        <f>IF(N412="","",IF(N412="SIM",VLOOKUP($I412&amp;$J412&amp;N$1,Pesos!$A:$I,7,FALSE),VLOOKUP($I412&amp;$J412&amp;N$1,Pesos!$A:$I,9,FALSE)))</f>
        <v>0.8</v>
      </c>
      <c r="AG412" s="80">
        <f>IF(O412="","",IF(O412="SIM",VLOOKUP($I412&amp;$J412&amp;O$1,Pesos!$A:$I,7,FALSE),VLOOKUP($I412&amp;$J412&amp;O$1,Pesos!$A:$I,9,FALSE)))</f>
        <v>0.8</v>
      </c>
      <c r="AH412" s="80">
        <f>IF(P412="","",IF(P412="SIM",VLOOKUP($I412&amp;$J412&amp;P$1,Pesos!$A:$I,7,FALSE),VLOOKUP($I412&amp;$J412&amp;P$1,Pesos!$A:$I,9,FALSE)))</f>
        <v>1.2</v>
      </c>
      <c r="AI412" s="80">
        <f>IF(Q412="","",IF(Q412="SIM",VLOOKUP($I412&amp;$J412&amp;Q$1,Pesos!$A:$I,7,FALSE),VLOOKUP($I412&amp;$J412&amp;Q$1,Pesos!$A:$I,9,FALSE)))</f>
        <v>0.8</v>
      </c>
      <c r="AJ412" s="80">
        <f>IF(R412="","",IF(R412="SIM",VLOOKUP($I412&amp;$J412&amp;R$1,Pesos!$A:$I,7,FALSE),VLOOKUP($I412&amp;$J412&amp;R$1,Pesos!$A:$I,9,FALSE)))</f>
        <v>0.8</v>
      </c>
      <c r="AK412" s="80">
        <f>IF(S412="","",IF(S412="SIM",VLOOKUP($I412&amp;$J412&amp;S$1,Pesos!$A:$I,7,FALSE),VLOOKUP($I412&amp;$J412&amp;S$1,Pesos!$A:$I,9,FALSE)))</f>
        <v>0.8</v>
      </c>
      <c r="AL412" s="80">
        <f t="shared" si="66"/>
        <v>5.1999999999999993</v>
      </c>
      <c r="AM412" s="80">
        <f>IF(T412="","",IF(T412="SIM",VLOOKUP($I412&amp;$J412&amp;T$1,Pesos!$A:$I,7,FALSE),VLOOKUP($I412&amp;$J412&amp;T$1,Pesos!$A:$I,9,FALSE)))</f>
        <v>0.8</v>
      </c>
      <c r="AN412" s="80">
        <f>IF(U412="","",IF(U412="SIM",VLOOKUP($I412&amp;$J412&amp;U$1,Pesos!$A:$I,7,FALSE),VLOOKUP($I412&amp;$J412&amp;U$1,Pesos!$A:$I,9,FALSE)))</f>
        <v>0.8</v>
      </c>
      <c r="AO412" s="80">
        <f>IF(V412="","",IF(V412="SIM",VLOOKUP($I412&amp;$J412&amp;V$1,Pesos!$A:$I,7,FALSE),VLOOKUP($I412&amp;$J412&amp;V$1,Pesos!$A:$I,9,FALSE)))</f>
        <v>0.8</v>
      </c>
      <c r="AP412" s="80">
        <f>IF(W412="","",IF(W412="SIM",VLOOKUP($I412&amp;$J412&amp;W$1,Pesos!$A:$I,7,FALSE),VLOOKUP($I412&amp;$J412&amp;W$1,Pesos!$A:$I,9,FALSE)))</f>
        <v>0.8</v>
      </c>
      <c r="AQ412" s="80">
        <f>IF(X412="","",IF(X412="SIM",VLOOKUP($I412&amp;$J412&amp;X$1,Pesos!$A:$I,7,FALSE),VLOOKUP($I412&amp;$J412&amp;X$1,Pesos!$A:$I,9,FALSE)))</f>
        <v>0.8</v>
      </c>
      <c r="AR412" s="80">
        <f>IF(Y412="","",IF(Y412="SIM",VLOOKUP($I412&amp;$J412&amp;Y$1,Pesos!$A:$I,7,FALSE),VLOOKUP($I412&amp;$J412&amp;Y$1,Pesos!$A:$I,9,FALSE)))</f>
        <v>0.8</v>
      </c>
      <c r="AS412" s="81">
        <f>IFERROR(Z412*VLOOKUP(J412,'BD Campos'!$Y$1:$Z$12,2,FALSE),"0")</f>
        <v>10</v>
      </c>
    </row>
    <row r="413" spans="1:45" x14ac:dyDescent="0.35">
      <c r="A413" s="68" t="str">
        <f t="shared" si="61"/>
        <v>Fev202510362ReceptivaCADASTRO</v>
      </c>
      <c r="B413" s="69" t="str">
        <f t="shared" si="62"/>
        <v>Fev2025103625CADASTROPADRÃO</v>
      </c>
      <c r="C413" s="70">
        <v>1</v>
      </c>
      <c r="D413" s="71">
        <v>45695.665813310188</v>
      </c>
      <c r="E413" s="112" t="s">
        <v>338</v>
      </c>
      <c r="F413" s="72">
        <v>10362</v>
      </c>
      <c r="G413" s="69" t="s">
        <v>94</v>
      </c>
      <c r="H413" s="73">
        <v>5</v>
      </c>
      <c r="I413" s="69" t="s">
        <v>76</v>
      </c>
      <c r="J413" s="69" t="s">
        <v>98</v>
      </c>
      <c r="K413" s="69" t="s">
        <v>78</v>
      </c>
      <c r="L413" s="74"/>
      <c r="M413" s="75">
        <v>3.8194444444444443E-3</v>
      </c>
      <c r="N413" s="76" t="s">
        <v>79</v>
      </c>
      <c r="O413" s="76" t="s">
        <v>79</v>
      </c>
      <c r="P413" s="76" t="s">
        <v>79</v>
      </c>
      <c r="Q413" s="76" t="s">
        <v>79</v>
      </c>
      <c r="R413" s="76" t="s">
        <v>79</v>
      </c>
      <c r="S413" s="76" t="s">
        <v>79</v>
      </c>
      <c r="T413" s="76" t="s">
        <v>79</v>
      </c>
      <c r="U413" s="76" t="s">
        <v>79</v>
      </c>
      <c r="V413" s="76" t="s">
        <v>83</v>
      </c>
      <c r="W413" s="76" t="s">
        <v>79</v>
      </c>
      <c r="X413" s="76" t="s">
        <v>79</v>
      </c>
      <c r="Y413" s="76" t="s">
        <v>79</v>
      </c>
      <c r="Z413" s="77">
        <f t="shared" si="38"/>
        <v>9.16</v>
      </c>
      <c r="AA413" s="78"/>
      <c r="AB413" s="78"/>
      <c r="AC413" s="72" t="s">
        <v>47</v>
      </c>
      <c r="AE413" s="79" t="str">
        <f t="shared" si="65"/>
        <v>Fev10362</v>
      </c>
      <c r="AF413" s="80">
        <f>IF(N413="","",IF(N413="SIM",VLOOKUP($I413&amp;$J413&amp;N$1,Pesos!$A:$I,7,FALSE),VLOOKUP($I413&amp;$J413&amp;N$1,Pesos!$A:$I,9,FALSE)))</f>
        <v>0.8</v>
      </c>
      <c r="AG413" s="80">
        <f>IF(O413="","",IF(O413="SIM",VLOOKUP($I413&amp;$J413&amp;O$1,Pesos!$A:$I,7,FALSE),VLOOKUP($I413&amp;$J413&amp;O$1,Pesos!$A:$I,9,FALSE)))</f>
        <v>0.8</v>
      </c>
      <c r="AH413" s="80">
        <f>IF(P413="","",IF(P413="SIM",VLOOKUP($I413&amp;$J413&amp;P$1,Pesos!$A:$I,7,FALSE),VLOOKUP($I413&amp;$J413&amp;P$1,Pesos!$A:$I,9,FALSE)))</f>
        <v>1.2</v>
      </c>
      <c r="AI413" s="80">
        <f>IF(Q413="","",IF(Q413="SIM",VLOOKUP($I413&amp;$J413&amp;Q$1,Pesos!$A:$I,7,FALSE),VLOOKUP($I413&amp;$J413&amp;Q$1,Pesos!$A:$I,9,FALSE)))</f>
        <v>0.8</v>
      </c>
      <c r="AJ413" s="80">
        <f>IF(R413="","",IF(R413="SIM",VLOOKUP($I413&amp;$J413&amp;R$1,Pesos!$A:$I,7,FALSE),VLOOKUP($I413&amp;$J413&amp;R$1,Pesos!$A:$I,9,FALSE)))</f>
        <v>0.8</v>
      </c>
      <c r="AK413" s="80">
        <f>IF(S413="","",IF(S413="SIM",VLOOKUP($I413&amp;$J413&amp;S$1,Pesos!$A:$I,7,FALSE),VLOOKUP($I413&amp;$J413&amp;S$1,Pesos!$A:$I,9,FALSE)))</f>
        <v>0.8</v>
      </c>
      <c r="AL413" s="80">
        <f t="shared" si="66"/>
        <v>5.1999999999999993</v>
      </c>
      <c r="AM413" s="80">
        <f>IF(T413="","",IF(T413="SIM",VLOOKUP($I413&amp;$J413&amp;T$1,Pesos!$A:$I,7,FALSE),VLOOKUP($I413&amp;$J413&amp;T$1,Pesos!$A:$I,9,FALSE)))</f>
        <v>0.8</v>
      </c>
      <c r="AN413" s="80">
        <f>IF(U413="","",IF(U413="SIM",VLOOKUP($I413&amp;$J413&amp;U$1,Pesos!$A:$I,7,FALSE),VLOOKUP($I413&amp;$J413&amp;U$1,Pesos!$A:$I,9,FALSE)))</f>
        <v>0.8</v>
      </c>
      <c r="AO413" s="80">
        <f>IF(V413="","",IF(V413="SIM",VLOOKUP($I413&amp;$J413&amp;V$1,Pesos!$A:$I,7,FALSE),VLOOKUP($I413&amp;$J413&amp;V$1,Pesos!$A:$I,9,FALSE)))</f>
        <v>-4.0000000000000008E-2</v>
      </c>
      <c r="AP413" s="80">
        <f>IF(W413="","",IF(W413="SIM",VLOOKUP($I413&amp;$J413&amp;W$1,Pesos!$A:$I,7,FALSE),VLOOKUP($I413&amp;$J413&amp;W$1,Pesos!$A:$I,9,FALSE)))</f>
        <v>0.8</v>
      </c>
      <c r="AQ413" s="80">
        <f>IF(X413="","",IF(X413="SIM",VLOOKUP($I413&amp;$J413&amp;X$1,Pesos!$A:$I,7,FALSE),VLOOKUP($I413&amp;$J413&amp;X$1,Pesos!$A:$I,9,FALSE)))</f>
        <v>0.8</v>
      </c>
      <c r="AR413" s="80">
        <f>IF(Y413="","",IF(Y413="SIM",VLOOKUP($I413&amp;$J413&amp;Y$1,Pesos!$A:$I,7,FALSE),VLOOKUP($I413&amp;$J413&amp;Y$1,Pesos!$A:$I,9,FALSE)))</f>
        <v>0.8</v>
      </c>
      <c r="AS413" s="81">
        <f>IFERROR(Z413*VLOOKUP(J413,'BD Campos'!$Y$1:$Z$12,2,FALSE),"0")</f>
        <v>9.16</v>
      </c>
    </row>
    <row r="414" spans="1:45" x14ac:dyDescent="0.35">
      <c r="A414" s="68" t="str">
        <f t="shared" si="61"/>
        <v>Fev202510362Receptiva 2CADASTRO</v>
      </c>
      <c r="B414" s="69" t="str">
        <f t="shared" si="62"/>
        <v>Fev2025103626CADASTROPADRÃO</v>
      </c>
      <c r="C414" s="70">
        <v>1</v>
      </c>
      <c r="D414" s="71">
        <v>45695.674230787037</v>
      </c>
      <c r="E414" s="112" t="s">
        <v>338</v>
      </c>
      <c r="F414" s="72">
        <v>10362</v>
      </c>
      <c r="G414" s="69" t="s">
        <v>94</v>
      </c>
      <c r="H414" s="73">
        <v>6</v>
      </c>
      <c r="I414" s="69" t="s">
        <v>76</v>
      </c>
      <c r="J414" s="69" t="s">
        <v>100</v>
      </c>
      <c r="K414" s="69" t="s">
        <v>78</v>
      </c>
      <c r="L414" s="74"/>
      <c r="M414" s="75">
        <v>3.1481481481481482E-3</v>
      </c>
      <c r="N414" s="76" t="s">
        <v>79</v>
      </c>
      <c r="O414" s="76" t="s">
        <v>79</v>
      </c>
      <c r="P414" s="76" t="s">
        <v>79</v>
      </c>
      <c r="Q414" s="76" t="s">
        <v>79</v>
      </c>
      <c r="R414" s="76" t="s">
        <v>79</v>
      </c>
      <c r="S414" s="76" t="s">
        <v>79</v>
      </c>
      <c r="T414" s="76" t="s">
        <v>79</v>
      </c>
      <c r="U414" s="76" t="s">
        <v>79</v>
      </c>
      <c r="V414" s="76" t="s">
        <v>79</v>
      </c>
      <c r="W414" s="76" t="s">
        <v>79</v>
      </c>
      <c r="X414" s="76" t="s">
        <v>79</v>
      </c>
      <c r="Y414" s="76" t="s">
        <v>79</v>
      </c>
      <c r="Z414" s="77">
        <f t="shared" si="38"/>
        <v>10</v>
      </c>
      <c r="AA414" s="78"/>
      <c r="AB414" s="78"/>
      <c r="AC414" s="72" t="s">
        <v>47</v>
      </c>
      <c r="AE414" s="79" t="str">
        <f t="shared" si="65"/>
        <v>Fev10362</v>
      </c>
      <c r="AF414" s="80">
        <f>IF(N414="","",IF(N414="SIM",VLOOKUP($I414&amp;$J414&amp;N$1,Pesos!$A:$I,7,FALSE),VLOOKUP($I414&amp;$J414&amp;N$1,Pesos!$A:$I,9,FALSE)))</f>
        <v>0.8</v>
      </c>
      <c r="AG414" s="80">
        <f>IF(O414="","",IF(O414="SIM",VLOOKUP($I414&amp;$J414&amp;O$1,Pesos!$A:$I,7,FALSE),VLOOKUP($I414&amp;$J414&amp;O$1,Pesos!$A:$I,9,FALSE)))</f>
        <v>0.8</v>
      </c>
      <c r="AH414" s="80">
        <f>IF(P414="","",IF(P414="SIM",VLOOKUP($I414&amp;$J414&amp;P$1,Pesos!$A:$I,7,FALSE),VLOOKUP($I414&amp;$J414&amp;P$1,Pesos!$A:$I,9,FALSE)))</f>
        <v>1.2</v>
      </c>
      <c r="AI414" s="80">
        <f>IF(Q414="","",IF(Q414="SIM",VLOOKUP($I414&amp;$J414&amp;Q$1,Pesos!$A:$I,7,FALSE),VLOOKUP($I414&amp;$J414&amp;Q$1,Pesos!$A:$I,9,FALSE)))</f>
        <v>0.8</v>
      </c>
      <c r="AJ414" s="80">
        <f>IF(R414="","",IF(R414="SIM",VLOOKUP($I414&amp;$J414&amp;R$1,Pesos!$A:$I,7,FALSE),VLOOKUP($I414&amp;$J414&amp;R$1,Pesos!$A:$I,9,FALSE)))</f>
        <v>0.8</v>
      </c>
      <c r="AK414" s="80">
        <f>IF(S414="","",IF(S414="SIM",VLOOKUP($I414&amp;$J414&amp;S$1,Pesos!$A:$I,7,FALSE),VLOOKUP($I414&amp;$J414&amp;S$1,Pesos!$A:$I,9,FALSE)))</f>
        <v>0.8</v>
      </c>
      <c r="AL414" s="80">
        <f t="shared" si="66"/>
        <v>5.1999999999999993</v>
      </c>
      <c r="AM414" s="80">
        <f>IF(T414="","",IF(T414="SIM",VLOOKUP($I414&amp;$J414&amp;T$1,Pesos!$A:$I,7,FALSE),VLOOKUP($I414&amp;$J414&amp;T$1,Pesos!$A:$I,9,FALSE)))</f>
        <v>0.8</v>
      </c>
      <c r="AN414" s="80">
        <f>IF(U414="","",IF(U414="SIM",VLOOKUP($I414&amp;$J414&amp;U$1,Pesos!$A:$I,7,FALSE),VLOOKUP($I414&amp;$J414&amp;U$1,Pesos!$A:$I,9,FALSE)))</f>
        <v>0.8</v>
      </c>
      <c r="AO414" s="80">
        <f>IF(V414="","",IF(V414="SIM",VLOOKUP($I414&amp;$J414&amp;V$1,Pesos!$A:$I,7,FALSE),VLOOKUP($I414&amp;$J414&amp;V$1,Pesos!$A:$I,9,FALSE)))</f>
        <v>0.8</v>
      </c>
      <c r="AP414" s="80">
        <f>IF(W414="","",IF(W414="SIM",VLOOKUP($I414&amp;$J414&amp;W$1,Pesos!$A:$I,7,FALSE),VLOOKUP($I414&amp;$J414&amp;W$1,Pesos!$A:$I,9,FALSE)))</f>
        <v>0.8</v>
      </c>
      <c r="AQ414" s="80">
        <f>IF(X414="","",IF(X414="SIM",VLOOKUP($I414&amp;$J414&amp;X$1,Pesos!$A:$I,7,FALSE),VLOOKUP($I414&amp;$J414&amp;X$1,Pesos!$A:$I,9,FALSE)))</f>
        <v>0.8</v>
      </c>
      <c r="AR414" s="80">
        <f>IF(Y414="","",IF(Y414="SIM",VLOOKUP($I414&amp;$J414&amp;Y$1,Pesos!$A:$I,7,FALSE),VLOOKUP($I414&amp;$J414&amp;Y$1,Pesos!$A:$I,9,FALSE)))</f>
        <v>0.8</v>
      </c>
      <c r="AS414" s="81">
        <f>IFERROR(Z414*VLOOKUP(J414,'BD Campos'!$Y$1:$Z$12,2,FALSE),"0")</f>
        <v>10</v>
      </c>
    </row>
    <row r="415" spans="1:45" x14ac:dyDescent="0.35">
      <c r="A415" s="68" t="str">
        <f t="shared" si="61"/>
        <v>Fev202510876ReceptivaCADASTRO</v>
      </c>
      <c r="B415" s="69" t="str">
        <f t="shared" si="62"/>
        <v>Fev2025108765CADASTROPADRÃO</v>
      </c>
      <c r="C415" s="70">
        <v>1</v>
      </c>
      <c r="D415" s="71">
        <v>45695.679602199074</v>
      </c>
      <c r="E415" s="112" t="s">
        <v>338</v>
      </c>
      <c r="F415" s="72">
        <v>10876</v>
      </c>
      <c r="G415" s="69" t="s">
        <v>431</v>
      </c>
      <c r="H415" s="73">
        <v>5</v>
      </c>
      <c r="I415" s="69" t="s">
        <v>76</v>
      </c>
      <c r="J415" s="69" t="s">
        <v>98</v>
      </c>
      <c r="K415" s="69" t="s">
        <v>78</v>
      </c>
      <c r="L415" s="74"/>
      <c r="M415" s="75">
        <v>2.7777777777777779E-3</v>
      </c>
      <c r="N415" s="76" t="s">
        <v>79</v>
      </c>
      <c r="O415" s="76" t="s">
        <v>79</v>
      </c>
      <c r="P415" s="76" t="s">
        <v>79</v>
      </c>
      <c r="Q415" s="76" t="s">
        <v>79</v>
      </c>
      <c r="R415" s="76" t="s">
        <v>79</v>
      </c>
      <c r="S415" s="76" t="s">
        <v>79</v>
      </c>
      <c r="T415" s="76" t="s">
        <v>79</v>
      </c>
      <c r="U415" s="76" t="s">
        <v>79</v>
      </c>
      <c r="V415" s="76" t="s">
        <v>79</v>
      </c>
      <c r="W415" s="76" t="s">
        <v>79</v>
      </c>
      <c r="X415" s="76" t="s">
        <v>79</v>
      </c>
      <c r="Y415" s="76" t="s">
        <v>79</v>
      </c>
      <c r="Z415" s="77">
        <f t="shared" si="38"/>
        <v>10</v>
      </c>
      <c r="AA415" s="78"/>
      <c r="AB415" s="78"/>
      <c r="AC415" s="72" t="s">
        <v>47</v>
      </c>
      <c r="AE415" s="79" t="str">
        <f t="shared" si="65"/>
        <v>Fev10876</v>
      </c>
      <c r="AF415" s="80">
        <f>IF(N415="","",IF(N415="SIM",VLOOKUP($I415&amp;$J415&amp;N$1,Pesos!$A:$I,7,FALSE),VLOOKUP($I415&amp;$J415&amp;N$1,Pesos!$A:$I,9,FALSE)))</f>
        <v>0.8</v>
      </c>
      <c r="AG415" s="80">
        <f>IF(O415="","",IF(O415="SIM",VLOOKUP($I415&amp;$J415&amp;O$1,Pesos!$A:$I,7,FALSE),VLOOKUP($I415&amp;$J415&amp;O$1,Pesos!$A:$I,9,FALSE)))</f>
        <v>0.8</v>
      </c>
      <c r="AH415" s="80">
        <f>IF(P415="","",IF(P415="SIM",VLOOKUP($I415&amp;$J415&amp;P$1,Pesos!$A:$I,7,FALSE),VLOOKUP($I415&amp;$J415&amp;P$1,Pesos!$A:$I,9,FALSE)))</f>
        <v>1.2</v>
      </c>
      <c r="AI415" s="80">
        <f>IF(Q415="","",IF(Q415="SIM",VLOOKUP($I415&amp;$J415&amp;Q$1,Pesos!$A:$I,7,FALSE),VLOOKUP($I415&amp;$J415&amp;Q$1,Pesos!$A:$I,9,FALSE)))</f>
        <v>0.8</v>
      </c>
      <c r="AJ415" s="80">
        <f>IF(R415="","",IF(R415="SIM",VLOOKUP($I415&amp;$J415&amp;R$1,Pesos!$A:$I,7,FALSE),VLOOKUP($I415&amp;$J415&amp;R$1,Pesos!$A:$I,9,FALSE)))</f>
        <v>0.8</v>
      </c>
      <c r="AK415" s="80">
        <f>IF(S415="","",IF(S415="SIM",VLOOKUP($I415&amp;$J415&amp;S$1,Pesos!$A:$I,7,FALSE),VLOOKUP($I415&amp;$J415&amp;S$1,Pesos!$A:$I,9,FALSE)))</f>
        <v>0.8</v>
      </c>
      <c r="AL415" s="80">
        <f t="shared" si="66"/>
        <v>5.1999999999999993</v>
      </c>
      <c r="AM415" s="80">
        <f>IF(T415="","",IF(T415="SIM",VLOOKUP($I415&amp;$J415&amp;T$1,Pesos!$A:$I,7,FALSE),VLOOKUP($I415&amp;$J415&amp;T$1,Pesos!$A:$I,9,FALSE)))</f>
        <v>0.8</v>
      </c>
      <c r="AN415" s="80">
        <f>IF(U415="","",IF(U415="SIM",VLOOKUP($I415&amp;$J415&amp;U$1,Pesos!$A:$I,7,FALSE),VLOOKUP($I415&amp;$J415&amp;U$1,Pesos!$A:$I,9,FALSE)))</f>
        <v>0.8</v>
      </c>
      <c r="AO415" s="80">
        <f>IF(V415="","",IF(V415="SIM",VLOOKUP($I415&amp;$J415&amp;V$1,Pesos!$A:$I,7,FALSE),VLOOKUP($I415&amp;$J415&amp;V$1,Pesos!$A:$I,9,FALSE)))</f>
        <v>0.8</v>
      </c>
      <c r="AP415" s="80">
        <f>IF(W415="","",IF(W415="SIM",VLOOKUP($I415&amp;$J415&amp;W$1,Pesos!$A:$I,7,FALSE),VLOOKUP($I415&amp;$J415&amp;W$1,Pesos!$A:$I,9,FALSE)))</f>
        <v>0.8</v>
      </c>
      <c r="AQ415" s="80">
        <f>IF(X415="","",IF(X415="SIM",VLOOKUP($I415&amp;$J415&amp;X$1,Pesos!$A:$I,7,FALSE),VLOOKUP($I415&amp;$J415&amp;X$1,Pesos!$A:$I,9,FALSE)))</f>
        <v>0.8</v>
      </c>
      <c r="AR415" s="80">
        <f>IF(Y415="","",IF(Y415="SIM",VLOOKUP($I415&amp;$J415&amp;Y$1,Pesos!$A:$I,7,FALSE),VLOOKUP($I415&amp;$J415&amp;Y$1,Pesos!$A:$I,9,FALSE)))</f>
        <v>0.8</v>
      </c>
      <c r="AS415" s="81">
        <f>IFERROR(Z415*VLOOKUP(J415,'BD Campos'!$Y$1:$Z$12,2,FALSE),"0")</f>
        <v>10</v>
      </c>
    </row>
    <row r="416" spans="1:45" x14ac:dyDescent="0.35">
      <c r="A416" s="68" t="str">
        <f t="shared" si="61"/>
        <v>Fev202511214ReceptivaCADASTRO</v>
      </c>
      <c r="B416" s="69" t="str">
        <f t="shared" si="62"/>
        <v>Fev2025112145CADASTROPADRÃO</v>
      </c>
      <c r="C416" s="70">
        <v>1</v>
      </c>
      <c r="D416" s="71">
        <v>45695.704317939817</v>
      </c>
      <c r="E416" s="112" t="s">
        <v>338</v>
      </c>
      <c r="F416" s="72">
        <v>11214</v>
      </c>
      <c r="G416" s="69" t="s">
        <v>1389</v>
      </c>
      <c r="H416" s="73">
        <v>5</v>
      </c>
      <c r="I416" s="69" t="s">
        <v>76</v>
      </c>
      <c r="J416" s="69" t="s">
        <v>98</v>
      </c>
      <c r="K416" s="69" t="s">
        <v>78</v>
      </c>
      <c r="L416" s="74"/>
      <c r="M416" s="75">
        <v>3.5648148148148154E-3</v>
      </c>
      <c r="N416" s="76" t="s">
        <v>79</v>
      </c>
      <c r="O416" s="76" t="s">
        <v>79</v>
      </c>
      <c r="P416" s="76" t="s">
        <v>79</v>
      </c>
      <c r="Q416" s="76" t="s">
        <v>79</v>
      </c>
      <c r="R416" s="76" t="s">
        <v>79</v>
      </c>
      <c r="S416" s="76" t="s">
        <v>79</v>
      </c>
      <c r="T416" s="76" t="s">
        <v>83</v>
      </c>
      <c r="U416" s="76" t="s">
        <v>79</v>
      </c>
      <c r="V416" s="76" t="s">
        <v>79</v>
      </c>
      <c r="W416" s="76" t="s">
        <v>79</v>
      </c>
      <c r="X416" s="76" t="s">
        <v>79</v>
      </c>
      <c r="Y416" s="76" t="s">
        <v>79</v>
      </c>
      <c r="Z416" s="77">
        <f t="shared" si="38"/>
        <v>9.16</v>
      </c>
      <c r="AA416" s="78"/>
      <c r="AB416" s="78"/>
      <c r="AC416" s="72" t="s">
        <v>47</v>
      </c>
      <c r="AE416" s="79" t="str">
        <f t="shared" si="65"/>
        <v>Fev11214</v>
      </c>
      <c r="AF416" s="80">
        <f>IF(N416="","",IF(N416="SIM",VLOOKUP($I416&amp;$J416&amp;N$1,Pesos!$A:$I,7,FALSE),VLOOKUP($I416&amp;$J416&amp;N$1,Pesos!$A:$I,9,FALSE)))</f>
        <v>0.8</v>
      </c>
      <c r="AG416" s="80">
        <f>IF(O416="","",IF(O416="SIM",VLOOKUP($I416&amp;$J416&amp;O$1,Pesos!$A:$I,7,FALSE),VLOOKUP($I416&amp;$J416&amp;O$1,Pesos!$A:$I,9,FALSE)))</f>
        <v>0.8</v>
      </c>
      <c r="AH416" s="80">
        <f>IF(P416="","",IF(P416="SIM",VLOOKUP($I416&amp;$J416&amp;P$1,Pesos!$A:$I,7,FALSE),VLOOKUP($I416&amp;$J416&amp;P$1,Pesos!$A:$I,9,FALSE)))</f>
        <v>1.2</v>
      </c>
      <c r="AI416" s="80">
        <f>IF(Q416="","",IF(Q416="SIM",VLOOKUP($I416&amp;$J416&amp;Q$1,Pesos!$A:$I,7,FALSE),VLOOKUP($I416&amp;$J416&amp;Q$1,Pesos!$A:$I,9,FALSE)))</f>
        <v>0.8</v>
      </c>
      <c r="AJ416" s="80">
        <f>IF(R416="","",IF(R416="SIM",VLOOKUP($I416&amp;$J416&amp;R$1,Pesos!$A:$I,7,FALSE),VLOOKUP($I416&amp;$J416&amp;R$1,Pesos!$A:$I,9,FALSE)))</f>
        <v>0.8</v>
      </c>
      <c r="AK416" s="80">
        <f>IF(S416="","",IF(S416="SIM",VLOOKUP($I416&amp;$J416&amp;S$1,Pesos!$A:$I,7,FALSE),VLOOKUP($I416&amp;$J416&amp;S$1,Pesos!$A:$I,9,FALSE)))</f>
        <v>0.8</v>
      </c>
      <c r="AL416" s="80">
        <f t="shared" si="66"/>
        <v>5.1999999999999993</v>
      </c>
      <c r="AM416" s="80">
        <f>IF(T416="","",IF(T416="SIM",VLOOKUP($I416&amp;$J416&amp;T$1,Pesos!$A:$I,7,FALSE),VLOOKUP($I416&amp;$J416&amp;T$1,Pesos!$A:$I,9,FALSE)))</f>
        <v>-4.0000000000000008E-2</v>
      </c>
      <c r="AN416" s="80">
        <f>IF(U416="","",IF(U416="SIM",VLOOKUP($I416&amp;$J416&amp;U$1,Pesos!$A:$I,7,FALSE),VLOOKUP($I416&amp;$J416&amp;U$1,Pesos!$A:$I,9,FALSE)))</f>
        <v>0.8</v>
      </c>
      <c r="AO416" s="80">
        <f>IF(V416="","",IF(V416="SIM",VLOOKUP($I416&amp;$J416&amp;V$1,Pesos!$A:$I,7,FALSE),VLOOKUP($I416&amp;$J416&amp;V$1,Pesos!$A:$I,9,FALSE)))</f>
        <v>0.8</v>
      </c>
      <c r="AP416" s="80">
        <f>IF(W416="","",IF(W416="SIM",VLOOKUP($I416&amp;$J416&amp;W$1,Pesos!$A:$I,7,FALSE),VLOOKUP($I416&amp;$J416&amp;W$1,Pesos!$A:$I,9,FALSE)))</f>
        <v>0.8</v>
      </c>
      <c r="AQ416" s="80">
        <f>IF(X416="","",IF(X416="SIM",VLOOKUP($I416&amp;$J416&amp;X$1,Pesos!$A:$I,7,FALSE),VLOOKUP($I416&amp;$J416&amp;X$1,Pesos!$A:$I,9,FALSE)))</f>
        <v>0.8</v>
      </c>
      <c r="AR416" s="80">
        <f>IF(Y416="","",IF(Y416="SIM",VLOOKUP($I416&amp;$J416&amp;Y$1,Pesos!$A:$I,7,FALSE),VLOOKUP($I416&amp;$J416&amp;Y$1,Pesos!$A:$I,9,FALSE)))</f>
        <v>0.8</v>
      </c>
      <c r="AS416" s="81">
        <f>IFERROR(Z416*VLOOKUP(J416,'BD Campos'!$Y$1:$Z$12,2,FALSE),"0")</f>
        <v>9.16</v>
      </c>
    </row>
    <row r="417" spans="1:45" x14ac:dyDescent="0.35">
      <c r="A417" s="68" t="str">
        <f t="shared" si="61"/>
        <v>Fev202511248ReceptivaCADASTRO</v>
      </c>
      <c r="B417" s="69" t="str">
        <f t="shared" si="62"/>
        <v>Fev2025112485CADASTROPADRÃO</v>
      </c>
      <c r="C417" s="70">
        <v>1</v>
      </c>
      <c r="D417" s="71">
        <v>45695.737022453701</v>
      </c>
      <c r="E417" s="112" t="s">
        <v>338</v>
      </c>
      <c r="F417" s="72">
        <v>11248</v>
      </c>
      <c r="G417" s="69" t="s">
        <v>1613</v>
      </c>
      <c r="H417" s="73">
        <v>5</v>
      </c>
      <c r="I417" s="69" t="s">
        <v>76</v>
      </c>
      <c r="J417" s="69" t="s">
        <v>98</v>
      </c>
      <c r="K417" s="69" t="s">
        <v>78</v>
      </c>
      <c r="L417" s="74"/>
      <c r="M417" s="75">
        <v>2.9398148148148148E-3</v>
      </c>
      <c r="N417" s="76" t="s">
        <v>79</v>
      </c>
      <c r="O417" s="76" t="s">
        <v>79</v>
      </c>
      <c r="P417" s="76" t="s">
        <v>79</v>
      </c>
      <c r="Q417" s="76" t="s">
        <v>79</v>
      </c>
      <c r="R417" s="76" t="s">
        <v>79</v>
      </c>
      <c r="S417" s="76" t="s">
        <v>79</v>
      </c>
      <c r="T417" s="76" t="s">
        <v>83</v>
      </c>
      <c r="U417" s="76" t="s">
        <v>79</v>
      </c>
      <c r="V417" s="76" t="s">
        <v>79</v>
      </c>
      <c r="W417" s="76" t="s">
        <v>79</v>
      </c>
      <c r="X417" s="76" t="s">
        <v>79</v>
      </c>
      <c r="Y417" s="76" t="s">
        <v>79</v>
      </c>
      <c r="Z417" s="77">
        <f t="shared" si="38"/>
        <v>9.16</v>
      </c>
      <c r="AA417" s="78"/>
      <c r="AB417" s="78"/>
      <c r="AC417" s="72" t="s">
        <v>47</v>
      </c>
      <c r="AE417" s="79" t="str">
        <f t="shared" ref="AE417:AE448" si="67">E417&amp;F417</f>
        <v>Fev11248</v>
      </c>
      <c r="AF417" s="80">
        <f>IF(N417="","",IF(N417="SIM",VLOOKUP($I417&amp;$J417&amp;N$1,Pesos!$A:$I,7,FALSE),VLOOKUP($I417&amp;$J417&amp;N$1,Pesos!$A:$I,9,FALSE)))</f>
        <v>0.8</v>
      </c>
      <c r="AG417" s="80">
        <f>IF(O417="","",IF(O417="SIM",VLOOKUP($I417&amp;$J417&amp;O$1,Pesos!$A:$I,7,FALSE),VLOOKUP($I417&amp;$J417&amp;O$1,Pesos!$A:$I,9,FALSE)))</f>
        <v>0.8</v>
      </c>
      <c r="AH417" s="80">
        <f>IF(P417="","",IF(P417="SIM",VLOOKUP($I417&amp;$J417&amp;P$1,Pesos!$A:$I,7,FALSE),VLOOKUP($I417&amp;$J417&amp;P$1,Pesos!$A:$I,9,FALSE)))</f>
        <v>1.2</v>
      </c>
      <c r="AI417" s="80">
        <f>IF(Q417="","",IF(Q417="SIM",VLOOKUP($I417&amp;$J417&amp;Q$1,Pesos!$A:$I,7,FALSE),VLOOKUP($I417&amp;$J417&amp;Q$1,Pesos!$A:$I,9,FALSE)))</f>
        <v>0.8</v>
      </c>
      <c r="AJ417" s="80">
        <f>IF(R417="","",IF(R417="SIM",VLOOKUP($I417&amp;$J417&amp;R$1,Pesos!$A:$I,7,FALSE),VLOOKUP($I417&amp;$J417&amp;R$1,Pesos!$A:$I,9,FALSE)))</f>
        <v>0.8</v>
      </c>
      <c r="AK417" s="80">
        <f>IF(S417="","",IF(S417="SIM",VLOOKUP($I417&amp;$J417&amp;S$1,Pesos!$A:$I,7,FALSE),VLOOKUP($I417&amp;$J417&amp;S$1,Pesos!$A:$I,9,FALSE)))</f>
        <v>0.8</v>
      </c>
      <c r="AL417" s="80">
        <f t="shared" si="66"/>
        <v>5.1999999999999993</v>
      </c>
      <c r="AM417" s="80">
        <f>IF(T417="","",IF(T417="SIM",VLOOKUP($I417&amp;$J417&amp;T$1,Pesos!$A:$I,7,FALSE),VLOOKUP($I417&amp;$J417&amp;T$1,Pesos!$A:$I,9,FALSE)))</f>
        <v>-4.0000000000000008E-2</v>
      </c>
      <c r="AN417" s="80">
        <f>IF(U417="","",IF(U417="SIM",VLOOKUP($I417&amp;$J417&amp;U$1,Pesos!$A:$I,7,FALSE),VLOOKUP($I417&amp;$J417&amp;U$1,Pesos!$A:$I,9,FALSE)))</f>
        <v>0.8</v>
      </c>
      <c r="AO417" s="80">
        <f>IF(V417="","",IF(V417="SIM",VLOOKUP($I417&amp;$J417&amp;V$1,Pesos!$A:$I,7,FALSE),VLOOKUP($I417&amp;$J417&amp;V$1,Pesos!$A:$I,9,FALSE)))</f>
        <v>0.8</v>
      </c>
      <c r="AP417" s="80">
        <f>IF(W417="","",IF(W417="SIM",VLOOKUP($I417&amp;$J417&amp;W$1,Pesos!$A:$I,7,FALSE),VLOOKUP($I417&amp;$J417&amp;W$1,Pesos!$A:$I,9,FALSE)))</f>
        <v>0.8</v>
      </c>
      <c r="AQ417" s="80">
        <f>IF(X417="","",IF(X417="SIM",VLOOKUP($I417&amp;$J417&amp;X$1,Pesos!$A:$I,7,FALSE),VLOOKUP($I417&amp;$J417&amp;X$1,Pesos!$A:$I,9,FALSE)))</f>
        <v>0.8</v>
      </c>
      <c r="AR417" s="80">
        <f>IF(Y417="","",IF(Y417="SIM",VLOOKUP($I417&amp;$J417&amp;Y$1,Pesos!$A:$I,7,FALSE),VLOOKUP($I417&amp;$J417&amp;Y$1,Pesos!$A:$I,9,FALSE)))</f>
        <v>0.8</v>
      </c>
      <c r="AS417" s="81">
        <f>IFERROR(Z417*VLOOKUP(J417,'BD Campos'!$Y$1:$Z$12,2,FALSE),"0")</f>
        <v>9.16</v>
      </c>
    </row>
    <row r="418" spans="1:45" x14ac:dyDescent="0.35">
      <c r="A418" s="68" t="str">
        <f t="shared" si="61"/>
        <v>Fev202511248Receptiva 2CADASTRO</v>
      </c>
      <c r="B418" s="69" t="str">
        <f t="shared" si="62"/>
        <v>Fev2025112486CADASTROPADRÃO</v>
      </c>
      <c r="C418" s="70">
        <v>1</v>
      </c>
      <c r="D418" s="71">
        <v>45695.744537962964</v>
      </c>
      <c r="E418" s="112" t="s">
        <v>338</v>
      </c>
      <c r="F418" s="72">
        <v>11248</v>
      </c>
      <c r="G418" s="69" t="s">
        <v>1613</v>
      </c>
      <c r="H418" s="73">
        <v>6</v>
      </c>
      <c r="I418" s="69" t="s">
        <v>76</v>
      </c>
      <c r="J418" s="69" t="s">
        <v>100</v>
      </c>
      <c r="K418" s="69" t="s">
        <v>78</v>
      </c>
      <c r="L418" s="74"/>
      <c r="M418" s="75">
        <v>3.0555555555555557E-3</v>
      </c>
      <c r="N418" s="76" t="s">
        <v>79</v>
      </c>
      <c r="O418" s="76" t="s">
        <v>79</v>
      </c>
      <c r="P418" s="76" t="s">
        <v>79</v>
      </c>
      <c r="Q418" s="76" t="s">
        <v>79</v>
      </c>
      <c r="R418" s="76" t="s">
        <v>79</v>
      </c>
      <c r="S418" s="76" t="s">
        <v>79</v>
      </c>
      <c r="T418" s="76" t="s">
        <v>79</v>
      </c>
      <c r="U418" s="76" t="s">
        <v>79</v>
      </c>
      <c r="V418" s="76" t="s">
        <v>79</v>
      </c>
      <c r="W418" s="76" t="s">
        <v>79</v>
      </c>
      <c r="X418" s="76" t="s">
        <v>79</v>
      </c>
      <c r="Y418" s="76" t="s">
        <v>79</v>
      </c>
      <c r="Z418" s="77">
        <f t="shared" si="38"/>
        <v>10</v>
      </c>
      <c r="AA418" s="78"/>
      <c r="AB418" s="78"/>
      <c r="AC418" s="72" t="s">
        <v>47</v>
      </c>
      <c r="AE418" s="79" t="str">
        <f t="shared" si="67"/>
        <v>Fev11248</v>
      </c>
      <c r="AF418" s="80">
        <f>IF(N418="","",IF(N418="SIM",VLOOKUP($I418&amp;$J418&amp;N$1,Pesos!$A:$I,7,FALSE),VLOOKUP($I418&amp;$J418&amp;N$1,Pesos!$A:$I,9,FALSE)))</f>
        <v>0.8</v>
      </c>
      <c r="AG418" s="80">
        <f>IF(O418="","",IF(O418="SIM",VLOOKUP($I418&amp;$J418&amp;O$1,Pesos!$A:$I,7,FALSE),VLOOKUP($I418&amp;$J418&amp;O$1,Pesos!$A:$I,9,FALSE)))</f>
        <v>0.8</v>
      </c>
      <c r="AH418" s="80">
        <f>IF(P418="","",IF(P418="SIM",VLOOKUP($I418&amp;$J418&amp;P$1,Pesos!$A:$I,7,FALSE),VLOOKUP($I418&amp;$J418&amp;P$1,Pesos!$A:$I,9,FALSE)))</f>
        <v>1.2</v>
      </c>
      <c r="AI418" s="80">
        <f>IF(Q418="","",IF(Q418="SIM",VLOOKUP($I418&amp;$J418&amp;Q$1,Pesos!$A:$I,7,FALSE),VLOOKUP($I418&amp;$J418&amp;Q$1,Pesos!$A:$I,9,FALSE)))</f>
        <v>0.8</v>
      </c>
      <c r="AJ418" s="80">
        <f>IF(R418="","",IF(R418="SIM",VLOOKUP($I418&amp;$J418&amp;R$1,Pesos!$A:$I,7,FALSE),VLOOKUP($I418&amp;$J418&amp;R$1,Pesos!$A:$I,9,FALSE)))</f>
        <v>0.8</v>
      </c>
      <c r="AK418" s="80">
        <f>IF(S418="","",IF(S418="SIM",VLOOKUP($I418&amp;$J418&amp;S$1,Pesos!$A:$I,7,FALSE),VLOOKUP($I418&amp;$J418&amp;S$1,Pesos!$A:$I,9,FALSE)))</f>
        <v>0.8</v>
      </c>
      <c r="AL418" s="80">
        <f t="shared" si="66"/>
        <v>5.1999999999999993</v>
      </c>
      <c r="AM418" s="80">
        <f>IF(T418="","",IF(T418="SIM",VLOOKUP($I418&amp;$J418&amp;T$1,Pesos!$A:$I,7,FALSE),VLOOKUP($I418&amp;$J418&amp;T$1,Pesos!$A:$I,9,FALSE)))</f>
        <v>0.8</v>
      </c>
      <c r="AN418" s="80">
        <f>IF(U418="","",IF(U418="SIM",VLOOKUP($I418&amp;$J418&amp;U$1,Pesos!$A:$I,7,FALSE),VLOOKUP($I418&amp;$J418&amp;U$1,Pesos!$A:$I,9,FALSE)))</f>
        <v>0.8</v>
      </c>
      <c r="AO418" s="80">
        <f>IF(V418="","",IF(V418="SIM",VLOOKUP($I418&amp;$J418&amp;V$1,Pesos!$A:$I,7,FALSE),VLOOKUP($I418&amp;$J418&amp;V$1,Pesos!$A:$I,9,FALSE)))</f>
        <v>0.8</v>
      </c>
      <c r="AP418" s="80">
        <f>IF(W418="","",IF(W418="SIM",VLOOKUP($I418&amp;$J418&amp;W$1,Pesos!$A:$I,7,FALSE),VLOOKUP($I418&amp;$J418&amp;W$1,Pesos!$A:$I,9,FALSE)))</f>
        <v>0.8</v>
      </c>
      <c r="AQ418" s="80">
        <f>IF(X418="","",IF(X418="SIM",VLOOKUP($I418&amp;$J418&amp;X$1,Pesos!$A:$I,7,FALSE),VLOOKUP($I418&amp;$J418&amp;X$1,Pesos!$A:$I,9,FALSE)))</f>
        <v>0.8</v>
      </c>
      <c r="AR418" s="80">
        <f>IF(Y418="","",IF(Y418="SIM",VLOOKUP($I418&amp;$J418&amp;Y$1,Pesos!$A:$I,7,FALSE),VLOOKUP($I418&amp;$J418&amp;Y$1,Pesos!$A:$I,9,FALSE)))</f>
        <v>0.8</v>
      </c>
      <c r="AS418" s="81">
        <f>IFERROR(Z418*VLOOKUP(J418,'BD Campos'!$Y$1:$Z$12,2,FALSE),"0")</f>
        <v>10</v>
      </c>
    </row>
    <row r="419" spans="1:45" x14ac:dyDescent="0.35">
      <c r="A419" s="68" t="str">
        <f t="shared" si="61"/>
        <v>Fev202511254ReceptivaCADASTRO</v>
      </c>
      <c r="B419" s="69" t="str">
        <f t="shared" si="62"/>
        <v>Fev2025112545CADASTROPADRÃO</v>
      </c>
      <c r="C419" s="70">
        <v>1</v>
      </c>
      <c r="D419" s="71">
        <v>45698.366802546298</v>
      </c>
      <c r="E419" s="112" t="s">
        <v>338</v>
      </c>
      <c r="F419" s="72">
        <v>11254</v>
      </c>
      <c r="G419" s="69" t="s">
        <v>1614</v>
      </c>
      <c r="H419" s="73">
        <v>5</v>
      </c>
      <c r="I419" s="69" t="s">
        <v>76</v>
      </c>
      <c r="J419" s="69" t="s">
        <v>98</v>
      </c>
      <c r="K419" s="69" t="s">
        <v>78</v>
      </c>
      <c r="L419" s="74"/>
      <c r="M419" s="75">
        <v>4.363425925925926E-3</v>
      </c>
      <c r="N419" s="76" t="s">
        <v>79</v>
      </c>
      <c r="O419" s="76" t="s">
        <v>79</v>
      </c>
      <c r="P419" s="76" t="s">
        <v>79</v>
      </c>
      <c r="Q419" s="76" t="s">
        <v>79</v>
      </c>
      <c r="R419" s="76" t="s">
        <v>79</v>
      </c>
      <c r="S419" s="76" t="s">
        <v>79</v>
      </c>
      <c r="T419" s="76" t="s">
        <v>79</v>
      </c>
      <c r="U419" s="76" t="s">
        <v>79</v>
      </c>
      <c r="V419" s="76" t="s">
        <v>79</v>
      </c>
      <c r="W419" s="76" t="s">
        <v>79</v>
      </c>
      <c r="X419" s="76" t="s">
        <v>79</v>
      </c>
      <c r="Y419" s="76" t="s">
        <v>79</v>
      </c>
      <c r="Z419" s="77">
        <f t="shared" si="38"/>
        <v>10</v>
      </c>
      <c r="AA419" s="78"/>
      <c r="AB419" s="78"/>
      <c r="AC419" s="72" t="s">
        <v>47</v>
      </c>
      <c r="AE419" s="79" t="str">
        <f t="shared" si="67"/>
        <v>Fev11254</v>
      </c>
      <c r="AF419" s="80">
        <f>IF(N419="","",IF(N419="SIM",VLOOKUP($I419&amp;$J419&amp;N$1,Pesos!$A:$I,7,FALSE),VLOOKUP($I419&amp;$J419&amp;N$1,Pesos!$A:$I,9,FALSE)))</f>
        <v>0.8</v>
      </c>
      <c r="AG419" s="80">
        <f>IF(O419="","",IF(O419="SIM",VLOOKUP($I419&amp;$J419&amp;O$1,Pesos!$A:$I,7,FALSE),VLOOKUP($I419&amp;$J419&amp;O$1,Pesos!$A:$I,9,FALSE)))</f>
        <v>0.8</v>
      </c>
      <c r="AH419" s="80">
        <f>IF(P419="","",IF(P419="SIM",VLOOKUP($I419&amp;$J419&amp;P$1,Pesos!$A:$I,7,FALSE),VLOOKUP($I419&amp;$J419&amp;P$1,Pesos!$A:$I,9,FALSE)))</f>
        <v>1.2</v>
      </c>
      <c r="AI419" s="80">
        <f>IF(Q419="","",IF(Q419="SIM",VLOOKUP($I419&amp;$J419&amp;Q$1,Pesos!$A:$I,7,FALSE),VLOOKUP($I419&amp;$J419&amp;Q$1,Pesos!$A:$I,9,FALSE)))</f>
        <v>0.8</v>
      </c>
      <c r="AJ419" s="80">
        <f>IF(R419="","",IF(R419="SIM",VLOOKUP($I419&amp;$J419&amp;R$1,Pesos!$A:$I,7,FALSE),VLOOKUP($I419&amp;$J419&amp;R$1,Pesos!$A:$I,9,FALSE)))</f>
        <v>0.8</v>
      </c>
      <c r="AK419" s="80">
        <f>IF(S419="","",IF(S419="SIM",VLOOKUP($I419&amp;$J419&amp;S$1,Pesos!$A:$I,7,FALSE),VLOOKUP($I419&amp;$J419&amp;S$1,Pesos!$A:$I,9,FALSE)))</f>
        <v>0.8</v>
      </c>
      <c r="AL419" s="80">
        <f t="shared" si="66"/>
        <v>5.1999999999999993</v>
      </c>
      <c r="AM419" s="80">
        <f>IF(T419="","",IF(T419="SIM",VLOOKUP($I419&amp;$J419&amp;T$1,Pesos!$A:$I,7,FALSE),VLOOKUP($I419&amp;$J419&amp;T$1,Pesos!$A:$I,9,FALSE)))</f>
        <v>0.8</v>
      </c>
      <c r="AN419" s="80">
        <f>IF(U419="","",IF(U419="SIM",VLOOKUP($I419&amp;$J419&amp;U$1,Pesos!$A:$I,7,FALSE),VLOOKUP($I419&amp;$J419&amp;U$1,Pesos!$A:$I,9,FALSE)))</f>
        <v>0.8</v>
      </c>
      <c r="AO419" s="80">
        <f>IF(V419="","",IF(V419="SIM",VLOOKUP($I419&amp;$J419&amp;V$1,Pesos!$A:$I,7,FALSE),VLOOKUP($I419&amp;$J419&amp;V$1,Pesos!$A:$I,9,FALSE)))</f>
        <v>0.8</v>
      </c>
      <c r="AP419" s="80">
        <f>IF(W419="","",IF(W419="SIM",VLOOKUP($I419&amp;$J419&amp;W$1,Pesos!$A:$I,7,FALSE),VLOOKUP($I419&amp;$J419&amp;W$1,Pesos!$A:$I,9,FALSE)))</f>
        <v>0.8</v>
      </c>
      <c r="AQ419" s="80">
        <f>IF(X419="","",IF(X419="SIM",VLOOKUP($I419&amp;$J419&amp;X$1,Pesos!$A:$I,7,FALSE),VLOOKUP($I419&amp;$J419&amp;X$1,Pesos!$A:$I,9,FALSE)))</f>
        <v>0.8</v>
      </c>
      <c r="AR419" s="80">
        <f>IF(Y419="","",IF(Y419="SIM",VLOOKUP($I419&amp;$J419&amp;Y$1,Pesos!$A:$I,7,FALSE),VLOOKUP($I419&amp;$J419&amp;Y$1,Pesos!$A:$I,9,FALSE)))</f>
        <v>0.8</v>
      </c>
      <c r="AS419" s="81">
        <f>IFERROR(Z419*VLOOKUP(J419,'BD Campos'!$Y$1:$Z$12,2,FALSE),"0")</f>
        <v>10</v>
      </c>
    </row>
    <row r="420" spans="1:45" x14ac:dyDescent="0.35">
      <c r="A420" s="68" t="str">
        <f t="shared" si="61"/>
        <v>Fev202510875MotoristaDISTRIBUIÇÃO</v>
      </c>
      <c r="B420" s="69" t="str">
        <f t="shared" si="62"/>
        <v>Fev2025108751DISTRIBUIÇÃOPADRÃO</v>
      </c>
      <c r="C420" s="70">
        <v>1</v>
      </c>
      <c r="D420" s="71">
        <v>45698.374538194446</v>
      </c>
      <c r="E420" s="112" t="s">
        <v>338</v>
      </c>
      <c r="F420" s="72">
        <v>10875</v>
      </c>
      <c r="G420" s="69" t="s">
        <v>240</v>
      </c>
      <c r="H420" s="73">
        <v>1</v>
      </c>
      <c r="I420" s="69" t="s">
        <v>123</v>
      </c>
      <c r="J420" s="69" t="s">
        <v>122</v>
      </c>
      <c r="K420" s="69" t="s">
        <v>23</v>
      </c>
      <c r="L420" s="74">
        <v>31120560</v>
      </c>
      <c r="M420" s="75">
        <v>2.3148148148148151E-3</v>
      </c>
      <c r="N420" s="76" t="s">
        <v>79</v>
      </c>
      <c r="O420" s="76" t="s">
        <v>79</v>
      </c>
      <c r="P420" s="76" t="s">
        <v>79</v>
      </c>
      <c r="Q420" s="76" t="s">
        <v>79</v>
      </c>
      <c r="R420" s="76" t="s">
        <v>79</v>
      </c>
      <c r="S420" s="76" t="s">
        <v>79</v>
      </c>
      <c r="T420" s="76" t="s">
        <v>79</v>
      </c>
      <c r="U420" s="76" t="s">
        <v>79</v>
      </c>
      <c r="V420" s="76" t="s">
        <v>83</v>
      </c>
      <c r="W420" s="76" t="s">
        <v>79</v>
      </c>
      <c r="X420" s="76"/>
      <c r="Y420" s="76"/>
      <c r="Z420" s="77">
        <f t="shared" si="38"/>
        <v>8.9499999999999993</v>
      </c>
      <c r="AA420" s="78" t="s">
        <v>1467</v>
      </c>
      <c r="AB420" s="78" t="s">
        <v>1615</v>
      </c>
      <c r="AC420" s="72" t="s">
        <v>47</v>
      </c>
      <c r="AE420" s="79" t="str">
        <f t="shared" si="67"/>
        <v>Fev10875</v>
      </c>
      <c r="AF420" s="80">
        <f>IF(N420="","",IF(N420="SIM",VLOOKUP($I420&amp;$J420&amp;N$1,Pesos!$A:$I,7,FALSE),VLOOKUP($I420&amp;$J420&amp;N$1,Pesos!$A:$I,9,FALSE)))</f>
        <v>1</v>
      </c>
      <c r="AG420" s="80">
        <f>IF(O420="","",IF(O420="SIM",VLOOKUP($I420&amp;$J420&amp;O$1,Pesos!$A:$I,7,FALSE),VLOOKUP($I420&amp;$J420&amp;O$1,Pesos!$A:$I,9,FALSE)))</f>
        <v>1</v>
      </c>
      <c r="AH420" s="80">
        <f>IF(P420="","",IF(P420="SIM",VLOOKUP($I420&amp;$J420&amp;P$1,Pesos!$A:$I,7,FALSE),VLOOKUP($I420&amp;$J420&amp;P$1,Pesos!$A:$I,9,FALSE)))</f>
        <v>1</v>
      </c>
      <c r="AI420" s="80">
        <f>IF(Q420="","",IF(Q420="SIM",VLOOKUP($I420&amp;$J420&amp;Q$1,Pesos!$A:$I,7,FALSE),VLOOKUP($I420&amp;$J420&amp;Q$1,Pesos!$A:$I,9,FALSE)))</f>
        <v>1</v>
      </c>
      <c r="AJ420" s="80">
        <f>IF(R420="","",IF(R420="SIM",VLOOKUP($I420&amp;$J420&amp;R$1,Pesos!$A:$I,7,FALSE),VLOOKUP($I420&amp;$J420&amp;R$1,Pesos!$A:$I,9,FALSE)))</f>
        <v>1</v>
      </c>
      <c r="AK420" s="80">
        <f>IF(S420="","",IF(S420="SIM",VLOOKUP($I420&amp;$J420&amp;S$1,Pesos!$A:$I,7,FALSE),VLOOKUP($I420&amp;$J420&amp;S$1,Pesos!$A:$I,9,FALSE)))</f>
        <v>1</v>
      </c>
      <c r="AL420" s="80">
        <f t="shared" si="66"/>
        <v>6</v>
      </c>
      <c r="AM420" s="80">
        <f>IF(T420="","",IF(T420="SIM",VLOOKUP($I420&amp;$J420&amp;T$1,Pesos!$A:$I,7,FALSE),VLOOKUP($I420&amp;$J420&amp;T$1,Pesos!$A:$I,9,FALSE)))</f>
        <v>1</v>
      </c>
      <c r="AN420" s="80">
        <f>IF(U420="","",IF(U420="SIM",VLOOKUP($I420&amp;$J420&amp;U$1,Pesos!$A:$I,7,FALSE),VLOOKUP($I420&amp;$J420&amp;U$1,Pesos!$A:$I,9,FALSE)))</f>
        <v>1</v>
      </c>
      <c r="AO420" s="80">
        <f>IF(V420="","",IF(V420="SIM",VLOOKUP($I420&amp;$J420&amp;V$1,Pesos!$A:$I,7,FALSE),VLOOKUP($I420&amp;$J420&amp;V$1,Pesos!$A:$I,9,FALSE)))</f>
        <v>-0.05</v>
      </c>
      <c r="AP420" s="80">
        <f>IF(W420="","",IF(W420="SIM",VLOOKUP($I420&amp;$J420&amp;W$1,Pesos!$A:$I,7,FALSE),VLOOKUP($I420&amp;$J420&amp;W$1,Pesos!$A:$I,9,FALSE)))</f>
        <v>1</v>
      </c>
      <c r="AQ420" s="80" t="str">
        <f>IF(X420="","",IF(X420="SIM",VLOOKUP($I420&amp;$J420&amp;X$1,Pesos!$A:$I,7,FALSE),VLOOKUP($I420&amp;$J420&amp;X$1,Pesos!$A:$I,9,FALSE)))</f>
        <v/>
      </c>
      <c r="AR420" s="80" t="str">
        <f>IF(Y420="","",IF(Y420="SIM",VLOOKUP($I420&amp;$J420&amp;Y$1,Pesos!$A:$I,7,FALSE),VLOOKUP($I420&amp;$J420&amp;Y$1,Pesos!$A:$I,9,FALSE)))</f>
        <v/>
      </c>
      <c r="AS420" s="81">
        <f>IFERROR(Z420*VLOOKUP(J420,'BD Campos'!$Y$1:$Z$12,2,FALSE),"0")</f>
        <v>8.9499999999999993</v>
      </c>
    </row>
    <row r="421" spans="1:45" x14ac:dyDescent="0.35">
      <c r="A421" s="68" t="str">
        <f t="shared" si="61"/>
        <v>Fev202510875ReceptivaDISTRIBUIÇÃO</v>
      </c>
      <c r="B421" s="69" t="str">
        <f t="shared" si="62"/>
        <v>Fev2025108755DISTRIBUIÇÃOPADRÃO</v>
      </c>
      <c r="C421" s="70">
        <v>1</v>
      </c>
      <c r="D421" s="71">
        <v>45698.379187037041</v>
      </c>
      <c r="E421" s="112" t="s">
        <v>338</v>
      </c>
      <c r="F421" s="72">
        <v>10875</v>
      </c>
      <c r="G421" s="69" t="s">
        <v>240</v>
      </c>
      <c r="H421" s="73">
        <v>5</v>
      </c>
      <c r="I421" s="69" t="s">
        <v>6</v>
      </c>
      <c r="J421" s="69" t="s">
        <v>98</v>
      </c>
      <c r="K421" s="69" t="s">
        <v>23</v>
      </c>
      <c r="L421" s="74"/>
      <c r="M421" s="75">
        <v>1.5277777777777779E-3</v>
      </c>
      <c r="N421" s="76" t="s">
        <v>83</v>
      </c>
      <c r="O421" s="76" t="s">
        <v>79</v>
      </c>
      <c r="P421" s="76" t="s">
        <v>79</v>
      </c>
      <c r="Q421" s="76" t="s">
        <v>79</v>
      </c>
      <c r="R421" s="76" t="s">
        <v>79</v>
      </c>
      <c r="S421" s="76" t="s">
        <v>79</v>
      </c>
      <c r="T421" s="76" t="s">
        <v>83</v>
      </c>
      <c r="U421" s="76" t="s">
        <v>79</v>
      </c>
      <c r="V421" s="76" t="s">
        <v>79</v>
      </c>
      <c r="W421" s="76" t="s">
        <v>79</v>
      </c>
      <c r="X421" s="76" t="s">
        <v>79</v>
      </c>
      <c r="Y421" s="76" t="s">
        <v>79</v>
      </c>
      <c r="Z421" s="77">
        <f t="shared" si="38"/>
        <v>8.3199999999999985</v>
      </c>
      <c r="AA421" s="78" t="s">
        <v>1616</v>
      </c>
      <c r="AB421" s="78"/>
      <c r="AC421" s="72" t="s">
        <v>47</v>
      </c>
      <c r="AE421" s="79" t="str">
        <f t="shared" si="67"/>
        <v>Fev10875</v>
      </c>
      <c r="AF421" s="80">
        <f>IF(N421="","",IF(N421="SIM",VLOOKUP($I421&amp;$J421&amp;N$1,Pesos!$A:$I,7,FALSE),VLOOKUP($I421&amp;$J421&amp;N$1,Pesos!$A:$I,9,FALSE)))</f>
        <v>-4.0000000000000008E-2</v>
      </c>
      <c r="AG421" s="80">
        <f>IF(O421="","",IF(O421="SIM",VLOOKUP($I421&amp;$J421&amp;O$1,Pesos!$A:$I,7,FALSE),VLOOKUP($I421&amp;$J421&amp;O$1,Pesos!$A:$I,9,FALSE)))</f>
        <v>0.8</v>
      </c>
      <c r="AH421" s="80">
        <f>IF(P421="","",IF(P421="SIM",VLOOKUP($I421&amp;$J421&amp;P$1,Pesos!$A:$I,7,FALSE),VLOOKUP($I421&amp;$J421&amp;P$1,Pesos!$A:$I,9,FALSE)))</f>
        <v>1.2</v>
      </c>
      <c r="AI421" s="80">
        <f>IF(Q421="","",IF(Q421="SIM",VLOOKUP($I421&amp;$J421&amp;Q$1,Pesos!$A:$I,7,FALSE),VLOOKUP($I421&amp;$J421&amp;Q$1,Pesos!$A:$I,9,FALSE)))</f>
        <v>0.8</v>
      </c>
      <c r="AJ421" s="80">
        <f>IF(R421="","",IF(R421="SIM",VLOOKUP($I421&amp;$J421&amp;R$1,Pesos!$A:$I,7,FALSE),VLOOKUP($I421&amp;$J421&amp;R$1,Pesos!$A:$I,9,FALSE)))</f>
        <v>0.8</v>
      </c>
      <c r="AK421" s="80">
        <f>IF(S421="","",IF(S421="SIM",VLOOKUP($I421&amp;$J421&amp;S$1,Pesos!$A:$I,7,FALSE),VLOOKUP($I421&amp;$J421&amp;S$1,Pesos!$A:$I,9,FALSE)))</f>
        <v>0.8</v>
      </c>
      <c r="AL421" s="80">
        <f t="shared" si="66"/>
        <v>4.3599999999999994</v>
      </c>
      <c r="AM421" s="80">
        <f>IF(T421="","",IF(T421="SIM",VLOOKUP($I421&amp;$J421&amp;T$1,Pesos!$A:$I,7,FALSE),VLOOKUP($I421&amp;$J421&amp;T$1,Pesos!$A:$I,9,FALSE)))</f>
        <v>-4.0000000000000008E-2</v>
      </c>
      <c r="AN421" s="80">
        <f>IF(U421="","",IF(U421="SIM",VLOOKUP($I421&amp;$J421&amp;U$1,Pesos!$A:$I,7,FALSE),VLOOKUP($I421&amp;$J421&amp;U$1,Pesos!$A:$I,9,FALSE)))</f>
        <v>0.8</v>
      </c>
      <c r="AO421" s="80">
        <f>IF(V421="","",IF(V421="SIM",VLOOKUP($I421&amp;$J421&amp;V$1,Pesos!$A:$I,7,FALSE),VLOOKUP($I421&amp;$J421&amp;V$1,Pesos!$A:$I,9,FALSE)))</f>
        <v>0.8</v>
      </c>
      <c r="AP421" s="80">
        <f>IF(W421="","",IF(W421="SIM",VLOOKUP($I421&amp;$J421&amp;W$1,Pesos!$A:$I,7,FALSE),VLOOKUP($I421&amp;$J421&amp;W$1,Pesos!$A:$I,9,FALSE)))</f>
        <v>0.8</v>
      </c>
      <c r="AQ421" s="80">
        <f>IF(X421="","",IF(X421="SIM",VLOOKUP($I421&amp;$J421&amp;X$1,Pesos!$A:$I,7,FALSE),VLOOKUP($I421&amp;$J421&amp;X$1,Pesos!$A:$I,9,FALSE)))</f>
        <v>0.8</v>
      </c>
      <c r="AR421" s="80">
        <f>IF(Y421="","",IF(Y421="SIM",VLOOKUP($I421&amp;$J421&amp;Y$1,Pesos!$A:$I,7,FALSE),VLOOKUP($I421&amp;$J421&amp;Y$1,Pesos!$A:$I,9,FALSE)))</f>
        <v>0.8</v>
      </c>
      <c r="AS421" s="81">
        <f>IFERROR(Z421*VLOOKUP(J421,'BD Campos'!$Y$1:$Z$12,2,FALSE),"0")</f>
        <v>8.3199999999999985</v>
      </c>
    </row>
    <row r="422" spans="1:45" x14ac:dyDescent="0.35">
      <c r="A422" s="68" t="str">
        <f t="shared" si="61"/>
        <v>Fev202510625MotoristaDISTRIBUIÇÃO</v>
      </c>
      <c r="B422" s="69" t="str">
        <f t="shared" si="62"/>
        <v>Fev2025106251DISTRIBUIÇÃOPADRÃO</v>
      </c>
      <c r="C422" s="70">
        <v>1</v>
      </c>
      <c r="D422" s="71">
        <v>45698.399555671298</v>
      </c>
      <c r="E422" s="112" t="s">
        <v>338</v>
      </c>
      <c r="F422" s="72">
        <v>10625</v>
      </c>
      <c r="G422" s="69" t="s">
        <v>246</v>
      </c>
      <c r="H422" s="73">
        <v>1</v>
      </c>
      <c r="I422" s="69" t="s">
        <v>147</v>
      </c>
      <c r="J422" s="69" t="s">
        <v>122</v>
      </c>
      <c r="K422" s="69" t="s">
        <v>23</v>
      </c>
      <c r="L422" s="74">
        <v>31104340</v>
      </c>
      <c r="M422" s="75">
        <v>1.1574074074074073E-3</v>
      </c>
      <c r="N422" s="76" t="s">
        <v>83</v>
      </c>
      <c r="O422" s="76" t="s">
        <v>79</v>
      </c>
      <c r="P422" s="76" t="s">
        <v>79</v>
      </c>
      <c r="Q422" s="76" t="s">
        <v>79</v>
      </c>
      <c r="R422" s="76" t="s">
        <v>79</v>
      </c>
      <c r="S422" s="76" t="s">
        <v>79</v>
      </c>
      <c r="T422" s="76" t="s">
        <v>79</v>
      </c>
      <c r="U422" s="76" t="s">
        <v>79</v>
      </c>
      <c r="V422" s="76"/>
      <c r="W422" s="76"/>
      <c r="X422" s="76"/>
      <c r="Y422" s="76"/>
      <c r="Z422" s="77">
        <f t="shared" si="38"/>
        <v>8.8450000000000006</v>
      </c>
      <c r="AA422" s="78"/>
      <c r="AB422" s="78" t="s">
        <v>1617</v>
      </c>
      <c r="AC422" s="72" t="s">
        <v>47</v>
      </c>
      <c r="AE422" s="79" t="str">
        <f t="shared" si="67"/>
        <v>Fev10625</v>
      </c>
      <c r="AF422" s="80">
        <f>IF(N422="","",IF(N422="SIM",VLOOKUP($I422&amp;$J422&amp;N$1,Pesos!$A:$I,7,FALSE),VLOOKUP($I422&amp;$J422&amp;N$1,Pesos!$A:$I,9,FALSE)))</f>
        <v>-5.5000000000000007E-2</v>
      </c>
      <c r="AG422" s="80">
        <f>IF(O422="","",IF(O422="SIM",VLOOKUP($I422&amp;$J422&amp;O$1,Pesos!$A:$I,7,FALSE),VLOOKUP($I422&amp;$J422&amp;O$1,Pesos!$A:$I,9,FALSE)))</f>
        <v>1.1000000000000001</v>
      </c>
      <c r="AH422" s="80">
        <f>IF(P422="","",IF(P422="SIM",VLOOKUP($I422&amp;$J422&amp;P$1,Pesos!$A:$I,7,FALSE),VLOOKUP($I422&amp;$J422&amp;P$1,Pesos!$A:$I,9,FALSE)))</f>
        <v>1.1000000000000001</v>
      </c>
      <c r="AI422" s="80">
        <f>IF(Q422="","",IF(Q422="SIM",VLOOKUP($I422&amp;$J422&amp;Q$1,Pesos!$A:$I,7,FALSE),VLOOKUP($I422&amp;$J422&amp;Q$1,Pesos!$A:$I,9,FALSE)))</f>
        <v>1.1000000000000001</v>
      </c>
      <c r="AJ422" s="80">
        <f>IF(R422="","",IF(R422="SIM",VLOOKUP($I422&amp;$J422&amp;R$1,Pesos!$A:$I,7,FALSE),VLOOKUP($I422&amp;$J422&amp;R$1,Pesos!$A:$I,9,FALSE)))</f>
        <v>1.1000000000000001</v>
      </c>
      <c r="AK422" s="80">
        <f>IF(S422="","",IF(S422="SIM",VLOOKUP($I422&amp;$J422&amp;S$1,Pesos!$A:$I,7,FALSE),VLOOKUP($I422&amp;$J422&amp;S$1,Pesos!$A:$I,9,FALSE)))</f>
        <v>1.6</v>
      </c>
      <c r="AL422" s="80">
        <f t="shared" si="66"/>
        <v>5.9450000000000003</v>
      </c>
      <c r="AM422" s="80">
        <f>IF(T422="","",IF(T422="SIM",VLOOKUP($I422&amp;$J422&amp;T$1,Pesos!$A:$I,7,FALSE),VLOOKUP($I422&amp;$J422&amp;T$1,Pesos!$A:$I,9,FALSE)))</f>
        <v>1.2</v>
      </c>
      <c r="AN422" s="80">
        <f>IF(U422="","",IF(U422="SIM",VLOOKUP($I422&amp;$J422&amp;U$1,Pesos!$A:$I,7,FALSE),VLOOKUP($I422&amp;$J422&amp;U$1,Pesos!$A:$I,9,FALSE)))</f>
        <v>1.7000000000000002</v>
      </c>
      <c r="AO422" s="80" t="str">
        <f>IF(V422="","",IF(V422="SIM",VLOOKUP($I422&amp;$J422&amp;V$1,Pesos!$A:$I,7,FALSE),VLOOKUP($I422&amp;$J422&amp;V$1,Pesos!$A:$I,9,FALSE)))</f>
        <v/>
      </c>
      <c r="AP422" s="80" t="str">
        <f>IF(W422="","",IF(W422="SIM",VLOOKUP($I422&amp;$J422&amp;W$1,Pesos!$A:$I,7,FALSE),VLOOKUP($I422&amp;$J422&amp;W$1,Pesos!$A:$I,9,FALSE)))</f>
        <v/>
      </c>
      <c r="AQ422" s="80" t="str">
        <f>IF(X422="","",IF(X422="SIM",VLOOKUP($I422&amp;$J422&amp;X$1,Pesos!$A:$I,7,FALSE),VLOOKUP($I422&amp;$J422&amp;X$1,Pesos!$A:$I,9,FALSE)))</f>
        <v/>
      </c>
      <c r="AR422" s="80" t="str">
        <f>IF(Y422="","",IF(Y422="SIM",VLOOKUP($I422&amp;$J422&amp;Y$1,Pesos!$A:$I,7,FALSE),VLOOKUP($I422&amp;$J422&amp;Y$1,Pesos!$A:$I,9,FALSE)))</f>
        <v/>
      </c>
      <c r="AS422" s="81">
        <f>IFERROR(Z422*VLOOKUP(J422,'BD Campos'!$Y$1:$Z$12,2,FALSE),"0")</f>
        <v>8.8450000000000006</v>
      </c>
    </row>
    <row r="423" spans="1:45" x14ac:dyDescent="0.35">
      <c r="A423" s="68" t="str">
        <f t="shared" si="61"/>
        <v>Fev202510625ReceptivaDISTRIBUIÇÃO</v>
      </c>
      <c r="B423" s="69" t="str">
        <f t="shared" si="62"/>
        <v>Fev2025106255DISTRIBUIÇÃOPADRÃO</v>
      </c>
      <c r="C423" s="70">
        <v>1</v>
      </c>
      <c r="D423" s="71">
        <v>45698.402048263888</v>
      </c>
      <c r="E423" s="112" t="s">
        <v>338</v>
      </c>
      <c r="F423" s="72">
        <v>10625</v>
      </c>
      <c r="G423" s="69" t="s">
        <v>246</v>
      </c>
      <c r="H423" s="73">
        <v>5</v>
      </c>
      <c r="I423" s="69" t="s">
        <v>6</v>
      </c>
      <c r="J423" s="69" t="s">
        <v>98</v>
      </c>
      <c r="K423" s="69" t="s">
        <v>23</v>
      </c>
      <c r="L423" s="74"/>
      <c r="M423" s="75">
        <v>9.3750000000000007E-4</v>
      </c>
      <c r="N423" s="76" t="s">
        <v>79</v>
      </c>
      <c r="O423" s="76" t="s">
        <v>79</v>
      </c>
      <c r="P423" s="76" t="s">
        <v>79</v>
      </c>
      <c r="Q423" s="76" t="s">
        <v>79</v>
      </c>
      <c r="R423" s="76" t="s">
        <v>79</v>
      </c>
      <c r="S423" s="76" t="s">
        <v>79</v>
      </c>
      <c r="T423" s="76" t="s">
        <v>79</v>
      </c>
      <c r="U423" s="76" t="s">
        <v>79</v>
      </c>
      <c r="V423" s="76" t="s">
        <v>79</v>
      </c>
      <c r="W423" s="76" t="s">
        <v>79</v>
      </c>
      <c r="X423" s="76" t="s">
        <v>79</v>
      </c>
      <c r="Y423" s="76" t="s">
        <v>79</v>
      </c>
      <c r="Z423" s="77">
        <f t="shared" si="38"/>
        <v>10</v>
      </c>
      <c r="AA423" s="78"/>
      <c r="AB423" s="78"/>
      <c r="AC423" s="72" t="s">
        <v>47</v>
      </c>
      <c r="AE423" s="79" t="str">
        <f t="shared" si="67"/>
        <v>Fev10625</v>
      </c>
      <c r="AF423" s="80">
        <f>IF(N423="","",IF(N423="SIM",VLOOKUP($I423&amp;$J423&amp;N$1,Pesos!$A:$I,7,FALSE),VLOOKUP($I423&amp;$J423&amp;N$1,Pesos!$A:$I,9,FALSE)))</f>
        <v>0.8</v>
      </c>
      <c r="AG423" s="80">
        <f>IF(O423="","",IF(O423="SIM",VLOOKUP($I423&amp;$J423&amp;O$1,Pesos!$A:$I,7,FALSE),VLOOKUP($I423&amp;$J423&amp;O$1,Pesos!$A:$I,9,FALSE)))</f>
        <v>0.8</v>
      </c>
      <c r="AH423" s="80">
        <f>IF(P423="","",IF(P423="SIM",VLOOKUP($I423&amp;$J423&amp;P$1,Pesos!$A:$I,7,FALSE),VLOOKUP($I423&amp;$J423&amp;P$1,Pesos!$A:$I,9,FALSE)))</f>
        <v>1.2</v>
      </c>
      <c r="AI423" s="80">
        <f>IF(Q423="","",IF(Q423="SIM",VLOOKUP($I423&amp;$J423&amp;Q$1,Pesos!$A:$I,7,FALSE),VLOOKUP($I423&amp;$J423&amp;Q$1,Pesos!$A:$I,9,FALSE)))</f>
        <v>0.8</v>
      </c>
      <c r="AJ423" s="80">
        <f>IF(R423="","",IF(R423="SIM",VLOOKUP($I423&amp;$J423&amp;R$1,Pesos!$A:$I,7,FALSE),VLOOKUP($I423&amp;$J423&amp;R$1,Pesos!$A:$I,9,FALSE)))</f>
        <v>0.8</v>
      </c>
      <c r="AK423" s="80">
        <f>IF(S423="","",IF(S423="SIM",VLOOKUP($I423&amp;$J423&amp;S$1,Pesos!$A:$I,7,FALSE),VLOOKUP($I423&amp;$J423&amp;S$1,Pesos!$A:$I,9,FALSE)))</f>
        <v>0.8</v>
      </c>
      <c r="AL423" s="80">
        <f t="shared" si="66"/>
        <v>5.1999999999999993</v>
      </c>
      <c r="AM423" s="80">
        <f>IF(T423="","",IF(T423="SIM",VLOOKUP($I423&amp;$J423&amp;T$1,Pesos!$A:$I,7,FALSE),VLOOKUP($I423&amp;$J423&amp;T$1,Pesos!$A:$I,9,FALSE)))</f>
        <v>0.8</v>
      </c>
      <c r="AN423" s="80">
        <f>IF(U423="","",IF(U423="SIM",VLOOKUP($I423&amp;$J423&amp;U$1,Pesos!$A:$I,7,FALSE),VLOOKUP($I423&amp;$J423&amp;U$1,Pesos!$A:$I,9,FALSE)))</f>
        <v>0.8</v>
      </c>
      <c r="AO423" s="80">
        <f>IF(V423="","",IF(V423="SIM",VLOOKUP($I423&amp;$J423&amp;V$1,Pesos!$A:$I,7,FALSE),VLOOKUP($I423&amp;$J423&amp;V$1,Pesos!$A:$I,9,FALSE)))</f>
        <v>0.8</v>
      </c>
      <c r="AP423" s="80">
        <f>IF(W423="","",IF(W423="SIM",VLOOKUP($I423&amp;$J423&amp;W$1,Pesos!$A:$I,7,FALSE),VLOOKUP($I423&amp;$J423&amp;W$1,Pesos!$A:$I,9,FALSE)))</f>
        <v>0.8</v>
      </c>
      <c r="AQ423" s="80">
        <f>IF(X423="","",IF(X423="SIM",VLOOKUP($I423&amp;$J423&amp;X$1,Pesos!$A:$I,7,FALSE),VLOOKUP($I423&amp;$J423&amp;X$1,Pesos!$A:$I,9,FALSE)))</f>
        <v>0.8</v>
      </c>
      <c r="AR423" s="80">
        <f>IF(Y423="","",IF(Y423="SIM",VLOOKUP($I423&amp;$J423&amp;Y$1,Pesos!$A:$I,7,FALSE),VLOOKUP($I423&amp;$J423&amp;Y$1,Pesos!$A:$I,9,FALSE)))</f>
        <v>0.8</v>
      </c>
      <c r="AS423" s="81">
        <f>IFERROR(Z423*VLOOKUP(J423,'BD Campos'!$Y$1:$Z$12,2,FALSE),"0")</f>
        <v>10</v>
      </c>
    </row>
    <row r="424" spans="1:45" x14ac:dyDescent="0.35">
      <c r="A424" s="68" t="str">
        <f t="shared" si="61"/>
        <v>Fev202510914MotoristaDISTRIBUIÇÃO</v>
      </c>
      <c r="B424" s="69" t="str">
        <f t="shared" si="62"/>
        <v>Fev2025109141DISTRIBUIÇÃOPADRÃO</v>
      </c>
      <c r="C424" s="70">
        <v>1</v>
      </c>
      <c r="D424" s="71">
        <v>45698.40702337963</v>
      </c>
      <c r="E424" s="112" t="s">
        <v>338</v>
      </c>
      <c r="F424" s="72">
        <v>10914</v>
      </c>
      <c r="G424" s="69" t="s">
        <v>247</v>
      </c>
      <c r="H424" s="73">
        <v>1</v>
      </c>
      <c r="I424" s="69" t="s">
        <v>123</v>
      </c>
      <c r="J424" s="69" t="s">
        <v>122</v>
      </c>
      <c r="K424" s="69" t="s">
        <v>23</v>
      </c>
      <c r="L424" s="74">
        <v>31074351</v>
      </c>
      <c r="M424" s="75">
        <v>1.0069444444444444E-3</v>
      </c>
      <c r="N424" s="76" t="s">
        <v>79</v>
      </c>
      <c r="O424" s="76" t="s">
        <v>79</v>
      </c>
      <c r="P424" s="76" t="s">
        <v>79</v>
      </c>
      <c r="Q424" s="76" t="s">
        <v>79</v>
      </c>
      <c r="R424" s="76" t="s">
        <v>79</v>
      </c>
      <c r="S424" s="76" t="s">
        <v>79</v>
      </c>
      <c r="T424" s="76" t="s">
        <v>79</v>
      </c>
      <c r="U424" s="76" t="s">
        <v>79</v>
      </c>
      <c r="V424" s="76" t="s">
        <v>79</v>
      </c>
      <c r="W424" s="76" t="s">
        <v>79</v>
      </c>
      <c r="X424" s="76"/>
      <c r="Y424" s="76"/>
      <c r="Z424" s="77">
        <f t="shared" si="38"/>
        <v>10</v>
      </c>
      <c r="AA424" s="78"/>
      <c r="AB424" s="78" t="s">
        <v>1618</v>
      </c>
      <c r="AC424" s="72" t="s">
        <v>47</v>
      </c>
      <c r="AE424" s="79" t="str">
        <f t="shared" si="67"/>
        <v>Fev10914</v>
      </c>
      <c r="AF424" s="80">
        <f>IF(N424="","",IF(N424="SIM",VLOOKUP($I424&amp;$J424&amp;N$1,Pesos!$A:$I,7,FALSE),VLOOKUP($I424&amp;$J424&amp;N$1,Pesos!$A:$I,9,FALSE)))</f>
        <v>1</v>
      </c>
      <c r="AG424" s="80">
        <f>IF(O424="","",IF(O424="SIM",VLOOKUP($I424&amp;$J424&amp;O$1,Pesos!$A:$I,7,FALSE),VLOOKUP($I424&amp;$J424&amp;O$1,Pesos!$A:$I,9,FALSE)))</f>
        <v>1</v>
      </c>
      <c r="AH424" s="80">
        <f>IF(P424="","",IF(P424="SIM",VLOOKUP($I424&amp;$J424&amp;P$1,Pesos!$A:$I,7,FALSE),VLOOKUP($I424&amp;$J424&amp;P$1,Pesos!$A:$I,9,FALSE)))</f>
        <v>1</v>
      </c>
      <c r="AI424" s="80">
        <f>IF(Q424="","",IF(Q424="SIM",VLOOKUP($I424&amp;$J424&amp;Q$1,Pesos!$A:$I,7,FALSE),VLOOKUP($I424&amp;$J424&amp;Q$1,Pesos!$A:$I,9,FALSE)))</f>
        <v>1</v>
      </c>
      <c r="AJ424" s="80">
        <f>IF(R424="","",IF(R424="SIM",VLOOKUP($I424&amp;$J424&amp;R$1,Pesos!$A:$I,7,FALSE),VLOOKUP($I424&amp;$J424&amp;R$1,Pesos!$A:$I,9,FALSE)))</f>
        <v>1</v>
      </c>
      <c r="AK424" s="80">
        <f>IF(S424="","",IF(S424="SIM",VLOOKUP($I424&amp;$J424&amp;S$1,Pesos!$A:$I,7,FALSE),VLOOKUP($I424&amp;$J424&amp;S$1,Pesos!$A:$I,9,FALSE)))</f>
        <v>1</v>
      </c>
      <c r="AL424" s="80">
        <f t="shared" si="66"/>
        <v>6</v>
      </c>
      <c r="AM424" s="80">
        <f>IF(T424="","",IF(T424="SIM",VLOOKUP($I424&amp;$J424&amp;T$1,Pesos!$A:$I,7,FALSE),VLOOKUP($I424&amp;$J424&amp;T$1,Pesos!$A:$I,9,FALSE)))</f>
        <v>1</v>
      </c>
      <c r="AN424" s="80">
        <f>IF(U424="","",IF(U424="SIM",VLOOKUP($I424&amp;$J424&amp;U$1,Pesos!$A:$I,7,FALSE),VLOOKUP($I424&amp;$J424&amp;U$1,Pesos!$A:$I,9,FALSE)))</f>
        <v>1</v>
      </c>
      <c r="AO424" s="80">
        <f>IF(V424="","",IF(V424="SIM",VLOOKUP($I424&amp;$J424&amp;V$1,Pesos!$A:$I,7,FALSE),VLOOKUP($I424&amp;$J424&amp;V$1,Pesos!$A:$I,9,FALSE)))</f>
        <v>1</v>
      </c>
      <c r="AP424" s="80">
        <f>IF(W424="","",IF(W424="SIM",VLOOKUP($I424&amp;$J424&amp;W$1,Pesos!$A:$I,7,FALSE),VLOOKUP($I424&amp;$J424&amp;W$1,Pesos!$A:$I,9,FALSE)))</f>
        <v>1</v>
      </c>
      <c r="AQ424" s="80" t="str">
        <f>IF(X424="","",IF(X424="SIM",VLOOKUP($I424&amp;$J424&amp;X$1,Pesos!$A:$I,7,FALSE),VLOOKUP($I424&amp;$J424&amp;X$1,Pesos!$A:$I,9,FALSE)))</f>
        <v/>
      </c>
      <c r="AR424" s="80" t="str">
        <f>IF(Y424="","",IF(Y424="SIM",VLOOKUP($I424&amp;$J424&amp;Y$1,Pesos!$A:$I,7,FALSE),VLOOKUP($I424&amp;$J424&amp;Y$1,Pesos!$A:$I,9,FALSE)))</f>
        <v/>
      </c>
      <c r="AS424" s="81">
        <f>IFERROR(Z424*VLOOKUP(J424,'BD Campos'!$Y$1:$Z$12,2,FALSE),"0")</f>
        <v>10</v>
      </c>
    </row>
    <row r="425" spans="1:45" x14ac:dyDescent="0.35">
      <c r="A425" s="68" t="str">
        <f t="shared" si="61"/>
        <v>Fev202510914ReceptivaDISTRIBUIÇÃO</v>
      </c>
      <c r="B425" s="69" t="str">
        <f t="shared" si="62"/>
        <v>Fev2025109145DISTRIBUIÇÃOPADRÃO</v>
      </c>
      <c r="C425" s="70">
        <v>1</v>
      </c>
      <c r="D425" s="71">
        <v>45698.408932060185</v>
      </c>
      <c r="E425" s="112" t="s">
        <v>338</v>
      </c>
      <c r="F425" s="72">
        <v>10914</v>
      </c>
      <c r="G425" s="69" t="s">
        <v>247</v>
      </c>
      <c r="H425" s="73">
        <v>5</v>
      </c>
      <c r="I425" s="69" t="s">
        <v>6</v>
      </c>
      <c r="J425" s="69" t="s">
        <v>98</v>
      </c>
      <c r="K425" s="69" t="s">
        <v>23</v>
      </c>
      <c r="L425" s="74"/>
      <c r="M425" s="75">
        <v>1.8171296296296297E-3</v>
      </c>
      <c r="N425" s="76" t="s">
        <v>79</v>
      </c>
      <c r="O425" s="76" t="s">
        <v>83</v>
      </c>
      <c r="P425" s="76" t="s">
        <v>79</v>
      </c>
      <c r="Q425" s="76" t="s">
        <v>79</v>
      </c>
      <c r="R425" s="76" t="s">
        <v>79</v>
      </c>
      <c r="S425" s="76" t="s">
        <v>79</v>
      </c>
      <c r="T425" s="76" t="s">
        <v>79</v>
      </c>
      <c r="U425" s="76" t="s">
        <v>79</v>
      </c>
      <c r="V425" s="76" t="s">
        <v>79</v>
      </c>
      <c r="W425" s="76" t="s">
        <v>79</v>
      </c>
      <c r="X425" s="76" t="s">
        <v>79</v>
      </c>
      <c r="Y425" s="76" t="s">
        <v>79</v>
      </c>
      <c r="Z425" s="77">
        <f t="shared" si="38"/>
        <v>9.16</v>
      </c>
      <c r="AA425" s="78"/>
      <c r="AB425" s="78"/>
      <c r="AC425" s="72" t="s">
        <v>47</v>
      </c>
      <c r="AE425" s="79" t="str">
        <f t="shared" si="67"/>
        <v>Fev10914</v>
      </c>
      <c r="AF425" s="80">
        <f>IF(N425="","",IF(N425="SIM",VLOOKUP($I425&amp;$J425&amp;N$1,Pesos!$A:$I,7,FALSE),VLOOKUP($I425&amp;$J425&amp;N$1,Pesos!$A:$I,9,FALSE)))</f>
        <v>0.8</v>
      </c>
      <c r="AG425" s="80">
        <f>IF(O425="","",IF(O425="SIM",VLOOKUP($I425&amp;$J425&amp;O$1,Pesos!$A:$I,7,FALSE),VLOOKUP($I425&amp;$J425&amp;O$1,Pesos!$A:$I,9,FALSE)))</f>
        <v>-4.0000000000000008E-2</v>
      </c>
      <c r="AH425" s="80">
        <f>IF(P425="","",IF(P425="SIM",VLOOKUP($I425&amp;$J425&amp;P$1,Pesos!$A:$I,7,FALSE),VLOOKUP($I425&amp;$J425&amp;P$1,Pesos!$A:$I,9,FALSE)))</f>
        <v>1.2</v>
      </c>
      <c r="AI425" s="80">
        <f>IF(Q425="","",IF(Q425="SIM",VLOOKUP($I425&amp;$J425&amp;Q$1,Pesos!$A:$I,7,FALSE),VLOOKUP($I425&amp;$J425&amp;Q$1,Pesos!$A:$I,9,FALSE)))</f>
        <v>0.8</v>
      </c>
      <c r="AJ425" s="80">
        <f>IF(R425="","",IF(R425="SIM",VLOOKUP($I425&amp;$J425&amp;R$1,Pesos!$A:$I,7,FALSE),VLOOKUP($I425&amp;$J425&amp;R$1,Pesos!$A:$I,9,FALSE)))</f>
        <v>0.8</v>
      </c>
      <c r="AK425" s="80">
        <f>IF(S425="","",IF(S425="SIM",VLOOKUP($I425&amp;$J425&amp;S$1,Pesos!$A:$I,7,FALSE),VLOOKUP($I425&amp;$J425&amp;S$1,Pesos!$A:$I,9,FALSE)))</f>
        <v>0.8</v>
      </c>
      <c r="AL425" s="80">
        <f t="shared" si="66"/>
        <v>4.3599999999999994</v>
      </c>
      <c r="AM425" s="80">
        <f>IF(T425="","",IF(T425="SIM",VLOOKUP($I425&amp;$J425&amp;T$1,Pesos!$A:$I,7,FALSE),VLOOKUP($I425&amp;$J425&amp;T$1,Pesos!$A:$I,9,FALSE)))</f>
        <v>0.8</v>
      </c>
      <c r="AN425" s="80">
        <f>IF(U425="","",IF(U425="SIM",VLOOKUP($I425&amp;$J425&amp;U$1,Pesos!$A:$I,7,FALSE),VLOOKUP($I425&amp;$J425&amp;U$1,Pesos!$A:$I,9,FALSE)))</f>
        <v>0.8</v>
      </c>
      <c r="AO425" s="80">
        <f>IF(V425="","",IF(V425="SIM",VLOOKUP($I425&amp;$J425&amp;V$1,Pesos!$A:$I,7,FALSE),VLOOKUP($I425&amp;$J425&amp;V$1,Pesos!$A:$I,9,FALSE)))</f>
        <v>0.8</v>
      </c>
      <c r="AP425" s="80">
        <f>IF(W425="","",IF(W425="SIM",VLOOKUP($I425&amp;$J425&amp;W$1,Pesos!$A:$I,7,FALSE),VLOOKUP($I425&amp;$J425&amp;W$1,Pesos!$A:$I,9,FALSE)))</f>
        <v>0.8</v>
      </c>
      <c r="AQ425" s="80">
        <f>IF(X425="","",IF(X425="SIM",VLOOKUP($I425&amp;$J425&amp;X$1,Pesos!$A:$I,7,FALSE),VLOOKUP($I425&amp;$J425&amp;X$1,Pesos!$A:$I,9,FALSE)))</f>
        <v>0.8</v>
      </c>
      <c r="AR425" s="80">
        <f>IF(Y425="","",IF(Y425="SIM",VLOOKUP($I425&amp;$J425&amp;Y$1,Pesos!$A:$I,7,FALSE),VLOOKUP($I425&amp;$J425&amp;Y$1,Pesos!$A:$I,9,FALSE)))</f>
        <v>0.8</v>
      </c>
      <c r="AS425" s="81">
        <f>IFERROR(Z425*VLOOKUP(J425,'BD Campos'!$Y$1:$Z$12,2,FALSE),"0")</f>
        <v>9.16</v>
      </c>
    </row>
    <row r="426" spans="1:45" x14ac:dyDescent="0.35">
      <c r="A426" s="68" t="str">
        <f t="shared" si="61"/>
        <v>Fev202510923ReceptivaDISTRIBUIÇÃO</v>
      </c>
      <c r="B426" s="69" t="str">
        <f t="shared" si="62"/>
        <v>Fev2025109235DISTRIBUIÇÃOPADRÃO</v>
      </c>
      <c r="C426" s="70">
        <v>1</v>
      </c>
      <c r="D426" s="71">
        <v>45698.410815162038</v>
      </c>
      <c r="E426" s="112" t="s">
        <v>338</v>
      </c>
      <c r="F426" s="72">
        <v>10923</v>
      </c>
      <c r="G426" s="69" t="s">
        <v>250</v>
      </c>
      <c r="H426" s="73">
        <v>5</v>
      </c>
      <c r="I426" s="69" t="s">
        <v>6</v>
      </c>
      <c r="J426" s="69" t="s">
        <v>98</v>
      </c>
      <c r="K426" s="69" t="s">
        <v>23</v>
      </c>
      <c r="L426" s="74"/>
      <c r="M426" s="75">
        <v>9.8379629629629642E-4</v>
      </c>
      <c r="N426" s="76" t="s">
        <v>83</v>
      </c>
      <c r="O426" s="76" t="s">
        <v>79</v>
      </c>
      <c r="P426" s="76" t="s">
        <v>79</v>
      </c>
      <c r="Q426" s="76" t="s">
        <v>79</v>
      </c>
      <c r="R426" s="76" t="s">
        <v>79</v>
      </c>
      <c r="S426" s="76" t="s">
        <v>79</v>
      </c>
      <c r="T426" s="76" t="s">
        <v>79</v>
      </c>
      <c r="U426" s="76" t="s">
        <v>79</v>
      </c>
      <c r="V426" s="76" t="s">
        <v>79</v>
      </c>
      <c r="W426" s="76" t="s">
        <v>79</v>
      </c>
      <c r="X426" s="76" t="s">
        <v>79</v>
      </c>
      <c r="Y426" s="76" t="s">
        <v>79</v>
      </c>
      <c r="Z426" s="77">
        <f t="shared" si="38"/>
        <v>9.16</v>
      </c>
      <c r="AA426" s="78" t="s">
        <v>1616</v>
      </c>
      <c r="AB426" s="78"/>
      <c r="AC426" s="72" t="s">
        <v>47</v>
      </c>
      <c r="AE426" s="79" t="str">
        <f t="shared" si="67"/>
        <v>Fev10923</v>
      </c>
      <c r="AF426" s="80">
        <f>IF(N426="","",IF(N426="SIM",VLOOKUP($I426&amp;$J426&amp;N$1,Pesos!$A:$I,7,FALSE),VLOOKUP($I426&amp;$J426&amp;N$1,Pesos!$A:$I,9,FALSE)))</f>
        <v>-4.0000000000000008E-2</v>
      </c>
      <c r="AG426" s="80">
        <f>IF(O426="","",IF(O426="SIM",VLOOKUP($I426&amp;$J426&amp;O$1,Pesos!$A:$I,7,FALSE),VLOOKUP($I426&amp;$J426&amp;O$1,Pesos!$A:$I,9,FALSE)))</f>
        <v>0.8</v>
      </c>
      <c r="AH426" s="80">
        <f>IF(P426="","",IF(P426="SIM",VLOOKUP($I426&amp;$J426&amp;P$1,Pesos!$A:$I,7,FALSE),VLOOKUP($I426&amp;$J426&amp;P$1,Pesos!$A:$I,9,FALSE)))</f>
        <v>1.2</v>
      </c>
      <c r="AI426" s="80">
        <f>IF(Q426="","",IF(Q426="SIM",VLOOKUP($I426&amp;$J426&amp;Q$1,Pesos!$A:$I,7,FALSE),VLOOKUP($I426&amp;$J426&amp;Q$1,Pesos!$A:$I,9,FALSE)))</f>
        <v>0.8</v>
      </c>
      <c r="AJ426" s="80">
        <f>IF(R426="","",IF(R426="SIM",VLOOKUP($I426&amp;$J426&amp;R$1,Pesos!$A:$I,7,FALSE),VLOOKUP($I426&amp;$J426&amp;R$1,Pesos!$A:$I,9,FALSE)))</f>
        <v>0.8</v>
      </c>
      <c r="AK426" s="80">
        <f>IF(S426="","",IF(S426="SIM",VLOOKUP($I426&amp;$J426&amp;S$1,Pesos!$A:$I,7,FALSE),VLOOKUP($I426&amp;$J426&amp;S$1,Pesos!$A:$I,9,FALSE)))</f>
        <v>0.8</v>
      </c>
      <c r="AL426" s="80">
        <f t="shared" si="66"/>
        <v>4.3599999999999994</v>
      </c>
      <c r="AM426" s="80">
        <f>IF(T426="","",IF(T426="SIM",VLOOKUP($I426&amp;$J426&amp;T$1,Pesos!$A:$I,7,FALSE),VLOOKUP($I426&amp;$J426&amp;T$1,Pesos!$A:$I,9,FALSE)))</f>
        <v>0.8</v>
      </c>
      <c r="AN426" s="80">
        <f>IF(U426="","",IF(U426="SIM",VLOOKUP($I426&amp;$J426&amp;U$1,Pesos!$A:$I,7,FALSE),VLOOKUP($I426&amp;$J426&amp;U$1,Pesos!$A:$I,9,FALSE)))</f>
        <v>0.8</v>
      </c>
      <c r="AO426" s="80">
        <f>IF(V426="","",IF(V426="SIM",VLOOKUP($I426&amp;$J426&amp;V$1,Pesos!$A:$I,7,FALSE),VLOOKUP($I426&amp;$J426&amp;V$1,Pesos!$A:$I,9,FALSE)))</f>
        <v>0.8</v>
      </c>
      <c r="AP426" s="80">
        <f>IF(W426="","",IF(W426="SIM",VLOOKUP($I426&amp;$J426&amp;W$1,Pesos!$A:$I,7,FALSE),VLOOKUP($I426&amp;$J426&amp;W$1,Pesos!$A:$I,9,FALSE)))</f>
        <v>0.8</v>
      </c>
      <c r="AQ426" s="80">
        <f>IF(X426="","",IF(X426="SIM",VLOOKUP($I426&amp;$J426&amp;X$1,Pesos!$A:$I,7,FALSE),VLOOKUP($I426&amp;$J426&amp;X$1,Pesos!$A:$I,9,FALSE)))</f>
        <v>0.8</v>
      </c>
      <c r="AR426" s="80">
        <f>IF(Y426="","",IF(Y426="SIM",VLOOKUP($I426&amp;$J426&amp;Y$1,Pesos!$A:$I,7,FALSE),VLOOKUP($I426&amp;$J426&amp;Y$1,Pesos!$A:$I,9,FALSE)))</f>
        <v>0.8</v>
      </c>
      <c r="AS426" s="81">
        <f>IFERROR(Z426*VLOOKUP(J426,'BD Campos'!$Y$1:$Z$12,2,FALSE),"0")</f>
        <v>9.16</v>
      </c>
    </row>
    <row r="427" spans="1:45" x14ac:dyDescent="0.35">
      <c r="A427" s="68" t="str">
        <f t="shared" si="61"/>
        <v>Fev202510783ReceptivaDISTRIBUIÇÃO</v>
      </c>
      <c r="B427" s="69" t="str">
        <f t="shared" si="62"/>
        <v>Fev2025107835DISTRIBUIÇÃOPADRÃO</v>
      </c>
      <c r="C427" s="70">
        <v>1</v>
      </c>
      <c r="D427" s="71">
        <v>45698.412935300927</v>
      </c>
      <c r="E427" s="112" t="s">
        <v>338</v>
      </c>
      <c r="F427" s="72">
        <v>10783</v>
      </c>
      <c r="G427" s="69" t="s">
        <v>236</v>
      </c>
      <c r="H427" s="73">
        <v>5</v>
      </c>
      <c r="I427" s="69" t="s">
        <v>6</v>
      </c>
      <c r="J427" s="69" t="s">
        <v>98</v>
      </c>
      <c r="K427" s="69" t="s">
        <v>23</v>
      </c>
      <c r="L427" s="74"/>
      <c r="M427" s="75">
        <v>1.4120370370370369E-3</v>
      </c>
      <c r="N427" s="76" t="s">
        <v>79</v>
      </c>
      <c r="O427" s="76" t="s">
        <v>79</v>
      </c>
      <c r="P427" s="76" t="s">
        <v>79</v>
      </c>
      <c r="Q427" s="76" t="s">
        <v>79</v>
      </c>
      <c r="R427" s="76" t="s">
        <v>79</v>
      </c>
      <c r="S427" s="76" t="s">
        <v>79</v>
      </c>
      <c r="T427" s="76" t="s">
        <v>79</v>
      </c>
      <c r="U427" s="76" t="s">
        <v>79</v>
      </c>
      <c r="V427" s="76" t="s">
        <v>79</v>
      </c>
      <c r="W427" s="76" t="s">
        <v>79</v>
      </c>
      <c r="X427" s="76" t="s">
        <v>79</v>
      </c>
      <c r="Y427" s="76" t="s">
        <v>79</v>
      </c>
      <c r="Z427" s="77">
        <f t="shared" si="38"/>
        <v>10</v>
      </c>
      <c r="AA427" s="78"/>
      <c r="AB427" s="78"/>
      <c r="AC427" s="72" t="s">
        <v>47</v>
      </c>
      <c r="AE427" s="79" t="str">
        <f t="shared" si="67"/>
        <v>Fev10783</v>
      </c>
      <c r="AF427" s="80">
        <f>IF(N427="","",IF(N427="SIM",VLOOKUP($I427&amp;$J427&amp;N$1,Pesos!$A:$I,7,FALSE),VLOOKUP($I427&amp;$J427&amp;N$1,Pesos!$A:$I,9,FALSE)))</f>
        <v>0.8</v>
      </c>
      <c r="AG427" s="80">
        <f>IF(O427="","",IF(O427="SIM",VLOOKUP($I427&amp;$J427&amp;O$1,Pesos!$A:$I,7,FALSE),VLOOKUP($I427&amp;$J427&amp;O$1,Pesos!$A:$I,9,FALSE)))</f>
        <v>0.8</v>
      </c>
      <c r="AH427" s="80">
        <f>IF(P427="","",IF(P427="SIM",VLOOKUP($I427&amp;$J427&amp;P$1,Pesos!$A:$I,7,FALSE),VLOOKUP($I427&amp;$J427&amp;P$1,Pesos!$A:$I,9,FALSE)))</f>
        <v>1.2</v>
      </c>
      <c r="AI427" s="80">
        <f>IF(Q427="","",IF(Q427="SIM",VLOOKUP($I427&amp;$J427&amp;Q$1,Pesos!$A:$I,7,FALSE),VLOOKUP($I427&amp;$J427&amp;Q$1,Pesos!$A:$I,9,FALSE)))</f>
        <v>0.8</v>
      </c>
      <c r="AJ427" s="80">
        <f>IF(R427="","",IF(R427="SIM",VLOOKUP($I427&amp;$J427&amp;R$1,Pesos!$A:$I,7,FALSE),VLOOKUP($I427&amp;$J427&amp;R$1,Pesos!$A:$I,9,FALSE)))</f>
        <v>0.8</v>
      </c>
      <c r="AK427" s="80">
        <f>IF(S427="","",IF(S427="SIM",VLOOKUP($I427&amp;$J427&amp;S$1,Pesos!$A:$I,7,FALSE),VLOOKUP($I427&amp;$J427&amp;S$1,Pesos!$A:$I,9,FALSE)))</f>
        <v>0.8</v>
      </c>
      <c r="AL427" s="80">
        <f t="shared" si="66"/>
        <v>5.1999999999999993</v>
      </c>
      <c r="AM427" s="80">
        <f>IF(T427="","",IF(T427="SIM",VLOOKUP($I427&amp;$J427&amp;T$1,Pesos!$A:$I,7,FALSE),VLOOKUP($I427&amp;$J427&amp;T$1,Pesos!$A:$I,9,FALSE)))</f>
        <v>0.8</v>
      </c>
      <c r="AN427" s="80">
        <f>IF(U427="","",IF(U427="SIM",VLOOKUP($I427&amp;$J427&amp;U$1,Pesos!$A:$I,7,FALSE),VLOOKUP($I427&amp;$J427&amp;U$1,Pesos!$A:$I,9,FALSE)))</f>
        <v>0.8</v>
      </c>
      <c r="AO427" s="80">
        <f>IF(V427="","",IF(V427="SIM",VLOOKUP($I427&amp;$J427&amp;V$1,Pesos!$A:$I,7,FALSE),VLOOKUP($I427&amp;$J427&amp;V$1,Pesos!$A:$I,9,FALSE)))</f>
        <v>0.8</v>
      </c>
      <c r="AP427" s="80">
        <f>IF(W427="","",IF(W427="SIM",VLOOKUP($I427&amp;$J427&amp;W$1,Pesos!$A:$I,7,FALSE),VLOOKUP($I427&amp;$J427&amp;W$1,Pesos!$A:$I,9,FALSE)))</f>
        <v>0.8</v>
      </c>
      <c r="AQ427" s="80">
        <f>IF(X427="","",IF(X427="SIM",VLOOKUP($I427&amp;$J427&amp;X$1,Pesos!$A:$I,7,FALSE),VLOOKUP($I427&amp;$J427&amp;X$1,Pesos!$A:$I,9,FALSE)))</f>
        <v>0.8</v>
      </c>
      <c r="AR427" s="80">
        <f>IF(Y427="","",IF(Y427="SIM",VLOOKUP($I427&amp;$J427&amp;Y$1,Pesos!$A:$I,7,FALSE),VLOOKUP($I427&amp;$J427&amp;Y$1,Pesos!$A:$I,9,FALSE)))</f>
        <v>0.8</v>
      </c>
      <c r="AS427" s="81">
        <f>IFERROR(Z427*VLOOKUP(J427,'BD Campos'!$Y$1:$Z$12,2,FALSE),"0")</f>
        <v>10</v>
      </c>
    </row>
    <row r="428" spans="1:45" x14ac:dyDescent="0.35">
      <c r="A428" s="68" t="str">
        <f t="shared" si="61"/>
        <v>Fev202510932ReceptivaDISTRIBUIÇÃO</v>
      </c>
      <c r="B428" s="69" t="str">
        <f t="shared" si="62"/>
        <v>Fev2025109325DISTRIBUIÇÃOPADRÃO</v>
      </c>
      <c r="C428" s="70">
        <v>1</v>
      </c>
      <c r="D428" s="71">
        <v>45698.414968055557</v>
      </c>
      <c r="E428" s="112" t="s">
        <v>338</v>
      </c>
      <c r="F428" s="72">
        <v>10932</v>
      </c>
      <c r="G428" s="69" t="s">
        <v>245</v>
      </c>
      <c r="H428" s="73">
        <v>5</v>
      </c>
      <c r="I428" s="69" t="s">
        <v>6</v>
      </c>
      <c r="J428" s="69" t="s">
        <v>98</v>
      </c>
      <c r="K428" s="69" t="s">
        <v>23</v>
      </c>
      <c r="L428" s="74"/>
      <c r="M428" s="75">
        <v>1.2037037037037038E-3</v>
      </c>
      <c r="N428" s="76" t="s">
        <v>79</v>
      </c>
      <c r="O428" s="76" t="s">
        <v>79</v>
      </c>
      <c r="P428" s="76" t="s">
        <v>79</v>
      </c>
      <c r="Q428" s="76" t="s">
        <v>79</v>
      </c>
      <c r="R428" s="76" t="s">
        <v>79</v>
      </c>
      <c r="S428" s="76" t="s">
        <v>79</v>
      </c>
      <c r="T428" s="76" t="s">
        <v>79</v>
      </c>
      <c r="U428" s="76" t="s">
        <v>79</v>
      </c>
      <c r="V428" s="76" t="s">
        <v>79</v>
      </c>
      <c r="W428" s="76" t="s">
        <v>79</v>
      </c>
      <c r="X428" s="76" t="s">
        <v>79</v>
      </c>
      <c r="Y428" s="76" t="s">
        <v>79</v>
      </c>
      <c r="Z428" s="77">
        <f t="shared" si="38"/>
        <v>10</v>
      </c>
      <c r="AA428" s="78"/>
      <c r="AB428" s="78"/>
      <c r="AC428" s="72" t="s">
        <v>47</v>
      </c>
      <c r="AE428" s="79" t="str">
        <f t="shared" si="67"/>
        <v>Fev10932</v>
      </c>
      <c r="AF428" s="80">
        <f>IF(N428="","",IF(N428="SIM",VLOOKUP($I428&amp;$J428&amp;N$1,Pesos!$A:$I,7,FALSE),VLOOKUP($I428&amp;$J428&amp;N$1,Pesos!$A:$I,9,FALSE)))</f>
        <v>0.8</v>
      </c>
      <c r="AG428" s="80">
        <f>IF(O428="","",IF(O428="SIM",VLOOKUP($I428&amp;$J428&amp;O$1,Pesos!$A:$I,7,FALSE),VLOOKUP($I428&amp;$J428&amp;O$1,Pesos!$A:$I,9,FALSE)))</f>
        <v>0.8</v>
      </c>
      <c r="AH428" s="80">
        <f>IF(P428="","",IF(P428="SIM",VLOOKUP($I428&amp;$J428&amp;P$1,Pesos!$A:$I,7,FALSE),VLOOKUP($I428&amp;$J428&amp;P$1,Pesos!$A:$I,9,FALSE)))</f>
        <v>1.2</v>
      </c>
      <c r="AI428" s="80">
        <f>IF(Q428="","",IF(Q428="SIM",VLOOKUP($I428&amp;$J428&amp;Q$1,Pesos!$A:$I,7,FALSE),VLOOKUP($I428&amp;$J428&amp;Q$1,Pesos!$A:$I,9,FALSE)))</f>
        <v>0.8</v>
      </c>
      <c r="AJ428" s="80">
        <f>IF(R428="","",IF(R428="SIM",VLOOKUP($I428&amp;$J428&amp;R$1,Pesos!$A:$I,7,FALSE),VLOOKUP($I428&amp;$J428&amp;R$1,Pesos!$A:$I,9,FALSE)))</f>
        <v>0.8</v>
      </c>
      <c r="AK428" s="80">
        <f>IF(S428="","",IF(S428="SIM",VLOOKUP($I428&amp;$J428&amp;S$1,Pesos!$A:$I,7,FALSE),VLOOKUP($I428&amp;$J428&amp;S$1,Pesos!$A:$I,9,FALSE)))</f>
        <v>0.8</v>
      </c>
      <c r="AL428" s="80">
        <f t="shared" si="66"/>
        <v>5.1999999999999993</v>
      </c>
      <c r="AM428" s="80">
        <f>IF(T428="","",IF(T428="SIM",VLOOKUP($I428&amp;$J428&amp;T$1,Pesos!$A:$I,7,FALSE),VLOOKUP($I428&amp;$J428&amp;T$1,Pesos!$A:$I,9,FALSE)))</f>
        <v>0.8</v>
      </c>
      <c r="AN428" s="80">
        <f>IF(U428="","",IF(U428="SIM",VLOOKUP($I428&amp;$J428&amp;U$1,Pesos!$A:$I,7,FALSE),VLOOKUP($I428&amp;$J428&amp;U$1,Pesos!$A:$I,9,FALSE)))</f>
        <v>0.8</v>
      </c>
      <c r="AO428" s="80">
        <f>IF(V428="","",IF(V428="SIM",VLOOKUP($I428&amp;$J428&amp;V$1,Pesos!$A:$I,7,FALSE),VLOOKUP($I428&amp;$J428&amp;V$1,Pesos!$A:$I,9,FALSE)))</f>
        <v>0.8</v>
      </c>
      <c r="AP428" s="80">
        <f>IF(W428="","",IF(W428="SIM",VLOOKUP($I428&amp;$J428&amp;W$1,Pesos!$A:$I,7,FALSE),VLOOKUP($I428&amp;$J428&amp;W$1,Pesos!$A:$I,9,FALSE)))</f>
        <v>0.8</v>
      </c>
      <c r="AQ428" s="80">
        <f>IF(X428="","",IF(X428="SIM",VLOOKUP($I428&amp;$J428&amp;X$1,Pesos!$A:$I,7,FALSE),VLOOKUP($I428&amp;$J428&amp;X$1,Pesos!$A:$I,9,FALSE)))</f>
        <v>0.8</v>
      </c>
      <c r="AR428" s="80">
        <f>IF(Y428="","",IF(Y428="SIM",VLOOKUP($I428&amp;$J428&amp;Y$1,Pesos!$A:$I,7,FALSE),VLOOKUP($I428&amp;$J428&amp;Y$1,Pesos!$A:$I,9,FALSE)))</f>
        <v>0.8</v>
      </c>
      <c r="AS428" s="81">
        <f>IFERROR(Z428*VLOOKUP(J428,'BD Campos'!$Y$1:$Z$12,2,FALSE),"0")</f>
        <v>10</v>
      </c>
    </row>
    <row r="429" spans="1:45" x14ac:dyDescent="0.35">
      <c r="A429" s="68" t="str">
        <f t="shared" si="61"/>
        <v>Fev202510969MotoristaDISTRIBUIÇÃO</v>
      </c>
      <c r="B429" s="69" t="str">
        <f t="shared" si="62"/>
        <v>Fev2025109691DISTRIBUIÇÃOPADRÃO</v>
      </c>
      <c r="C429" s="70">
        <v>1</v>
      </c>
      <c r="D429" s="71">
        <v>45698.419708912035</v>
      </c>
      <c r="E429" s="112" t="s">
        <v>338</v>
      </c>
      <c r="F429" s="72">
        <v>10969</v>
      </c>
      <c r="G429" s="69" t="s">
        <v>252</v>
      </c>
      <c r="H429" s="73">
        <v>1</v>
      </c>
      <c r="I429" s="69" t="s">
        <v>123</v>
      </c>
      <c r="J429" s="69" t="s">
        <v>122</v>
      </c>
      <c r="K429" s="69" t="s">
        <v>23</v>
      </c>
      <c r="L429" s="74">
        <v>31130353</v>
      </c>
      <c r="M429" s="75">
        <v>1.2384259259259258E-3</v>
      </c>
      <c r="N429" s="76" t="s">
        <v>79</v>
      </c>
      <c r="O429" s="76" t="s">
        <v>79</v>
      </c>
      <c r="P429" s="76" t="s">
        <v>79</v>
      </c>
      <c r="Q429" s="76" t="s">
        <v>79</v>
      </c>
      <c r="R429" s="76" t="s">
        <v>79</v>
      </c>
      <c r="S429" s="76" t="s">
        <v>79</v>
      </c>
      <c r="T429" s="76" t="s">
        <v>79</v>
      </c>
      <c r="U429" s="76" t="s">
        <v>79</v>
      </c>
      <c r="V429" s="76" t="s">
        <v>79</v>
      </c>
      <c r="W429" s="76" t="s">
        <v>79</v>
      </c>
      <c r="X429" s="76"/>
      <c r="Y429" s="76"/>
      <c r="Z429" s="77">
        <f t="shared" si="38"/>
        <v>10</v>
      </c>
      <c r="AA429" s="78"/>
      <c r="AB429" s="78" t="s">
        <v>1619</v>
      </c>
      <c r="AC429" s="72" t="s">
        <v>47</v>
      </c>
      <c r="AE429" s="79" t="str">
        <f t="shared" si="67"/>
        <v>Fev10969</v>
      </c>
      <c r="AF429" s="80">
        <f>IF(N429="","",IF(N429="SIM",VLOOKUP($I429&amp;$J429&amp;N$1,Pesos!$A:$I,7,FALSE),VLOOKUP($I429&amp;$J429&amp;N$1,Pesos!$A:$I,9,FALSE)))</f>
        <v>1</v>
      </c>
      <c r="AG429" s="80">
        <f>IF(O429="","",IF(O429="SIM",VLOOKUP($I429&amp;$J429&amp;O$1,Pesos!$A:$I,7,FALSE),VLOOKUP($I429&amp;$J429&amp;O$1,Pesos!$A:$I,9,FALSE)))</f>
        <v>1</v>
      </c>
      <c r="AH429" s="80">
        <f>IF(P429="","",IF(P429="SIM",VLOOKUP($I429&amp;$J429&amp;P$1,Pesos!$A:$I,7,FALSE),VLOOKUP($I429&amp;$J429&amp;P$1,Pesos!$A:$I,9,FALSE)))</f>
        <v>1</v>
      </c>
      <c r="AI429" s="80">
        <f>IF(Q429="","",IF(Q429="SIM",VLOOKUP($I429&amp;$J429&amp;Q$1,Pesos!$A:$I,7,FALSE),VLOOKUP($I429&amp;$J429&amp;Q$1,Pesos!$A:$I,9,FALSE)))</f>
        <v>1</v>
      </c>
      <c r="AJ429" s="80">
        <f>IF(R429="","",IF(R429="SIM",VLOOKUP($I429&amp;$J429&amp;R$1,Pesos!$A:$I,7,FALSE),VLOOKUP($I429&amp;$J429&amp;R$1,Pesos!$A:$I,9,FALSE)))</f>
        <v>1</v>
      </c>
      <c r="AK429" s="80">
        <f>IF(S429="","",IF(S429="SIM",VLOOKUP($I429&amp;$J429&amp;S$1,Pesos!$A:$I,7,FALSE),VLOOKUP($I429&amp;$J429&amp;S$1,Pesos!$A:$I,9,FALSE)))</f>
        <v>1</v>
      </c>
      <c r="AL429" s="80">
        <f t="shared" si="66"/>
        <v>6</v>
      </c>
      <c r="AM429" s="80">
        <f>IF(T429="","",IF(T429="SIM",VLOOKUP($I429&amp;$J429&amp;T$1,Pesos!$A:$I,7,FALSE),VLOOKUP($I429&amp;$J429&amp;T$1,Pesos!$A:$I,9,FALSE)))</f>
        <v>1</v>
      </c>
      <c r="AN429" s="80">
        <f>IF(U429="","",IF(U429="SIM",VLOOKUP($I429&amp;$J429&amp;U$1,Pesos!$A:$I,7,FALSE),VLOOKUP($I429&amp;$J429&amp;U$1,Pesos!$A:$I,9,FALSE)))</f>
        <v>1</v>
      </c>
      <c r="AO429" s="80">
        <f>IF(V429="","",IF(V429="SIM",VLOOKUP($I429&amp;$J429&amp;V$1,Pesos!$A:$I,7,FALSE),VLOOKUP($I429&amp;$J429&amp;V$1,Pesos!$A:$I,9,FALSE)))</f>
        <v>1</v>
      </c>
      <c r="AP429" s="80">
        <f>IF(W429="","",IF(W429="SIM",VLOOKUP($I429&amp;$J429&amp;W$1,Pesos!$A:$I,7,FALSE),VLOOKUP($I429&amp;$J429&amp;W$1,Pesos!$A:$I,9,FALSE)))</f>
        <v>1</v>
      </c>
      <c r="AQ429" s="80" t="str">
        <f>IF(X429="","",IF(X429="SIM",VLOOKUP($I429&amp;$J429&amp;X$1,Pesos!$A:$I,7,FALSE),VLOOKUP($I429&amp;$J429&amp;X$1,Pesos!$A:$I,9,FALSE)))</f>
        <v/>
      </c>
      <c r="AR429" s="80" t="str">
        <f>IF(Y429="","",IF(Y429="SIM",VLOOKUP($I429&amp;$J429&amp;Y$1,Pesos!$A:$I,7,FALSE),VLOOKUP($I429&amp;$J429&amp;Y$1,Pesos!$A:$I,9,FALSE)))</f>
        <v/>
      </c>
      <c r="AS429" s="81">
        <f>IFERROR(Z429*VLOOKUP(J429,'BD Campos'!$Y$1:$Z$12,2,FALSE),"0")</f>
        <v>10</v>
      </c>
    </row>
    <row r="430" spans="1:45" x14ac:dyDescent="0.35">
      <c r="A430" s="68" t="str">
        <f t="shared" si="61"/>
        <v>Fev202510969ReceptivaDISTRIBUIÇÃO</v>
      </c>
      <c r="B430" s="69" t="str">
        <f t="shared" si="62"/>
        <v>Fev2025109695DISTRIBUIÇÃOPADRÃO</v>
      </c>
      <c r="C430" s="70">
        <v>1</v>
      </c>
      <c r="D430" s="71">
        <v>45698.422220370368</v>
      </c>
      <c r="E430" s="112" t="s">
        <v>338</v>
      </c>
      <c r="F430" s="72">
        <v>10969</v>
      </c>
      <c r="G430" s="69" t="s">
        <v>252</v>
      </c>
      <c r="H430" s="73">
        <v>5</v>
      </c>
      <c r="I430" s="69" t="s">
        <v>6</v>
      </c>
      <c r="J430" s="69" t="s">
        <v>98</v>
      </c>
      <c r="K430" s="69" t="s">
        <v>23</v>
      </c>
      <c r="L430" s="74"/>
      <c r="M430" s="75">
        <v>1.0648148148148147E-3</v>
      </c>
      <c r="N430" s="76" t="s">
        <v>79</v>
      </c>
      <c r="O430" s="76" t="s">
        <v>83</v>
      </c>
      <c r="P430" s="76" t="s">
        <v>79</v>
      </c>
      <c r="Q430" s="76" t="s">
        <v>79</v>
      </c>
      <c r="R430" s="76" t="s">
        <v>79</v>
      </c>
      <c r="S430" s="76" t="s">
        <v>79</v>
      </c>
      <c r="T430" s="76" t="s">
        <v>79</v>
      </c>
      <c r="U430" s="76" t="s">
        <v>79</v>
      </c>
      <c r="V430" s="76" t="s">
        <v>79</v>
      </c>
      <c r="W430" s="76" t="s">
        <v>79</v>
      </c>
      <c r="X430" s="76" t="s">
        <v>79</v>
      </c>
      <c r="Y430" s="76" t="s">
        <v>79</v>
      </c>
      <c r="Z430" s="77">
        <f t="shared" si="38"/>
        <v>9.16</v>
      </c>
      <c r="AA430" s="78"/>
      <c r="AB430" s="78"/>
      <c r="AC430" s="72" t="s">
        <v>47</v>
      </c>
      <c r="AE430" s="79" t="str">
        <f t="shared" si="67"/>
        <v>Fev10969</v>
      </c>
      <c r="AF430" s="80">
        <f>IF(N430="","",IF(N430="SIM",VLOOKUP($I430&amp;$J430&amp;N$1,Pesos!$A:$I,7,FALSE),VLOOKUP($I430&amp;$J430&amp;N$1,Pesos!$A:$I,9,FALSE)))</f>
        <v>0.8</v>
      </c>
      <c r="AG430" s="80">
        <f>IF(O430="","",IF(O430="SIM",VLOOKUP($I430&amp;$J430&amp;O$1,Pesos!$A:$I,7,FALSE),VLOOKUP($I430&amp;$J430&amp;O$1,Pesos!$A:$I,9,FALSE)))</f>
        <v>-4.0000000000000008E-2</v>
      </c>
      <c r="AH430" s="80">
        <f>IF(P430="","",IF(P430="SIM",VLOOKUP($I430&amp;$J430&amp;P$1,Pesos!$A:$I,7,FALSE),VLOOKUP($I430&amp;$J430&amp;P$1,Pesos!$A:$I,9,FALSE)))</f>
        <v>1.2</v>
      </c>
      <c r="AI430" s="80">
        <f>IF(Q430="","",IF(Q430="SIM",VLOOKUP($I430&amp;$J430&amp;Q$1,Pesos!$A:$I,7,FALSE),VLOOKUP($I430&amp;$J430&amp;Q$1,Pesos!$A:$I,9,FALSE)))</f>
        <v>0.8</v>
      </c>
      <c r="AJ430" s="80">
        <f>IF(R430="","",IF(R430="SIM",VLOOKUP($I430&amp;$J430&amp;R$1,Pesos!$A:$I,7,FALSE),VLOOKUP($I430&amp;$J430&amp;R$1,Pesos!$A:$I,9,FALSE)))</f>
        <v>0.8</v>
      </c>
      <c r="AK430" s="80">
        <f>IF(S430="","",IF(S430="SIM",VLOOKUP($I430&amp;$J430&amp;S$1,Pesos!$A:$I,7,FALSE),VLOOKUP($I430&amp;$J430&amp;S$1,Pesos!$A:$I,9,FALSE)))</f>
        <v>0.8</v>
      </c>
      <c r="AL430" s="80">
        <f t="shared" si="66"/>
        <v>4.3599999999999994</v>
      </c>
      <c r="AM430" s="80">
        <f>IF(T430="","",IF(T430="SIM",VLOOKUP($I430&amp;$J430&amp;T$1,Pesos!$A:$I,7,FALSE),VLOOKUP($I430&amp;$J430&amp;T$1,Pesos!$A:$I,9,FALSE)))</f>
        <v>0.8</v>
      </c>
      <c r="AN430" s="80">
        <f>IF(U430="","",IF(U430="SIM",VLOOKUP($I430&amp;$J430&amp;U$1,Pesos!$A:$I,7,FALSE),VLOOKUP($I430&amp;$J430&amp;U$1,Pesos!$A:$I,9,FALSE)))</f>
        <v>0.8</v>
      </c>
      <c r="AO430" s="80">
        <f>IF(V430="","",IF(V430="SIM",VLOOKUP($I430&amp;$J430&amp;V$1,Pesos!$A:$I,7,FALSE),VLOOKUP($I430&amp;$J430&amp;V$1,Pesos!$A:$I,9,FALSE)))</f>
        <v>0.8</v>
      </c>
      <c r="AP430" s="80">
        <f>IF(W430="","",IF(W430="SIM",VLOOKUP($I430&amp;$J430&amp;W$1,Pesos!$A:$I,7,FALSE),VLOOKUP($I430&amp;$J430&amp;W$1,Pesos!$A:$I,9,FALSE)))</f>
        <v>0.8</v>
      </c>
      <c r="AQ430" s="80">
        <f>IF(X430="","",IF(X430="SIM",VLOOKUP($I430&amp;$J430&amp;X$1,Pesos!$A:$I,7,FALSE),VLOOKUP($I430&amp;$J430&amp;X$1,Pesos!$A:$I,9,FALSE)))</f>
        <v>0.8</v>
      </c>
      <c r="AR430" s="80">
        <f>IF(Y430="","",IF(Y430="SIM",VLOOKUP($I430&amp;$J430&amp;Y$1,Pesos!$A:$I,7,FALSE),VLOOKUP($I430&amp;$J430&amp;Y$1,Pesos!$A:$I,9,FALSE)))</f>
        <v>0.8</v>
      </c>
      <c r="AS430" s="81">
        <f>IFERROR(Z430*VLOOKUP(J430,'BD Campos'!$Y$1:$Z$12,2,FALSE),"0")</f>
        <v>9.16</v>
      </c>
    </row>
    <row r="431" spans="1:45" x14ac:dyDescent="0.35">
      <c r="A431" s="68" t="str">
        <f t="shared" si="61"/>
        <v>Fev202511030ReceptivaDISTRIBUIÇÃO</v>
      </c>
      <c r="B431" s="69" t="str">
        <f t="shared" si="62"/>
        <v>Fev2025110305DISTRIBUIÇÃOPADRÃO</v>
      </c>
      <c r="C431" s="70">
        <v>1</v>
      </c>
      <c r="D431" s="71">
        <v>45698.42407685185</v>
      </c>
      <c r="E431" s="112" t="s">
        <v>338</v>
      </c>
      <c r="F431" s="72">
        <v>11030</v>
      </c>
      <c r="G431" s="69" t="s">
        <v>343</v>
      </c>
      <c r="H431" s="73">
        <v>5</v>
      </c>
      <c r="I431" s="69" t="s">
        <v>6</v>
      </c>
      <c r="J431" s="69" t="s">
        <v>98</v>
      </c>
      <c r="K431" s="69" t="s">
        <v>23</v>
      </c>
      <c r="L431" s="74"/>
      <c r="M431" s="75">
        <v>2.0138888888888888E-3</v>
      </c>
      <c r="N431" s="76" t="s">
        <v>79</v>
      </c>
      <c r="O431" s="76" t="s">
        <v>79</v>
      </c>
      <c r="P431" s="76" t="s">
        <v>79</v>
      </c>
      <c r="Q431" s="76" t="s">
        <v>79</v>
      </c>
      <c r="R431" s="76" t="s">
        <v>79</v>
      </c>
      <c r="S431" s="76" t="s">
        <v>79</v>
      </c>
      <c r="T431" s="76" t="s">
        <v>79</v>
      </c>
      <c r="U431" s="76" t="s">
        <v>79</v>
      </c>
      <c r="V431" s="76" t="s">
        <v>79</v>
      </c>
      <c r="W431" s="76" t="s">
        <v>79</v>
      </c>
      <c r="X431" s="76" t="s">
        <v>79</v>
      </c>
      <c r="Y431" s="76" t="s">
        <v>79</v>
      </c>
      <c r="Z431" s="77">
        <f t="shared" si="38"/>
        <v>10</v>
      </c>
      <c r="AA431" s="78"/>
      <c r="AB431" s="78"/>
      <c r="AC431" s="72" t="s">
        <v>47</v>
      </c>
      <c r="AE431" s="79" t="str">
        <f t="shared" si="67"/>
        <v>Fev11030</v>
      </c>
      <c r="AF431" s="80">
        <f>IF(N431="","",IF(N431="SIM",VLOOKUP($I431&amp;$J431&amp;N$1,Pesos!$A:$I,7,FALSE),VLOOKUP($I431&amp;$J431&amp;N$1,Pesos!$A:$I,9,FALSE)))</f>
        <v>0.8</v>
      </c>
      <c r="AG431" s="80">
        <f>IF(O431="","",IF(O431="SIM",VLOOKUP($I431&amp;$J431&amp;O$1,Pesos!$A:$I,7,FALSE),VLOOKUP($I431&amp;$J431&amp;O$1,Pesos!$A:$I,9,FALSE)))</f>
        <v>0.8</v>
      </c>
      <c r="AH431" s="80">
        <f>IF(P431="","",IF(P431="SIM",VLOOKUP($I431&amp;$J431&amp;P$1,Pesos!$A:$I,7,FALSE),VLOOKUP($I431&amp;$J431&amp;P$1,Pesos!$A:$I,9,FALSE)))</f>
        <v>1.2</v>
      </c>
      <c r="AI431" s="80">
        <f>IF(Q431="","",IF(Q431="SIM",VLOOKUP($I431&amp;$J431&amp;Q$1,Pesos!$A:$I,7,FALSE),VLOOKUP($I431&amp;$J431&amp;Q$1,Pesos!$A:$I,9,FALSE)))</f>
        <v>0.8</v>
      </c>
      <c r="AJ431" s="80">
        <f>IF(R431="","",IF(R431="SIM",VLOOKUP($I431&amp;$J431&amp;R$1,Pesos!$A:$I,7,FALSE),VLOOKUP($I431&amp;$J431&amp;R$1,Pesos!$A:$I,9,FALSE)))</f>
        <v>0.8</v>
      </c>
      <c r="AK431" s="80">
        <f>IF(S431="","",IF(S431="SIM",VLOOKUP($I431&amp;$J431&amp;S$1,Pesos!$A:$I,7,FALSE),VLOOKUP($I431&amp;$J431&amp;S$1,Pesos!$A:$I,9,FALSE)))</f>
        <v>0.8</v>
      </c>
      <c r="AL431" s="80">
        <f t="shared" si="66"/>
        <v>5.1999999999999993</v>
      </c>
      <c r="AM431" s="80">
        <f>IF(T431="","",IF(T431="SIM",VLOOKUP($I431&amp;$J431&amp;T$1,Pesos!$A:$I,7,FALSE),VLOOKUP($I431&amp;$J431&amp;T$1,Pesos!$A:$I,9,FALSE)))</f>
        <v>0.8</v>
      </c>
      <c r="AN431" s="80">
        <f>IF(U431="","",IF(U431="SIM",VLOOKUP($I431&amp;$J431&amp;U$1,Pesos!$A:$I,7,FALSE),VLOOKUP($I431&amp;$J431&amp;U$1,Pesos!$A:$I,9,FALSE)))</f>
        <v>0.8</v>
      </c>
      <c r="AO431" s="80">
        <f>IF(V431="","",IF(V431="SIM",VLOOKUP($I431&amp;$J431&amp;V$1,Pesos!$A:$I,7,FALSE),VLOOKUP($I431&amp;$J431&amp;V$1,Pesos!$A:$I,9,FALSE)))</f>
        <v>0.8</v>
      </c>
      <c r="AP431" s="80">
        <f>IF(W431="","",IF(W431="SIM",VLOOKUP($I431&amp;$J431&amp;W$1,Pesos!$A:$I,7,FALSE),VLOOKUP($I431&amp;$J431&amp;W$1,Pesos!$A:$I,9,FALSE)))</f>
        <v>0.8</v>
      </c>
      <c r="AQ431" s="80">
        <f>IF(X431="","",IF(X431="SIM",VLOOKUP($I431&amp;$J431&amp;X$1,Pesos!$A:$I,7,FALSE),VLOOKUP($I431&amp;$J431&amp;X$1,Pesos!$A:$I,9,FALSE)))</f>
        <v>0.8</v>
      </c>
      <c r="AR431" s="80">
        <f>IF(Y431="","",IF(Y431="SIM",VLOOKUP($I431&amp;$J431&amp;Y$1,Pesos!$A:$I,7,FALSE),VLOOKUP($I431&amp;$J431&amp;Y$1,Pesos!$A:$I,9,FALSE)))</f>
        <v>0.8</v>
      </c>
      <c r="AS431" s="81">
        <f>IFERROR(Z431*VLOOKUP(J431,'BD Campos'!$Y$1:$Z$12,2,FALSE),"0")</f>
        <v>10</v>
      </c>
    </row>
    <row r="432" spans="1:45" x14ac:dyDescent="0.35">
      <c r="A432" s="68" t="str">
        <f t="shared" si="61"/>
        <v>Fev202510977ReceptivaDISTRIBUIÇÃO</v>
      </c>
      <c r="B432" s="69" t="str">
        <f t="shared" si="62"/>
        <v>Fev2025109775DISTRIBUIÇÃOPADRÃO</v>
      </c>
      <c r="C432" s="70">
        <v>1</v>
      </c>
      <c r="D432" s="71">
        <v>45698.425946527779</v>
      </c>
      <c r="E432" s="112" t="s">
        <v>338</v>
      </c>
      <c r="F432" s="72">
        <v>10977</v>
      </c>
      <c r="G432" s="69" t="s">
        <v>422</v>
      </c>
      <c r="H432" s="73">
        <v>5</v>
      </c>
      <c r="I432" s="69" t="s">
        <v>6</v>
      </c>
      <c r="J432" s="69" t="s">
        <v>98</v>
      </c>
      <c r="K432" s="69" t="s">
        <v>23</v>
      </c>
      <c r="L432" s="74"/>
      <c r="M432" s="75">
        <v>1.9560185185185184E-3</v>
      </c>
      <c r="N432" s="76"/>
      <c r="O432" s="76"/>
      <c r="P432" s="76"/>
      <c r="Q432" s="76"/>
      <c r="R432" s="76"/>
      <c r="S432" s="76"/>
      <c r="T432" s="76"/>
      <c r="U432" s="76"/>
      <c r="V432" s="76"/>
      <c r="W432" s="76"/>
      <c r="X432" s="76"/>
      <c r="Y432" s="76"/>
      <c r="Z432" s="77">
        <f t="shared" si="38"/>
        <v>0</v>
      </c>
      <c r="AA432" s="78" t="s">
        <v>1620</v>
      </c>
      <c r="AB432" s="78"/>
      <c r="AC432" s="72" t="s">
        <v>47</v>
      </c>
      <c r="AE432" s="79" t="str">
        <f t="shared" si="67"/>
        <v>Fev10977</v>
      </c>
      <c r="AF432" s="80" t="str">
        <f>IF(N432="","",IF(N432="SIM",VLOOKUP($I432&amp;$J432&amp;N$1,Pesos!$A:$I,7,FALSE),VLOOKUP($I432&amp;$J432&amp;N$1,Pesos!$A:$I,9,FALSE)))</f>
        <v/>
      </c>
      <c r="AG432" s="80" t="str">
        <f>IF(O432="","",IF(O432="SIM",VLOOKUP($I432&amp;$J432&amp;O$1,Pesos!$A:$I,7,FALSE),VLOOKUP($I432&amp;$J432&amp;O$1,Pesos!$A:$I,9,FALSE)))</f>
        <v/>
      </c>
      <c r="AH432" s="80" t="str">
        <f>IF(P432="","",IF(P432="SIM",VLOOKUP($I432&amp;$J432&amp;P$1,Pesos!$A:$I,7,FALSE),VLOOKUP($I432&amp;$J432&amp;P$1,Pesos!$A:$I,9,FALSE)))</f>
        <v/>
      </c>
      <c r="AI432" s="80" t="str">
        <f>IF(Q432="","",IF(Q432="SIM",VLOOKUP($I432&amp;$J432&amp;Q$1,Pesos!$A:$I,7,FALSE),VLOOKUP($I432&amp;$J432&amp;Q$1,Pesos!$A:$I,9,FALSE)))</f>
        <v/>
      </c>
      <c r="AJ432" s="80" t="str">
        <f>IF(R432="","",IF(R432="SIM",VLOOKUP($I432&amp;$J432&amp;R$1,Pesos!$A:$I,7,FALSE),VLOOKUP($I432&amp;$J432&amp;R$1,Pesos!$A:$I,9,FALSE)))</f>
        <v/>
      </c>
      <c r="AK432" s="80" t="str">
        <f>IF(S432="","",IF(S432="SIM",VLOOKUP($I432&amp;$J432&amp;S$1,Pesos!$A:$I,7,FALSE),VLOOKUP($I432&amp;$J432&amp;S$1,Pesos!$A:$I,9,FALSE)))</f>
        <v/>
      </c>
      <c r="AL432" s="80">
        <f t="shared" si="66"/>
        <v>0</v>
      </c>
      <c r="AM432" s="80" t="str">
        <f>IF(T432="","",IF(T432="SIM",VLOOKUP($I432&amp;$J432&amp;T$1,Pesos!$A:$I,7,FALSE),VLOOKUP($I432&amp;$J432&amp;T$1,Pesos!$A:$I,9,FALSE)))</f>
        <v/>
      </c>
      <c r="AN432" s="80" t="str">
        <f>IF(U432="","",IF(U432="SIM",VLOOKUP($I432&amp;$J432&amp;U$1,Pesos!$A:$I,7,FALSE),VLOOKUP($I432&amp;$J432&amp;U$1,Pesos!$A:$I,9,FALSE)))</f>
        <v/>
      </c>
      <c r="AO432" s="80" t="str">
        <f>IF(V432="","",IF(V432="SIM",VLOOKUP($I432&amp;$J432&amp;V$1,Pesos!$A:$I,7,FALSE),VLOOKUP($I432&amp;$J432&amp;V$1,Pesos!$A:$I,9,FALSE)))</f>
        <v/>
      </c>
      <c r="AP432" s="80" t="str">
        <f>IF(W432="","",IF(W432="SIM",VLOOKUP($I432&amp;$J432&amp;W$1,Pesos!$A:$I,7,FALSE),VLOOKUP($I432&amp;$J432&amp;W$1,Pesos!$A:$I,9,FALSE)))</f>
        <v/>
      </c>
      <c r="AQ432" s="80" t="str">
        <f>IF(X432="","",IF(X432="SIM",VLOOKUP($I432&amp;$J432&amp;X$1,Pesos!$A:$I,7,FALSE),VLOOKUP($I432&amp;$J432&amp;X$1,Pesos!$A:$I,9,FALSE)))</f>
        <v/>
      </c>
      <c r="AR432" s="80" t="str">
        <f>IF(Y432="","",IF(Y432="SIM",VLOOKUP($I432&amp;$J432&amp;Y$1,Pesos!$A:$I,7,FALSE),VLOOKUP($I432&amp;$J432&amp;Y$1,Pesos!$A:$I,9,FALSE)))</f>
        <v/>
      </c>
      <c r="AS432" s="81">
        <f>IFERROR(Z432*VLOOKUP(J432,'BD Campos'!$Y$1:$Z$12,2,FALSE),"0")</f>
        <v>0</v>
      </c>
    </row>
    <row r="433" spans="1:45" x14ac:dyDescent="0.35">
      <c r="A433" s="68" t="str">
        <f t="shared" si="61"/>
        <v>Fev202511005MotoristaDISTRIBUIÇÃO</v>
      </c>
      <c r="B433" s="69" t="str">
        <f t="shared" si="62"/>
        <v>Fev2025110051DISTRIBUIÇÃOPADRÃO</v>
      </c>
      <c r="C433" s="70">
        <v>1</v>
      </c>
      <c r="D433" s="71">
        <v>45698.43239386574</v>
      </c>
      <c r="E433" s="112" t="s">
        <v>338</v>
      </c>
      <c r="F433" s="72">
        <v>11005</v>
      </c>
      <c r="G433" s="69" t="s">
        <v>256</v>
      </c>
      <c r="H433" s="73">
        <v>1</v>
      </c>
      <c r="I433" s="69" t="s">
        <v>123</v>
      </c>
      <c r="J433" s="69" t="s">
        <v>122</v>
      </c>
      <c r="K433" s="69" t="s">
        <v>23</v>
      </c>
      <c r="L433" s="74">
        <v>31082683</v>
      </c>
      <c r="M433" s="75">
        <v>2.3263888888888887E-3</v>
      </c>
      <c r="N433" s="76" t="s">
        <v>79</v>
      </c>
      <c r="O433" s="76" t="s">
        <v>79</v>
      </c>
      <c r="P433" s="76" t="s">
        <v>79</v>
      </c>
      <c r="Q433" s="76" t="s">
        <v>79</v>
      </c>
      <c r="R433" s="76" t="s">
        <v>79</v>
      </c>
      <c r="S433" s="76" t="s">
        <v>79</v>
      </c>
      <c r="T433" s="76" t="s">
        <v>79</v>
      </c>
      <c r="U433" s="76" t="s">
        <v>79</v>
      </c>
      <c r="V433" s="76" t="s">
        <v>79</v>
      </c>
      <c r="W433" s="76" t="s">
        <v>79</v>
      </c>
      <c r="X433" s="76"/>
      <c r="Y433" s="76"/>
      <c r="Z433" s="77">
        <f t="shared" si="38"/>
        <v>10</v>
      </c>
      <c r="AA433" s="78"/>
      <c r="AB433" s="78" t="s">
        <v>1621</v>
      </c>
      <c r="AC433" s="72" t="s">
        <v>47</v>
      </c>
      <c r="AE433" s="79" t="str">
        <f t="shared" si="67"/>
        <v>Fev11005</v>
      </c>
      <c r="AF433" s="80">
        <f>IF(N433="","",IF(N433="SIM",VLOOKUP($I433&amp;$J433&amp;N$1,Pesos!$A:$I,7,FALSE),VLOOKUP($I433&amp;$J433&amp;N$1,Pesos!$A:$I,9,FALSE)))</f>
        <v>1</v>
      </c>
      <c r="AG433" s="80">
        <f>IF(O433="","",IF(O433="SIM",VLOOKUP($I433&amp;$J433&amp;O$1,Pesos!$A:$I,7,FALSE),VLOOKUP($I433&amp;$J433&amp;O$1,Pesos!$A:$I,9,FALSE)))</f>
        <v>1</v>
      </c>
      <c r="AH433" s="80">
        <f>IF(P433="","",IF(P433="SIM",VLOOKUP($I433&amp;$J433&amp;P$1,Pesos!$A:$I,7,FALSE),VLOOKUP($I433&amp;$J433&amp;P$1,Pesos!$A:$I,9,FALSE)))</f>
        <v>1</v>
      </c>
      <c r="AI433" s="80">
        <f>IF(Q433="","",IF(Q433="SIM",VLOOKUP($I433&amp;$J433&amp;Q$1,Pesos!$A:$I,7,FALSE),VLOOKUP($I433&amp;$J433&amp;Q$1,Pesos!$A:$I,9,FALSE)))</f>
        <v>1</v>
      </c>
      <c r="AJ433" s="80">
        <f>IF(R433="","",IF(R433="SIM",VLOOKUP($I433&amp;$J433&amp;R$1,Pesos!$A:$I,7,FALSE),VLOOKUP($I433&amp;$J433&amp;R$1,Pesos!$A:$I,9,FALSE)))</f>
        <v>1</v>
      </c>
      <c r="AK433" s="80">
        <f>IF(S433="","",IF(S433="SIM",VLOOKUP($I433&amp;$J433&amp;S$1,Pesos!$A:$I,7,FALSE),VLOOKUP($I433&amp;$J433&amp;S$1,Pesos!$A:$I,9,FALSE)))</f>
        <v>1</v>
      </c>
      <c r="AL433" s="80">
        <f t="shared" si="66"/>
        <v>6</v>
      </c>
      <c r="AM433" s="80">
        <f>IF(T433="","",IF(T433="SIM",VLOOKUP($I433&amp;$J433&amp;T$1,Pesos!$A:$I,7,FALSE),VLOOKUP($I433&amp;$J433&amp;T$1,Pesos!$A:$I,9,FALSE)))</f>
        <v>1</v>
      </c>
      <c r="AN433" s="80">
        <f>IF(U433="","",IF(U433="SIM",VLOOKUP($I433&amp;$J433&amp;U$1,Pesos!$A:$I,7,FALSE),VLOOKUP($I433&amp;$J433&amp;U$1,Pesos!$A:$I,9,FALSE)))</f>
        <v>1</v>
      </c>
      <c r="AO433" s="80">
        <f>IF(V433="","",IF(V433="SIM",VLOOKUP($I433&amp;$J433&amp;V$1,Pesos!$A:$I,7,FALSE),VLOOKUP($I433&amp;$J433&amp;V$1,Pesos!$A:$I,9,FALSE)))</f>
        <v>1</v>
      </c>
      <c r="AP433" s="80">
        <f>IF(W433="","",IF(W433="SIM",VLOOKUP($I433&amp;$J433&amp;W$1,Pesos!$A:$I,7,FALSE),VLOOKUP($I433&amp;$J433&amp;W$1,Pesos!$A:$I,9,FALSE)))</f>
        <v>1</v>
      </c>
      <c r="AQ433" s="80" t="str">
        <f>IF(X433="","",IF(X433="SIM",VLOOKUP($I433&amp;$J433&amp;X$1,Pesos!$A:$I,7,FALSE),VLOOKUP($I433&amp;$J433&amp;X$1,Pesos!$A:$I,9,FALSE)))</f>
        <v/>
      </c>
      <c r="AR433" s="80" t="str">
        <f>IF(Y433="","",IF(Y433="SIM",VLOOKUP($I433&amp;$J433&amp;Y$1,Pesos!$A:$I,7,FALSE),VLOOKUP($I433&amp;$J433&amp;Y$1,Pesos!$A:$I,9,FALSE)))</f>
        <v/>
      </c>
      <c r="AS433" s="81">
        <f>IFERROR(Z433*VLOOKUP(J433,'BD Campos'!$Y$1:$Z$12,2,FALSE),"0")</f>
        <v>10</v>
      </c>
    </row>
    <row r="434" spans="1:45" x14ac:dyDescent="0.35">
      <c r="A434" s="68" t="str">
        <f t="shared" ref="A434:A497" si="68">E434&amp;YEAR(D434)&amp;F434&amp;J434&amp;K434&amp;""</f>
        <v>Fev202511005ReceptivaDISTRIBUIÇÃO</v>
      </c>
      <c r="B434" s="69" t="str">
        <f t="shared" ref="B434:B497" si="69">E434&amp;YEAR(D434)&amp;F434&amp;H434&amp;K434&amp;AC434</f>
        <v>Fev2025110055DISTRIBUIÇÃOPADRÃO</v>
      </c>
      <c r="C434" s="70">
        <v>1</v>
      </c>
      <c r="D434" s="71">
        <v>45698.434428703702</v>
      </c>
      <c r="E434" s="112" t="s">
        <v>338</v>
      </c>
      <c r="F434" s="72">
        <v>11005</v>
      </c>
      <c r="G434" s="69" t="s">
        <v>256</v>
      </c>
      <c r="H434" s="73">
        <v>5</v>
      </c>
      <c r="I434" s="69" t="s">
        <v>6</v>
      </c>
      <c r="J434" s="69" t="s">
        <v>98</v>
      </c>
      <c r="K434" s="69" t="s">
        <v>23</v>
      </c>
      <c r="L434" s="74"/>
      <c r="M434" s="75">
        <v>9.2592592592592585E-4</v>
      </c>
      <c r="N434" s="76" t="s">
        <v>83</v>
      </c>
      <c r="O434" s="76" t="s">
        <v>79</v>
      </c>
      <c r="P434" s="76" t="s">
        <v>79</v>
      </c>
      <c r="Q434" s="76" t="s">
        <v>79</v>
      </c>
      <c r="R434" s="76" t="s">
        <v>79</v>
      </c>
      <c r="S434" s="76" t="s">
        <v>79</v>
      </c>
      <c r="T434" s="76" t="s">
        <v>79</v>
      </c>
      <c r="U434" s="76" t="s">
        <v>79</v>
      </c>
      <c r="V434" s="76" t="s">
        <v>79</v>
      </c>
      <c r="W434" s="76" t="s">
        <v>79</v>
      </c>
      <c r="X434" s="76" t="s">
        <v>79</v>
      </c>
      <c r="Y434" s="76" t="s">
        <v>79</v>
      </c>
      <c r="Z434" s="77">
        <f t="shared" si="38"/>
        <v>9.16</v>
      </c>
      <c r="AA434" s="78" t="s">
        <v>1622</v>
      </c>
      <c r="AB434" s="78"/>
      <c r="AC434" s="72" t="s">
        <v>47</v>
      </c>
      <c r="AE434" s="79" t="str">
        <f t="shared" si="67"/>
        <v>Fev11005</v>
      </c>
      <c r="AF434" s="80">
        <f>IF(N434="","",IF(N434="SIM",VLOOKUP($I434&amp;$J434&amp;N$1,Pesos!$A:$I,7,FALSE),VLOOKUP($I434&amp;$J434&amp;N$1,Pesos!$A:$I,9,FALSE)))</f>
        <v>-4.0000000000000008E-2</v>
      </c>
      <c r="AG434" s="80">
        <f>IF(O434="","",IF(O434="SIM",VLOOKUP($I434&amp;$J434&amp;O$1,Pesos!$A:$I,7,FALSE),VLOOKUP($I434&amp;$J434&amp;O$1,Pesos!$A:$I,9,FALSE)))</f>
        <v>0.8</v>
      </c>
      <c r="AH434" s="80">
        <f>IF(P434="","",IF(P434="SIM",VLOOKUP($I434&amp;$J434&amp;P$1,Pesos!$A:$I,7,FALSE),VLOOKUP($I434&amp;$J434&amp;P$1,Pesos!$A:$I,9,FALSE)))</f>
        <v>1.2</v>
      </c>
      <c r="AI434" s="80">
        <f>IF(Q434="","",IF(Q434="SIM",VLOOKUP($I434&amp;$J434&amp;Q$1,Pesos!$A:$I,7,FALSE),VLOOKUP($I434&amp;$J434&amp;Q$1,Pesos!$A:$I,9,FALSE)))</f>
        <v>0.8</v>
      </c>
      <c r="AJ434" s="80">
        <f>IF(R434="","",IF(R434="SIM",VLOOKUP($I434&amp;$J434&amp;R$1,Pesos!$A:$I,7,FALSE),VLOOKUP($I434&amp;$J434&amp;R$1,Pesos!$A:$I,9,FALSE)))</f>
        <v>0.8</v>
      </c>
      <c r="AK434" s="80">
        <f>IF(S434="","",IF(S434="SIM",VLOOKUP($I434&amp;$J434&amp;S$1,Pesos!$A:$I,7,FALSE),VLOOKUP($I434&amp;$J434&amp;S$1,Pesos!$A:$I,9,FALSE)))</f>
        <v>0.8</v>
      </c>
      <c r="AL434" s="80">
        <f t="shared" si="66"/>
        <v>4.3599999999999994</v>
      </c>
      <c r="AM434" s="80">
        <f>IF(T434="","",IF(T434="SIM",VLOOKUP($I434&amp;$J434&amp;T$1,Pesos!$A:$I,7,FALSE),VLOOKUP($I434&amp;$J434&amp;T$1,Pesos!$A:$I,9,FALSE)))</f>
        <v>0.8</v>
      </c>
      <c r="AN434" s="80">
        <f>IF(U434="","",IF(U434="SIM",VLOOKUP($I434&amp;$J434&amp;U$1,Pesos!$A:$I,7,FALSE),VLOOKUP($I434&amp;$J434&amp;U$1,Pesos!$A:$I,9,FALSE)))</f>
        <v>0.8</v>
      </c>
      <c r="AO434" s="80">
        <f>IF(V434="","",IF(V434="SIM",VLOOKUP($I434&amp;$J434&amp;V$1,Pesos!$A:$I,7,FALSE),VLOOKUP($I434&amp;$J434&amp;V$1,Pesos!$A:$I,9,FALSE)))</f>
        <v>0.8</v>
      </c>
      <c r="AP434" s="80">
        <f>IF(W434="","",IF(W434="SIM",VLOOKUP($I434&amp;$J434&amp;W$1,Pesos!$A:$I,7,FALSE),VLOOKUP($I434&amp;$J434&amp;W$1,Pesos!$A:$I,9,FALSE)))</f>
        <v>0.8</v>
      </c>
      <c r="AQ434" s="80">
        <f>IF(X434="","",IF(X434="SIM",VLOOKUP($I434&amp;$J434&amp;X$1,Pesos!$A:$I,7,FALSE),VLOOKUP($I434&amp;$J434&amp;X$1,Pesos!$A:$I,9,FALSE)))</f>
        <v>0.8</v>
      </c>
      <c r="AR434" s="80">
        <f>IF(Y434="","",IF(Y434="SIM",VLOOKUP($I434&amp;$J434&amp;Y$1,Pesos!$A:$I,7,FALSE),VLOOKUP($I434&amp;$J434&amp;Y$1,Pesos!$A:$I,9,FALSE)))</f>
        <v>0.8</v>
      </c>
      <c r="AS434" s="81">
        <f>IFERROR(Z434*VLOOKUP(J434,'BD Campos'!$Y$1:$Z$12,2,FALSE),"0")</f>
        <v>9.16</v>
      </c>
    </row>
    <row r="435" spans="1:45" x14ac:dyDescent="0.35">
      <c r="A435" s="68" t="str">
        <f t="shared" si="68"/>
        <v>Fev202511038MotoristaDISTRIBUIÇÃO</v>
      </c>
      <c r="B435" s="69" t="str">
        <f t="shared" si="69"/>
        <v>Fev2025110381DISTRIBUIÇÃOPADRÃO</v>
      </c>
      <c r="C435" s="70">
        <v>1</v>
      </c>
      <c r="D435" s="71">
        <v>45698.448228587964</v>
      </c>
      <c r="E435" s="112" t="s">
        <v>338</v>
      </c>
      <c r="F435" s="72">
        <v>11038</v>
      </c>
      <c r="G435" s="69" t="s">
        <v>350</v>
      </c>
      <c r="H435" s="73">
        <v>1</v>
      </c>
      <c r="I435" s="69" t="s">
        <v>147</v>
      </c>
      <c r="J435" s="69" t="s">
        <v>122</v>
      </c>
      <c r="K435" s="69" t="s">
        <v>23</v>
      </c>
      <c r="L435" s="74">
        <v>31091053</v>
      </c>
      <c r="M435" s="75">
        <v>1.6550925925925926E-3</v>
      </c>
      <c r="N435" s="76" t="s">
        <v>79</v>
      </c>
      <c r="O435" s="76" t="s">
        <v>79</v>
      </c>
      <c r="P435" s="76" t="s">
        <v>79</v>
      </c>
      <c r="Q435" s="76" t="s">
        <v>79</v>
      </c>
      <c r="R435" s="76" t="s">
        <v>79</v>
      </c>
      <c r="S435" s="76" t="s">
        <v>79</v>
      </c>
      <c r="T435" s="76" t="s">
        <v>79</v>
      </c>
      <c r="U435" s="76" t="s">
        <v>79</v>
      </c>
      <c r="V435" s="76"/>
      <c r="W435" s="76"/>
      <c r="X435" s="76"/>
      <c r="Y435" s="76"/>
      <c r="Z435" s="77">
        <f t="shared" si="38"/>
        <v>10</v>
      </c>
      <c r="AA435" s="78"/>
      <c r="AB435" s="78" t="s">
        <v>1623</v>
      </c>
      <c r="AC435" s="72" t="s">
        <v>47</v>
      </c>
      <c r="AE435" s="79" t="str">
        <f t="shared" si="67"/>
        <v>Fev11038</v>
      </c>
      <c r="AF435" s="80">
        <f>IF(N435="","",IF(N435="SIM",VLOOKUP($I435&amp;$J435&amp;N$1,Pesos!$A:$I,7,FALSE),VLOOKUP($I435&amp;$J435&amp;N$1,Pesos!$A:$I,9,FALSE)))</f>
        <v>1.1000000000000001</v>
      </c>
      <c r="AG435" s="80">
        <f>IF(O435="","",IF(O435="SIM",VLOOKUP($I435&amp;$J435&amp;O$1,Pesos!$A:$I,7,FALSE),VLOOKUP($I435&amp;$J435&amp;O$1,Pesos!$A:$I,9,FALSE)))</f>
        <v>1.1000000000000001</v>
      </c>
      <c r="AH435" s="80">
        <f>IF(P435="","",IF(P435="SIM",VLOOKUP($I435&amp;$J435&amp;P$1,Pesos!$A:$I,7,FALSE),VLOOKUP($I435&amp;$J435&amp;P$1,Pesos!$A:$I,9,FALSE)))</f>
        <v>1.1000000000000001</v>
      </c>
      <c r="AI435" s="80">
        <f>IF(Q435="","",IF(Q435="SIM",VLOOKUP($I435&amp;$J435&amp;Q$1,Pesos!$A:$I,7,FALSE),VLOOKUP($I435&amp;$J435&amp;Q$1,Pesos!$A:$I,9,FALSE)))</f>
        <v>1.1000000000000001</v>
      </c>
      <c r="AJ435" s="80">
        <f>IF(R435="","",IF(R435="SIM",VLOOKUP($I435&amp;$J435&amp;R$1,Pesos!$A:$I,7,FALSE),VLOOKUP($I435&amp;$J435&amp;R$1,Pesos!$A:$I,9,FALSE)))</f>
        <v>1.1000000000000001</v>
      </c>
      <c r="AK435" s="80">
        <f>IF(S435="","",IF(S435="SIM",VLOOKUP($I435&amp;$J435&amp;S$1,Pesos!$A:$I,7,FALSE),VLOOKUP($I435&amp;$J435&amp;S$1,Pesos!$A:$I,9,FALSE)))</f>
        <v>1.6</v>
      </c>
      <c r="AL435" s="80">
        <f t="shared" si="66"/>
        <v>7.1</v>
      </c>
      <c r="AM435" s="80">
        <f>IF(T435="","",IF(T435="SIM",VLOOKUP($I435&amp;$J435&amp;T$1,Pesos!$A:$I,7,FALSE),VLOOKUP($I435&amp;$J435&amp;T$1,Pesos!$A:$I,9,FALSE)))</f>
        <v>1.2</v>
      </c>
      <c r="AN435" s="80">
        <f>IF(U435="","",IF(U435="SIM",VLOOKUP($I435&amp;$J435&amp;U$1,Pesos!$A:$I,7,FALSE),VLOOKUP($I435&amp;$J435&amp;U$1,Pesos!$A:$I,9,FALSE)))</f>
        <v>1.7000000000000002</v>
      </c>
      <c r="AO435" s="80" t="str">
        <f>IF(V435="","",IF(V435="SIM",VLOOKUP($I435&amp;$J435&amp;V$1,Pesos!$A:$I,7,FALSE),VLOOKUP($I435&amp;$J435&amp;V$1,Pesos!$A:$I,9,FALSE)))</f>
        <v/>
      </c>
      <c r="AP435" s="80" t="str">
        <f>IF(W435="","",IF(W435="SIM",VLOOKUP($I435&amp;$J435&amp;W$1,Pesos!$A:$I,7,FALSE),VLOOKUP($I435&amp;$J435&amp;W$1,Pesos!$A:$I,9,FALSE)))</f>
        <v/>
      </c>
      <c r="AQ435" s="80" t="str">
        <f>IF(X435="","",IF(X435="SIM",VLOOKUP($I435&amp;$J435&amp;X$1,Pesos!$A:$I,7,FALSE),VLOOKUP($I435&amp;$J435&amp;X$1,Pesos!$A:$I,9,FALSE)))</f>
        <v/>
      </c>
      <c r="AR435" s="80" t="str">
        <f>IF(Y435="","",IF(Y435="SIM",VLOOKUP($I435&amp;$J435&amp;Y$1,Pesos!$A:$I,7,FALSE),VLOOKUP($I435&amp;$J435&amp;Y$1,Pesos!$A:$I,9,FALSE)))</f>
        <v/>
      </c>
      <c r="AS435" s="81">
        <f>IFERROR(Z435*VLOOKUP(J435,'BD Campos'!$Y$1:$Z$12,2,FALSE),"0")</f>
        <v>10</v>
      </c>
    </row>
    <row r="436" spans="1:45" x14ac:dyDescent="0.35">
      <c r="A436" s="68" t="str">
        <f t="shared" si="68"/>
        <v>Fev202511038ReceptivaDISTRIBUIÇÃO</v>
      </c>
      <c r="B436" s="69" t="str">
        <f t="shared" si="69"/>
        <v>Fev2025110385DISTRIBUIÇÃOPADRÃO</v>
      </c>
      <c r="C436" s="70">
        <v>1</v>
      </c>
      <c r="D436" s="71">
        <v>45698.450817129633</v>
      </c>
      <c r="E436" s="112" t="s">
        <v>338</v>
      </c>
      <c r="F436" s="72">
        <v>11038</v>
      </c>
      <c r="G436" s="69" t="s">
        <v>350</v>
      </c>
      <c r="H436" s="73">
        <v>5</v>
      </c>
      <c r="I436" s="69" t="s">
        <v>6</v>
      </c>
      <c r="J436" s="69" t="s">
        <v>98</v>
      </c>
      <c r="K436" s="69" t="s">
        <v>23</v>
      </c>
      <c r="L436" s="74"/>
      <c r="M436" s="75">
        <v>1.4467592592592594E-3</v>
      </c>
      <c r="N436" s="76" t="s">
        <v>79</v>
      </c>
      <c r="O436" s="76" t="s">
        <v>79</v>
      </c>
      <c r="P436" s="76" t="s">
        <v>79</v>
      </c>
      <c r="Q436" s="76" t="s">
        <v>79</v>
      </c>
      <c r="R436" s="76" t="s">
        <v>79</v>
      </c>
      <c r="S436" s="76" t="s">
        <v>79</v>
      </c>
      <c r="T436" s="76" t="s">
        <v>83</v>
      </c>
      <c r="U436" s="76" t="s">
        <v>79</v>
      </c>
      <c r="V436" s="76" t="s">
        <v>79</v>
      </c>
      <c r="W436" s="76" t="s">
        <v>79</v>
      </c>
      <c r="X436" s="76" t="s">
        <v>79</v>
      </c>
      <c r="Y436" s="76" t="s">
        <v>79</v>
      </c>
      <c r="Z436" s="77">
        <f t="shared" si="38"/>
        <v>9.16</v>
      </c>
      <c r="AA436" s="78"/>
      <c r="AB436" s="78"/>
      <c r="AC436" s="72" t="s">
        <v>47</v>
      </c>
      <c r="AE436" s="79" t="str">
        <f t="shared" si="67"/>
        <v>Fev11038</v>
      </c>
      <c r="AF436" s="80">
        <f>IF(N436="","",IF(N436="SIM",VLOOKUP($I436&amp;$J436&amp;N$1,Pesos!$A:$I,7,FALSE),VLOOKUP($I436&amp;$J436&amp;N$1,Pesos!$A:$I,9,FALSE)))</f>
        <v>0.8</v>
      </c>
      <c r="AG436" s="80">
        <f>IF(O436="","",IF(O436="SIM",VLOOKUP($I436&amp;$J436&amp;O$1,Pesos!$A:$I,7,FALSE),VLOOKUP($I436&amp;$J436&amp;O$1,Pesos!$A:$I,9,FALSE)))</f>
        <v>0.8</v>
      </c>
      <c r="AH436" s="80">
        <f>IF(P436="","",IF(P436="SIM",VLOOKUP($I436&amp;$J436&amp;P$1,Pesos!$A:$I,7,FALSE),VLOOKUP($I436&amp;$J436&amp;P$1,Pesos!$A:$I,9,FALSE)))</f>
        <v>1.2</v>
      </c>
      <c r="AI436" s="80">
        <f>IF(Q436="","",IF(Q436="SIM",VLOOKUP($I436&amp;$J436&amp;Q$1,Pesos!$A:$I,7,FALSE),VLOOKUP($I436&amp;$J436&amp;Q$1,Pesos!$A:$I,9,FALSE)))</f>
        <v>0.8</v>
      </c>
      <c r="AJ436" s="80">
        <f>IF(R436="","",IF(R436="SIM",VLOOKUP($I436&amp;$J436&amp;R$1,Pesos!$A:$I,7,FALSE),VLOOKUP($I436&amp;$J436&amp;R$1,Pesos!$A:$I,9,FALSE)))</f>
        <v>0.8</v>
      </c>
      <c r="AK436" s="80">
        <f>IF(S436="","",IF(S436="SIM",VLOOKUP($I436&amp;$J436&amp;S$1,Pesos!$A:$I,7,FALSE),VLOOKUP($I436&amp;$J436&amp;S$1,Pesos!$A:$I,9,FALSE)))</f>
        <v>0.8</v>
      </c>
      <c r="AL436" s="80">
        <f t="shared" si="66"/>
        <v>5.1999999999999993</v>
      </c>
      <c r="AM436" s="80">
        <f>IF(T436="","",IF(T436="SIM",VLOOKUP($I436&amp;$J436&amp;T$1,Pesos!$A:$I,7,FALSE),VLOOKUP($I436&amp;$J436&amp;T$1,Pesos!$A:$I,9,FALSE)))</f>
        <v>-4.0000000000000008E-2</v>
      </c>
      <c r="AN436" s="80">
        <f>IF(U436="","",IF(U436="SIM",VLOOKUP($I436&amp;$J436&amp;U$1,Pesos!$A:$I,7,FALSE),VLOOKUP($I436&amp;$J436&amp;U$1,Pesos!$A:$I,9,FALSE)))</f>
        <v>0.8</v>
      </c>
      <c r="AO436" s="80">
        <f>IF(V436="","",IF(V436="SIM",VLOOKUP($I436&amp;$J436&amp;V$1,Pesos!$A:$I,7,FALSE),VLOOKUP($I436&amp;$J436&amp;V$1,Pesos!$A:$I,9,FALSE)))</f>
        <v>0.8</v>
      </c>
      <c r="AP436" s="80">
        <f>IF(W436="","",IF(W436="SIM",VLOOKUP($I436&amp;$J436&amp;W$1,Pesos!$A:$I,7,FALSE),VLOOKUP($I436&amp;$J436&amp;W$1,Pesos!$A:$I,9,FALSE)))</f>
        <v>0.8</v>
      </c>
      <c r="AQ436" s="80">
        <f>IF(X436="","",IF(X436="SIM",VLOOKUP($I436&amp;$J436&amp;X$1,Pesos!$A:$I,7,FALSE),VLOOKUP($I436&amp;$J436&amp;X$1,Pesos!$A:$I,9,FALSE)))</f>
        <v>0.8</v>
      </c>
      <c r="AR436" s="80">
        <f>IF(Y436="","",IF(Y436="SIM",VLOOKUP($I436&amp;$J436&amp;Y$1,Pesos!$A:$I,7,FALSE),VLOOKUP($I436&amp;$J436&amp;Y$1,Pesos!$A:$I,9,FALSE)))</f>
        <v>0.8</v>
      </c>
      <c r="AS436" s="81">
        <f>IFERROR(Z436*VLOOKUP(J436,'BD Campos'!$Y$1:$Z$12,2,FALSE),"0")</f>
        <v>9.16</v>
      </c>
    </row>
    <row r="437" spans="1:45" x14ac:dyDescent="0.35">
      <c r="A437" s="68" t="str">
        <f t="shared" si="68"/>
        <v>Fev202511039ReceptivaDISTRIBUIÇÃO</v>
      </c>
      <c r="B437" s="69" t="str">
        <f t="shared" si="69"/>
        <v>Fev2025110395DISTRIBUIÇÃOPADRÃO</v>
      </c>
      <c r="C437" s="70">
        <v>1</v>
      </c>
      <c r="D437" s="71">
        <v>45698.452472337965</v>
      </c>
      <c r="E437" s="112" t="s">
        <v>338</v>
      </c>
      <c r="F437" s="72">
        <v>11039</v>
      </c>
      <c r="G437" s="69" t="s">
        <v>351</v>
      </c>
      <c r="H437" s="73">
        <v>5</v>
      </c>
      <c r="I437" s="69" t="s">
        <v>6</v>
      </c>
      <c r="J437" s="69" t="s">
        <v>98</v>
      </c>
      <c r="K437" s="69" t="s">
        <v>23</v>
      </c>
      <c r="L437" s="74"/>
      <c r="M437" s="75">
        <v>1.5740740740740741E-3</v>
      </c>
      <c r="N437" s="76" t="s">
        <v>79</v>
      </c>
      <c r="O437" s="76" t="s">
        <v>79</v>
      </c>
      <c r="P437" s="76" t="s">
        <v>79</v>
      </c>
      <c r="Q437" s="76" t="s">
        <v>79</v>
      </c>
      <c r="R437" s="76" t="s">
        <v>79</v>
      </c>
      <c r="S437" s="76" t="s">
        <v>79</v>
      </c>
      <c r="T437" s="76" t="s">
        <v>83</v>
      </c>
      <c r="U437" s="76" t="s">
        <v>79</v>
      </c>
      <c r="V437" s="76" t="s">
        <v>79</v>
      </c>
      <c r="W437" s="76" t="s">
        <v>79</v>
      </c>
      <c r="X437" s="76" t="s">
        <v>79</v>
      </c>
      <c r="Y437" s="76" t="s">
        <v>79</v>
      </c>
      <c r="Z437" s="77">
        <f t="shared" si="38"/>
        <v>9.16</v>
      </c>
      <c r="AA437" s="78"/>
      <c r="AB437" s="78"/>
      <c r="AC437" s="72" t="s">
        <v>47</v>
      </c>
      <c r="AE437" s="79" t="str">
        <f t="shared" si="67"/>
        <v>Fev11039</v>
      </c>
      <c r="AF437" s="80">
        <f>IF(N437="","",IF(N437="SIM",VLOOKUP($I437&amp;$J437&amp;N$1,Pesos!$A:$I,7,FALSE),VLOOKUP($I437&amp;$J437&amp;N$1,Pesos!$A:$I,9,FALSE)))</f>
        <v>0.8</v>
      </c>
      <c r="AG437" s="80">
        <f>IF(O437="","",IF(O437="SIM",VLOOKUP($I437&amp;$J437&amp;O$1,Pesos!$A:$I,7,FALSE),VLOOKUP($I437&amp;$J437&amp;O$1,Pesos!$A:$I,9,FALSE)))</f>
        <v>0.8</v>
      </c>
      <c r="AH437" s="80">
        <f>IF(P437="","",IF(P437="SIM",VLOOKUP($I437&amp;$J437&amp;P$1,Pesos!$A:$I,7,FALSE),VLOOKUP($I437&amp;$J437&amp;P$1,Pesos!$A:$I,9,FALSE)))</f>
        <v>1.2</v>
      </c>
      <c r="AI437" s="80">
        <f>IF(Q437="","",IF(Q437="SIM",VLOOKUP($I437&amp;$J437&amp;Q$1,Pesos!$A:$I,7,FALSE),VLOOKUP($I437&amp;$J437&amp;Q$1,Pesos!$A:$I,9,FALSE)))</f>
        <v>0.8</v>
      </c>
      <c r="AJ437" s="80">
        <f>IF(R437="","",IF(R437="SIM",VLOOKUP($I437&amp;$J437&amp;R$1,Pesos!$A:$I,7,FALSE),VLOOKUP($I437&amp;$J437&amp;R$1,Pesos!$A:$I,9,FALSE)))</f>
        <v>0.8</v>
      </c>
      <c r="AK437" s="80">
        <f>IF(S437="","",IF(S437="SIM",VLOOKUP($I437&amp;$J437&amp;S$1,Pesos!$A:$I,7,FALSE),VLOOKUP($I437&amp;$J437&amp;S$1,Pesos!$A:$I,9,FALSE)))</f>
        <v>0.8</v>
      </c>
      <c r="AL437" s="80">
        <f t="shared" si="66"/>
        <v>5.1999999999999993</v>
      </c>
      <c r="AM437" s="80">
        <f>IF(T437="","",IF(T437="SIM",VLOOKUP($I437&amp;$J437&amp;T$1,Pesos!$A:$I,7,FALSE),VLOOKUP($I437&amp;$J437&amp;T$1,Pesos!$A:$I,9,FALSE)))</f>
        <v>-4.0000000000000008E-2</v>
      </c>
      <c r="AN437" s="80">
        <f>IF(U437="","",IF(U437="SIM",VLOOKUP($I437&amp;$J437&amp;U$1,Pesos!$A:$I,7,FALSE),VLOOKUP($I437&amp;$J437&amp;U$1,Pesos!$A:$I,9,FALSE)))</f>
        <v>0.8</v>
      </c>
      <c r="AO437" s="80">
        <f>IF(V437="","",IF(V437="SIM",VLOOKUP($I437&amp;$J437&amp;V$1,Pesos!$A:$I,7,FALSE),VLOOKUP($I437&amp;$J437&amp;V$1,Pesos!$A:$I,9,FALSE)))</f>
        <v>0.8</v>
      </c>
      <c r="AP437" s="80">
        <f>IF(W437="","",IF(W437="SIM",VLOOKUP($I437&amp;$J437&amp;W$1,Pesos!$A:$I,7,FALSE),VLOOKUP($I437&amp;$J437&amp;W$1,Pesos!$A:$I,9,FALSE)))</f>
        <v>0.8</v>
      </c>
      <c r="AQ437" s="80">
        <f>IF(X437="","",IF(X437="SIM",VLOOKUP($I437&amp;$J437&amp;X$1,Pesos!$A:$I,7,FALSE),VLOOKUP($I437&amp;$J437&amp;X$1,Pesos!$A:$I,9,FALSE)))</f>
        <v>0.8</v>
      </c>
      <c r="AR437" s="80">
        <f>IF(Y437="","",IF(Y437="SIM",VLOOKUP($I437&amp;$J437&amp;Y$1,Pesos!$A:$I,7,FALSE),VLOOKUP($I437&amp;$J437&amp;Y$1,Pesos!$A:$I,9,FALSE)))</f>
        <v>0.8</v>
      </c>
      <c r="AS437" s="81">
        <f>IFERROR(Z437*VLOOKUP(J437,'BD Campos'!$Y$1:$Z$12,2,FALSE),"0")</f>
        <v>9.16</v>
      </c>
    </row>
    <row r="438" spans="1:45" x14ac:dyDescent="0.35">
      <c r="A438" s="68" t="str">
        <f t="shared" si="68"/>
        <v>Fev202510941ReceptivaDISTRIBUIÇÃO</v>
      </c>
      <c r="B438" s="69" t="str">
        <f t="shared" si="69"/>
        <v>Fev2025109415DISTRIBUIÇÃOPADRÃO</v>
      </c>
      <c r="C438" s="70">
        <v>1</v>
      </c>
      <c r="D438" s="71">
        <v>45698.455344097223</v>
      </c>
      <c r="E438" s="112" t="s">
        <v>338</v>
      </c>
      <c r="F438" s="72">
        <v>10941</v>
      </c>
      <c r="G438" s="69" t="s">
        <v>102</v>
      </c>
      <c r="H438" s="73">
        <v>5</v>
      </c>
      <c r="I438" s="69" t="s">
        <v>6</v>
      </c>
      <c r="J438" s="69" t="s">
        <v>98</v>
      </c>
      <c r="K438" s="69" t="s">
        <v>23</v>
      </c>
      <c r="L438" s="74"/>
      <c r="M438" s="75">
        <v>1.5277777777777779E-3</v>
      </c>
      <c r="N438" s="76" t="s">
        <v>79</v>
      </c>
      <c r="O438" s="76" t="s">
        <v>79</v>
      </c>
      <c r="P438" s="76" t="s">
        <v>79</v>
      </c>
      <c r="Q438" s="76" t="s">
        <v>83</v>
      </c>
      <c r="R438" s="76" t="s">
        <v>79</v>
      </c>
      <c r="S438" s="76" t="s">
        <v>79</v>
      </c>
      <c r="T438" s="76" t="s">
        <v>83</v>
      </c>
      <c r="U438" s="76" t="s">
        <v>79</v>
      </c>
      <c r="V438" s="76" t="s">
        <v>79</v>
      </c>
      <c r="W438" s="76" t="s">
        <v>79</v>
      </c>
      <c r="X438" s="76" t="s">
        <v>79</v>
      </c>
      <c r="Y438" s="76" t="s">
        <v>79</v>
      </c>
      <c r="Z438" s="77">
        <f t="shared" si="38"/>
        <v>8.3199999999999985</v>
      </c>
      <c r="AA438" s="78"/>
      <c r="AB438" s="78"/>
      <c r="AC438" s="72" t="s">
        <v>47</v>
      </c>
      <c r="AE438" s="79" t="str">
        <f t="shared" si="67"/>
        <v>Fev10941</v>
      </c>
      <c r="AF438" s="80">
        <f>IF(N438="","",IF(N438="SIM",VLOOKUP($I438&amp;$J438&amp;N$1,Pesos!$A:$I,7,FALSE),VLOOKUP($I438&amp;$J438&amp;N$1,Pesos!$A:$I,9,FALSE)))</f>
        <v>0.8</v>
      </c>
      <c r="AG438" s="80">
        <f>IF(O438="","",IF(O438="SIM",VLOOKUP($I438&amp;$J438&amp;O$1,Pesos!$A:$I,7,FALSE),VLOOKUP($I438&amp;$J438&amp;O$1,Pesos!$A:$I,9,FALSE)))</f>
        <v>0.8</v>
      </c>
      <c r="AH438" s="80">
        <f>IF(P438="","",IF(P438="SIM",VLOOKUP($I438&amp;$J438&amp;P$1,Pesos!$A:$I,7,FALSE),VLOOKUP($I438&amp;$J438&amp;P$1,Pesos!$A:$I,9,FALSE)))</f>
        <v>1.2</v>
      </c>
      <c r="AI438" s="80">
        <f>IF(Q438="","",IF(Q438="SIM",VLOOKUP($I438&amp;$J438&amp;Q$1,Pesos!$A:$I,7,FALSE),VLOOKUP($I438&amp;$J438&amp;Q$1,Pesos!$A:$I,9,FALSE)))</f>
        <v>-4.0000000000000008E-2</v>
      </c>
      <c r="AJ438" s="80">
        <f>IF(R438="","",IF(R438="SIM",VLOOKUP($I438&amp;$J438&amp;R$1,Pesos!$A:$I,7,FALSE),VLOOKUP($I438&amp;$J438&amp;R$1,Pesos!$A:$I,9,FALSE)))</f>
        <v>0.8</v>
      </c>
      <c r="AK438" s="80">
        <f>IF(S438="","",IF(S438="SIM",VLOOKUP($I438&amp;$J438&amp;S$1,Pesos!$A:$I,7,FALSE),VLOOKUP($I438&amp;$J438&amp;S$1,Pesos!$A:$I,9,FALSE)))</f>
        <v>0.8</v>
      </c>
      <c r="AL438" s="80">
        <f t="shared" si="66"/>
        <v>4.3599999999999994</v>
      </c>
      <c r="AM438" s="80">
        <f>IF(T438="","",IF(T438="SIM",VLOOKUP($I438&amp;$J438&amp;T$1,Pesos!$A:$I,7,FALSE),VLOOKUP($I438&amp;$J438&amp;T$1,Pesos!$A:$I,9,FALSE)))</f>
        <v>-4.0000000000000008E-2</v>
      </c>
      <c r="AN438" s="80">
        <f>IF(U438="","",IF(U438="SIM",VLOOKUP($I438&amp;$J438&amp;U$1,Pesos!$A:$I,7,FALSE),VLOOKUP($I438&amp;$J438&amp;U$1,Pesos!$A:$I,9,FALSE)))</f>
        <v>0.8</v>
      </c>
      <c r="AO438" s="80">
        <f>IF(V438="","",IF(V438="SIM",VLOOKUP($I438&amp;$J438&amp;V$1,Pesos!$A:$I,7,FALSE),VLOOKUP($I438&amp;$J438&amp;V$1,Pesos!$A:$I,9,FALSE)))</f>
        <v>0.8</v>
      </c>
      <c r="AP438" s="80">
        <f>IF(W438="","",IF(W438="SIM",VLOOKUP($I438&amp;$J438&amp;W$1,Pesos!$A:$I,7,FALSE),VLOOKUP($I438&amp;$J438&amp;W$1,Pesos!$A:$I,9,FALSE)))</f>
        <v>0.8</v>
      </c>
      <c r="AQ438" s="80">
        <f>IF(X438="","",IF(X438="SIM",VLOOKUP($I438&amp;$J438&amp;X$1,Pesos!$A:$I,7,FALSE),VLOOKUP($I438&amp;$J438&amp;X$1,Pesos!$A:$I,9,FALSE)))</f>
        <v>0.8</v>
      </c>
      <c r="AR438" s="80">
        <f>IF(Y438="","",IF(Y438="SIM",VLOOKUP($I438&amp;$J438&amp;Y$1,Pesos!$A:$I,7,FALSE),VLOOKUP($I438&amp;$J438&amp;Y$1,Pesos!$A:$I,9,FALSE)))</f>
        <v>0.8</v>
      </c>
      <c r="AS438" s="81">
        <f>IFERROR(Z438*VLOOKUP(J438,'BD Campos'!$Y$1:$Z$12,2,FALSE),"0")</f>
        <v>8.3199999999999985</v>
      </c>
    </row>
    <row r="439" spans="1:45" x14ac:dyDescent="0.35">
      <c r="A439" s="68" t="str">
        <f t="shared" si="68"/>
        <v>Fev202511068MotoristaDISTRIBUIÇÃO</v>
      </c>
      <c r="B439" s="69" t="str">
        <f t="shared" si="69"/>
        <v>Fev2025110681DISTRIBUIÇÃOPADRÃO</v>
      </c>
      <c r="C439" s="70">
        <v>1</v>
      </c>
      <c r="D439" s="71">
        <v>45698.457757175929</v>
      </c>
      <c r="E439" s="112" t="s">
        <v>338</v>
      </c>
      <c r="F439" s="72">
        <v>11068</v>
      </c>
      <c r="G439" s="69" t="s">
        <v>396</v>
      </c>
      <c r="H439" s="73">
        <v>1</v>
      </c>
      <c r="I439" s="69" t="s">
        <v>121</v>
      </c>
      <c r="J439" s="69" t="s">
        <v>122</v>
      </c>
      <c r="K439" s="69" t="s">
        <v>23</v>
      </c>
      <c r="L439" s="74">
        <v>31088611</v>
      </c>
      <c r="M439" s="75">
        <v>1.4467592592592594E-3</v>
      </c>
      <c r="N439" s="76" t="s">
        <v>79</v>
      </c>
      <c r="O439" s="76" t="s">
        <v>79</v>
      </c>
      <c r="P439" s="76" t="s">
        <v>79</v>
      </c>
      <c r="Q439" s="76" t="s">
        <v>79</v>
      </c>
      <c r="R439" s="76" t="s">
        <v>79</v>
      </c>
      <c r="S439" s="76" t="s">
        <v>83</v>
      </c>
      <c r="T439" s="76" t="s">
        <v>79</v>
      </c>
      <c r="U439" s="76" t="s">
        <v>79</v>
      </c>
      <c r="V439" s="76" t="s">
        <v>83</v>
      </c>
      <c r="W439" s="76" t="s">
        <v>79</v>
      </c>
      <c r="X439" s="76" t="s">
        <v>83</v>
      </c>
      <c r="Y439" s="76"/>
      <c r="Z439" s="77">
        <f t="shared" si="38"/>
        <v>7.0862500000000006</v>
      </c>
      <c r="AA439" s="78"/>
      <c r="AB439" s="78" t="s">
        <v>1624</v>
      </c>
      <c r="AC439" s="72" t="s">
        <v>47</v>
      </c>
      <c r="AE439" s="79" t="str">
        <f t="shared" si="67"/>
        <v>Fev11068</v>
      </c>
      <c r="AF439" s="80">
        <f>IF(N439="","",IF(N439="SIM",VLOOKUP($I439&amp;$J439&amp;N$1,Pesos!$A:$I,7,FALSE),VLOOKUP($I439&amp;$J439&amp;N$1,Pesos!$A:$I,9,FALSE)))</f>
        <v>0.89999999999999991</v>
      </c>
      <c r="AG439" s="80">
        <f>IF(O439="","",IF(O439="SIM",VLOOKUP($I439&amp;$J439&amp;O$1,Pesos!$A:$I,7,FALSE),VLOOKUP($I439&amp;$J439&amp;O$1,Pesos!$A:$I,9,FALSE)))</f>
        <v>0.89999999999999991</v>
      </c>
      <c r="AH439" s="80">
        <f>IF(P439="","",IF(P439="SIM",VLOOKUP($I439&amp;$J439&amp;P$1,Pesos!$A:$I,7,FALSE),VLOOKUP($I439&amp;$J439&amp;P$1,Pesos!$A:$I,9,FALSE)))</f>
        <v>0.89999999999999991</v>
      </c>
      <c r="AI439" s="80">
        <f>IF(Q439="","",IF(Q439="SIM",VLOOKUP($I439&amp;$J439&amp;Q$1,Pesos!$A:$I,7,FALSE),VLOOKUP($I439&amp;$J439&amp;Q$1,Pesos!$A:$I,9,FALSE)))</f>
        <v>0.89999999999999991</v>
      </c>
      <c r="AJ439" s="80">
        <f>IF(R439="","",IF(R439="SIM",VLOOKUP($I439&amp;$J439&amp;R$1,Pesos!$A:$I,7,FALSE),VLOOKUP($I439&amp;$J439&amp;R$1,Pesos!$A:$I,9,FALSE)))</f>
        <v>0.89999999999999991</v>
      </c>
      <c r="AK439" s="80">
        <f>IF(S439="","",IF(S439="SIM",VLOOKUP($I439&amp;$J439&amp;S$1,Pesos!$A:$I,7,FALSE),VLOOKUP($I439&amp;$J439&amp;S$1,Pesos!$A:$I,9,FALSE)))</f>
        <v>-4.4999999999999998E-2</v>
      </c>
      <c r="AL439" s="80">
        <f t="shared" si="66"/>
        <v>4.4550000000000001</v>
      </c>
      <c r="AM439" s="80">
        <f>IF(T439="","",IF(T439="SIM",VLOOKUP($I439&amp;$J439&amp;T$1,Pesos!$A:$I,7,FALSE),VLOOKUP($I439&amp;$J439&amp;T$1,Pesos!$A:$I,9,FALSE)))</f>
        <v>0.89999999999999991</v>
      </c>
      <c r="AN439" s="80">
        <f>IF(U439="","",IF(U439="SIM",VLOOKUP($I439&amp;$J439&amp;U$1,Pesos!$A:$I,7,FALSE),VLOOKUP($I439&amp;$J439&amp;U$1,Pesos!$A:$I,9,FALSE)))</f>
        <v>0.92500000000000004</v>
      </c>
      <c r="AO439" s="80">
        <f>IF(V439="","",IF(V439="SIM",VLOOKUP($I439&amp;$J439&amp;V$1,Pesos!$A:$I,7,FALSE),VLOOKUP($I439&amp;$J439&amp;V$1,Pesos!$A:$I,9,FALSE)))</f>
        <v>-4.6250000000000006E-2</v>
      </c>
      <c r="AP439" s="80">
        <f>IF(W439="","",IF(W439="SIM",VLOOKUP($I439&amp;$J439&amp;W$1,Pesos!$A:$I,7,FALSE),VLOOKUP($I439&amp;$J439&amp;W$1,Pesos!$A:$I,9,FALSE)))</f>
        <v>0.89999999999999991</v>
      </c>
      <c r="AQ439" s="80">
        <f>IF(X439="","",IF(X439="SIM",VLOOKUP($I439&amp;$J439&amp;X$1,Pesos!$A:$I,7,FALSE),VLOOKUP($I439&amp;$J439&amp;X$1,Pesos!$A:$I,9,FALSE)))</f>
        <v>-4.7500000000000001E-2</v>
      </c>
      <c r="AR439" s="80" t="str">
        <f>IF(Y439="","",IF(Y439="SIM",VLOOKUP($I439&amp;$J439&amp;Y$1,Pesos!$A:$I,7,FALSE),VLOOKUP($I439&amp;$J439&amp;Y$1,Pesos!$A:$I,9,FALSE)))</f>
        <v/>
      </c>
      <c r="AS439" s="81">
        <f>IFERROR(Z439*VLOOKUP(J439,'BD Campos'!$Y$1:$Z$12,2,FALSE),"0")</f>
        <v>7.0862500000000006</v>
      </c>
    </row>
    <row r="440" spans="1:45" x14ac:dyDescent="0.35">
      <c r="A440" s="68" t="str">
        <f t="shared" si="68"/>
        <v>Fev202511068ReceptivaDISTRIBUIÇÃO</v>
      </c>
      <c r="B440" s="69" t="str">
        <f t="shared" si="69"/>
        <v>Fev2025110685DISTRIBUIÇÃOPADRÃO</v>
      </c>
      <c r="C440" s="70">
        <v>1</v>
      </c>
      <c r="D440" s="71">
        <v>45698.459667708332</v>
      </c>
      <c r="E440" s="112" t="s">
        <v>338</v>
      </c>
      <c r="F440" s="72">
        <v>11068</v>
      </c>
      <c r="G440" s="69" t="s">
        <v>396</v>
      </c>
      <c r="H440" s="73">
        <v>5</v>
      </c>
      <c r="I440" s="69" t="s">
        <v>6</v>
      </c>
      <c r="J440" s="69" t="s">
        <v>98</v>
      </c>
      <c r="K440" s="69" t="s">
        <v>23</v>
      </c>
      <c r="L440" s="74"/>
      <c r="M440" s="75">
        <v>1.1921296296296296E-3</v>
      </c>
      <c r="N440" s="76" t="s">
        <v>79</v>
      </c>
      <c r="O440" s="76" t="s">
        <v>79</v>
      </c>
      <c r="P440" s="76" t="s">
        <v>79</v>
      </c>
      <c r="Q440" s="76" t="s">
        <v>79</v>
      </c>
      <c r="R440" s="76" t="s">
        <v>79</v>
      </c>
      <c r="S440" s="76" t="s">
        <v>79</v>
      </c>
      <c r="T440" s="76" t="s">
        <v>79</v>
      </c>
      <c r="U440" s="76" t="s">
        <v>79</v>
      </c>
      <c r="V440" s="76" t="s">
        <v>79</v>
      </c>
      <c r="W440" s="76" t="s">
        <v>79</v>
      </c>
      <c r="X440" s="76" t="s">
        <v>79</v>
      </c>
      <c r="Y440" s="76" t="s">
        <v>79</v>
      </c>
      <c r="Z440" s="77">
        <f t="shared" si="38"/>
        <v>10</v>
      </c>
      <c r="AA440" s="78"/>
      <c r="AB440" s="78"/>
      <c r="AC440" s="72" t="s">
        <v>47</v>
      </c>
      <c r="AE440" s="79" t="str">
        <f t="shared" si="67"/>
        <v>Fev11068</v>
      </c>
      <c r="AF440" s="80">
        <f>IF(N440="","",IF(N440="SIM",VLOOKUP($I440&amp;$J440&amp;N$1,Pesos!$A:$I,7,FALSE),VLOOKUP($I440&amp;$J440&amp;N$1,Pesos!$A:$I,9,FALSE)))</f>
        <v>0.8</v>
      </c>
      <c r="AG440" s="80">
        <f>IF(O440="","",IF(O440="SIM",VLOOKUP($I440&amp;$J440&amp;O$1,Pesos!$A:$I,7,FALSE),VLOOKUP($I440&amp;$J440&amp;O$1,Pesos!$A:$I,9,FALSE)))</f>
        <v>0.8</v>
      </c>
      <c r="AH440" s="80">
        <f>IF(P440="","",IF(P440="SIM",VLOOKUP($I440&amp;$J440&amp;P$1,Pesos!$A:$I,7,FALSE),VLOOKUP($I440&amp;$J440&amp;P$1,Pesos!$A:$I,9,FALSE)))</f>
        <v>1.2</v>
      </c>
      <c r="AI440" s="80">
        <f>IF(Q440="","",IF(Q440="SIM",VLOOKUP($I440&amp;$J440&amp;Q$1,Pesos!$A:$I,7,FALSE),VLOOKUP($I440&amp;$J440&amp;Q$1,Pesos!$A:$I,9,FALSE)))</f>
        <v>0.8</v>
      </c>
      <c r="AJ440" s="80">
        <f>IF(R440="","",IF(R440="SIM",VLOOKUP($I440&amp;$J440&amp;R$1,Pesos!$A:$I,7,FALSE),VLOOKUP($I440&amp;$J440&amp;R$1,Pesos!$A:$I,9,FALSE)))</f>
        <v>0.8</v>
      </c>
      <c r="AK440" s="80">
        <f>IF(S440="","",IF(S440="SIM",VLOOKUP($I440&amp;$J440&amp;S$1,Pesos!$A:$I,7,FALSE),VLOOKUP($I440&amp;$J440&amp;S$1,Pesos!$A:$I,9,FALSE)))</f>
        <v>0.8</v>
      </c>
      <c r="AL440" s="80">
        <f t="shared" si="66"/>
        <v>5.1999999999999993</v>
      </c>
      <c r="AM440" s="80">
        <f>IF(T440="","",IF(T440="SIM",VLOOKUP($I440&amp;$J440&amp;T$1,Pesos!$A:$I,7,FALSE),VLOOKUP($I440&amp;$J440&amp;T$1,Pesos!$A:$I,9,FALSE)))</f>
        <v>0.8</v>
      </c>
      <c r="AN440" s="80">
        <f>IF(U440="","",IF(U440="SIM",VLOOKUP($I440&amp;$J440&amp;U$1,Pesos!$A:$I,7,FALSE),VLOOKUP($I440&amp;$J440&amp;U$1,Pesos!$A:$I,9,FALSE)))</f>
        <v>0.8</v>
      </c>
      <c r="AO440" s="80">
        <f>IF(V440="","",IF(V440="SIM",VLOOKUP($I440&amp;$J440&amp;V$1,Pesos!$A:$I,7,FALSE),VLOOKUP($I440&amp;$J440&amp;V$1,Pesos!$A:$I,9,FALSE)))</f>
        <v>0.8</v>
      </c>
      <c r="AP440" s="80">
        <f>IF(W440="","",IF(W440="SIM",VLOOKUP($I440&amp;$J440&amp;W$1,Pesos!$A:$I,7,FALSE),VLOOKUP($I440&amp;$J440&amp;W$1,Pesos!$A:$I,9,FALSE)))</f>
        <v>0.8</v>
      </c>
      <c r="AQ440" s="80">
        <f>IF(X440="","",IF(X440="SIM",VLOOKUP($I440&amp;$J440&amp;X$1,Pesos!$A:$I,7,FALSE),VLOOKUP($I440&amp;$J440&amp;X$1,Pesos!$A:$I,9,FALSE)))</f>
        <v>0.8</v>
      </c>
      <c r="AR440" s="80">
        <f>IF(Y440="","",IF(Y440="SIM",VLOOKUP($I440&amp;$J440&amp;Y$1,Pesos!$A:$I,7,FALSE),VLOOKUP($I440&amp;$J440&amp;Y$1,Pesos!$A:$I,9,FALSE)))</f>
        <v>0.8</v>
      </c>
      <c r="AS440" s="81">
        <f>IFERROR(Z440*VLOOKUP(J440,'BD Campos'!$Y$1:$Z$12,2,FALSE),"0")</f>
        <v>10</v>
      </c>
    </row>
    <row r="441" spans="1:45" x14ac:dyDescent="0.35">
      <c r="A441" s="68" t="str">
        <f t="shared" si="68"/>
        <v>Fev202511091ReceptivaDISTRIBUIÇÃO</v>
      </c>
      <c r="B441" s="69" t="str">
        <f t="shared" si="69"/>
        <v>Fev2025110915DISTRIBUIÇÃOPADRÃO</v>
      </c>
      <c r="C441" s="70">
        <v>1</v>
      </c>
      <c r="D441" s="71">
        <v>45698.461548495368</v>
      </c>
      <c r="E441" s="112" t="s">
        <v>338</v>
      </c>
      <c r="F441" s="72">
        <v>11091</v>
      </c>
      <c r="G441" s="69" t="s">
        <v>423</v>
      </c>
      <c r="H441" s="73">
        <v>5</v>
      </c>
      <c r="I441" s="69" t="s">
        <v>6</v>
      </c>
      <c r="J441" s="69" t="s">
        <v>98</v>
      </c>
      <c r="K441" s="69" t="s">
        <v>23</v>
      </c>
      <c r="L441" s="74"/>
      <c r="M441" s="75">
        <v>8.1018518518518516E-4</v>
      </c>
      <c r="N441" s="76" t="s">
        <v>79</v>
      </c>
      <c r="O441" s="76" t="s">
        <v>79</v>
      </c>
      <c r="P441" s="76" t="s">
        <v>79</v>
      </c>
      <c r="Q441" s="76" t="s">
        <v>79</v>
      </c>
      <c r="R441" s="76" t="s">
        <v>79</v>
      </c>
      <c r="S441" s="76" t="s">
        <v>79</v>
      </c>
      <c r="T441" s="76" t="s">
        <v>79</v>
      </c>
      <c r="U441" s="76" t="s">
        <v>79</v>
      </c>
      <c r="V441" s="76" t="s">
        <v>79</v>
      </c>
      <c r="W441" s="76" t="s">
        <v>79</v>
      </c>
      <c r="X441" s="76" t="s">
        <v>79</v>
      </c>
      <c r="Y441" s="76" t="s">
        <v>79</v>
      </c>
      <c r="Z441" s="77">
        <f t="shared" si="38"/>
        <v>10</v>
      </c>
      <c r="AA441" s="78"/>
      <c r="AB441" s="78"/>
      <c r="AC441" s="72" t="s">
        <v>47</v>
      </c>
      <c r="AE441" s="79" t="str">
        <f t="shared" si="67"/>
        <v>Fev11091</v>
      </c>
      <c r="AF441" s="80">
        <f>IF(N441="","",IF(N441="SIM",VLOOKUP($I441&amp;$J441&amp;N$1,Pesos!$A:$I,7,FALSE),VLOOKUP($I441&amp;$J441&amp;N$1,Pesos!$A:$I,9,FALSE)))</f>
        <v>0.8</v>
      </c>
      <c r="AG441" s="80">
        <f>IF(O441="","",IF(O441="SIM",VLOOKUP($I441&amp;$J441&amp;O$1,Pesos!$A:$I,7,FALSE),VLOOKUP($I441&amp;$J441&amp;O$1,Pesos!$A:$I,9,FALSE)))</f>
        <v>0.8</v>
      </c>
      <c r="AH441" s="80">
        <f>IF(P441="","",IF(P441="SIM",VLOOKUP($I441&amp;$J441&amp;P$1,Pesos!$A:$I,7,FALSE),VLOOKUP($I441&amp;$J441&amp;P$1,Pesos!$A:$I,9,FALSE)))</f>
        <v>1.2</v>
      </c>
      <c r="AI441" s="80">
        <f>IF(Q441="","",IF(Q441="SIM",VLOOKUP($I441&amp;$J441&amp;Q$1,Pesos!$A:$I,7,FALSE),VLOOKUP($I441&amp;$J441&amp;Q$1,Pesos!$A:$I,9,FALSE)))</f>
        <v>0.8</v>
      </c>
      <c r="AJ441" s="80">
        <f>IF(R441="","",IF(R441="SIM",VLOOKUP($I441&amp;$J441&amp;R$1,Pesos!$A:$I,7,FALSE),VLOOKUP($I441&amp;$J441&amp;R$1,Pesos!$A:$I,9,FALSE)))</f>
        <v>0.8</v>
      </c>
      <c r="AK441" s="80">
        <f>IF(S441="","",IF(S441="SIM",VLOOKUP($I441&amp;$J441&amp;S$1,Pesos!$A:$I,7,FALSE),VLOOKUP($I441&amp;$J441&amp;S$1,Pesos!$A:$I,9,FALSE)))</f>
        <v>0.8</v>
      </c>
      <c r="AL441" s="80">
        <f t="shared" si="66"/>
        <v>5.1999999999999993</v>
      </c>
      <c r="AM441" s="80">
        <f>IF(T441="","",IF(T441="SIM",VLOOKUP($I441&amp;$J441&amp;T$1,Pesos!$A:$I,7,FALSE),VLOOKUP($I441&amp;$J441&amp;T$1,Pesos!$A:$I,9,FALSE)))</f>
        <v>0.8</v>
      </c>
      <c r="AN441" s="80">
        <f>IF(U441="","",IF(U441="SIM",VLOOKUP($I441&amp;$J441&amp;U$1,Pesos!$A:$I,7,FALSE),VLOOKUP($I441&amp;$J441&amp;U$1,Pesos!$A:$I,9,FALSE)))</f>
        <v>0.8</v>
      </c>
      <c r="AO441" s="80">
        <f>IF(V441="","",IF(V441="SIM",VLOOKUP($I441&amp;$J441&amp;V$1,Pesos!$A:$I,7,FALSE),VLOOKUP($I441&amp;$J441&amp;V$1,Pesos!$A:$I,9,FALSE)))</f>
        <v>0.8</v>
      </c>
      <c r="AP441" s="80">
        <f>IF(W441="","",IF(W441="SIM",VLOOKUP($I441&amp;$J441&amp;W$1,Pesos!$A:$I,7,FALSE),VLOOKUP($I441&amp;$J441&amp;W$1,Pesos!$A:$I,9,FALSE)))</f>
        <v>0.8</v>
      </c>
      <c r="AQ441" s="80">
        <f>IF(X441="","",IF(X441="SIM",VLOOKUP($I441&amp;$J441&amp;X$1,Pesos!$A:$I,7,FALSE),VLOOKUP($I441&amp;$J441&amp;X$1,Pesos!$A:$I,9,FALSE)))</f>
        <v>0.8</v>
      </c>
      <c r="AR441" s="80">
        <f>IF(Y441="","",IF(Y441="SIM",VLOOKUP($I441&amp;$J441&amp;Y$1,Pesos!$A:$I,7,FALSE),VLOOKUP($I441&amp;$J441&amp;Y$1,Pesos!$A:$I,9,FALSE)))</f>
        <v>0.8</v>
      </c>
      <c r="AS441" s="81">
        <f>IFERROR(Z441*VLOOKUP(J441,'BD Campos'!$Y$1:$Z$12,2,FALSE),"0")</f>
        <v>10</v>
      </c>
    </row>
    <row r="442" spans="1:45" x14ac:dyDescent="0.35">
      <c r="A442" s="68" t="str">
        <f t="shared" si="68"/>
        <v>Fev202511112ReceptivaDISTRIBUIÇÃO</v>
      </c>
      <c r="B442" s="69" t="str">
        <f t="shared" si="69"/>
        <v>Fev2025111125DISTRIBUIÇÃOPADRÃO</v>
      </c>
      <c r="C442" s="70">
        <v>1</v>
      </c>
      <c r="D442" s="71">
        <v>45698.469660185183</v>
      </c>
      <c r="E442" s="112" t="s">
        <v>338</v>
      </c>
      <c r="F442" s="72">
        <v>11112</v>
      </c>
      <c r="G442" s="69" t="s">
        <v>1367</v>
      </c>
      <c r="H442" s="73">
        <v>5</v>
      </c>
      <c r="I442" s="69" t="s">
        <v>6</v>
      </c>
      <c r="J442" s="69" t="s">
        <v>98</v>
      </c>
      <c r="K442" s="69" t="s">
        <v>23</v>
      </c>
      <c r="L442" s="74"/>
      <c r="M442" s="75">
        <v>1.6666666666666668E-3</v>
      </c>
      <c r="N442" s="76" t="s">
        <v>83</v>
      </c>
      <c r="O442" s="76" t="s">
        <v>79</v>
      </c>
      <c r="P442" s="76" t="s">
        <v>79</v>
      </c>
      <c r="Q442" s="76" t="s">
        <v>79</v>
      </c>
      <c r="R442" s="76" t="s">
        <v>79</v>
      </c>
      <c r="S442" s="76" t="s">
        <v>79</v>
      </c>
      <c r="T442" s="76" t="s">
        <v>79</v>
      </c>
      <c r="U442" s="76" t="s">
        <v>79</v>
      </c>
      <c r="V442" s="76" t="s">
        <v>79</v>
      </c>
      <c r="W442" s="76" t="s">
        <v>79</v>
      </c>
      <c r="X442" s="76" t="s">
        <v>79</v>
      </c>
      <c r="Y442" s="76" t="s">
        <v>79</v>
      </c>
      <c r="Z442" s="77">
        <f t="shared" si="38"/>
        <v>9.16</v>
      </c>
      <c r="AA442" s="78" t="s">
        <v>1616</v>
      </c>
      <c r="AB442" s="78"/>
      <c r="AC442" s="72" t="s">
        <v>47</v>
      </c>
      <c r="AE442" s="79" t="str">
        <f t="shared" si="67"/>
        <v>Fev11112</v>
      </c>
      <c r="AF442" s="80">
        <f>IF(N442="","",IF(N442="SIM",VLOOKUP($I442&amp;$J442&amp;N$1,Pesos!$A:$I,7,FALSE),VLOOKUP($I442&amp;$J442&amp;N$1,Pesos!$A:$I,9,FALSE)))</f>
        <v>-4.0000000000000008E-2</v>
      </c>
      <c r="AG442" s="80">
        <f>IF(O442="","",IF(O442="SIM",VLOOKUP($I442&amp;$J442&amp;O$1,Pesos!$A:$I,7,FALSE),VLOOKUP($I442&amp;$J442&amp;O$1,Pesos!$A:$I,9,FALSE)))</f>
        <v>0.8</v>
      </c>
      <c r="AH442" s="80">
        <f>IF(P442="","",IF(P442="SIM",VLOOKUP($I442&amp;$J442&amp;P$1,Pesos!$A:$I,7,FALSE),VLOOKUP($I442&amp;$J442&amp;P$1,Pesos!$A:$I,9,FALSE)))</f>
        <v>1.2</v>
      </c>
      <c r="AI442" s="80">
        <f>IF(Q442="","",IF(Q442="SIM",VLOOKUP($I442&amp;$J442&amp;Q$1,Pesos!$A:$I,7,FALSE),VLOOKUP($I442&amp;$J442&amp;Q$1,Pesos!$A:$I,9,FALSE)))</f>
        <v>0.8</v>
      </c>
      <c r="AJ442" s="80">
        <f>IF(R442="","",IF(R442="SIM",VLOOKUP($I442&amp;$J442&amp;R$1,Pesos!$A:$I,7,FALSE),VLOOKUP($I442&amp;$J442&amp;R$1,Pesos!$A:$I,9,FALSE)))</f>
        <v>0.8</v>
      </c>
      <c r="AK442" s="80">
        <f>IF(S442="","",IF(S442="SIM",VLOOKUP($I442&amp;$J442&amp;S$1,Pesos!$A:$I,7,FALSE),VLOOKUP($I442&amp;$J442&amp;S$1,Pesos!$A:$I,9,FALSE)))</f>
        <v>0.8</v>
      </c>
      <c r="AL442" s="80">
        <f t="shared" si="66"/>
        <v>4.3599999999999994</v>
      </c>
      <c r="AM442" s="80">
        <f>IF(T442="","",IF(T442="SIM",VLOOKUP($I442&amp;$J442&amp;T$1,Pesos!$A:$I,7,FALSE),VLOOKUP($I442&amp;$J442&amp;T$1,Pesos!$A:$I,9,FALSE)))</f>
        <v>0.8</v>
      </c>
      <c r="AN442" s="80">
        <f>IF(U442="","",IF(U442="SIM",VLOOKUP($I442&amp;$J442&amp;U$1,Pesos!$A:$I,7,FALSE),VLOOKUP($I442&amp;$J442&amp;U$1,Pesos!$A:$I,9,FALSE)))</f>
        <v>0.8</v>
      </c>
      <c r="AO442" s="80">
        <f>IF(V442="","",IF(V442="SIM",VLOOKUP($I442&amp;$J442&amp;V$1,Pesos!$A:$I,7,FALSE),VLOOKUP($I442&amp;$J442&amp;V$1,Pesos!$A:$I,9,FALSE)))</f>
        <v>0.8</v>
      </c>
      <c r="AP442" s="80">
        <f>IF(W442="","",IF(W442="SIM",VLOOKUP($I442&amp;$J442&amp;W$1,Pesos!$A:$I,7,FALSE),VLOOKUP($I442&amp;$J442&amp;W$1,Pesos!$A:$I,9,FALSE)))</f>
        <v>0.8</v>
      </c>
      <c r="AQ442" s="80">
        <f>IF(X442="","",IF(X442="SIM",VLOOKUP($I442&amp;$J442&amp;X$1,Pesos!$A:$I,7,FALSE),VLOOKUP($I442&amp;$J442&amp;X$1,Pesos!$A:$I,9,FALSE)))</f>
        <v>0.8</v>
      </c>
      <c r="AR442" s="80">
        <f>IF(Y442="","",IF(Y442="SIM",VLOOKUP($I442&amp;$J442&amp;Y$1,Pesos!$A:$I,7,FALSE),VLOOKUP($I442&amp;$J442&amp;Y$1,Pesos!$A:$I,9,FALSE)))</f>
        <v>0.8</v>
      </c>
      <c r="AS442" s="81">
        <f>IFERROR(Z442*VLOOKUP(J442,'BD Campos'!$Y$1:$Z$12,2,FALSE),"0")</f>
        <v>9.16</v>
      </c>
    </row>
    <row r="443" spans="1:45" x14ac:dyDescent="0.35">
      <c r="A443" s="68" t="str">
        <f t="shared" si="68"/>
        <v>Fev202511188ReceptivaDISTRIBUIÇÃO</v>
      </c>
      <c r="B443" s="69" t="str">
        <f t="shared" si="69"/>
        <v>Fev2025111885DISTRIBUIÇÃOPADRÃO</v>
      </c>
      <c r="C443" s="70">
        <v>1</v>
      </c>
      <c r="D443" s="71">
        <v>45698.472759027776</v>
      </c>
      <c r="E443" s="112" t="s">
        <v>338</v>
      </c>
      <c r="F443" s="72">
        <v>11188</v>
      </c>
      <c r="G443" s="69" t="s">
        <v>1377</v>
      </c>
      <c r="H443" s="73">
        <v>5</v>
      </c>
      <c r="I443" s="69" t="s">
        <v>6</v>
      </c>
      <c r="J443" s="69" t="s">
        <v>98</v>
      </c>
      <c r="K443" s="69" t="s">
        <v>23</v>
      </c>
      <c r="L443" s="74"/>
      <c r="M443" s="75">
        <v>2.0717592592592593E-3</v>
      </c>
      <c r="N443" s="76" t="s">
        <v>83</v>
      </c>
      <c r="O443" s="76" t="s">
        <v>79</v>
      </c>
      <c r="P443" s="76" t="s">
        <v>79</v>
      </c>
      <c r="Q443" s="76" t="s">
        <v>79</v>
      </c>
      <c r="R443" s="76" t="s">
        <v>79</v>
      </c>
      <c r="S443" s="76" t="s">
        <v>79</v>
      </c>
      <c r="T443" s="76" t="s">
        <v>79</v>
      </c>
      <c r="U443" s="76" t="s">
        <v>79</v>
      </c>
      <c r="V443" s="76" t="s">
        <v>79</v>
      </c>
      <c r="W443" s="76" t="s">
        <v>79</v>
      </c>
      <c r="X443" s="76" t="s">
        <v>79</v>
      </c>
      <c r="Y443" s="76" t="s">
        <v>79</v>
      </c>
      <c r="Z443" s="77">
        <f t="shared" si="38"/>
        <v>9.16</v>
      </c>
      <c r="AA443" s="78" t="s">
        <v>1616</v>
      </c>
      <c r="AB443" s="78"/>
      <c r="AC443" s="72" t="s">
        <v>47</v>
      </c>
      <c r="AE443" s="79" t="str">
        <f t="shared" si="67"/>
        <v>Fev11188</v>
      </c>
      <c r="AF443" s="80">
        <f>IF(N443="","",IF(N443="SIM",VLOOKUP($I443&amp;$J443&amp;N$1,Pesos!$A:$I,7,FALSE),VLOOKUP($I443&amp;$J443&amp;N$1,Pesos!$A:$I,9,FALSE)))</f>
        <v>-4.0000000000000008E-2</v>
      </c>
      <c r="AG443" s="80">
        <f>IF(O443="","",IF(O443="SIM",VLOOKUP($I443&amp;$J443&amp;O$1,Pesos!$A:$I,7,FALSE),VLOOKUP($I443&amp;$J443&amp;O$1,Pesos!$A:$I,9,FALSE)))</f>
        <v>0.8</v>
      </c>
      <c r="AH443" s="80">
        <f>IF(P443="","",IF(P443="SIM",VLOOKUP($I443&amp;$J443&amp;P$1,Pesos!$A:$I,7,FALSE),VLOOKUP($I443&amp;$J443&amp;P$1,Pesos!$A:$I,9,FALSE)))</f>
        <v>1.2</v>
      </c>
      <c r="AI443" s="80">
        <f>IF(Q443="","",IF(Q443="SIM",VLOOKUP($I443&amp;$J443&amp;Q$1,Pesos!$A:$I,7,FALSE),VLOOKUP($I443&amp;$J443&amp;Q$1,Pesos!$A:$I,9,FALSE)))</f>
        <v>0.8</v>
      </c>
      <c r="AJ443" s="80">
        <f>IF(R443="","",IF(R443="SIM",VLOOKUP($I443&amp;$J443&amp;R$1,Pesos!$A:$I,7,FALSE),VLOOKUP($I443&amp;$J443&amp;R$1,Pesos!$A:$I,9,FALSE)))</f>
        <v>0.8</v>
      </c>
      <c r="AK443" s="80">
        <f>IF(S443="","",IF(S443="SIM",VLOOKUP($I443&amp;$J443&amp;S$1,Pesos!$A:$I,7,FALSE),VLOOKUP($I443&amp;$J443&amp;S$1,Pesos!$A:$I,9,FALSE)))</f>
        <v>0.8</v>
      </c>
      <c r="AL443" s="80">
        <f t="shared" si="66"/>
        <v>4.3599999999999994</v>
      </c>
      <c r="AM443" s="80">
        <f>IF(T443="","",IF(T443="SIM",VLOOKUP($I443&amp;$J443&amp;T$1,Pesos!$A:$I,7,FALSE),VLOOKUP($I443&amp;$J443&amp;T$1,Pesos!$A:$I,9,FALSE)))</f>
        <v>0.8</v>
      </c>
      <c r="AN443" s="80">
        <f>IF(U443="","",IF(U443="SIM",VLOOKUP($I443&amp;$J443&amp;U$1,Pesos!$A:$I,7,FALSE),VLOOKUP($I443&amp;$J443&amp;U$1,Pesos!$A:$I,9,FALSE)))</f>
        <v>0.8</v>
      </c>
      <c r="AO443" s="80">
        <f>IF(V443="","",IF(V443="SIM",VLOOKUP($I443&amp;$J443&amp;V$1,Pesos!$A:$I,7,FALSE),VLOOKUP($I443&amp;$J443&amp;V$1,Pesos!$A:$I,9,FALSE)))</f>
        <v>0.8</v>
      </c>
      <c r="AP443" s="80">
        <f>IF(W443="","",IF(W443="SIM",VLOOKUP($I443&amp;$J443&amp;W$1,Pesos!$A:$I,7,FALSE),VLOOKUP($I443&amp;$J443&amp;W$1,Pesos!$A:$I,9,FALSE)))</f>
        <v>0.8</v>
      </c>
      <c r="AQ443" s="80">
        <f>IF(X443="","",IF(X443="SIM",VLOOKUP($I443&amp;$J443&amp;X$1,Pesos!$A:$I,7,FALSE),VLOOKUP($I443&amp;$J443&amp;X$1,Pesos!$A:$I,9,FALSE)))</f>
        <v>0.8</v>
      </c>
      <c r="AR443" s="80">
        <f>IF(Y443="","",IF(Y443="SIM",VLOOKUP($I443&amp;$J443&amp;Y$1,Pesos!$A:$I,7,FALSE),VLOOKUP($I443&amp;$J443&amp;Y$1,Pesos!$A:$I,9,FALSE)))</f>
        <v>0.8</v>
      </c>
      <c r="AS443" s="81">
        <f>IFERROR(Z443*VLOOKUP(J443,'BD Campos'!$Y$1:$Z$12,2,FALSE),"0")</f>
        <v>9.16</v>
      </c>
    </row>
    <row r="444" spans="1:45" x14ac:dyDescent="0.35">
      <c r="A444" s="68" t="str">
        <f t="shared" si="68"/>
        <v>Fev202511169MotoristaDISTRIBUIÇÃO</v>
      </c>
      <c r="B444" s="69" t="str">
        <f t="shared" si="69"/>
        <v>Fev2025111691DISTRIBUIÇÃOPADRÃO</v>
      </c>
      <c r="C444" s="70">
        <v>1</v>
      </c>
      <c r="D444" s="71">
        <v>45698.474669791663</v>
      </c>
      <c r="E444" s="112" t="s">
        <v>338</v>
      </c>
      <c r="F444" s="72">
        <v>11169</v>
      </c>
      <c r="G444" s="69" t="s">
        <v>1366</v>
      </c>
      <c r="H444" s="73">
        <v>1</v>
      </c>
      <c r="I444" s="69" t="s">
        <v>123</v>
      </c>
      <c r="J444" s="69" t="s">
        <v>122</v>
      </c>
      <c r="K444" s="69" t="s">
        <v>23</v>
      </c>
      <c r="L444" s="74">
        <v>31089595</v>
      </c>
      <c r="M444" s="75">
        <v>1.2037037037037038E-3</v>
      </c>
      <c r="N444" s="76" t="s">
        <v>79</v>
      </c>
      <c r="O444" s="76" t="s">
        <v>79</v>
      </c>
      <c r="P444" s="76" t="s">
        <v>79</v>
      </c>
      <c r="Q444" s="76" t="s">
        <v>79</v>
      </c>
      <c r="R444" s="76" t="s">
        <v>79</v>
      </c>
      <c r="S444" s="76" t="s">
        <v>79</v>
      </c>
      <c r="T444" s="76" t="s">
        <v>79</v>
      </c>
      <c r="U444" s="76" t="s">
        <v>79</v>
      </c>
      <c r="V444" s="76" t="s">
        <v>83</v>
      </c>
      <c r="W444" s="76" t="s">
        <v>79</v>
      </c>
      <c r="X444" s="76"/>
      <c r="Y444" s="76"/>
      <c r="Z444" s="77">
        <f t="shared" si="38"/>
        <v>8.9499999999999993</v>
      </c>
      <c r="AA444" s="78"/>
      <c r="AB444" s="78" t="s">
        <v>1625</v>
      </c>
      <c r="AC444" s="72" t="s">
        <v>47</v>
      </c>
      <c r="AE444" s="79" t="str">
        <f t="shared" si="67"/>
        <v>Fev11169</v>
      </c>
      <c r="AF444" s="80">
        <f>IF(N444="","",IF(N444="SIM",VLOOKUP($I444&amp;$J444&amp;N$1,Pesos!$A:$I,7,FALSE),VLOOKUP($I444&amp;$J444&amp;N$1,Pesos!$A:$I,9,FALSE)))</f>
        <v>1</v>
      </c>
      <c r="AG444" s="80">
        <f>IF(O444="","",IF(O444="SIM",VLOOKUP($I444&amp;$J444&amp;O$1,Pesos!$A:$I,7,FALSE),VLOOKUP($I444&amp;$J444&amp;O$1,Pesos!$A:$I,9,FALSE)))</f>
        <v>1</v>
      </c>
      <c r="AH444" s="80">
        <f>IF(P444="","",IF(P444="SIM",VLOOKUP($I444&amp;$J444&amp;P$1,Pesos!$A:$I,7,FALSE),VLOOKUP($I444&amp;$J444&amp;P$1,Pesos!$A:$I,9,FALSE)))</f>
        <v>1</v>
      </c>
      <c r="AI444" s="80">
        <f>IF(Q444="","",IF(Q444="SIM",VLOOKUP($I444&amp;$J444&amp;Q$1,Pesos!$A:$I,7,FALSE),VLOOKUP($I444&amp;$J444&amp;Q$1,Pesos!$A:$I,9,FALSE)))</f>
        <v>1</v>
      </c>
      <c r="AJ444" s="80">
        <f>IF(R444="","",IF(R444="SIM",VLOOKUP($I444&amp;$J444&amp;R$1,Pesos!$A:$I,7,FALSE),VLOOKUP($I444&amp;$J444&amp;R$1,Pesos!$A:$I,9,FALSE)))</f>
        <v>1</v>
      </c>
      <c r="AK444" s="80">
        <f>IF(S444="","",IF(S444="SIM",VLOOKUP($I444&amp;$J444&amp;S$1,Pesos!$A:$I,7,FALSE),VLOOKUP($I444&amp;$J444&amp;S$1,Pesos!$A:$I,9,FALSE)))</f>
        <v>1</v>
      </c>
      <c r="AL444" s="80">
        <f t="shared" si="66"/>
        <v>6</v>
      </c>
      <c r="AM444" s="80">
        <f>IF(T444="","",IF(T444="SIM",VLOOKUP($I444&amp;$J444&amp;T$1,Pesos!$A:$I,7,FALSE),VLOOKUP($I444&amp;$J444&amp;T$1,Pesos!$A:$I,9,FALSE)))</f>
        <v>1</v>
      </c>
      <c r="AN444" s="80">
        <f>IF(U444="","",IF(U444="SIM",VLOOKUP($I444&amp;$J444&amp;U$1,Pesos!$A:$I,7,FALSE),VLOOKUP($I444&amp;$J444&amp;U$1,Pesos!$A:$I,9,FALSE)))</f>
        <v>1</v>
      </c>
      <c r="AO444" s="80">
        <f>IF(V444="","",IF(V444="SIM",VLOOKUP($I444&amp;$J444&amp;V$1,Pesos!$A:$I,7,FALSE),VLOOKUP($I444&amp;$J444&amp;V$1,Pesos!$A:$I,9,FALSE)))</f>
        <v>-0.05</v>
      </c>
      <c r="AP444" s="80">
        <f>IF(W444="","",IF(W444="SIM",VLOOKUP($I444&amp;$J444&amp;W$1,Pesos!$A:$I,7,FALSE),VLOOKUP($I444&amp;$J444&amp;W$1,Pesos!$A:$I,9,FALSE)))</f>
        <v>1</v>
      </c>
      <c r="AQ444" s="80" t="str">
        <f>IF(X444="","",IF(X444="SIM",VLOOKUP($I444&amp;$J444&amp;X$1,Pesos!$A:$I,7,FALSE),VLOOKUP($I444&amp;$J444&amp;X$1,Pesos!$A:$I,9,FALSE)))</f>
        <v/>
      </c>
      <c r="AR444" s="80" t="str">
        <f>IF(Y444="","",IF(Y444="SIM",VLOOKUP($I444&amp;$J444&amp;Y$1,Pesos!$A:$I,7,FALSE),VLOOKUP($I444&amp;$J444&amp;Y$1,Pesos!$A:$I,9,FALSE)))</f>
        <v/>
      </c>
      <c r="AS444" s="81">
        <f>IFERROR(Z444*VLOOKUP(J444,'BD Campos'!$Y$1:$Z$12,2,FALSE),"0")</f>
        <v>8.9499999999999993</v>
      </c>
    </row>
    <row r="445" spans="1:45" x14ac:dyDescent="0.35">
      <c r="A445" s="68" t="str">
        <f t="shared" si="68"/>
        <v>Fev202511169ReceptivaDISTRIBUIÇÃO</v>
      </c>
      <c r="B445" s="69" t="str">
        <f t="shared" si="69"/>
        <v>Fev2025111695DISTRIBUIÇÃOPADRÃO</v>
      </c>
      <c r="C445" s="70">
        <v>1</v>
      </c>
      <c r="D445" s="71">
        <v>45698.479295023149</v>
      </c>
      <c r="E445" s="112" t="s">
        <v>338</v>
      </c>
      <c r="F445" s="72">
        <v>11169</v>
      </c>
      <c r="G445" s="69" t="s">
        <v>1366</v>
      </c>
      <c r="H445" s="73">
        <v>5</v>
      </c>
      <c r="I445" s="69" t="s">
        <v>6</v>
      </c>
      <c r="J445" s="69" t="s">
        <v>98</v>
      </c>
      <c r="K445" s="69" t="s">
        <v>23</v>
      </c>
      <c r="L445" s="74"/>
      <c r="M445" s="75">
        <v>7.407407407407407E-4</v>
      </c>
      <c r="N445" s="76" t="s">
        <v>83</v>
      </c>
      <c r="O445" s="76" t="s">
        <v>79</v>
      </c>
      <c r="P445" s="76" t="s">
        <v>79</v>
      </c>
      <c r="Q445" s="76" t="s">
        <v>79</v>
      </c>
      <c r="R445" s="76" t="s">
        <v>79</v>
      </c>
      <c r="S445" s="76" t="s">
        <v>79</v>
      </c>
      <c r="T445" s="76" t="s">
        <v>79</v>
      </c>
      <c r="U445" s="76" t="s">
        <v>79</v>
      </c>
      <c r="V445" s="76" t="s">
        <v>79</v>
      </c>
      <c r="W445" s="76" t="s">
        <v>79</v>
      </c>
      <c r="X445" s="76" t="s">
        <v>79</v>
      </c>
      <c r="Y445" s="76" t="s">
        <v>79</v>
      </c>
      <c r="Z445" s="77">
        <f t="shared" si="38"/>
        <v>9.16</v>
      </c>
      <c r="AA445" s="78" t="s">
        <v>1616</v>
      </c>
      <c r="AB445" s="78"/>
      <c r="AC445" s="72" t="s">
        <v>47</v>
      </c>
      <c r="AE445" s="79" t="str">
        <f t="shared" si="67"/>
        <v>Fev11169</v>
      </c>
      <c r="AF445" s="80">
        <f>IF(N445="","",IF(N445="SIM",VLOOKUP($I445&amp;$J445&amp;N$1,Pesos!$A:$I,7,FALSE),VLOOKUP($I445&amp;$J445&amp;N$1,Pesos!$A:$I,9,FALSE)))</f>
        <v>-4.0000000000000008E-2</v>
      </c>
      <c r="AG445" s="80">
        <f>IF(O445="","",IF(O445="SIM",VLOOKUP($I445&amp;$J445&amp;O$1,Pesos!$A:$I,7,FALSE),VLOOKUP($I445&amp;$J445&amp;O$1,Pesos!$A:$I,9,FALSE)))</f>
        <v>0.8</v>
      </c>
      <c r="AH445" s="80">
        <f>IF(P445="","",IF(P445="SIM",VLOOKUP($I445&amp;$J445&amp;P$1,Pesos!$A:$I,7,FALSE),VLOOKUP($I445&amp;$J445&amp;P$1,Pesos!$A:$I,9,FALSE)))</f>
        <v>1.2</v>
      </c>
      <c r="AI445" s="80">
        <f>IF(Q445="","",IF(Q445="SIM",VLOOKUP($I445&amp;$J445&amp;Q$1,Pesos!$A:$I,7,FALSE),VLOOKUP($I445&amp;$J445&amp;Q$1,Pesos!$A:$I,9,FALSE)))</f>
        <v>0.8</v>
      </c>
      <c r="AJ445" s="80">
        <f>IF(R445="","",IF(R445="SIM",VLOOKUP($I445&amp;$J445&amp;R$1,Pesos!$A:$I,7,FALSE),VLOOKUP($I445&amp;$J445&amp;R$1,Pesos!$A:$I,9,FALSE)))</f>
        <v>0.8</v>
      </c>
      <c r="AK445" s="80">
        <f>IF(S445="","",IF(S445="SIM",VLOOKUP($I445&amp;$J445&amp;S$1,Pesos!$A:$I,7,FALSE),VLOOKUP($I445&amp;$J445&amp;S$1,Pesos!$A:$I,9,FALSE)))</f>
        <v>0.8</v>
      </c>
      <c r="AL445" s="80">
        <f t="shared" si="66"/>
        <v>4.3599999999999994</v>
      </c>
      <c r="AM445" s="80">
        <f>IF(T445="","",IF(T445="SIM",VLOOKUP($I445&amp;$J445&amp;T$1,Pesos!$A:$I,7,FALSE),VLOOKUP($I445&amp;$J445&amp;T$1,Pesos!$A:$I,9,FALSE)))</f>
        <v>0.8</v>
      </c>
      <c r="AN445" s="80">
        <f>IF(U445="","",IF(U445="SIM",VLOOKUP($I445&amp;$J445&amp;U$1,Pesos!$A:$I,7,FALSE),VLOOKUP($I445&amp;$J445&amp;U$1,Pesos!$A:$I,9,FALSE)))</f>
        <v>0.8</v>
      </c>
      <c r="AO445" s="80">
        <f>IF(V445="","",IF(V445="SIM",VLOOKUP($I445&amp;$J445&amp;V$1,Pesos!$A:$I,7,FALSE),VLOOKUP($I445&amp;$J445&amp;V$1,Pesos!$A:$I,9,FALSE)))</f>
        <v>0.8</v>
      </c>
      <c r="AP445" s="80">
        <f>IF(W445="","",IF(W445="SIM",VLOOKUP($I445&amp;$J445&amp;W$1,Pesos!$A:$I,7,FALSE),VLOOKUP($I445&amp;$J445&amp;W$1,Pesos!$A:$I,9,FALSE)))</f>
        <v>0.8</v>
      </c>
      <c r="AQ445" s="80">
        <f>IF(X445="","",IF(X445="SIM",VLOOKUP($I445&amp;$J445&amp;X$1,Pesos!$A:$I,7,FALSE),VLOOKUP($I445&amp;$J445&amp;X$1,Pesos!$A:$I,9,FALSE)))</f>
        <v>0.8</v>
      </c>
      <c r="AR445" s="80">
        <f>IF(Y445="","",IF(Y445="SIM",VLOOKUP($I445&amp;$J445&amp;Y$1,Pesos!$A:$I,7,FALSE),VLOOKUP($I445&amp;$J445&amp;Y$1,Pesos!$A:$I,9,FALSE)))</f>
        <v>0.8</v>
      </c>
      <c r="AS445" s="81">
        <f>IFERROR(Z445*VLOOKUP(J445,'BD Campos'!$Y$1:$Z$12,2,FALSE),"0")</f>
        <v>9.16</v>
      </c>
    </row>
    <row r="446" spans="1:45" x14ac:dyDescent="0.35">
      <c r="A446" s="68" t="str">
        <f t="shared" si="68"/>
        <v>Fev202511202MotoristaDISTRIBUIÇÃO</v>
      </c>
      <c r="B446" s="69" t="str">
        <f t="shared" si="69"/>
        <v>Fev2025112021DISTRIBUIÇÃOPADRÃO</v>
      </c>
      <c r="C446" s="70">
        <v>1</v>
      </c>
      <c r="D446" s="71">
        <v>45698.481445138888</v>
      </c>
      <c r="E446" s="112" t="s">
        <v>338</v>
      </c>
      <c r="F446" s="72">
        <v>11202</v>
      </c>
      <c r="G446" s="69" t="s">
        <v>1378</v>
      </c>
      <c r="H446" s="73">
        <v>1</v>
      </c>
      <c r="I446" s="69" t="s">
        <v>147</v>
      </c>
      <c r="J446" s="69" t="s">
        <v>122</v>
      </c>
      <c r="K446" s="69" t="s">
        <v>23</v>
      </c>
      <c r="L446" s="74">
        <v>31085766</v>
      </c>
      <c r="M446" s="75">
        <v>1.2847222222222223E-3</v>
      </c>
      <c r="N446" s="76" t="s">
        <v>79</v>
      </c>
      <c r="O446" s="76" t="s">
        <v>79</v>
      </c>
      <c r="P446" s="76" t="s">
        <v>79</v>
      </c>
      <c r="Q446" s="76" t="s">
        <v>79</v>
      </c>
      <c r="R446" s="76" t="s">
        <v>79</v>
      </c>
      <c r="S446" s="76" t="s">
        <v>79</v>
      </c>
      <c r="T446" s="76" t="s">
        <v>79</v>
      </c>
      <c r="U446" s="76" t="s">
        <v>79</v>
      </c>
      <c r="V446" s="76"/>
      <c r="W446" s="76"/>
      <c r="X446" s="76"/>
      <c r="Y446" s="76"/>
      <c r="Z446" s="77">
        <f t="shared" si="38"/>
        <v>10</v>
      </c>
      <c r="AA446" s="78"/>
      <c r="AB446" s="78" t="s">
        <v>1626</v>
      </c>
      <c r="AC446" s="72" t="s">
        <v>47</v>
      </c>
      <c r="AE446" s="79" t="str">
        <f t="shared" si="67"/>
        <v>Fev11202</v>
      </c>
      <c r="AF446" s="80">
        <f>IF(N446="","",IF(N446="SIM",VLOOKUP($I446&amp;$J446&amp;N$1,Pesos!$A:$I,7,FALSE),VLOOKUP($I446&amp;$J446&amp;N$1,Pesos!$A:$I,9,FALSE)))</f>
        <v>1.1000000000000001</v>
      </c>
      <c r="AG446" s="80">
        <f>IF(O446="","",IF(O446="SIM",VLOOKUP($I446&amp;$J446&amp;O$1,Pesos!$A:$I,7,FALSE),VLOOKUP($I446&amp;$J446&amp;O$1,Pesos!$A:$I,9,FALSE)))</f>
        <v>1.1000000000000001</v>
      </c>
      <c r="AH446" s="80">
        <f>IF(P446="","",IF(P446="SIM",VLOOKUP($I446&amp;$J446&amp;P$1,Pesos!$A:$I,7,FALSE),VLOOKUP($I446&amp;$J446&amp;P$1,Pesos!$A:$I,9,FALSE)))</f>
        <v>1.1000000000000001</v>
      </c>
      <c r="AI446" s="80">
        <f>IF(Q446="","",IF(Q446="SIM",VLOOKUP($I446&amp;$J446&amp;Q$1,Pesos!$A:$I,7,FALSE),VLOOKUP($I446&amp;$J446&amp;Q$1,Pesos!$A:$I,9,FALSE)))</f>
        <v>1.1000000000000001</v>
      </c>
      <c r="AJ446" s="80">
        <f>IF(R446="","",IF(R446="SIM",VLOOKUP($I446&amp;$J446&amp;R$1,Pesos!$A:$I,7,FALSE),VLOOKUP($I446&amp;$J446&amp;R$1,Pesos!$A:$I,9,FALSE)))</f>
        <v>1.1000000000000001</v>
      </c>
      <c r="AK446" s="80">
        <f>IF(S446="","",IF(S446="SIM",VLOOKUP($I446&amp;$J446&amp;S$1,Pesos!$A:$I,7,FALSE),VLOOKUP($I446&amp;$J446&amp;S$1,Pesos!$A:$I,9,FALSE)))</f>
        <v>1.6</v>
      </c>
      <c r="AL446" s="80">
        <f t="shared" si="66"/>
        <v>7.1</v>
      </c>
      <c r="AM446" s="80">
        <f>IF(T446="","",IF(T446="SIM",VLOOKUP($I446&amp;$J446&amp;T$1,Pesos!$A:$I,7,FALSE),VLOOKUP($I446&amp;$J446&amp;T$1,Pesos!$A:$I,9,FALSE)))</f>
        <v>1.2</v>
      </c>
      <c r="AN446" s="80">
        <f>IF(U446="","",IF(U446="SIM",VLOOKUP($I446&amp;$J446&amp;U$1,Pesos!$A:$I,7,FALSE),VLOOKUP($I446&amp;$J446&amp;U$1,Pesos!$A:$I,9,FALSE)))</f>
        <v>1.7000000000000002</v>
      </c>
      <c r="AO446" s="80" t="str">
        <f>IF(V446="","",IF(V446="SIM",VLOOKUP($I446&amp;$J446&amp;V$1,Pesos!$A:$I,7,FALSE),VLOOKUP($I446&amp;$J446&amp;V$1,Pesos!$A:$I,9,FALSE)))</f>
        <v/>
      </c>
      <c r="AP446" s="80" t="str">
        <f>IF(W446="","",IF(W446="SIM",VLOOKUP($I446&amp;$J446&amp;W$1,Pesos!$A:$I,7,FALSE),VLOOKUP($I446&amp;$J446&amp;W$1,Pesos!$A:$I,9,FALSE)))</f>
        <v/>
      </c>
      <c r="AQ446" s="80" t="str">
        <f>IF(X446="","",IF(X446="SIM",VLOOKUP($I446&amp;$J446&amp;X$1,Pesos!$A:$I,7,FALSE),VLOOKUP($I446&amp;$J446&amp;X$1,Pesos!$A:$I,9,FALSE)))</f>
        <v/>
      </c>
      <c r="AR446" s="80" t="str">
        <f>IF(Y446="","",IF(Y446="SIM",VLOOKUP($I446&amp;$J446&amp;Y$1,Pesos!$A:$I,7,FALSE),VLOOKUP($I446&amp;$J446&amp;Y$1,Pesos!$A:$I,9,FALSE)))</f>
        <v/>
      </c>
      <c r="AS446" s="81">
        <f>IFERROR(Z446*VLOOKUP(J446,'BD Campos'!$Y$1:$Z$12,2,FALSE),"0")</f>
        <v>10</v>
      </c>
    </row>
    <row r="447" spans="1:45" x14ac:dyDescent="0.35">
      <c r="A447" s="68" t="str">
        <f t="shared" si="68"/>
        <v>Fev202511202ReceptivaDISTRIBUIÇÃO</v>
      </c>
      <c r="B447" s="69" t="str">
        <f t="shared" si="69"/>
        <v>Fev2025112025DISTRIBUIÇÃOPADRÃO</v>
      </c>
      <c r="C447" s="70">
        <v>1</v>
      </c>
      <c r="D447" s="71">
        <v>45698.48527488426</v>
      </c>
      <c r="E447" s="112" t="s">
        <v>338</v>
      </c>
      <c r="F447" s="72">
        <v>11202</v>
      </c>
      <c r="G447" s="69" t="s">
        <v>1378</v>
      </c>
      <c r="H447" s="73">
        <v>5</v>
      </c>
      <c r="I447" s="69" t="s">
        <v>6</v>
      </c>
      <c r="J447" s="69" t="s">
        <v>98</v>
      </c>
      <c r="K447" s="69" t="s">
        <v>23</v>
      </c>
      <c r="L447" s="74"/>
      <c r="M447" s="75">
        <v>1.4814814814814814E-3</v>
      </c>
      <c r="N447" s="76" t="s">
        <v>79</v>
      </c>
      <c r="O447" s="76" t="s">
        <v>79</v>
      </c>
      <c r="P447" s="76" t="s">
        <v>79</v>
      </c>
      <c r="Q447" s="76" t="s">
        <v>79</v>
      </c>
      <c r="R447" s="76" t="s">
        <v>79</v>
      </c>
      <c r="S447" s="76" t="s">
        <v>83</v>
      </c>
      <c r="T447" s="76" t="s">
        <v>79</v>
      </c>
      <c r="U447" s="76" t="s">
        <v>79</v>
      </c>
      <c r="V447" s="76" t="s">
        <v>79</v>
      </c>
      <c r="W447" s="76" t="s">
        <v>79</v>
      </c>
      <c r="X447" s="76" t="s">
        <v>79</v>
      </c>
      <c r="Y447" s="76" t="s">
        <v>79</v>
      </c>
      <c r="Z447" s="77">
        <f t="shared" si="38"/>
        <v>9.16</v>
      </c>
      <c r="AA447" s="78"/>
      <c r="AB447" s="78"/>
      <c r="AC447" s="72" t="s">
        <v>47</v>
      </c>
      <c r="AE447" s="79" t="str">
        <f t="shared" si="67"/>
        <v>Fev11202</v>
      </c>
      <c r="AF447" s="80">
        <f>IF(N447="","",IF(N447="SIM",VLOOKUP($I447&amp;$J447&amp;N$1,Pesos!$A:$I,7,FALSE),VLOOKUP($I447&amp;$J447&amp;N$1,Pesos!$A:$I,9,FALSE)))</f>
        <v>0.8</v>
      </c>
      <c r="AG447" s="80">
        <f>IF(O447="","",IF(O447="SIM",VLOOKUP($I447&amp;$J447&amp;O$1,Pesos!$A:$I,7,FALSE),VLOOKUP($I447&amp;$J447&amp;O$1,Pesos!$A:$I,9,FALSE)))</f>
        <v>0.8</v>
      </c>
      <c r="AH447" s="80">
        <f>IF(P447="","",IF(P447="SIM",VLOOKUP($I447&amp;$J447&amp;P$1,Pesos!$A:$I,7,FALSE),VLOOKUP($I447&amp;$J447&amp;P$1,Pesos!$A:$I,9,FALSE)))</f>
        <v>1.2</v>
      </c>
      <c r="AI447" s="80">
        <f>IF(Q447="","",IF(Q447="SIM",VLOOKUP($I447&amp;$J447&amp;Q$1,Pesos!$A:$I,7,FALSE),VLOOKUP($I447&amp;$J447&amp;Q$1,Pesos!$A:$I,9,FALSE)))</f>
        <v>0.8</v>
      </c>
      <c r="AJ447" s="80">
        <f>IF(R447="","",IF(R447="SIM",VLOOKUP($I447&amp;$J447&amp;R$1,Pesos!$A:$I,7,FALSE),VLOOKUP($I447&amp;$J447&amp;R$1,Pesos!$A:$I,9,FALSE)))</f>
        <v>0.8</v>
      </c>
      <c r="AK447" s="80">
        <f>IF(S447="","",IF(S447="SIM",VLOOKUP($I447&amp;$J447&amp;S$1,Pesos!$A:$I,7,FALSE),VLOOKUP($I447&amp;$J447&amp;S$1,Pesos!$A:$I,9,FALSE)))</f>
        <v>-4.0000000000000008E-2</v>
      </c>
      <c r="AL447" s="80">
        <f t="shared" si="66"/>
        <v>4.3599999999999994</v>
      </c>
      <c r="AM447" s="80">
        <f>IF(T447="","",IF(T447="SIM",VLOOKUP($I447&amp;$J447&amp;T$1,Pesos!$A:$I,7,FALSE),VLOOKUP($I447&amp;$J447&amp;T$1,Pesos!$A:$I,9,FALSE)))</f>
        <v>0.8</v>
      </c>
      <c r="AN447" s="80">
        <f>IF(U447="","",IF(U447="SIM",VLOOKUP($I447&amp;$J447&amp;U$1,Pesos!$A:$I,7,FALSE),VLOOKUP($I447&amp;$J447&amp;U$1,Pesos!$A:$I,9,FALSE)))</f>
        <v>0.8</v>
      </c>
      <c r="AO447" s="80">
        <f>IF(V447="","",IF(V447="SIM",VLOOKUP($I447&amp;$J447&amp;V$1,Pesos!$A:$I,7,FALSE),VLOOKUP($I447&amp;$J447&amp;V$1,Pesos!$A:$I,9,FALSE)))</f>
        <v>0.8</v>
      </c>
      <c r="AP447" s="80">
        <f>IF(W447="","",IF(W447="SIM",VLOOKUP($I447&amp;$J447&amp;W$1,Pesos!$A:$I,7,FALSE),VLOOKUP($I447&amp;$J447&amp;W$1,Pesos!$A:$I,9,FALSE)))</f>
        <v>0.8</v>
      </c>
      <c r="AQ447" s="80">
        <f>IF(X447="","",IF(X447="SIM",VLOOKUP($I447&amp;$J447&amp;X$1,Pesos!$A:$I,7,FALSE),VLOOKUP($I447&amp;$J447&amp;X$1,Pesos!$A:$I,9,FALSE)))</f>
        <v>0.8</v>
      </c>
      <c r="AR447" s="80">
        <f>IF(Y447="","",IF(Y447="SIM",VLOOKUP($I447&amp;$J447&amp;Y$1,Pesos!$A:$I,7,FALSE),VLOOKUP($I447&amp;$J447&amp;Y$1,Pesos!$A:$I,9,FALSE)))</f>
        <v>0.8</v>
      </c>
      <c r="AS447" s="81">
        <f>IFERROR(Z447*VLOOKUP(J447,'BD Campos'!$Y$1:$Z$12,2,FALSE),"0")</f>
        <v>9.16</v>
      </c>
    </row>
    <row r="448" spans="1:45" x14ac:dyDescent="0.35">
      <c r="A448" s="68" t="str">
        <f t="shared" si="68"/>
        <v>Fev202511203ReceptivaDISTRIBUIÇÃO</v>
      </c>
      <c r="B448" s="69" t="str">
        <f t="shared" si="69"/>
        <v>Fev2025112035DISTRIBUIÇÃOPADRÃO</v>
      </c>
      <c r="C448" s="70">
        <v>1</v>
      </c>
      <c r="D448" s="71">
        <v>45698.500565393515</v>
      </c>
      <c r="E448" s="112" t="s">
        <v>338</v>
      </c>
      <c r="F448" s="72">
        <v>11203</v>
      </c>
      <c r="G448" s="69" t="s">
        <v>1379</v>
      </c>
      <c r="H448" s="73">
        <v>5</v>
      </c>
      <c r="I448" s="69" t="s">
        <v>6</v>
      </c>
      <c r="J448" s="69" t="s">
        <v>98</v>
      </c>
      <c r="K448" s="69" t="s">
        <v>23</v>
      </c>
      <c r="L448" s="74"/>
      <c r="M448" s="75">
        <v>1.5856481481481479E-3</v>
      </c>
      <c r="N448" s="76" t="s">
        <v>83</v>
      </c>
      <c r="O448" s="76" t="s">
        <v>83</v>
      </c>
      <c r="P448" s="76" t="s">
        <v>79</v>
      </c>
      <c r="Q448" s="76" t="s">
        <v>79</v>
      </c>
      <c r="R448" s="76" t="s">
        <v>79</v>
      </c>
      <c r="S448" s="76" t="s">
        <v>79</v>
      </c>
      <c r="T448" s="76" t="s">
        <v>79</v>
      </c>
      <c r="U448" s="76" t="s">
        <v>79</v>
      </c>
      <c r="V448" s="76" t="s">
        <v>79</v>
      </c>
      <c r="W448" s="76" t="s">
        <v>79</v>
      </c>
      <c r="X448" s="76" t="s">
        <v>79</v>
      </c>
      <c r="Y448" s="76" t="s">
        <v>79</v>
      </c>
      <c r="Z448" s="77">
        <f t="shared" si="38"/>
        <v>8.3199999999999985</v>
      </c>
      <c r="AA448" s="78" t="s">
        <v>1627</v>
      </c>
      <c r="AB448" s="78"/>
      <c r="AC448" s="72" t="s">
        <v>47</v>
      </c>
      <c r="AE448" s="79" t="str">
        <f t="shared" si="67"/>
        <v>Fev11203</v>
      </c>
      <c r="AF448" s="80">
        <f>IF(N448="","",IF(N448="SIM",VLOOKUP($I448&amp;$J448&amp;N$1,Pesos!$A:$I,7,FALSE),VLOOKUP($I448&amp;$J448&amp;N$1,Pesos!$A:$I,9,FALSE)))</f>
        <v>-4.0000000000000008E-2</v>
      </c>
      <c r="AG448" s="80">
        <f>IF(O448="","",IF(O448="SIM",VLOOKUP($I448&amp;$J448&amp;O$1,Pesos!$A:$I,7,FALSE),VLOOKUP($I448&amp;$J448&amp;O$1,Pesos!$A:$I,9,FALSE)))</f>
        <v>-4.0000000000000008E-2</v>
      </c>
      <c r="AH448" s="80">
        <f>IF(P448="","",IF(P448="SIM",VLOOKUP($I448&amp;$J448&amp;P$1,Pesos!$A:$I,7,FALSE),VLOOKUP($I448&amp;$J448&amp;P$1,Pesos!$A:$I,9,FALSE)))</f>
        <v>1.2</v>
      </c>
      <c r="AI448" s="80">
        <f>IF(Q448="","",IF(Q448="SIM",VLOOKUP($I448&amp;$J448&amp;Q$1,Pesos!$A:$I,7,FALSE),VLOOKUP($I448&amp;$J448&amp;Q$1,Pesos!$A:$I,9,FALSE)))</f>
        <v>0.8</v>
      </c>
      <c r="AJ448" s="80">
        <f>IF(R448="","",IF(R448="SIM",VLOOKUP($I448&amp;$J448&amp;R$1,Pesos!$A:$I,7,FALSE),VLOOKUP($I448&amp;$J448&amp;R$1,Pesos!$A:$I,9,FALSE)))</f>
        <v>0.8</v>
      </c>
      <c r="AK448" s="80">
        <f>IF(S448="","",IF(S448="SIM",VLOOKUP($I448&amp;$J448&amp;S$1,Pesos!$A:$I,7,FALSE),VLOOKUP($I448&amp;$J448&amp;S$1,Pesos!$A:$I,9,FALSE)))</f>
        <v>0.8</v>
      </c>
      <c r="AL448" s="80">
        <f t="shared" si="66"/>
        <v>3.5199999999999996</v>
      </c>
      <c r="AM448" s="80">
        <f>IF(T448="","",IF(T448="SIM",VLOOKUP($I448&amp;$J448&amp;T$1,Pesos!$A:$I,7,FALSE),VLOOKUP($I448&amp;$J448&amp;T$1,Pesos!$A:$I,9,FALSE)))</f>
        <v>0.8</v>
      </c>
      <c r="AN448" s="80">
        <f>IF(U448="","",IF(U448="SIM",VLOOKUP($I448&amp;$J448&amp;U$1,Pesos!$A:$I,7,FALSE),VLOOKUP($I448&amp;$J448&amp;U$1,Pesos!$A:$I,9,FALSE)))</f>
        <v>0.8</v>
      </c>
      <c r="AO448" s="80">
        <f>IF(V448="","",IF(V448="SIM",VLOOKUP($I448&amp;$J448&amp;V$1,Pesos!$A:$I,7,FALSE),VLOOKUP($I448&amp;$J448&amp;V$1,Pesos!$A:$I,9,FALSE)))</f>
        <v>0.8</v>
      </c>
      <c r="AP448" s="80">
        <f>IF(W448="","",IF(W448="SIM",VLOOKUP($I448&amp;$J448&amp;W$1,Pesos!$A:$I,7,FALSE),VLOOKUP($I448&amp;$J448&amp;W$1,Pesos!$A:$I,9,FALSE)))</f>
        <v>0.8</v>
      </c>
      <c r="AQ448" s="80">
        <f>IF(X448="","",IF(X448="SIM",VLOOKUP($I448&amp;$J448&amp;X$1,Pesos!$A:$I,7,FALSE),VLOOKUP($I448&amp;$J448&amp;X$1,Pesos!$A:$I,9,FALSE)))</f>
        <v>0.8</v>
      </c>
      <c r="AR448" s="80">
        <f>IF(Y448="","",IF(Y448="SIM",VLOOKUP($I448&amp;$J448&amp;Y$1,Pesos!$A:$I,7,FALSE),VLOOKUP($I448&amp;$J448&amp;Y$1,Pesos!$A:$I,9,FALSE)))</f>
        <v>0.8</v>
      </c>
      <c r="AS448" s="81">
        <f>IFERROR(Z448*VLOOKUP(J448,'BD Campos'!$Y$1:$Z$12,2,FALSE),"0")</f>
        <v>8.3199999999999985</v>
      </c>
    </row>
    <row r="449" spans="1:45" x14ac:dyDescent="0.35">
      <c r="A449" s="68" t="str">
        <f t="shared" si="68"/>
        <v>Fev202511165ReceptivaDISTRIBUIÇÃO</v>
      </c>
      <c r="B449" s="69" t="str">
        <f t="shared" si="69"/>
        <v>Fev2025111655DISTRIBUIÇÃOPADRÃO</v>
      </c>
      <c r="C449" s="70">
        <v>1</v>
      </c>
      <c r="D449" s="71">
        <v>45698.503771064818</v>
      </c>
      <c r="E449" s="112" t="s">
        <v>338</v>
      </c>
      <c r="F449" s="72">
        <v>11165</v>
      </c>
      <c r="G449" s="69" t="s">
        <v>1365</v>
      </c>
      <c r="H449" s="73">
        <v>5</v>
      </c>
      <c r="I449" s="69" t="s">
        <v>6</v>
      </c>
      <c r="J449" s="69" t="s">
        <v>98</v>
      </c>
      <c r="K449" s="69" t="s">
        <v>23</v>
      </c>
      <c r="L449" s="74"/>
      <c r="M449" s="75">
        <v>2.0370370370370373E-3</v>
      </c>
      <c r="N449" s="76" t="s">
        <v>83</v>
      </c>
      <c r="O449" s="76" t="s">
        <v>79</v>
      </c>
      <c r="P449" s="76" t="s">
        <v>79</v>
      </c>
      <c r="Q449" s="76" t="s">
        <v>79</v>
      </c>
      <c r="R449" s="76" t="s">
        <v>79</v>
      </c>
      <c r="S449" s="76" t="s">
        <v>79</v>
      </c>
      <c r="T449" s="76" t="s">
        <v>79</v>
      </c>
      <c r="U449" s="76" t="s">
        <v>79</v>
      </c>
      <c r="V449" s="76" t="s">
        <v>79</v>
      </c>
      <c r="W449" s="76" t="s">
        <v>79</v>
      </c>
      <c r="X449" s="76" t="s">
        <v>79</v>
      </c>
      <c r="Y449" s="76" t="s">
        <v>79</v>
      </c>
      <c r="Z449" s="77">
        <f t="shared" si="38"/>
        <v>9.16</v>
      </c>
      <c r="AA449" s="78" t="s">
        <v>1616</v>
      </c>
      <c r="AB449" s="78"/>
      <c r="AC449" s="72" t="s">
        <v>47</v>
      </c>
      <c r="AE449" s="79" t="str">
        <f t="shared" ref="AE449:AE455" si="70">E449&amp;F449</f>
        <v>Fev11165</v>
      </c>
      <c r="AF449" s="80">
        <f>IF(N449="","",IF(N449="SIM",VLOOKUP($I449&amp;$J449&amp;N$1,Pesos!$A:$I,7,FALSE),VLOOKUP($I449&amp;$J449&amp;N$1,Pesos!$A:$I,9,FALSE)))</f>
        <v>-4.0000000000000008E-2</v>
      </c>
      <c r="AG449" s="80">
        <f>IF(O449="","",IF(O449="SIM",VLOOKUP($I449&amp;$J449&amp;O$1,Pesos!$A:$I,7,FALSE),VLOOKUP($I449&amp;$J449&amp;O$1,Pesos!$A:$I,9,FALSE)))</f>
        <v>0.8</v>
      </c>
      <c r="AH449" s="80">
        <f>IF(P449="","",IF(P449="SIM",VLOOKUP($I449&amp;$J449&amp;P$1,Pesos!$A:$I,7,FALSE),VLOOKUP($I449&amp;$J449&amp;P$1,Pesos!$A:$I,9,FALSE)))</f>
        <v>1.2</v>
      </c>
      <c r="AI449" s="80">
        <f>IF(Q449="","",IF(Q449="SIM",VLOOKUP($I449&amp;$J449&amp;Q$1,Pesos!$A:$I,7,FALSE),VLOOKUP($I449&amp;$J449&amp;Q$1,Pesos!$A:$I,9,FALSE)))</f>
        <v>0.8</v>
      </c>
      <c r="AJ449" s="80">
        <f>IF(R449="","",IF(R449="SIM",VLOOKUP($I449&amp;$J449&amp;R$1,Pesos!$A:$I,7,FALSE),VLOOKUP($I449&amp;$J449&amp;R$1,Pesos!$A:$I,9,FALSE)))</f>
        <v>0.8</v>
      </c>
      <c r="AK449" s="80">
        <f>IF(S449="","",IF(S449="SIM",VLOOKUP($I449&amp;$J449&amp;S$1,Pesos!$A:$I,7,FALSE),VLOOKUP($I449&amp;$J449&amp;S$1,Pesos!$A:$I,9,FALSE)))</f>
        <v>0.8</v>
      </c>
      <c r="AL449" s="80">
        <f t="shared" si="66"/>
        <v>4.3599999999999994</v>
      </c>
      <c r="AM449" s="80">
        <f>IF(T449="","",IF(T449="SIM",VLOOKUP($I449&amp;$J449&amp;T$1,Pesos!$A:$I,7,FALSE),VLOOKUP($I449&amp;$J449&amp;T$1,Pesos!$A:$I,9,FALSE)))</f>
        <v>0.8</v>
      </c>
      <c r="AN449" s="80">
        <f>IF(U449="","",IF(U449="SIM",VLOOKUP($I449&amp;$J449&amp;U$1,Pesos!$A:$I,7,FALSE),VLOOKUP($I449&amp;$J449&amp;U$1,Pesos!$A:$I,9,FALSE)))</f>
        <v>0.8</v>
      </c>
      <c r="AO449" s="80">
        <f>IF(V449="","",IF(V449="SIM",VLOOKUP($I449&amp;$J449&amp;V$1,Pesos!$A:$I,7,FALSE),VLOOKUP($I449&amp;$J449&amp;V$1,Pesos!$A:$I,9,FALSE)))</f>
        <v>0.8</v>
      </c>
      <c r="AP449" s="80">
        <f>IF(W449="","",IF(W449="SIM",VLOOKUP($I449&amp;$J449&amp;W$1,Pesos!$A:$I,7,FALSE),VLOOKUP($I449&amp;$J449&amp;W$1,Pesos!$A:$I,9,FALSE)))</f>
        <v>0.8</v>
      </c>
      <c r="AQ449" s="80">
        <f>IF(X449="","",IF(X449="SIM",VLOOKUP($I449&amp;$J449&amp;X$1,Pesos!$A:$I,7,FALSE),VLOOKUP($I449&amp;$J449&amp;X$1,Pesos!$A:$I,9,FALSE)))</f>
        <v>0.8</v>
      </c>
      <c r="AR449" s="80">
        <f>IF(Y449="","",IF(Y449="SIM",VLOOKUP($I449&amp;$J449&amp;Y$1,Pesos!$A:$I,7,FALSE),VLOOKUP($I449&amp;$J449&amp;Y$1,Pesos!$A:$I,9,FALSE)))</f>
        <v>0.8</v>
      </c>
      <c r="AS449" s="81">
        <f>IFERROR(Z449*VLOOKUP(J449,'BD Campos'!$Y$1:$Z$12,2,FALSE),"0")</f>
        <v>9.16</v>
      </c>
    </row>
    <row r="450" spans="1:45" x14ac:dyDescent="0.35">
      <c r="A450" s="68" t="str">
        <f t="shared" si="68"/>
        <v>Fev202511159MotoristaDISTRIBUIÇÃO</v>
      </c>
      <c r="B450" s="69" t="str">
        <f t="shared" si="69"/>
        <v>Fev2025111591DISTRIBUIÇÃOPADRÃO</v>
      </c>
      <c r="C450" s="70">
        <v>1</v>
      </c>
      <c r="D450" s="71">
        <v>45698.505283217593</v>
      </c>
      <c r="E450" s="112" t="s">
        <v>338</v>
      </c>
      <c r="F450" s="72">
        <v>11159</v>
      </c>
      <c r="G450" s="69" t="s">
        <v>454</v>
      </c>
      <c r="H450" s="73">
        <v>1</v>
      </c>
      <c r="I450" s="69" t="s">
        <v>147</v>
      </c>
      <c r="J450" s="69" t="s">
        <v>122</v>
      </c>
      <c r="K450" s="69" t="s">
        <v>23</v>
      </c>
      <c r="L450" s="74">
        <v>31081719</v>
      </c>
      <c r="M450" s="75">
        <v>1.0648148148148147E-3</v>
      </c>
      <c r="N450" s="76" t="s">
        <v>79</v>
      </c>
      <c r="O450" s="76" t="s">
        <v>79</v>
      </c>
      <c r="P450" s="76" t="s">
        <v>79</v>
      </c>
      <c r="Q450" s="76" t="s">
        <v>79</v>
      </c>
      <c r="R450" s="76" t="s">
        <v>79</v>
      </c>
      <c r="S450" s="76" t="s">
        <v>79</v>
      </c>
      <c r="T450" s="76" t="s">
        <v>79</v>
      </c>
      <c r="U450" s="76" t="s">
        <v>79</v>
      </c>
      <c r="V450" s="76"/>
      <c r="W450" s="76"/>
      <c r="X450" s="76"/>
      <c r="Y450" s="76"/>
      <c r="Z450" s="77">
        <f t="shared" si="38"/>
        <v>10</v>
      </c>
      <c r="AA450" s="78"/>
      <c r="AB450" s="78" t="s">
        <v>1628</v>
      </c>
      <c r="AC450" s="72" t="s">
        <v>47</v>
      </c>
      <c r="AE450" s="79" t="str">
        <f t="shared" si="70"/>
        <v>Fev11159</v>
      </c>
      <c r="AF450" s="80">
        <f>IF(N450="","",IF(N450="SIM",VLOOKUP($I450&amp;$J450&amp;N$1,Pesos!$A:$I,7,FALSE),VLOOKUP($I450&amp;$J450&amp;N$1,Pesos!$A:$I,9,FALSE)))</f>
        <v>1.1000000000000001</v>
      </c>
      <c r="AG450" s="80">
        <f>IF(O450="","",IF(O450="SIM",VLOOKUP($I450&amp;$J450&amp;O$1,Pesos!$A:$I,7,FALSE),VLOOKUP($I450&amp;$J450&amp;O$1,Pesos!$A:$I,9,FALSE)))</f>
        <v>1.1000000000000001</v>
      </c>
      <c r="AH450" s="80">
        <f>IF(P450="","",IF(P450="SIM",VLOOKUP($I450&amp;$J450&amp;P$1,Pesos!$A:$I,7,FALSE),VLOOKUP($I450&amp;$J450&amp;P$1,Pesos!$A:$I,9,FALSE)))</f>
        <v>1.1000000000000001</v>
      </c>
      <c r="AI450" s="80">
        <f>IF(Q450="","",IF(Q450="SIM",VLOOKUP($I450&amp;$J450&amp;Q$1,Pesos!$A:$I,7,FALSE),VLOOKUP($I450&amp;$J450&amp;Q$1,Pesos!$A:$I,9,FALSE)))</f>
        <v>1.1000000000000001</v>
      </c>
      <c r="AJ450" s="80">
        <f>IF(R450="","",IF(R450="SIM",VLOOKUP($I450&amp;$J450&amp;R$1,Pesos!$A:$I,7,FALSE),VLOOKUP($I450&amp;$J450&amp;R$1,Pesos!$A:$I,9,FALSE)))</f>
        <v>1.1000000000000001</v>
      </c>
      <c r="AK450" s="80">
        <f>IF(S450="","",IF(S450="SIM",VLOOKUP($I450&amp;$J450&amp;S$1,Pesos!$A:$I,7,FALSE),VLOOKUP($I450&amp;$J450&amp;S$1,Pesos!$A:$I,9,FALSE)))</f>
        <v>1.6</v>
      </c>
      <c r="AL450" s="80">
        <f t="shared" si="66"/>
        <v>7.1</v>
      </c>
      <c r="AM450" s="80">
        <f>IF(T450="","",IF(T450="SIM",VLOOKUP($I450&amp;$J450&amp;T$1,Pesos!$A:$I,7,FALSE),VLOOKUP($I450&amp;$J450&amp;T$1,Pesos!$A:$I,9,FALSE)))</f>
        <v>1.2</v>
      </c>
      <c r="AN450" s="80">
        <f>IF(U450="","",IF(U450="SIM",VLOOKUP($I450&amp;$J450&amp;U$1,Pesos!$A:$I,7,FALSE),VLOOKUP($I450&amp;$J450&amp;U$1,Pesos!$A:$I,9,FALSE)))</f>
        <v>1.7000000000000002</v>
      </c>
      <c r="AO450" s="80" t="str">
        <f>IF(V450="","",IF(V450="SIM",VLOOKUP($I450&amp;$J450&amp;V$1,Pesos!$A:$I,7,FALSE),VLOOKUP($I450&amp;$J450&amp;V$1,Pesos!$A:$I,9,FALSE)))</f>
        <v/>
      </c>
      <c r="AP450" s="80" t="str">
        <f>IF(W450="","",IF(W450="SIM",VLOOKUP($I450&amp;$J450&amp;W$1,Pesos!$A:$I,7,FALSE),VLOOKUP($I450&amp;$J450&amp;W$1,Pesos!$A:$I,9,FALSE)))</f>
        <v/>
      </c>
      <c r="AQ450" s="80" t="str">
        <f>IF(X450="","",IF(X450="SIM",VLOOKUP($I450&amp;$J450&amp;X$1,Pesos!$A:$I,7,FALSE),VLOOKUP($I450&amp;$J450&amp;X$1,Pesos!$A:$I,9,FALSE)))</f>
        <v/>
      </c>
      <c r="AR450" s="80" t="str">
        <f>IF(Y450="","",IF(Y450="SIM",VLOOKUP($I450&amp;$J450&amp;Y$1,Pesos!$A:$I,7,FALSE),VLOOKUP($I450&amp;$J450&amp;Y$1,Pesos!$A:$I,9,FALSE)))</f>
        <v/>
      </c>
      <c r="AS450" s="81">
        <f>IFERROR(Z450*VLOOKUP(J450,'BD Campos'!$Y$1:$Z$12,2,FALSE),"0")</f>
        <v>10</v>
      </c>
    </row>
    <row r="451" spans="1:45" x14ac:dyDescent="0.35">
      <c r="A451" s="68" t="str">
        <f t="shared" si="68"/>
        <v>Fev202511159ReceptivaDISTRIBUIÇÃO</v>
      </c>
      <c r="B451" s="69" t="str">
        <f t="shared" si="69"/>
        <v>Fev2025111595DISTRIBUIÇÃOPADRÃO</v>
      </c>
      <c r="C451" s="70">
        <v>1</v>
      </c>
      <c r="D451" s="71">
        <v>45698.508471990739</v>
      </c>
      <c r="E451" s="112" t="s">
        <v>338</v>
      </c>
      <c r="F451" s="72">
        <v>11159</v>
      </c>
      <c r="G451" s="69" t="s">
        <v>454</v>
      </c>
      <c r="H451" s="73">
        <v>5</v>
      </c>
      <c r="I451" s="69" t="s">
        <v>6</v>
      </c>
      <c r="J451" s="69" t="s">
        <v>98</v>
      </c>
      <c r="K451" s="69" t="s">
        <v>23</v>
      </c>
      <c r="L451" s="74"/>
      <c r="M451" s="75">
        <v>9.9537037037037042E-4</v>
      </c>
      <c r="N451" s="76" t="s">
        <v>79</v>
      </c>
      <c r="O451" s="76" t="s">
        <v>79</v>
      </c>
      <c r="P451" s="76" t="s">
        <v>79</v>
      </c>
      <c r="Q451" s="76" t="s">
        <v>79</v>
      </c>
      <c r="R451" s="76" t="s">
        <v>79</v>
      </c>
      <c r="S451" s="76" t="s">
        <v>79</v>
      </c>
      <c r="T451" s="76" t="s">
        <v>79</v>
      </c>
      <c r="U451" s="76" t="s">
        <v>79</v>
      </c>
      <c r="V451" s="76" t="s">
        <v>79</v>
      </c>
      <c r="W451" s="76" t="s">
        <v>79</v>
      </c>
      <c r="X451" s="76" t="s">
        <v>79</v>
      </c>
      <c r="Y451" s="76" t="s">
        <v>79</v>
      </c>
      <c r="Z451" s="77">
        <f t="shared" si="38"/>
        <v>10</v>
      </c>
      <c r="AA451" s="78"/>
      <c r="AB451" s="78"/>
      <c r="AC451" s="72" t="s">
        <v>47</v>
      </c>
      <c r="AE451" s="79" t="str">
        <f t="shared" si="70"/>
        <v>Fev11159</v>
      </c>
      <c r="AF451" s="80">
        <f>IF(N451="","",IF(N451="SIM",VLOOKUP($I451&amp;$J451&amp;N$1,Pesos!$A:$I,7,FALSE),VLOOKUP($I451&amp;$J451&amp;N$1,Pesos!$A:$I,9,FALSE)))</f>
        <v>0.8</v>
      </c>
      <c r="AG451" s="80">
        <f>IF(O451="","",IF(O451="SIM",VLOOKUP($I451&amp;$J451&amp;O$1,Pesos!$A:$I,7,FALSE),VLOOKUP($I451&amp;$J451&amp;O$1,Pesos!$A:$I,9,FALSE)))</f>
        <v>0.8</v>
      </c>
      <c r="AH451" s="80">
        <f>IF(P451="","",IF(P451="SIM",VLOOKUP($I451&amp;$J451&amp;P$1,Pesos!$A:$I,7,FALSE),VLOOKUP($I451&amp;$J451&amp;P$1,Pesos!$A:$I,9,FALSE)))</f>
        <v>1.2</v>
      </c>
      <c r="AI451" s="80">
        <f>IF(Q451="","",IF(Q451="SIM",VLOOKUP($I451&amp;$J451&amp;Q$1,Pesos!$A:$I,7,FALSE),VLOOKUP($I451&amp;$J451&amp;Q$1,Pesos!$A:$I,9,FALSE)))</f>
        <v>0.8</v>
      </c>
      <c r="AJ451" s="80">
        <f>IF(R451="","",IF(R451="SIM",VLOOKUP($I451&amp;$J451&amp;R$1,Pesos!$A:$I,7,FALSE),VLOOKUP($I451&amp;$J451&amp;R$1,Pesos!$A:$I,9,FALSE)))</f>
        <v>0.8</v>
      </c>
      <c r="AK451" s="80">
        <f>IF(S451="","",IF(S451="SIM",VLOOKUP($I451&amp;$J451&amp;S$1,Pesos!$A:$I,7,FALSE),VLOOKUP($I451&amp;$J451&amp;S$1,Pesos!$A:$I,9,FALSE)))</f>
        <v>0.8</v>
      </c>
      <c r="AL451" s="80">
        <f t="shared" si="66"/>
        <v>5.1999999999999993</v>
      </c>
      <c r="AM451" s="80">
        <f>IF(T451="","",IF(T451="SIM",VLOOKUP($I451&amp;$J451&amp;T$1,Pesos!$A:$I,7,FALSE),VLOOKUP($I451&amp;$J451&amp;T$1,Pesos!$A:$I,9,FALSE)))</f>
        <v>0.8</v>
      </c>
      <c r="AN451" s="80">
        <f>IF(U451="","",IF(U451="SIM",VLOOKUP($I451&amp;$J451&amp;U$1,Pesos!$A:$I,7,FALSE),VLOOKUP($I451&amp;$J451&amp;U$1,Pesos!$A:$I,9,FALSE)))</f>
        <v>0.8</v>
      </c>
      <c r="AO451" s="80">
        <f>IF(V451="","",IF(V451="SIM",VLOOKUP($I451&amp;$J451&amp;V$1,Pesos!$A:$I,7,FALSE),VLOOKUP($I451&amp;$J451&amp;V$1,Pesos!$A:$I,9,FALSE)))</f>
        <v>0.8</v>
      </c>
      <c r="AP451" s="80">
        <f>IF(W451="","",IF(W451="SIM",VLOOKUP($I451&amp;$J451&amp;W$1,Pesos!$A:$I,7,FALSE),VLOOKUP($I451&amp;$J451&amp;W$1,Pesos!$A:$I,9,FALSE)))</f>
        <v>0.8</v>
      </c>
      <c r="AQ451" s="80">
        <f>IF(X451="","",IF(X451="SIM",VLOOKUP($I451&amp;$J451&amp;X$1,Pesos!$A:$I,7,FALSE),VLOOKUP($I451&amp;$J451&amp;X$1,Pesos!$A:$I,9,FALSE)))</f>
        <v>0.8</v>
      </c>
      <c r="AR451" s="80">
        <f>IF(Y451="","",IF(Y451="SIM",VLOOKUP($I451&amp;$J451&amp;Y$1,Pesos!$A:$I,7,FALSE),VLOOKUP($I451&amp;$J451&amp;Y$1,Pesos!$A:$I,9,FALSE)))</f>
        <v>0.8</v>
      </c>
      <c r="AS451" s="81">
        <f>IFERROR(Z451*VLOOKUP(J451,'BD Campos'!$Y$1:$Z$12,2,FALSE),"0")</f>
        <v>10</v>
      </c>
    </row>
    <row r="452" spans="1:45" x14ac:dyDescent="0.35">
      <c r="A452" s="68" t="str">
        <f t="shared" si="68"/>
        <v>Fev202511228MotoristaDISTRIBUIÇÃO</v>
      </c>
      <c r="B452" s="69" t="str">
        <f t="shared" si="69"/>
        <v>Fev2025112281DISTRIBUIÇÃOPADRÃO</v>
      </c>
      <c r="C452" s="70">
        <v>1</v>
      </c>
      <c r="D452" s="71">
        <v>45698.585055208336</v>
      </c>
      <c r="E452" s="112" t="s">
        <v>338</v>
      </c>
      <c r="F452" s="72">
        <v>11228</v>
      </c>
      <c r="G452" s="69" t="s">
        <v>1557</v>
      </c>
      <c r="H452" s="73">
        <v>1</v>
      </c>
      <c r="I452" s="69" t="s">
        <v>123</v>
      </c>
      <c r="J452" s="69" t="s">
        <v>122</v>
      </c>
      <c r="K452" s="69" t="s">
        <v>23</v>
      </c>
      <c r="L452" s="74">
        <v>31108721</v>
      </c>
      <c r="M452" s="75">
        <v>8.2175925925925917E-4</v>
      </c>
      <c r="N452" s="76" t="s">
        <v>79</v>
      </c>
      <c r="O452" s="76" t="s">
        <v>79</v>
      </c>
      <c r="P452" s="76" t="s">
        <v>79</v>
      </c>
      <c r="Q452" s="76" t="s">
        <v>79</v>
      </c>
      <c r="R452" s="76" t="s">
        <v>79</v>
      </c>
      <c r="S452" s="76" t="s">
        <v>79</v>
      </c>
      <c r="T452" s="76" t="s">
        <v>79</v>
      </c>
      <c r="U452" s="76" t="s">
        <v>79</v>
      </c>
      <c r="V452" s="76" t="s">
        <v>83</v>
      </c>
      <c r="W452" s="76" t="s">
        <v>79</v>
      </c>
      <c r="X452" s="76"/>
      <c r="Y452" s="76"/>
      <c r="Z452" s="77">
        <f t="shared" si="38"/>
        <v>8.9499999999999993</v>
      </c>
      <c r="AA452" s="78"/>
      <c r="AB452" s="78" t="s">
        <v>1629</v>
      </c>
      <c r="AC452" s="72" t="s">
        <v>47</v>
      </c>
      <c r="AE452" s="79" t="str">
        <f t="shared" si="70"/>
        <v>Fev11228</v>
      </c>
      <c r="AF452" s="80">
        <f>IF(N452="","",IF(N452="SIM",VLOOKUP($I452&amp;$J452&amp;N$1,Pesos!$A:$I,7,FALSE),VLOOKUP($I452&amp;$J452&amp;N$1,Pesos!$A:$I,9,FALSE)))</f>
        <v>1</v>
      </c>
      <c r="AG452" s="80">
        <f>IF(O452="","",IF(O452="SIM",VLOOKUP($I452&amp;$J452&amp;O$1,Pesos!$A:$I,7,FALSE),VLOOKUP($I452&amp;$J452&amp;O$1,Pesos!$A:$I,9,FALSE)))</f>
        <v>1</v>
      </c>
      <c r="AH452" s="80">
        <f>IF(P452="","",IF(P452="SIM",VLOOKUP($I452&amp;$J452&amp;P$1,Pesos!$A:$I,7,FALSE),VLOOKUP($I452&amp;$J452&amp;P$1,Pesos!$A:$I,9,FALSE)))</f>
        <v>1</v>
      </c>
      <c r="AI452" s="80">
        <f>IF(Q452="","",IF(Q452="SIM",VLOOKUP($I452&amp;$J452&amp;Q$1,Pesos!$A:$I,7,FALSE),VLOOKUP($I452&amp;$J452&amp;Q$1,Pesos!$A:$I,9,FALSE)))</f>
        <v>1</v>
      </c>
      <c r="AJ452" s="80">
        <f>IF(R452="","",IF(R452="SIM",VLOOKUP($I452&amp;$J452&amp;R$1,Pesos!$A:$I,7,FALSE),VLOOKUP($I452&amp;$J452&amp;R$1,Pesos!$A:$I,9,FALSE)))</f>
        <v>1</v>
      </c>
      <c r="AK452" s="80">
        <f>IF(S452="","",IF(S452="SIM",VLOOKUP($I452&amp;$J452&amp;S$1,Pesos!$A:$I,7,FALSE),VLOOKUP($I452&amp;$J452&amp;S$1,Pesos!$A:$I,9,FALSE)))</f>
        <v>1</v>
      </c>
      <c r="AL452" s="80">
        <f t="shared" si="66"/>
        <v>6</v>
      </c>
      <c r="AM452" s="80">
        <f>IF(T452="","",IF(T452="SIM",VLOOKUP($I452&amp;$J452&amp;T$1,Pesos!$A:$I,7,FALSE),VLOOKUP($I452&amp;$J452&amp;T$1,Pesos!$A:$I,9,FALSE)))</f>
        <v>1</v>
      </c>
      <c r="AN452" s="80">
        <f>IF(U452="","",IF(U452="SIM",VLOOKUP($I452&amp;$J452&amp;U$1,Pesos!$A:$I,7,FALSE),VLOOKUP($I452&amp;$J452&amp;U$1,Pesos!$A:$I,9,FALSE)))</f>
        <v>1</v>
      </c>
      <c r="AO452" s="80">
        <f>IF(V452="","",IF(V452="SIM",VLOOKUP($I452&amp;$J452&amp;V$1,Pesos!$A:$I,7,FALSE),VLOOKUP($I452&amp;$J452&amp;V$1,Pesos!$A:$I,9,FALSE)))</f>
        <v>-0.05</v>
      </c>
      <c r="AP452" s="80">
        <f>IF(W452="","",IF(W452="SIM",VLOOKUP($I452&amp;$J452&amp;W$1,Pesos!$A:$I,7,FALSE),VLOOKUP($I452&amp;$J452&amp;W$1,Pesos!$A:$I,9,FALSE)))</f>
        <v>1</v>
      </c>
      <c r="AQ452" s="80" t="str">
        <f>IF(X452="","",IF(X452="SIM",VLOOKUP($I452&amp;$J452&amp;X$1,Pesos!$A:$I,7,FALSE),VLOOKUP($I452&amp;$J452&amp;X$1,Pesos!$A:$I,9,FALSE)))</f>
        <v/>
      </c>
      <c r="AR452" s="80" t="str">
        <f>IF(Y452="","",IF(Y452="SIM",VLOOKUP($I452&amp;$J452&amp;Y$1,Pesos!$A:$I,7,FALSE),VLOOKUP($I452&amp;$J452&amp;Y$1,Pesos!$A:$I,9,FALSE)))</f>
        <v/>
      </c>
      <c r="AS452" s="81">
        <f>IFERROR(Z452*VLOOKUP(J452,'BD Campos'!$Y$1:$Z$12,2,FALSE),"0")</f>
        <v>8.9499999999999993</v>
      </c>
    </row>
    <row r="453" spans="1:45" x14ac:dyDescent="0.35">
      <c r="A453" s="68" t="str">
        <f t="shared" si="68"/>
        <v>Fev202511228ReceptivaDISTRIBUIÇÃO</v>
      </c>
      <c r="B453" s="69" t="str">
        <f t="shared" si="69"/>
        <v>Fev2025112285DISTRIBUIÇÃOPADRÃO</v>
      </c>
      <c r="C453" s="70">
        <v>1</v>
      </c>
      <c r="D453" s="71">
        <v>45698.587734837965</v>
      </c>
      <c r="E453" s="112" t="s">
        <v>338</v>
      </c>
      <c r="F453" s="72">
        <v>11228</v>
      </c>
      <c r="G453" s="69" t="s">
        <v>1557</v>
      </c>
      <c r="H453" s="73">
        <v>5</v>
      </c>
      <c r="I453" s="69" t="s">
        <v>6</v>
      </c>
      <c r="J453" s="69" t="s">
        <v>98</v>
      </c>
      <c r="K453" s="69" t="s">
        <v>23</v>
      </c>
      <c r="L453" s="74"/>
      <c r="M453" s="75">
        <v>2.1874999999999998E-3</v>
      </c>
      <c r="N453" s="76" t="s">
        <v>79</v>
      </c>
      <c r="O453" s="76" t="s">
        <v>79</v>
      </c>
      <c r="P453" s="76" t="s">
        <v>79</v>
      </c>
      <c r="Q453" s="76" t="s">
        <v>79</v>
      </c>
      <c r="R453" s="76" t="s">
        <v>79</v>
      </c>
      <c r="S453" s="76" t="s">
        <v>79</v>
      </c>
      <c r="T453" s="76" t="s">
        <v>79</v>
      </c>
      <c r="U453" s="76" t="s">
        <v>79</v>
      </c>
      <c r="V453" s="76" t="s">
        <v>79</v>
      </c>
      <c r="W453" s="76" t="s">
        <v>79</v>
      </c>
      <c r="X453" s="76" t="s">
        <v>79</v>
      </c>
      <c r="Y453" s="76" t="s">
        <v>79</v>
      </c>
      <c r="Z453" s="77">
        <f t="shared" si="38"/>
        <v>10</v>
      </c>
      <c r="AA453" s="78"/>
      <c r="AB453" s="78"/>
      <c r="AC453" s="72" t="s">
        <v>47</v>
      </c>
      <c r="AE453" s="79" t="str">
        <f t="shared" si="70"/>
        <v>Fev11228</v>
      </c>
      <c r="AF453" s="80">
        <f>IF(N453="","",IF(N453="SIM",VLOOKUP($I453&amp;$J453&amp;N$1,Pesos!$A:$I,7,FALSE),VLOOKUP($I453&amp;$J453&amp;N$1,Pesos!$A:$I,9,FALSE)))</f>
        <v>0.8</v>
      </c>
      <c r="AG453" s="80">
        <f>IF(O453="","",IF(O453="SIM",VLOOKUP($I453&amp;$J453&amp;O$1,Pesos!$A:$I,7,FALSE),VLOOKUP($I453&amp;$J453&amp;O$1,Pesos!$A:$I,9,FALSE)))</f>
        <v>0.8</v>
      </c>
      <c r="AH453" s="80">
        <f>IF(P453="","",IF(P453="SIM",VLOOKUP($I453&amp;$J453&amp;P$1,Pesos!$A:$I,7,FALSE),VLOOKUP($I453&amp;$J453&amp;P$1,Pesos!$A:$I,9,FALSE)))</f>
        <v>1.2</v>
      </c>
      <c r="AI453" s="80">
        <f>IF(Q453="","",IF(Q453="SIM",VLOOKUP($I453&amp;$J453&amp;Q$1,Pesos!$A:$I,7,FALSE),VLOOKUP($I453&amp;$J453&amp;Q$1,Pesos!$A:$I,9,FALSE)))</f>
        <v>0.8</v>
      </c>
      <c r="AJ453" s="80">
        <f>IF(R453="","",IF(R453="SIM",VLOOKUP($I453&amp;$J453&amp;R$1,Pesos!$A:$I,7,FALSE),VLOOKUP($I453&amp;$J453&amp;R$1,Pesos!$A:$I,9,FALSE)))</f>
        <v>0.8</v>
      </c>
      <c r="AK453" s="80">
        <f>IF(S453="","",IF(S453="SIM",VLOOKUP($I453&amp;$J453&amp;S$1,Pesos!$A:$I,7,FALSE),VLOOKUP($I453&amp;$J453&amp;S$1,Pesos!$A:$I,9,FALSE)))</f>
        <v>0.8</v>
      </c>
      <c r="AL453" s="80">
        <f t="shared" si="66"/>
        <v>5.1999999999999993</v>
      </c>
      <c r="AM453" s="80">
        <f>IF(T453="","",IF(T453="SIM",VLOOKUP($I453&amp;$J453&amp;T$1,Pesos!$A:$I,7,FALSE),VLOOKUP($I453&amp;$J453&amp;T$1,Pesos!$A:$I,9,FALSE)))</f>
        <v>0.8</v>
      </c>
      <c r="AN453" s="80">
        <f>IF(U453="","",IF(U453="SIM",VLOOKUP($I453&amp;$J453&amp;U$1,Pesos!$A:$I,7,FALSE),VLOOKUP($I453&amp;$J453&amp;U$1,Pesos!$A:$I,9,FALSE)))</f>
        <v>0.8</v>
      </c>
      <c r="AO453" s="80">
        <f>IF(V453="","",IF(V453="SIM",VLOOKUP($I453&amp;$J453&amp;V$1,Pesos!$A:$I,7,FALSE),VLOOKUP($I453&amp;$J453&amp;V$1,Pesos!$A:$I,9,FALSE)))</f>
        <v>0.8</v>
      </c>
      <c r="AP453" s="80">
        <f>IF(W453="","",IF(W453="SIM",VLOOKUP($I453&amp;$J453&amp;W$1,Pesos!$A:$I,7,FALSE),VLOOKUP($I453&amp;$J453&amp;W$1,Pesos!$A:$I,9,FALSE)))</f>
        <v>0.8</v>
      </c>
      <c r="AQ453" s="80">
        <f>IF(X453="","",IF(X453="SIM",VLOOKUP($I453&amp;$J453&amp;X$1,Pesos!$A:$I,7,FALSE),VLOOKUP($I453&amp;$J453&amp;X$1,Pesos!$A:$I,9,FALSE)))</f>
        <v>0.8</v>
      </c>
      <c r="AR453" s="80">
        <f>IF(Y453="","",IF(Y453="SIM",VLOOKUP($I453&amp;$J453&amp;Y$1,Pesos!$A:$I,7,FALSE),VLOOKUP($I453&amp;$J453&amp;Y$1,Pesos!$A:$I,9,FALSE)))</f>
        <v>0.8</v>
      </c>
      <c r="AS453" s="81">
        <f>IFERROR(Z453*VLOOKUP(J453,'BD Campos'!$Y$1:$Z$12,2,FALSE),"0")</f>
        <v>10</v>
      </c>
    </row>
    <row r="454" spans="1:45" x14ac:dyDescent="0.35">
      <c r="A454" s="68" t="str">
        <f t="shared" si="68"/>
        <v>Fev202510639ReceptivaDISTRIBUIÇÃO</v>
      </c>
      <c r="B454" s="69" t="str">
        <f t="shared" si="69"/>
        <v>Fev2025106395DISTRIBUIÇÃOPADRÃO</v>
      </c>
      <c r="C454" s="70">
        <v>1</v>
      </c>
      <c r="D454" s="71">
        <v>45698.592240393518</v>
      </c>
      <c r="E454" s="112" t="s">
        <v>338</v>
      </c>
      <c r="F454" s="72">
        <v>10639</v>
      </c>
      <c r="G454" s="69" t="s">
        <v>452</v>
      </c>
      <c r="H454" s="73">
        <v>5</v>
      </c>
      <c r="I454" s="69" t="s">
        <v>6</v>
      </c>
      <c r="J454" s="69" t="s">
        <v>98</v>
      </c>
      <c r="K454" s="69" t="s">
        <v>23</v>
      </c>
      <c r="L454" s="74"/>
      <c r="M454" s="75">
        <v>1.6782407407407406E-3</v>
      </c>
      <c r="N454" s="76" t="s">
        <v>79</v>
      </c>
      <c r="O454" s="76" t="s">
        <v>79</v>
      </c>
      <c r="P454" s="76" t="s">
        <v>79</v>
      </c>
      <c r="Q454" s="76" t="s">
        <v>79</v>
      </c>
      <c r="R454" s="76" t="s">
        <v>79</v>
      </c>
      <c r="S454" s="76" t="s">
        <v>79</v>
      </c>
      <c r="T454" s="76" t="s">
        <v>79</v>
      </c>
      <c r="U454" s="76" t="s">
        <v>79</v>
      </c>
      <c r="V454" s="76" t="s">
        <v>79</v>
      </c>
      <c r="W454" s="76" t="s">
        <v>79</v>
      </c>
      <c r="X454" s="76" t="s">
        <v>79</v>
      </c>
      <c r="Y454" s="76" t="s">
        <v>79</v>
      </c>
      <c r="Z454" s="77">
        <f t="shared" si="38"/>
        <v>10</v>
      </c>
      <c r="AA454" s="78"/>
      <c r="AB454" s="78"/>
      <c r="AC454" s="72" t="s">
        <v>47</v>
      </c>
      <c r="AE454" s="79" t="str">
        <f t="shared" si="70"/>
        <v>Fev10639</v>
      </c>
      <c r="AF454" s="80">
        <f>IF(N454="","",IF(N454="SIM",VLOOKUP($I454&amp;$J454&amp;N$1,Pesos!$A:$I,7,FALSE),VLOOKUP($I454&amp;$J454&amp;N$1,Pesos!$A:$I,9,FALSE)))</f>
        <v>0.8</v>
      </c>
      <c r="AG454" s="80">
        <f>IF(O454="","",IF(O454="SIM",VLOOKUP($I454&amp;$J454&amp;O$1,Pesos!$A:$I,7,FALSE),VLOOKUP($I454&amp;$J454&amp;O$1,Pesos!$A:$I,9,FALSE)))</f>
        <v>0.8</v>
      </c>
      <c r="AH454" s="80">
        <f>IF(P454="","",IF(P454="SIM",VLOOKUP($I454&amp;$J454&amp;P$1,Pesos!$A:$I,7,FALSE),VLOOKUP($I454&amp;$J454&amp;P$1,Pesos!$A:$I,9,FALSE)))</f>
        <v>1.2</v>
      </c>
      <c r="AI454" s="80">
        <f>IF(Q454="","",IF(Q454="SIM",VLOOKUP($I454&amp;$J454&amp;Q$1,Pesos!$A:$I,7,FALSE),VLOOKUP($I454&amp;$J454&amp;Q$1,Pesos!$A:$I,9,FALSE)))</f>
        <v>0.8</v>
      </c>
      <c r="AJ454" s="80">
        <f>IF(R454="","",IF(R454="SIM",VLOOKUP($I454&amp;$J454&amp;R$1,Pesos!$A:$I,7,FALSE),VLOOKUP($I454&amp;$J454&amp;R$1,Pesos!$A:$I,9,FALSE)))</f>
        <v>0.8</v>
      </c>
      <c r="AK454" s="80">
        <f>IF(S454="","",IF(S454="SIM",VLOOKUP($I454&amp;$J454&amp;S$1,Pesos!$A:$I,7,FALSE),VLOOKUP($I454&amp;$J454&amp;S$1,Pesos!$A:$I,9,FALSE)))</f>
        <v>0.8</v>
      </c>
      <c r="AL454" s="80">
        <f t="shared" si="66"/>
        <v>5.1999999999999993</v>
      </c>
      <c r="AM454" s="80">
        <f>IF(T454="","",IF(T454="SIM",VLOOKUP($I454&amp;$J454&amp;T$1,Pesos!$A:$I,7,FALSE),VLOOKUP($I454&amp;$J454&amp;T$1,Pesos!$A:$I,9,FALSE)))</f>
        <v>0.8</v>
      </c>
      <c r="AN454" s="80">
        <f>IF(U454="","",IF(U454="SIM",VLOOKUP($I454&amp;$J454&amp;U$1,Pesos!$A:$I,7,FALSE),VLOOKUP($I454&amp;$J454&amp;U$1,Pesos!$A:$I,9,FALSE)))</f>
        <v>0.8</v>
      </c>
      <c r="AO454" s="80">
        <f>IF(V454="","",IF(V454="SIM",VLOOKUP($I454&amp;$J454&amp;V$1,Pesos!$A:$I,7,FALSE),VLOOKUP($I454&amp;$J454&amp;V$1,Pesos!$A:$I,9,FALSE)))</f>
        <v>0.8</v>
      </c>
      <c r="AP454" s="80">
        <f>IF(W454="","",IF(W454="SIM",VLOOKUP($I454&amp;$J454&amp;W$1,Pesos!$A:$I,7,FALSE),VLOOKUP($I454&amp;$J454&amp;W$1,Pesos!$A:$I,9,FALSE)))</f>
        <v>0.8</v>
      </c>
      <c r="AQ454" s="80">
        <f>IF(X454="","",IF(X454="SIM",VLOOKUP($I454&amp;$J454&amp;X$1,Pesos!$A:$I,7,FALSE),VLOOKUP($I454&amp;$J454&amp;X$1,Pesos!$A:$I,9,FALSE)))</f>
        <v>0.8</v>
      </c>
      <c r="AR454" s="80">
        <f>IF(Y454="","",IF(Y454="SIM",VLOOKUP($I454&amp;$J454&amp;Y$1,Pesos!$A:$I,7,FALSE),VLOOKUP($I454&amp;$J454&amp;Y$1,Pesos!$A:$I,9,FALSE)))</f>
        <v>0.8</v>
      </c>
      <c r="AS454" s="81">
        <f>IFERROR(Z454*VLOOKUP(J454,'BD Campos'!$Y$1:$Z$12,2,FALSE),"0")</f>
        <v>10</v>
      </c>
    </row>
    <row r="455" spans="1:45" x14ac:dyDescent="0.35">
      <c r="A455" s="68" t="str">
        <f t="shared" si="68"/>
        <v>Fev202510845ReceptivaRECEPTIVO</v>
      </c>
      <c r="B455" s="69" t="str">
        <f t="shared" si="69"/>
        <v>Fev2025108455RECEPTIVOPADRÃO</v>
      </c>
      <c r="C455" s="70">
        <v>1</v>
      </c>
      <c r="D455" s="71">
        <v>45698.595219444447</v>
      </c>
      <c r="E455" s="112" t="s">
        <v>338</v>
      </c>
      <c r="F455" s="72">
        <v>10845</v>
      </c>
      <c r="G455" s="69" t="s">
        <v>96</v>
      </c>
      <c r="H455" s="73">
        <v>5</v>
      </c>
      <c r="I455" s="69" t="s">
        <v>97</v>
      </c>
      <c r="J455" s="69" t="s">
        <v>98</v>
      </c>
      <c r="K455" s="69" t="s">
        <v>99</v>
      </c>
      <c r="L455" s="74">
        <v>1739132999884500</v>
      </c>
      <c r="M455" s="75"/>
      <c r="N455" s="76" t="s">
        <v>83</v>
      </c>
      <c r="O455" s="76" t="s">
        <v>79</v>
      </c>
      <c r="P455" s="76" t="s">
        <v>79</v>
      </c>
      <c r="Q455" s="76" t="s">
        <v>79</v>
      </c>
      <c r="R455" s="76" t="s">
        <v>79</v>
      </c>
      <c r="S455" s="76" t="s">
        <v>83</v>
      </c>
      <c r="T455" s="76" t="s">
        <v>79</v>
      </c>
      <c r="U455" s="76" t="s">
        <v>79</v>
      </c>
      <c r="V455" s="76" t="s">
        <v>79</v>
      </c>
      <c r="W455" s="76" t="s">
        <v>79</v>
      </c>
      <c r="X455" s="76"/>
      <c r="Y455" s="76"/>
      <c r="Z455" s="77">
        <f t="shared" si="38"/>
        <v>7.9</v>
      </c>
      <c r="AA455" s="78"/>
      <c r="AB455" s="78"/>
      <c r="AC455" s="72" t="s">
        <v>47</v>
      </c>
      <c r="AE455" s="79" t="str">
        <f t="shared" si="70"/>
        <v>Fev10845</v>
      </c>
      <c r="AF455" s="80">
        <f>IF(N455="","",IF(N455="SIM",VLOOKUP($I455&amp;$J455&amp;N$1,Pesos!$A:$I,7,FALSE),VLOOKUP($I455&amp;$J455&amp;N$1,Pesos!$A:$I,9,FALSE)))</f>
        <v>-0.05</v>
      </c>
      <c r="AG455" s="80">
        <f>IF(O455="","",IF(O455="SIM",VLOOKUP($I455&amp;$J455&amp;O$1,Pesos!$A:$I,7,FALSE),VLOOKUP($I455&amp;$J455&amp;O$1,Pesos!$A:$I,9,FALSE)))</f>
        <v>1</v>
      </c>
      <c r="AH455" s="80">
        <f>IF(P455="","",IF(P455="SIM",VLOOKUP($I455&amp;$J455&amp;P$1,Pesos!$A:$I,7,FALSE),VLOOKUP($I455&amp;$J455&amp;P$1,Pesos!$A:$I,9,FALSE)))</f>
        <v>1</v>
      </c>
      <c r="AI455" s="80">
        <f>IF(Q455="","",IF(Q455="SIM",VLOOKUP($I455&amp;$J455&amp;Q$1,Pesos!$A:$I,7,FALSE),VLOOKUP($I455&amp;$J455&amp;Q$1,Pesos!$A:$I,9,FALSE)))</f>
        <v>1</v>
      </c>
      <c r="AJ455" s="80">
        <f>IF(R455="","",IF(R455="SIM",VLOOKUP($I455&amp;$J455&amp;R$1,Pesos!$A:$I,7,FALSE),VLOOKUP($I455&amp;$J455&amp;R$1,Pesos!$A:$I,9,FALSE)))</f>
        <v>1</v>
      </c>
      <c r="AK455" s="80">
        <f>IF(S455="","",IF(S455="SIM",VLOOKUP($I455&amp;$J455&amp;S$1,Pesos!$A:$I,7,FALSE),VLOOKUP($I455&amp;$J455&amp;S$1,Pesos!$A:$I,9,FALSE)))</f>
        <v>-0.05</v>
      </c>
      <c r="AL455" s="80">
        <f t="shared" si="66"/>
        <v>3.9000000000000004</v>
      </c>
      <c r="AM455" s="80">
        <f>IF(T455="","",IF(T455="SIM",VLOOKUP($I455&amp;$J455&amp;T$1,Pesos!$A:$I,7,FALSE),VLOOKUP($I455&amp;$J455&amp;T$1,Pesos!$A:$I,9,FALSE)))</f>
        <v>1</v>
      </c>
      <c r="AN455" s="80">
        <f>IF(U455="","",IF(U455="SIM",VLOOKUP($I455&amp;$J455&amp;U$1,Pesos!$A:$I,7,FALSE),VLOOKUP($I455&amp;$J455&amp;U$1,Pesos!$A:$I,9,FALSE)))</f>
        <v>1</v>
      </c>
      <c r="AO455" s="80">
        <f>IF(V455="","",IF(V455="SIM",VLOOKUP($I455&amp;$J455&amp;V$1,Pesos!$A:$I,7,FALSE),VLOOKUP($I455&amp;$J455&amp;V$1,Pesos!$A:$I,9,FALSE)))</f>
        <v>1</v>
      </c>
      <c r="AP455" s="80">
        <f>IF(W455="","",IF(W455="SIM",VLOOKUP($I455&amp;$J455&amp;W$1,Pesos!$A:$I,7,FALSE),VLOOKUP($I455&amp;$J455&amp;W$1,Pesos!$A:$I,9,FALSE)))</f>
        <v>1</v>
      </c>
      <c r="AQ455" s="80" t="str">
        <f>IF(X455="","",IF(X455="SIM",VLOOKUP($I455&amp;$J455&amp;X$1,Pesos!$A:$I,7,FALSE),VLOOKUP($I455&amp;$J455&amp;X$1,Pesos!$A:$I,9,FALSE)))</f>
        <v/>
      </c>
      <c r="AR455" s="80" t="str">
        <f>IF(Y455="","",IF(Y455="SIM",VLOOKUP($I455&amp;$J455&amp;Y$1,Pesos!$A:$I,7,FALSE),VLOOKUP($I455&amp;$J455&amp;Y$1,Pesos!$A:$I,9,FALSE)))</f>
        <v/>
      </c>
      <c r="AS455" s="81">
        <f>IFERROR(Z455*VLOOKUP(J455,'BD Campos'!$Y$1:$Z$12,2,FALSE),"0")</f>
        <v>7.9</v>
      </c>
    </row>
    <row r="456" spans="1:45" x14ac:dyDescent="0.35">
      <c r="A456" s="68" t="str">
        <f t="shared" si="68"/>
        <v>Fev202510845Receptiva 2RECEPTIVO</v>
      </c>
      <c r="B456" s="69" t="str">
        <f t="shared" si="69"/>
        <v>Fev2025108456RECEPTIVOPADRÃO</v>
      </c>
      <c r="C456" s="70">
        <v>1</v>
      </c>
      <c r="D456" s="71">
        <v>45698.597945486108</v>
      </c>
      <c r="E456" s="112" t="s">
        <v>338</v>
      </c>
      <c r="F456" s="72">
        <v>10845</v>
      </c>
      <c r="G456" s="69" t="s">
        <v>96</v>
      </c>
      <c r="H456" s="73">
        <v>6</v>
      </c>
      <c r="I456" s="69" t="s">
        <v>97</v>
      </c>
      <c r="J456" s="69" t="s">
        <v>100</v>
      </c>
      <c r="K456" s="69" t="s">
        <v>99</v>
      </c>
      <c r="L456" s="74">
        <v>1738613856353620</v>
      </c>
      <c r="M456" s="75"/>
      <c r="N456" s="76" t="s">
        <v>83</v>
      </c>
      <c r="O456" s="76" t="s">
        <v>79</v>
      </c>
      <c r="P456" s="76" t="s">
        <v>79</v>
      </c>
      <c r="Q456" s="76" t="s">
        <v>79</v>
      </c>
      <c r="R456" s="76" t="s">
        <v>79</v>
      </c>
      <c r="S456" s="76" t="s">
        <v>83</v>
      </c>
      <c r="T456" s="76" t="s">
        <v>83</v>
      </c>
      <c r="U456" s="76" t="s">
        <v>83</v>
      </c>
      <c r="V456" s="76" t="s">
        <v>79</v>
      </c>
      <c r="W456" s="76" t="s">
        <v>79</v>
      </c>
      <c r="X456" s="76"/>
      <c r="Y456" s="76"/>
      <c r="Z456" s="77">
        <f t="shared" si="38"/>
        <v>5.8000000000000007</v>
      </c>
      <c r="AA456" s="78"/>
      <c r="AB456" s="78"/>
      <c r="AC456" s="72" t="s">
        <v>47</v>
      </c>
      <c r="AE456" s="79" t="str">
        <f t="shared" ref="AE456:AE464" si="71">E456&amp;F456</f>
        <v>Fev10845</v>
      </c>
      <c r="AF456" s="80">
        <f>IF(N456="","",IF(N456="SIM",VLOOKUP($I456&amp;$J456&amp;N$1,Pesos!$A:$I,7,FALSE),VLOOKUP($I456&amp;$J456&amp;N$1,Pesos!$A:$I,9,FALSE)))</f>
        <v>-0.05</v>
      </c>
      <c r="AG456" s="80">
        <f>IF(O456="","",IF(O456="SIM",VLOOKUP($I456&amp;$J456&amp;O$1,Pesos!$A:$I,7,FALSE),VLOOKUP($I456&amp;$J456&amp;O$1,Pesos!$A:$I,9,FALSE)))</f>
        <v>1</v>
      </c>
      <c r="AH456" s="80">
        <f>IF(P456="","",IF(P456="SIM",VLOOKUP($I456&amp;$J456&amp;P$1,Pesos!$A:$I,7,FALSE),VLOOKUP($I456&amp;$J456&amp;P$1,Pesos!$A:$I,9,FALSE)))</f>
        <v>1</v>
      </c>
      <c r="AI456" s="80">
        <f>IF(Q456="","",IF(Q456="SIM",VLOOKUP($I456&amp;$J456&amp;Q$1,Pesos!$A:$I,7,FALSE),VLOOKUP($I456&amp;$J456&amp;Q$1,Pesos!$A:$I,9,FALSE)))</f>
        <v>1</v>
      </c>
      <c r="AJ456" s="80">
        <f>IF(R456="","",IF(R456="SIM",VLOOKUP($I456&amp;$J456&amp;R$1,Pesos!$A:$I,7,FALSE),VLOOKUP($I456&amp;$J456&amp;R$1,Pesos!$A:$I,9,FALSE)))</f>
        <v>1</v>
      </c>
      <c r="AK456" s="80">
        <f>IF(S456="","",IF(S456="SIM",VLOOKUP($I456&amp;$J456&amp;S$1,Pesos!$A:$I,7,FALSE),VLOOKUP($I456&amp;$J456&amp;S$1,Pesos!$A:$I,9,FALSE)))</f>
        <v>-0.05</v>
      </c>
      <c r="AL456" s="80">
        <f t="shared" si="66"/>
        <v>3.9000000000000004</v>
      </c>
      <c r="AM456" s="80">
        <f>IF(T456="","",IF(T456="SIM",VLOOKUP($I456&amp;$J456&amp;T$1,Pesos!$A:$I,7,FALSE),VLOOKUP($I456&amp;$J456&amp;T$1,Pesos!$A:$I,9,FALSE)))</f>
        <v>-0.05</v>
      </c>
      <c r="AN456" s="80">
        <f>IF(U456="","",IF(U456="SIM",VLOOKUP($I456&amp;$J456&amp;U$1,Pesos!$A:$I,7,FALSE),VLOOKUP($I456&amp;$J456&amp;U$1,Pesos!$A:$I,9,FALSE)))</f>
        <v>-0.05</v>
      </c>
      <c r="AO456" s="80">
        <f>IF(V456="","",IF(V456="SIM",VLOOKUP($I456&amp;$J456&amp;V$1,Pesos!$A:$I,7,FALSE),VLOOKUP($I456&amp;$J456&amp;V$1,Pesos!$A:$I,9,FALSE)))</f>
        <v>1</v>
      </c>
      <c r="AP456" s="80">
        <f>IF(W456="","",IF(W456="SIM",VLOOKUP($I456&amp;$J456&amp;W$1,Pesos!$A:$I,7,FALSE),VLOOKUP($I456&amp;$J456&amp;W$1,Pesos!$A:$I,9,FALSE)))</f>
        <v>1</v>
      </c>
      <c r="AQ456" s="80" t="str">
        <f>IF(X456="","",IF(X456="SIM",VLOOKUP($I456&amp;$J456&amp;X$1,Pesos!$A:$I,7,FALSE),VLOOKUP($I456&amp;$J456&amp;X$1,Pesos!$A:$I,9,FALSE)))</f>
        <v/>
      </c>
      <c r="AR456" s="80" t="str">
        <f>IF(Y456="","",IF(Y456="SIM",VLOOKUP($I456&amp;$J456&amp;Y$1,Pesos!$A:$I,7,FALSE),VLOOKUP($I456&amp;$J456&amp;Y$1,Pesos!$A:$I,9,FALSE)))</f>
        <v/>
      </c>
      <c r="AS456" s="81">
        <f>IFERROR(Z456*VLOOKUP(J456,'BD Campos'!$Y$1:$Z$12,2,FALSE),"0")</f>
        <v>5.8000000000000007</v>
      </c>
    </row>
    <row r="457" spans="1:45" x14ac:dyDescent="0.35">
      <c r="A457" s="68" t="str">
        <f t="shared" si="68"/>
        <v>Fev202511070ReceptivaRECEPTIVO</v>
      </c>
      <c r="B457" s="69" t="str">
        <f t="shared" si="69"/>
        <v>Fev2025110705RECEPTIVOPADRÃO</v>
      </c>
      <c r="C457" s="70">
        <v>1</v>
      </c>
      <c r="D457" s="71">
        <v>45698.599683912034</v>
      </c>
      <c r="E457" s="112" t="s">
        <v>338</v>
      </c>
      <c r="F457" s="72">
        <v>11070</v>
      </c>
      <c r="G457" s="69" t="s">
        <v>393</v>
      </c>
      <c r="H457" s="73">
        <v>5</v>
      </c>
      <c r="I457" s="69" t="s">
        <v>97</v>
      </c>
      <c r="J457" s="69" t="s">
        <v>98</v>
      </c>
      <c r="K457" s="69" t="s">
        <v>99</v>
      </c>
      <c r="L457" s="74">
        <v>173920607465930</v>
      </c>
      <c r="M457" s="75"/>
      <c r="N457" s="76" t="s">
        <v>79</v>
      </c>
      <c r="O457" s="76" t="s">
        <v>79</v>
      </c>
      <c r="P457" s="76" t="s">
        <v>79</v>
      </c>
      <c r="Q457" s="76" t="s">
        <v>79</v>
      </c>
      <c r="R457" s="76" t="s">
        <v>79</v>
      </c>
      <c r="S457" s="76" t="s">
        <v>79</v>
      </c>
      <c r="T457" s="76" t="s">
        <v>79</v>
      </c>
      <c r="U457" s="76" t="s">
        <v>79</v>
      </c>
      <c r="V457" s="76" t="s">
        <v>79</v>
      </c>
      <c r="W457" s="76" t="s">
        <v>79</v>
      </c>
      <c r="X457" s="76"/>
      <c r="Y457" s="76"/>
      <c r="Z457" s="77">
        <f t="shared" si="38"/>
        <v>10</v>
      </c>
      <c r="AA457" s="78"/>
      <c r="AB457" s="78"/>
      <c r="AC457" s="72" t="s">
        <v>47</v>
      </c>
      <c r="AE457" s="79" t="str">
        <f t="shared" si="71"/>
        <v>Fev11070</v>
      </c>
      <c r="AF457" s="80">
        <f>IF(N457="","",IF(N457="SIM",VLOOKUP($I457&amp;$J457&amp;N$1,Pesos!$A:$I,7,FALSE),VLOOKUP($I457&amp;$J457&amp;N$1,Pesos!$A:$I,9,FALSE)))</f>
        <v>1</v>
      </c>
      <c r="AG457" s="80">
        <f>IF(O457="","",IF(O457="SIM",VLOOKUP($I457&amp;$J457&amp;O$1,Pesos!$A:$I,7,FALSE),VLOOKUP($I457&amp;$J457&amp;O$1,Pesos!$A:$I,9,FALSE)))</f>
        <v>1</v>
      </c>
      <c r="AH457" s="80">
        <f>IF(P457="","",IF(P457="SIM",VLOOKUP($I457&amp;$J457&amp;P$1,Pesos!$A:$I,7,FALSE),VLOOKUP($I457&amp;$J457&amp;P$1,Pesos!$A:$I,9,FALSE)))</f>
        <v>1</v>
      </c>
      <c r="AI457" s="80">
        <f>IF(Q457="","",IF(Q457="SIM",VLOOKUP($I457&amp;$J457&amp;Q$1,Pesos!$A:$I,7,FALSE),VLOOKUP($I457&amp;$J457&amp;Q$1,Pesos!$A:$I,9,FALSE)))</f>
        <v>1</v>
      </c>
      <c r="AJ457" s="80">
        <f>IF(R457="","",IF(R457="SIM",VLOOKUP($I457&amp;$J457&amp;R$1,Pesos!$A:$I,7,FALSE),VLOOKUP($I457&amp;$J457&amp;R$1,Pesos!$A:$I,9,FALSE)))</f>
        <v>1</v>
      </c>
      <c r="AK457" s="80">
        <f>IF(S457="","",IF(S457="SIM",VLOOKUP($I457&amp;$J457&amp;S$1,Pesos!$A:$I,7,FALSE),VLOOKUP($I457&amp;$J457&amp;S$1,Pesos!$A:$I,9,FALSE)))</f>
        <v>1</v>
      </c>
      <c r="AL457" s="80">
        <f t="shared" si="66"/>
        <v>6</v>
      </c>
      <c r="AM457" s="80">
        <f>IF(T457="","",IF(T457="SIM",VLOOKUP($I457&amp;$J457&amp;T$1,Pesos!$A:$I,7,FALSE),VLOOKUP($I457&amp;$J457&amp;T$1,Pesos!$A:$I,9,FALSE)))</f>
        <v>1</v>
      </c>
      <c r="AN457" s="80">
        <f>IF(U457="","",IF(U457="SIM",VLOOKUP($I457&amp;$J457&amp;U$1,Pesos!$A:$I,7,FALSE),VLOOKUP($I457&amp;$J457&amp;U$1,Pesos!$A:$I,9,FALSE)))</f>
        <v>1</v>
      </c>
      <c r="AO457" s="80">
        <f>IF(V457="","",IF(V457="SIM",VLOOKUP($I457&amp;$J457&amp;V$1,Pesos!$A:$I,7,FALSE),VLOOKUP($I457&amp;$J457&amp;V$1,Pesos!$A:$I,9,FALSE)))</f>
        <v>1</v>
      </c>
      <c r="AP457" s="80">
        <f>IF(W457="","",IF(W457="SIM",VLOOKUP($I457&amp;$J457&amp;W$1,Pesos!$A:$I,7,FALSE),VLOOKUP($I457&amp;$J457&amp;W$1,Pesos!$A:$I,9,FALSE)))</f>
        <v>1</v>
      </c>
      <c r="AQ457" s="80" t="str">
        <f>IF(X457="","",IF(X457="SIM",VLOOKUP($I457&amp;$J457&amp;X$1,Pesos!$A:$I,7,FALSE),VLOOKUP($I457&amp;$J457&amp;X$1,Pesos!$A:$I,9,FALSE)))</f>
        <v/>
      </c>
      <c r="AR457" s="80" t="str">
        <f>IF(Y457="","",IF(Y457="SIM",VLOOKUP($I457&amp;$J457&amp;Y$1,Pesos!$A:$I,7,FALSE),VLOOKUP($I457&amp;$J457&amp;Y$1,Pesos!$A:$I,9,FALSE)))</f>
        <v/>
      </c>
      <c r="AS457" s="81">
        <f>IFERROR(Z457*VLOOKUP(J457,'BD Campos'!$Y$1:$Z$12,2,FALSE),"0")</f>
        <v>10</v>
      </c>
    </row>
    <row r="458" spans="1:45" x14ac:dyDescent="0.35">
      <c r="A458" s="68" t="str">
        <f t="shared" si="68"/>
        <v>Fev202511070Receptiva 2RECEPTIVO</v>
      </c>
      <c r="B458" s="69" t="str">
        <f t="shared" si="69"/>
        <v>Fev2025110706RECEPTIVOPADRÃO</v>
      </c>
      <c r="C458" s="70">
        <v>1</v>
      </c>
      <c r="D458" s="71">
        <v>45698.601015740744</v>
      </c>
      <c r="E458" s="112" t="s">
        <v>338</v>
      </c>
      <c r="F458" s="72">
        <v>11070</v>
      </c>
      <c r="G458" s="69" t="s">
        <v>393</v>
      </c>
      <c r="H458" s="73">
        <v>6</v>
      </c>
      <c r="I458" s="69" t="s">
        <v>97</v>
      </c>
      <c r="J458" s="69" t="s">
        <v>100</v>
      </c>
      <c r="K458" s="69" t="s">
        <v>99</v>
      </c>
      <c r="L458" s="74">
        <v>1738702335200920</v>
      </c>
      <c r="M458" s="75"/>
      <c r="N458" s="76" t="s">
        <v>79</v>
      </c>
      <c r="O458" s="76" t="s">
        <v>79</v>
      </c>
      <c r="P458" s="76" t="s">
        <v>79</v>
      </c>
      <c r="Q458" s="76" t="s">
        <v>79</v>
      </c>
      <c r="R458" s="76" t="s">
        <v>79</v>
      </c>
      <c r="S458" s="76" t="s">
        <v>83</v>
      </c>
      <c r="T458" s="76" t="s">
        <v>79</v>
      </c>
      <c r="U458" s="76" t="s">
        <v>79</v>
      </c>
      <c r="V458" s="76" t="s">
        <v>79</v>
      </c>
      <c r="W458" s="76" t="s">
        <v>79</v>
      </c>
      <c r="X458" s="76"/>
      <c r="Y458" s="76"/>
      <c r="Z458" s="77">
        <f t="shared" si="38"/>
        <v>8.9499999999999993</v>
      </c>
      <c r="AA458" s="78"/>
      <c r="AB458" s="78"/>
      <c r="AC458" s="72" t="s">
        <v>47</v>
      </c>
      <c r="AE458" s="79" t="str">
        <f t="shared" si="71"/>
        <v>Fev11070</v>
      </c>
      <c r="AF458" s="80">
        <f>IF(N458="","",IF(N458="SIM",VLOOKUP($I458&amp;$J458&amp;N$1,Pesos!$A:$I,7,FALSE),VLOOKUP($I458&amp;$J458&amp;N$1,Pesos!$A:$I,9,FALSE)))</f>
        <v>1</v>
      </c>
      <c r="AG458" s="80">
        <f>IF(O458="","",IF(O458="SIM",VLOOKUP($I458&amp;$J458&amp;O$1,Pesos!$A:$I,7,FALSE),VLOOKUP($I458&amp;$J458&amp;O$1,Pesos!$A:$I,9,FALSE)))</f>
        <v>1</v>
      </c>
      <c r="AH458" s="80">
        <f>IF(P458="","",IF(P458="SIM",VLOOKUP($I458&amp;$J458&amp;P$1,Pesos!$A:$I,7,FALSE),VLOOKUP($I458&amp;$J458&amp;P$1,Pesos!$A:$I,9,FALSE)))</f>
        <v>1</v>
      </c>
      <c r="AI458" s="80">
        <f>IF(Q458="","",IF(Q458="SIM",VLOOKUP($I458&amp;$J458&amp;Q$1,Pesos!$A:$I,7,FALSE),VLOOKUP($I458&amp;$J458&amp;Q$1,Pesos!$A:$I,9,FALSE)))</f>
        <v>1</v>
      </c>
      <c r="AJ458" s="80">
        <f>IF(R458="","",IF(R458="SIM",VLOOKUP($I458&amp;$J458&amp;R$1,Pesos!$A:$I,7,FALSE),VLOOKUP($I458&amp;$J458&amp;R$1,Pesos!$A:$I,9,FALSE)))</f>
        <v>1</v>
      </c>
      <c r="AK458" s="80">
        <f>IF(S458="","",IF(S458="SIM",VLOOKUP($I458&amp;$J458&amp;S$1,Pesos!$A:$I,7,FALSE),VLOOKUP($I458&amp;$J458&amp;S$1,Pesos!$A:$I,9,FALSE)))</f>
        <v>-0.05</v>
      </c>
      <c r="AL458" s="80">
        <f t="shared" si="66"/>
        <v>4.95</v>
      </c>
      <c r="AM458" s="80">
        <f>IF(T458="","",IF(T458="SIM",VLOOKUP($I458&amp;$J458&amp;T$1,Pesos!$A:$I,7,FALSE),VLOOKUP($I458&amp;$J458&amp;T$1,Pesos!$A:$I,9,FALSE)))</f>
        <v>1</v>
      </c>
      <c r="AN458" s="80">
        <f>IF(U458="","",IF(U458="SIM",VLOOKUP($I458&amp;$J458&amp;U$1,Pesos!$A:$I,7,FALSE),VLOOKUP($I458&amp;$J458&amp;U$1,Pesos!$A:$I,9,FALSE)))</f>
        <v>1</v>
      </c>
      <c r="AO458" s="80">
        <f>IF(V458="","",IF(V458="SIM",VLOOKUP($I458&amp;$J458&amp;V$1,Pesos!$A:$I,7,FALSE),VLOOKUP($I458&amp;$J458&amp;V$1,Pesos!$A:$I,9,FALSE)))</f>
        <v>1</v>
      </c>
      <c r="AP458" s="80">
        <f>IF(W458="","",IF(W458="SIM",VLOOKUP($I458&amp;$J458&amp;W$1,Pesos!$A:$I,7,FALSE),VLOOKUP($I458&amp;$J458&amp;W$1,Pesos!$A:$I,9,FALSE)))</f>
        <v>1</v>
      </c>
      <c r="AQ458" s="80" t="str">
        <f>IF(X458="","",IF(X458="SIM",VLOOKUP($I458&amp;$J458&amp;X$1,Pesos!$A:$I,7,FALSE),VLOOKUP($I458&amp;$J458&amp;X$1,Pesos!$A:$I,9,FALSE)))</f>
        <v/>
      </c>
      <c r="AR458" s="80" t="str">
        <f>IF(Y458="","",IF(Y458="SIM",VLOOKUP($I458&amp;$J458&amp;Y$1,Pesos!$A:$I,7,FALSE),VLOOKUP($I458&amp;$J458&amp;Y$1,Pesos!$A:$I,9,FALSE)))</f>
        <v/>
      </c>
      <c r="AS458" s="81">
        <f>IFERROR(Z458*VLOOKUP(J458,'BD Campos'!$Y$1:$Z$12,2,FALSE),"0")</f>
        <v>8.9499999999999993</v>
      </c>
    </row>
    <row r="459" spans="1:45" x14ac:dyDescent="0.35">
      <c r="A459" s="68" t="str">
        <f t="shared" si="68"/>
        <v>Fev202511042ReceptivaRECEPTIVO</v>
      </c>
      <c r="B459" s="69" t="str">
        <f t="shared" si="69"/>
        <v>Fev2025110425RECEPTIVOPADRÃO</v>
      </c>
      <c r="C459" s="70">
        <v>1</v>
      </c>
      <c r="D459" s="71">
        <v>45698.602521990739</v>
      </c>
      <c r="E459" s="112" t="s">
        <v>338</v>
      </c>
      <c r="F459" s="72">
        <v>11042</v>
      </c>
      <c r="G459" s="69" t="s">
        <v>375</v>
      </c>
      <c r="H459" s="73">
        <v>5</v>
      </c>
      <c r="I459" s="69" t="s">
        <v>97</v>
      </c>
      <c r="J459" s="69" t="s">
        <v>98</v>
      </c>
      <c r="K459" s="69" t="s">
        <v>99</v>
      </c>
      <c r="L459" s="74">
        <v>1739198913469330</v>
      </c>
      <c r="M459" s="75"/>
      <c r="N459" s="76" t="s">
        <v>83</v>
      </c>
      <c r="O459" s="76" t="s">
        <v>79</v>
      </c>
      <c r="P459" s="76" t="s">
        <v>79</v>
      </c>
      <c r="Q459" s="76" t="s">
        <v>79</v>
      </c>
      <c r="R459" s="76" t="s">
        <v>79</v>
      </c>
      <c r="S459" s="76" t="s">
        <v>83</v>
      </c>
      <c r="T459" s="76" t="s">
        <v>79</v>
      </c>
      <c r="U459" s="76" t="s">
        <v>79</v>
      </c>
      <c r="V459" s="76" t="s">
        <v>79</v>
      </c>
      <c r="W459" s="76" t="s">
        <v>79</v>
      </c>
      <c r="X459" s="76"/>
      <c r="Y459" s="76"/>
      <c r="Z459" s="77">
        <f t="shared" si="38"/>
        <v>7.9</v>
      </c>
      <c r="AA459" s="78"/>
      <c r="AB459" s="78"/>
      <c r="AC459" s="72" t="s">
        <v>47</v>
      </c>
      <c r="AE459" s="79" t="str">
        <f t="shared" si="71"/>
        <v>Fev11042</v>
      </c>
      <c r="AF459" s="80">
        <f>IF(N459="","",IF(N459="SIM",VLOOKUP($I459&amp;$J459&amp;N$1,Pesos!$A:$I,7,FALSE),VLOOKUP($I459&amp;$J459&amp;N$1,Pesos!$A:$I,9,FALSE)))</f>
        <v>-0.05</v>
      </c>
      <c r="AG459" s="80">
        <f>IF(O459="","",IF(O459="SIM",VLOOKUP($I459&amp;$J459&amp;O$1,Pesos!$A:$I,7,FALSE),VLOOKUP($I459&amp;$J459&amp;O$1,Pesos!$A:$I,9,FALSE)))</f>
        <v>1</v>
      </c>
      <c r="AH459" s="80">
        <f>IF(P459="","",IF(P459="SIM",VLOOKUP($I459&amp;$J459&amp;P$1,Pesos!$A:$I,7,FALSE),VLOOKUP($I459&amp;$J459&amp;P$1,Pesos!$A:$I,9,FALSE)))</f>
        <v>1</v>
      </c>
      <c r="AI459" s="80">
        <f>IF(Q459="","",IF(Q459="SIM",VLOOKUP($I459&amp;$J459&amp;Q$1,Pesos!$A:$I,7,FALSE),VLOOKUP($I459&amp;$J459&amp;Q$1,Pesos!$A:$I,9,FALSE)))</f>
        <v>1</v>
      </c>
      <c r="AJ459" s="80">
        <f>IF(R459="","",IF(R459="SIM",VLOOKUP($I459&amp;$J459&amp;R$1,Pesos!$A:$I,7,FALSE),VLOOKUP($I459&amp;$J459&amp;R$1,Pesos!$A:$I,9,FALSE)))</f>
        <v>1</v>
      </c>
      <c r="AK459" s="80">
        <f>IF(S459="","",IF(S459="SIM",VLOOKUP($I459&amp;$J459&amp;S$1,Pesos!$A:$I,7,FALSE),VLOOKUP($I459&amp;$J459&amp;S$1,Pesos!$A:$I,9,FALSE)))</f>
        <v>-0.05</v>
      </c>
      <c r="AL459" s="80">
        <f t="shared" si="66"/>
        <v>3.9000000000000004</v>
      </c>
      <c r="AM459" s="80">
        <f>IF(T459="","",IF(T459="SIM",VLOOKUP($I459&amp;$J459&amp;T$1,Pesos!$A:$I,7,FALSE),VLOOKUP($I459&amp;$J459&amp;T$1,Pesos!$A:$I,9,FALSE)))</f>
        <v>1</v>
      </c>
      <c r="AN459" s="80">
        <f>IF(U459="","",IF(U459="SIM",VLOOKUP($I459&amp;$J459&amp;U$1,Pesos!$A:$I,7,FALSE),VLOOKUP($I459&amp;$J459&amp;U$1,Pesos!$A:$I,9,FALSE)))</f>
        <v>1</v>
      </c>
      <c r="AO459" s="80">
        <f>IF(V459="","",IF(V459="SIM",VLOOKUP($I459&amp;$J459&amp;V$1,Pesos!$A:$I,7,FALSE),VLOOKUP($I459&amp;$J459&amp;V$1,Pesos!$A:$I,9,FALSE)))</f>
        <v>1</v>
      </c>
      <c r="AP459" s="80">
        <f>IF(W459="","",IF(W459="SIM",VLOOKUP($I459&amp;$J459&amp;W$1,Pesos!$A:$I,7,FALSE),VLOOKUP($I459&amp;$J459&amp;W$1,Pesos!$A:$I,9,FALSE)))</f>
        <v>1</v>
      </c>
      <c r="AQ459" s="80" t="str">
        <f>IF(X459="","",IF(X459="SIM",VLOOKUP($I459&amp;$J459&amp;X$1,Pesos!$A:$I,7,FALSE),VLOOKUP($I459&amp;$J459&amp;X$1,Pesos!$A:$I,9,FALSE)))</f>
        <v/>
      </c>
      <c r="AR459" s="80" t="str">
        <f>IF(Y459="","",IF(Y459="SIM",VLOOKUP($I459&amp;$J459&amp;Y$1,Pesos!$A:$I,7,FALSE),VLOOKUP($I459&amp;$J459&amp;Y$1,Pesos!$A:$I,9,FALSE)))</f>
        <v/>
      </c>
      <c r="AS459" s="81">
        <f>IFERROR(Z459*VLOOKUP(J459,'BD Campos'!$Y$1:$Z$12,2,FALSE),"0")</f>
        <v>7.9</v>
      </c>
    </row>
    <row r="460" spans="1:45" x14ac:dyDescent="0.35">
      <c r="A460" s="68" t="str">
        <f t="shared" si="68"/>
        <v>Fev202511042Receptiva 2RECEPTIVO</v>
      </c>
      <c r="B460" s="69" t="str">
        <f t="shared" si="69"/>
        <v>Fev2025110426RECEPTIVOPADRÃO</v>
      </c>
      <c r="C460" s="70">
        <v>1</v>
      </c>
      <c r="D460" s="71">
        <v>45698.603970138887</v>
      </c>
      <c r="E460" s="112" t="s">
        <v>338</v>
      </c>
      <c r="F460" s="72">
        <v>11042</v>
      </c>
      <c r="G460" s="69" t="s">
        <v>375</v>
      </c>
      <c r="H460" s="73">
        <v>6</v>
      </c>
      <c r="I460" s="69" t="s">
        <v>97</v>
      </c>
      <c r="J460" s="69" t="s">
        <v>100</v>
      </c>
      <c r="K460" s="69" t="s">
        <v>99</v>
      </c>
      <c r="L460" s="74">
        <v>1738574848613210</v>
      </c>
      <c r="M460" s="75"/>
      <c r="N460" s="76" t="s">
        <v>79</v>
      </c>
      <c r="O460" s="76" t="s">
        <v>79</v>
      </c>
      <c r="P460" s="76" t="s">
        <v>79</v>
      </c>
      <c r="Q460" s="76" t="s">
        <v>79</v>
      </c>
      <c r="R460" s="76" t="s">
        <v>79</v>
      </c>
      <c r="S460" s="76" t="s">
        <v>79</v>
      </c>
      <c r="T460" s="76" t="s">
        <v>83</v>
      </c>
      <c r="U460" s="76" t="s">
        <v>79</v>
      </c>
      <c r="V460" s="76" t="s">
        <v>79</v>
      </c>
      <c r="W460" s="76" t="s">
        <v>83</v>
      </c>
      <c r="X460" s="76"/>
      <c r="Y460" s="76"/>
      <c r="Z460" s="77">
        <f t="shared" si="38"/>
        <v>7.9</v>
      </c>
      <c r="AA460" s="78"/>
      <c r="AB460" s="78"/>
      <c r="AC460" s="72" t="s">
        <v>47</v>
      </c>
      <c r="AE460" s="79" t="str">
        <f t="shared" si="71"/>
        <v>Fev11042</v>
      </c>
      <c r="AF460" s="80">
        <f>IF(N460="","",IF(N460="SIM",VLOOKUP($I460&amp;$J460&amp;N$1,Pesos!$A:$I,7,FALSE),VLOOKUP($I460&amp;$J460&amp;N$1,Pesos!$A:$I,9,FALSE)))</f>
        <v>1</v>
      </c>
      <c r="AG460" s="80">
        <f>IF(O460="","",IF(O460="SIM",VLOOKUP($I460&amp;$J460&amp;O$1,Pesos!$A:$I,7,FALSE),VLOOKUP($I460&amp;$J460&amp;O$1,Pesos!$A:$I,9,FALSE)))</f>
        <v>1</v>
      </c>
      <c r="AH460" s="80">
        <f>IF(P460="","",IF(P460="SIM",VLOOKUP($I460&amp;$J460&amp;P$1,Pesos!$A:$I,7,FALSE),VLOOKUP($I460&amp;$J460&amp;P$1,Pesos!$A:$I,9,FALSE)))</f>
        <v>1</v>
      </c>
      <c r="AI460" s="80">
        <f>IF(Q460="","",IF(Q460="SIM",VLOOKUP($I460&amp;$J460&amp;Q$1,Pesos!$A:$I,7,FALSE),VLOOKUP($I460&amp;$J460&amp;Q$1,Pesos!$A:$I,9,FALSE)))</f>
        <v>1</v>
      </c>
      <c r="AJ460" s="80">
        <f>IF(R460="","",IF(R460="SIM",VLOOKUP($I460&amp;$J460&amp;R$1,Pesos!$A:$I,7,FALSE),VLOOKUP($I460&amp;$J460&amp;R$1,Pesos!$A:$I,9,FALSE)))</f>
        <v>1</v>
      </c>
      <c r="AK460" s="80">
        <f>IF(S460="","",IF(S460="SIM",VLOOKUP($I460&amp;$J460&amp;S$1,Pesos!$A:$I,7,FALSE),VLOOKUP($I460&amp;$J460&amp;S$1,Pesos!$A:$I,9,FALSE)))</f>
        <v>1</v>
      </c>
      <c r="AL460" s="80">
        <f t="shared" si="66"/>
        <v>6</v>
      </c>
      <c r="AM460" s="80">
        <f>IF(T460="","",IF(T460="SIM",VLOOKUP($I460&amp;$J460&amp;T$1,Pesos!$A:$I,7,FALSE),VLOOKUP($I460&amp;$J460&amp;T$1,Pesos!$A:$I,9,FALSE)))</f>
        <v>-0.05</v>
      </c>
      <c r="AN460" s="80">
        <f>IF(U460="","",IF(U460="SIM",VLOOKUP($I460&amp;$J460&amp;U$1,Pesos!$A:$I,7,FALSE),VLOOKUP($I460&amp;$J460&amp;U$1,Pesos!$A:$I,9,FALSE)))</f>
        <v>1</v>
      </c>
      <c r="AO460" s="80">
        <f>IF(V460="","",IF(V460="SIM",VLOOKUP($I460&amp;$J460&amp;V$1,Pesos!$A:$I,7,FALSE),VLOOKUP($I460&amp;$J460&amp;V$1,Pesos!$A:$I,9,FALSE)))</f>
        <v>1</v>
      </c>
      <c r="AP460" s="80">
        <f>IF(W460="","",IF(W460="SIM",VLOOKUP($I460&amp;$J460&amp;W$1,Pesos!$A:$I,7,FALSE),VLOOKUP($I460&amp;$J460&amp;W$1,Pesos!$A:$I,9,FALSE)))</f>
        <v>-0.05</v>
      </c>
      <c r="AQ460" s="80" t="str">
        <f>IF(X460="","",IF(X460="SIM",VLOOKUP($I460&amp;$J460&amp;X$1,Pesos!$A:$I,7,FALSE),VLOOKUP($I460&amp;$J460&amp;X$1,Pesos!$A:$I,9,FALSE)))</f>
        <v/>
      </c>
      <c r="AR460" s="80" t="str">
        <f>IF(Y460="","",IF(Y460="SIM",VLOOKUP($I460&amp;$J460&amp;Y$1,Pesos!$A:$I,7,FALSE),VLOOKUP($I460&amp;$J460&amp;Y$1,Pesos!$A:$I,9,FALSE)))</f>
        <v/>
      </c>
      <c r="AS460" s="81">
        <f>IFERROR(Z460*VLOOKUP(J460,'BD Campos'!$Y$1:$Z$12,2,FALSE),"0")</f>
        <v>7.9</v>
      </c>
    </row>
    <row r="461" spans="1:45" x14ac:dyDescent="0.35">
      <c r="A461" s="68" t="str">
        <f t="shared" si="68"/>
        <v>Fev202511077ReceptivaRECEPTIVO</v>
      </c>
      <c r="B461" s="69" t="str">
        <f t="shared" si="69"/>
        <v>Fev2025110775RECEPTIVOPADRÃO</v>
      </c>
      <c r="C461" s="70">
        <v>1</v>
      </c>
      <c r="D461" s="71">
        <v>45698.606177430556</v>
      </c>
      <c r="E461" s="112" t="s">
        <v>338</v>
      </c>
      <c r="F461" s="72">
        <v>11077</v>
      </c>
      <c r="G461" s="69" t="s">
        <v>404</v>
      </c>
      <c r="H461" s="73">
        <v>5</v>
      </c>
      <c r="I461" s="69" t="s">
        <v>97</v>
      </c>
      <c r="J461" s="69" t="s">
        <v>98</v>
      </c>
      <c r="K461" s="69" t="s">
        <v>99</v>
      </c>
      <c r="L461" s="74">
        <v>173920789938135</v>
      </c>
      <c r="M461" s="75"/>
      <c r="N461" s="76" t="s">
        <v>79</v>
      </c>
      <c r="O461" s="76" t="s">
        <v>79</v>
      </c>
      <c r="P461" s="76" t="s">
        <v>79</v>
      </c>
      <c r="Q461" s="76" t="s">
        <v>79</v>
      </c>
      <c r="R461" s="76" t="s">
        <v>79</v>
      </c>
      <c r="S461" s="76" t="s">
        <v>79</v>
      </c>
      <c r="T461" s="76" t="s">
        <v>79</v>
      </c>
      <c r="U461" s="76" t="s">
        <v>83</v>
      </c>
      <c r="V461" s="76" t="s">
        <v>79</v>
      </c>
      <c r="W461" s="76" t="s">
        <v>79</v>
      </c>
      <c r="X461" s="76"/>
      <c r="Y461" s="76"/>
      <c r="Z461" s="77">
        <f t="shared" si="38"/>
        <v>8.9499999999999993</v>
      </c>
      <c r="AA461" s="78"/>
      <c r="AB461" s="78"/>
      <c r="AC461" s="72" t="s">
        <v>47</v>
      </c>
      <c r="AE461" s="79" t="str">
        <f t="shared" si="71"/>
        <v>Fev11077</v>
      </c>
      <c r="AF461" s="80">
        <f>IF(N461="","",IF(N461="SIM",VLOOKUP($I461&amp;$J461&amp;N$1,Pesos!$A:$I,7,FALSE),VLOOKUP($I461&amp;$J461&amp;N$1,Pesos!$A:$I,9,FALSE)))</f>
        <v>1</v>
      </c>
      <c r="AG461" s="80">
        <f>IF(O461="","",IF(O461="SIM",VLOOKUP($I461&amp;$J461&amp;O$1,Pesos!$A:$I,7,FALSE),VLOOKUP($I461&amp;$J461&amp;O$1,Pesos!$A:$I,9,FALSE)))</f>
        <v>1</v>
      </c>
      <c r="AH461" s="80">
        <f>IF(P461="","",IF(P461="SIM",VLOOKUP($I461&amp;$J461&amp;P$1,Pesos!$A:$I,7,FALSE),VLOOKUP($I461&amp;$J461&amp;P$1,Pesos!$A:$I,9,FALSE)))</f>
        <v>1</v>
      </c>
      <c r="AI461" s="80">
        <f>IF(Q461="","",IF(Q461="SIM",VLOOKUP($I461&amp;$J461&amp;Q$1,Pesos!$A:$I,7,FALSE),VLOOKUP($I461&amp;$J461&amp;Q$1,Pesos!$A:$I,9,FALSE)))</f>
        <v>1</v>
      </c>
      <c r="AJ461" s="80">
        <f>IF(R461="","",IF(R461="SIM",VLOOKUP($I461&amp;$J461&amp;R$1,Pesos!$A:$I,7,FALSE),VLOOKUP($I461&amp;$J461&amp;R$1,Pesos!$A:$I,9,FALSE)))</f>
        <v>1</v>
      </c>
      <c r="AK461" s="80">
        <f>IF(S461="","",IF(S461="SIM",VLOOKUP($I461&amp;$J461&amp;S$1,Pesos!$A:$I,7,FALSE),VLOOKUP($I461&amp;$J461&amp;S$1,Pesos!$A:$I,9,FALSE)))</f>
        <v>1</v>
      </c>
      <c r="AL461" s="80">
        <f t="shared" si="66"/>
        <v>6</v>
      </c>
      <c r="AM461" s="80">
        <f>IF(T461="","",IF(T461="SIM",VLOOKUP($I461&amp;$J461&amp;T$1,Pesos!$A:$I,7,FALSE),VLOOKUP($I461&amp;$J461&amp;T$1,Pesos!$A:$I,9,FALSE)))</f>
        <v>1</v>
      </c>
      <c r="AN461" s="80">
        <f>IF(U461="","",IF(U461="SIM",VLOOKUP($I461&amp;$J461&amp;U$1,Pesos!$A:$I,7,FALSE),VLOOKUP($I461&amp;$J461&amp;U$1,Pesos!$A:$I,9,FALSE)))</f>
        <v>-0.05</v>
      </c>
      <c r="AO461" s="80">
        <f>IF(V461="","",IF(V461="SIM",VLOOKUP($I461&amp;$J461&amp;V$1,Pesos!$A:$I,7,FALSE),VLOOKUP($I461&amp;$J461&amp;V$1,Pesos!$A:$I,9,FALSE)))</f>
        <v>1</v>
      </c>
      <c r="AP461" s="80">
        <f>IF(W461="","",IF(W461="SIM",VLOOKUP($I461&amp;$J461&amp;W$1,Pesos!$A:$I,7,FALSE),VLOOKUP($I461&amp;$J461&amp;W$1,Pesos!$A:$I,9,FALSE)))</f>
        <v>1</v>
      </c>
      <c r="AQ461" s="80" t="str">
        <f>IF(X461="","",IF(X461="SIM",VLOOKUP($I461&amp;$J461&amp;X$1,Pesos!$A:$I,7,FALSE),VLOOKUP($I461&amp;$J461&amp;X$1,Pesos!$A:$I,9,FALSE)))</f>
        <v/>
      </c>
      <c r="AR461" s="80" t="str">
        <f>IF(Y461="","",IF(Y461="SIM",VLOOKUP($I461&amp;$J461&amp;Y$1,Pesos!$A:$I,7,FALSE),VLOOKUP($I461&amp;$J461&amp;Y$1,Pesos!$A:$I,9,FALSE)))</f>
        <v/>
      </c>
      <c r="AS461" s="81">
        <f>IFERROR(Z461*VLOOKUP(J461,'BD Campos'!$Y$1:$Z$12,2,FALSE),"0")</f>
        <v>8.9499999999999993</v>
      </c>
    </row>
    <row r="462" spans="1:45" x14ac:dyDescent="0.35">
      <c r="A462" s="68" t="str">
        <f t="shared" si="68"/>
        <v>Fev202511077Receptiva 2RECEPTIVO</v>
      </c>
      <c r="B462" s="69" t="str">
        <f t="shared" si="69"/>
        <v>Fev2025110776RECEPTIVOPADRÃO</v>
      </c>
      <c r="C462" s="70">
        <v>1</v>
      </c>
      <c r="D462" s="71">
        <v>45698.607419907406</v>
      </c>
      <c r="E462" s="112" t="s">
        <v>338</v>
      </c>
      <c r="F462" s="72">
        <v>11077</v>
      </c>
      <c r="G462" s="69" t="s">
        <v>404</v>
      </c>
      <c r="H462" s="73">
        <v>6</v>
      </c>
      <c r="I462" s="69" t="s">
        <v>97</v>
      </c>
      <c r="J462" s="69" t="s">
        <v>100</v>
      </c>
      <c r="K462" s="69" t="s">
        <v>99</v>
      </c>
      <c r="L462" s="74">
        <v>173888111182268</v>
      </c>
      <c r="M462" s="75"/>
      <c r="N462" s="76" t="s">
        <v>79</v>
      </c>
      <c r="O462" s="76" t="s">
        <v>83</v>
      </c>
      <c r="P462" s="76" t="s">
        <v>79</v>
      </c>
      <c r="Q462" s="76" t="s">
        <v>79</v>
      </c>
      <c r="R462" s="76" t="s">
        <v>79</v>
      </c>
      <c r="S462" s="76" t="s">
        <v>79</v>
      </c>
      <c r="T462" s="76" t="s">
        <v>83</v>
      </c>
      <c r="U462" s="76" t="s">
        <v>83</v>
      </c>
      <c r="V462" s="76" t="s">
        <v>79</v>
      </c>
      <c r="W462" s="76" t="s">
        <v>79</v>
      </c>
      <c r="X462" s="76"/>
      <c r="Y462" s="76"/>
      <c r="Z462" s="77">
        <f t="shared" si="38"/>
        <v>6.8500000000000005</v>
      </c>
      <c r="AA462" s="78"/>
      <c r="AB462" s="78"/>
      <c r="AC462" s="72" t="s">
        <v>47</v>
      </c>
      <c r="AE462" s="79" t="str">
        <f t="shared" si="71"/>
        <v>Fev11077</v>
      </c>
      <c r="AF462" s="80">
        <f>IF(N462="","",IF(N462="SIM",VLOOKUP($I462&amp;$J462&amp;N$1,Pesos!$A:$I,7,FALSE),VLOOKUP($I462&amp;$J462&amp;N$1,Pesos!$A:$I,9,FALSE)))</f>
        <v>1</v>
      </c>
      <c r="AG462" s="80">
        <f>IF(O462="","",IF(O462="SIM",VLOOKUP($I462&amp;$J462&amp;O$1,Pesos!$A:$I,7,FALSE),VLOOKUP($I462&amp;$J462&amp;O$1,Pesos!$A:$I,9,FALSE)))</f>
        <v>-0.05</v>
      </c>
      <c r="AH462" s="80">
        <f>IF(P462="","",IF(P462="SIM",VLOOKUP($I462&amp;$J462&amp;P$1,Pesos!$A:$I,7,FALSE),VLOOKUP($I462&amp;$J462&amp;P$1,Pesos!$A:$I,9,FALSE)))</f>
        <v>1</v>
      </c>
      <c r="AI462" s="80">
        <f>IF(Q462="","",IF(Q462="SIM",VLOOKUP($I462&amp;$J462&amp;Q$1,Pesos!$A:$I,7,FALSE),VLOOKUP($I462&amp;$J462&amp;Q$1,Pesos!$A:$I,9,FALSE)))</f>
        <v>1</v>
      </c>
      <c r="AJ462" s="80">
        <f>IF(R462="","",IF(R462="SIM",VLOOKUP($I462&amp;$J462&amp;R$1,Pesos!$A:$I,7,FALSE),VLOOKUP($I462&amp;$J462&amp;R$1,Pesos!$A:$I,9,FALSE)))</f>
        <v>1</v>
      </c>
      <c r="AK462" s="80">
        <f>IF(S462="","",IF(S462="SIM",VLOOKUP($I462&amp;$J462&amp;S$1,Pesos!$A:$I,7,FALSE),VLOOKUP($I462&amp;$J462&amp;S$1,Pesos!$A:$I,9,FALSE)))</f>
        <v>1</v>
      </c>
      <c r="AL462" s="80">
        <f t="shared" si="66"/>
        <v>4.95</v>
      </c>
      <c r="AM462" s="80">
        <f>IF(T462="","",IF(T462="SIM",VLOOKUP($I462&amp;$J462&amp;T$1,Pesos!$A:$I,7,FALSE),VLOOKUP($I462&amp;$J462&amp;T$1,Pesos!$A:$I,9,FALSE)))</f>
        <v>-0.05</v>
      </c>
      <c r="AN462" s="80">
        <f>IF(U462="","",IF(U462="SIM",VLOOKUP($I462&amp;$J462&amp;U$1,Pesos!$A:$I,7,FALSE),VLOOKUP($I462&amp;$J462&amp;U$1,Pesos!$A:$I,9,FALSE)))</f>
        <v>-0.05</v>
      </c>
      <c r="AO462" s="80">
        <f>IF(V462="","",IF(V462="SIM",VLOOKUP($I462&amp;$J462&amp;V$1,Pesos!$A:$I,7,FALSE),VLOOKUP($I462&amp;$J462&amp;V$1,Pesos!$A:$I,9,FALSE)))</f>
        <v>1</v>
      </c>
      <c r="AP462" s="80">
        <f>IF(W462="","",IF(W462="SIM",VLOOKUP($I462&amp;$J462&amp;W$1,Pesos!$A:$I,7,FALSE),VLOOKUP($I462&amp;$J462&amp;W$1,Pesos!$A:$I,9,FALSE)))</f>
        <v>1</v>
      </c>
      <c r="AQ462" s="80" t="str">
        <f>IF(X462="","",IF(X462="SIM",VLOOKUP($I462&amp;$J462&amp;X$1,Pesos!$A:$I,7,FALSE),VLOOKUP($I462&amp;$J462&amp;X$1,Pesos!$A:$I,9,FALSE)))</f>
        <v/>
      </c>
      <c r="AR462" s="80" t="str">
        <f>IF(Y462="","",IF(Y462="SIM",VLOOKUP($I462&amp;$J462&amp;Y$1,Pesos!$A:$I,7,FALSE),VLOOKUP($I462&amp;$J462&amp;Y$1,Pesos!$A:$I,9,FALSE)))</f>
        <v/>
      </c>
      <c r="AS462" s="81">
        <f>IFERROR(Z462*VLOOKUP(J462,'BD Campos'!$Y$1:$Z$12,2,FALSE),"0")</f>
        <v>6.8500000000000005</v>
      </c>
    </row>
    <row r="463" spans="1:45" x14ac:dyDescent="0.35">
      <c r="A463" s="68" t="str">
        <f t="shared" si="68"/>
        <v>Fev202511170ReceptivaRECEPTIVO</v>
      </c>
      <c r="B463" s="69" t="str">
        <f t="shared" si="69"/>
        <v>Fev2025111705RECEPTIVOPADRÃO</v>
      </c>
      <c r="C463" s="70">
        <v>1</v>
      </c>
      <c r="D463" s="71">
        <v>45698.609205439818</v>
      </c>
      <c r="E463" s="112" t="s">
        <v>338</v>
      </c>
      <c r="F463" s="72">
        <v>11170</v>
      </c>
      <c r="G463" s="69" t="s">
        <v>457</v>
      </c>
      <c r="H463" s="73">
        <v>5</v>
      </c>
      <c r="I463" s="69" t="s">
        <v>97</v>
      </c>
      <c r="J463" s="69" t="s">
        <v>98</v>
      </c>
      <c r="K463" s="69" t="s">
        <v>99</v>
      </c>
      <c r="L463" s="74">
        <v>1739204014198190</v>
      </c>
      <c r="M463" s="75"/>
      <c r="N463" s="76" t="s">
        <v>79</v>
      </c>
      <c r="O463" s="76" t="s">
        <v>79</v>
      </c>
      <c r="P463" s="76" t="s">
        <v>79</v>
      </c>
      <c r="Q463" s="76" t="s">
        <v>79</v>
      </c>
      <c r="R463" s="76" t="s">
        <v>79</v>
      </c>
      <c r="S463" s="76" t="s">
        <v>79</v>
      </c>
      <c r="T463" s="76" t="s">
        <v>83</v>
      </c>
      <c r="U463" s="76" t="s">
        <v>83</v>
      </c>
      <c r="V463" s="76" t="s">
        <v>79</v>
      </c>
      <c r="W463" s="76" t="s">
        <v>79</v>
      </c>
      <c r="X463" s="76"/>
      <c r="Y463" s="76"/>
      <c r="Z463" s="77">
        <f t="shared" si="38"/>
        <v>7.9</v>
      </c>
      <c r="AA463" s="78"/>
      <c r="AB463" s="78"/>
      <c r="AC463" s="72" t="s">
        <v>47</v>
      </c>
      <c r="AE463" s="79" t="str">
        <f t="shared" si="71"/>
        <v>Fev11170</v>
      </c>
      <c r="AF463" s="80">
        <f>IF(N463="","",IF(N463="SIM",VLOOKUP($I463&amp;$J463&amp;N$1,Pesos!$A:$I,7,FALSE),VLOOKUP($I463&amp;$J463&amp;N$1,Pesos!$A:$I,9,FALSE)))</f>
        <v>1</v>
      </c>
      <c r="AG463" s="80">
        <f>IF(O463="","",IF(O463="SIM",VLOOKUP($I463&amp;$J463&amp;O$1,Pesos!$A:$I,7,FALSE),VLOOKUP($I463&amp;$J463&amp;O$1,Pesos!$A:$I,9,FALSE)))</f>
        <v>1</v>
      </c>
      <c r="AH463" s="80">
        <f>IF(P463="","",IF(P463="SIM",VLOOKUP($I463&amp;$J463&amp;P$1,Pesos!$A:$I,7,FALSE),VLOOKUP($I463&amp;$J463&amp;P$1,Pesos!$A:$I,9,FALSE)))</f>
        <v>1</v>
      </c>
      <c r="AI463" s="80">
        <f>IF(Q463="","",IF(Q463="SIM",VLOOKUP($I463&amp;$J463&amp;Q$1,Pesos!$A:$I,7,FALSE),VLOOKUP($I463&amp;$J463&amp;Q$1,Pesos!$A:$I,9,FALSE)))</f>
        <v>1</v>
      </c>
      <c r="AJ463" s="80">
        <f>IF(R463="","",IF(R463="SIM",VLOOKUP($I463&amp;$J463&amp;R$1,Pesos!$A:$I,7,FALSE),VLOOKUP($I463&amp;$J463&amp;R$1,Pesos!$A:$I,9,FALSE)))</f>
        <v>1</v>
      </c>
      <c r="AK463" s="80">
        <f>IF(S463="","",IF(S463="SIM",VLOOKUP($I463&amp;$J463&amp;S$1,Pesos!$A:$I,7,FALSE),VLOOKUP($I463&amp;$J463&amp;S$1,Pesos!$A:$I,9,FALSE)))</f>
        <v>1</v>
      </c>
      <c r="AL463" s="80">
        <f t="shared" si="66"/>
        <v>6</v>
      </c>
      <c r="AM463" s="80">
        <f>IF(T463="","",IF(T463="SIM",VLOOKUP($I463&amp;$J463&amp;T$1,Pesos!$A:$I,7,FALSE),VLOOKUP($I463&amp;$J463&amp;T$1,Pesos!$A:$I,9,FALSE)))</f>
        <v>-0.05</v>
      </c>
      <c r="AN463" s="80">
        <f>IF(U463="","",IF(U463="SIM",VLOOKUP($I463&amp;$J463&amp;U$1,Pesos!$A:$I,7,FALSE),VLOOKUP($I463&amp;$J463&amp;U$1,Pesos!$A:$I,9,FALSE)))</f>
        <v>-0.05</v>
      </c>
      <c r="AO463" s="80">
        <f>IF(V463="","",IF(V463="SIM",VLOOKUP($I463&amp;$J463&amp;V$1,Pesos!$A:$I,7,FALSE),VLOOKUP($I463&amp;$J463&amp;V$1,Pesos!$A:$I,9,FALSE)))</f>
        <v>1</v>
      </c>
      <c r="AP463" s="80">
        <f>IF(W463="","",IF(W463="SIM",VLOOKUP($I463&amp;$J463&amp;W$1,Pesos!$A:$I,7,FALSE),VLOOKUP($I463&amp;$J463&amp;W$1,Pesos!$A:$I,9,FALSE)))</f>
        <v>1</v>
      </c>
      <c r="AQ463" s="80" t="str">
        <f>IF(X463="","",IF(X463="SIM",VLOOKUP($I463&amp;$J463&amp;X$1,Pesos!$A:$I,7,FALSE),VLOOKUP($I463&amp;$J463&amp;X$1,Pesos!$A:$I,9,FALSE)))</f>
        <v/>
      </c>
      <c r="AR463" s="80" t="str">
        <f>IF(Y463="","",IF(Y463="SIM",VLOOKUP($I463&amp;$J463&amp;Y$1,Pesos!$A:$I,7,FALSE),VLOOKUP($I463&amp;$J463&amp;Y$1,Pesos!$A:$I,9,FALSE)))</f>
        <v/>
      </c>
      <c r="AS463" s="81">
        <f>IFERROR(Z463*VLOOKUP(J463,'BD Campos'!$Y$1:$Z$12,2,FALSE),"0")</f>
        <v>7.9</v>
      </c>
    </row>
    <row r="464" spans="1:45" x14ac:dyDescent="0.35">
      <c r="A464" s="68" t="str">
        <f t="shared" si="68"/>
        <v>Fev202511170Receptiva 2RECEPTIVO</v>
      </c>
      <c r="B464" s="69" t="str">
        <f t="shared" si="69"/>
        <v>Fev2025111706RECEPTIVOPADRÃO</v>
      </c>
      <c r="C464" s="70">
        <v>1</v>
      </c>
      <c r="D464" s="71">
        <v>45698.610664120373</v>
      </c>
      <c r="E464" s="112" t="s">
        <v>338</v>
      </c>
      <c r="F464" s="72">
        <v>11170</v>
      </c>
      <c r="G464" s="69" t="s">
        <v>457</v>
      </c>
      <c r="H464" s="73">
        <v>6</v>
      </c>
      <c r="I464" s="69" t="s">
        <v>97</v>
      </c>
      <c r="J464" s="69" t="s">
        <v>100</v>
      </c>
      <c r="K464" s="69" t="s">
        <v>99</v>
      </c>
      <c r="L464" s="74">
        <v>173894705868722</v>
      </c>
      <c r="M464" s="75"/>
      <c r="N464" s="76" t="s">
        <v>79</v>
      </c>
      <c r="O464" s="76" t="s">
        <v>79</v>
      </c>
      <c r="P464" s="76" t="s">
        <v>79</v>
      </c>
      <c r="Q464" s="76" t="s">
        <v>79</v>
      </c>
      <c r="R464" s="76" t="s">
        <v>83</v>
      </c>
      <c r="S464" s="76" t="s">
        <v>79</v>
      </c>
      <c r="T464" s="76" t="s">
        <v>79</v>
      </c>
      <c r="U464" s="76" t="s">
        <v>79</v>
      </c>
      <c r="V464" s="76" t="s">
        <v>79</v>
      </c>
      <c r="W464" s="76" t="s">
        <v>79</v>
      </c>
      <c r="X464" s="76"/>
      <c r="Y464" s="76"/>
      <c r="Z464" s="77">
        <f t="shared" si="38"/>
        <v>8.9499999999999993</v>
      </c>
      <c r="AA464" s="78"/>
      <c r="AB464" s="78"/>
      <c r="AC464" s="72" t="s">
        <v>47</v>
      </c>
      <c r="AE464" s="79" t="str">
        <f t="shared" si="71"/>
        <v>Fev11170</v>
      </c>
      <c r="AF464" s="80">
        <f>IF(N464="","",IF(N464="SIM",VLOOKUP($I464&amp;$J464&amp;N$1,Pesos!$A:$I,7,FALSE),VLOOKUP($I464&amp;$J464&amp;N$1,Pesos!$A:$I,9,FALSE)))</f>
        <v>1</v>
      </c>
      <c r="AG464" s="80">
        <f>IF(O464="","",IF(O464="SIM",VLOOKUP($I464&amp;$J464&amp;O$1,Pesos!$A:$I,7,FALSE),VLOOKUP($I464&amp;$J464&amp;O$1,Pesos!$A:$I,9,FALSE)))</f>
        <v>1</v>
      </c>
      <c r="AH464" s="80">
        <f>IF(P464="","",IF(P464="SIM",VLOOKUP($I464&amp;$J464&amp;P$1,Pesos!$A:$I,7,FALSE),VLOOKUP($I464&amp;$J464&amp;P$1,Pesos!$A:$I,9,FALSE)))</f>
        <v>1</v>
      </c>
      <c r="AI464" s="80">
        <f>IF(Q464="","",IF(Q464="SIM",VLOOKUP($I464&amp;$J464&amp;Q$1,Pesos!$A:$I,7,FALSE),VLOOKUP($I464&amp;$J464&amp;Q$1,Pesos!$A:$I,9,FALSE)))</f>
        <v>1</v>
      </c>
      <c r="AJ464" s="80">
        <f>IF(R464="","",IF(R464="SIM",VLOOKUP($I464&amp;$J464&amp;R$1,Pesos!$A:$I,7,FALSE),VLOOKUP($I464&amp;$J464&amp;R$1,Pesos!$A:$I,9,FALSE)))</f>
        <v>-0.05</v>
      </c>
      <c r="AK464" s="80">
        <f>IF(S464="","",IF(S464="SIM",VLOOKUP($I464&amp;$J464&amp;S$1,Pesos!$A:$I,7,FALSE),VLOOKUP($I464&amp;$J464&amp;S$1,Pesos!$A:$I,9,FALSE)))</f>
        <v>1</v>
      </c>
      <c r="AL464" s="80">
        <f t="shared" si="66"/>
        <v>4.95</v>
      </c>
      <c r="AM464" s="80">
        <f>IF(T464="","",IF(T464="SIM",VLOOKUP($I464&amp;$J464&amp;T$1,Pesos!$A:$I,7,FALSE),VLOOKUP($I464&amp;$J464&amp;T$1,Pesos!$A:$I,9,FALSE)))</f>
        <v>1</v>
      </c>
      <c r="AN464" s="80">
        <f>IF(U464="","",IF(U464="SIM",VLOOKUP($I464&amp;$J464&amp;U$1,Pesos!$A:$I,7,FALSE),VLOOKUP($I464&amp;$J464&amp;U$1,Pesos!$A:$I,9,FALSE)))</f>
        <v>1</v>
      </c>
      <c r="AO464" s="80">
        <f>IF(V464="","",IF(V464="SIM",VLOOKUP($I464&amp;$J464&amp;V$1,Pesos!$A:$I,7,FALSE),VLOOKUP($I464&amp;$J464&amp;V$1,Pesos!$A:$I,9,FALSE)))</f>
        <v>1</v>
      </c>
      <c r="AP464" s="80">
        <f>IF(W464="","",IF(W464="SIM",VLOOKUP($I464&amp;$J464&amp;W$1,Pesos!$A:$I,7,FALSE),VLOOKUP($I464&amp;$J464&amp;W$1,Pesos!$A:$I,9,FALSE)))</f>
        <v>1</v>
      </c>
      <c r="AQ464" s="80" t="str">
        <f>IF(X464="","",IF(X464="SIM",VLOOKUP($I464&amp;$J464&amp;X$1,Pesos!$A:$I,7,FALSE),VLOOKUP($I464&amp;$J464&amp;X$1,Pesos!$A:$I,9,FALSE)))</f>
        <v/>
      </c>
      <c r="AR464" s="80" t="str">
        <f>IF(Y464="","",IF(Y464="SIM",VLOOKUP($I464&amp;$J464&amp;Y$1,Pesos!$A:$I,7,FALSE),VLOOKUP($I464&amp;$J464&amp;Y$1,Pesos!$A:$I,9,FALSE)))</f>
        <v/>
      </c>
      <c r="AS464" s="81">
        <f>IFERROR(Z464*VLOOKUP(J464,'BD Campos'!$Y$1:$Z$12,2,FALSE),"0")</f>
        <v>8.9499999999999993</v>
      </c>
    </row>
    <row r="465" spans="1:45" x14ac:dyDescent="0.35">
      <c r="A465" s="68" t="str">
        <f t="shared" si="68"/>
        <v>Fev202511079ReceptivaDISTRIBUIÇÃO</v>
      </c>
      <c r="B465" s="69" t="str">
        <f t="shared" si="69"/>
        <v>Fev2025110795DISTRIBUIÇÃOPADRÃO</v>
      </c>
      <c r="C465" s="70">
        <v>1</v>
      </c>
      <c r="D465" s="71">
        <v>45698.62231377315</v>
      </c>
      <c r="E465" s="112" t="s">
        <v>338</v>
      </c>
      <c r="F465" s="72">
        <v>11079</v>
      </c>
      <c r="G465" s="69" t="s">
        <v>410</v>
      </c>
      <c r="H465" s="73">
        <v>5</v>
      </c>
      <c r="I465" s="69" t="s">
        <v>6</v>
      </c>
      <c r="J465" s="69" t="s">
        <v>98</v>
      </c>
      <c r="K465" s="69" t="s">
        <v>23</v>
      </c>
      <c r="L465" s="74"/>
      <c r="M465" s="75">
        <v>1.5624999999999999E-3</v>
      </c>
      <c r="N465" s="76"/>
      <c r="O465" s="76"/>
      <c r="P465" s="76"/>
      <c r="Q465" s="76"/>
      <c r="R465" s="76"/>
      <c r="S465" s="76"/>
      <c r="T465" s="76"/>
      <c r="U465" s="76"/>
      <c r="V465" s="76"/>
      <c r="W465" s="76"/>
      <c r="X465" s="76"/>
      <c r="Y465" s="76"/>
      <c r="Z465" s="77">
        <f t="shared" si="38"/>
        <v>0</v>
      </c>
      <c r="AA465" s="78" t="s">
        <v>1630</v>
      </c>
      <c r="AB465" s="78"/>
      <c r="AC465" s="72" t="s">
        <v>47</v>
      </c>
      <c r="AE465" s="79" t="str">
        <f t="shared" ref="AE465:AE477" si="72">E465&amp;F465</f>
        <v>Fev11079</v>
      </c>
      <c r="AF465" s="80" t="str">
        <f>IF(N465="","",IF(N465="SIM",VLOOKUP($I465&amp;$J465&amp;N$1,Pesos!$A:$I,7,FALSE),VLOOKUP($I465&amp;$J465&amp;N$1,Pesos!$A:$I,9,FALSE)))</f>
        <v/>
      </c>
      <c r="AG465" s="80" t="str">
        <f>IF(O465="","",IF(O465="SIM",VLOOKUP($I465&amp;$J465&amp;O$1,Pesos!$A:$I,7,FALSE),VLOOKUP($I465&amp;$J465&amp;O$1,Pesos!$A:$I,9,FALSE)))</f>
        <v/>
      </c>
      <c r="AH465" s="80" t="str">
        <f>IF(P465="","",IF(P465="SIM",VLOOKUP($I465&amp;$J465&amp;P$1,Pesos!$A:$I,7,FALSE),VLOOKUP($I465&amp;$J465&amp;P$1,Pesos!$A:$I,9,FALSE)))</f>
        <v/>
      </c>
      <c r="AI465" s="80" t="str">
        <f>IF(Q465="","",IF(Q465="SIM",VLOOKUP($I465&amp;$J465&amp;Q$1,Pesos!$A:$I,7,FALSE),VLOOKUP($I465&amp;$J465&amp;Q$1,Pesos!$A:$I,9,FALSE)))</f>
        <v/>
      </c>
      <c r="AJ465" s="80" t="str">
        <f>IF(R465="","",IF(R465="SIM",VLOOKUP($I465&amp;$J465&amp;R$1,Pesos!$A:$I,7,FALSE),VLOOKUP($I465&amp;$J465&amp;R$1,Pesos!$A:$I,9,FALSE)))</f>
        <v/>
      </c>
      <c r="AK465" s="80" t="str">
        <f>IF(S465="","",IF(S465="SIM",VLOOKUP($I465&amp;$J465&amp;S$1,Pesos!$A:$I,7,FALSE),VLOOKUP($I465&amp;$J465&amp;S$1,Pesos!$A:$I,9,FALSE)))</f>
        <v/>
      </c>
      <c r="AL465" s="80">
        <f t="shared" ref="AL465:AL528" si="73">SUM(AF465:AK465)</f>
        <v>0</v>
      </c>
      <c r="AM465" s="80" t="str">
        <f>IF(T465="","",IF(T465="SIM",VLOOKUP($I465&amp;$J465&amp;T$1,Pesos!$A:$I,7,FALSE),VLOOKUP($I465&amp;$J465&amp;T$1,Pesos!$A:$I,9,FALSE)))</f>
        <v/>
      </c>
      <c r="AN465" s="80" t="str">
        <f>IF(U465="","",IF(U465="SIM",VLOOKUP($I465&amp;$J465&amp;U$1,Pesos!$A:$I,7,FALSE),VLOOKUP($I465&amp;$J465&amp;U$1,Pesos!$A:$I,9,FALSE)))</f>
        <v/>
      </c>
      <c r="AO465" s="80" t="str">
        <f>IF(V465="","",IF(V465="SIM",VLOOKUP($I465&amp;$J465&amp;V$1,Pesos!$A:$I,7,FALSE),VLOOKUP($I465&amp;$J465&amp;V$1,Pesos!$A:$I,9,FALSE)))</f>
        <v/>
      </c>
      <c r="AP465" s="80" t="str">
        <f>IF(W465="","",IF(W465="SIM",VLOOKUP($I465&amp;$J465&amp;W$1,Pesos!$A:$I,7,FALSE),VLOOKUP($I465&amp;$J465&amp;W$1,Pesos!$A:$I,9,FALSE)))</f>
        <v/>
      </c>
      <c r="AQ465" s="80" t="str">
        <f>IF(X465="","",IF(X465="SIM",VLOOKUP($I465&amp;$J465&amp;X$1,Pesos!$A:$I,7,FALSE),VLOOKUP($I465&amp;$J465&amp;X$1,Pesos!$A:$I,9,FALSE)))</f>
        <v/>
      </c>
      <c r="AR465" s="80" t="str">
        <f>IF(Y465="","",IF(Y465="SIM",VLOOKUP($I465&amp;$J465&amp;Y$1,Pesos!$A:$I,7,FALSE),VLOOKUP($I465&amp;$J465&amp;Y$1,Pesos!$A:$I,9,FALSE)))</f>
        <v/>
      </c>
      <c r="AS465" s="81">
        <f>IFERROR(Z465*VLOOKUP(J465,'BD Campos'!$Y$1:$Z$12,2,FALSE),"0")</f>
        <v>0</v>
      </c>
    </row>
    <row r="466" spans="1:45" x14ac:dyDescent="0.35">
      <c r="A466" s="68" t="str">
        <f t="shared" si="68"/>
        <v>Fev202510786ReceptivaDISTRIBUIÇÃO</v>
      </c>
      <c r="B466" s="69" t="str">
        <f t="shared" si="69"/>
        <v>Fev2025107865DISTRIBUIÇÃOPADRÃO</v>
      </c>
      <c r="C466" s="70">
        <v>1</v>
      </c>
      <c r="D466" s="71">
        <v>45698.624419328706</v>
      </c>
      <c r="E466" s="112" t="s">
        <v>338</v>
      </c>
      <c r="F466" s="72">
        <v>10786</v>
      </c>
      <c r="G466" s="69" t="s">
        <v>257</v>
      </c>
      <c r="H466" s="73">
        <v>5</v>
      </c>
      <c r="I466" s="69" t="s">
        <v>6</v>
      </c>
      <c r="J466" s="69" t="s">
        <v>98</v>
      </c>
      <c r="K466" s="69" t="s">
        <v>23</v>
      </c>
      <c r="L466" s="74"/>
      <c r="M466" s="75">
        <v>1.6319444444444445E-3</v>
      </c>
      <c r="N466" s="76"/>
      <c r="O466" s="76"/>
      <c r="P466" s="76"/>
      <c r="Q466" s="76"/>
      <c r="R466" s="76"/>
      <c r="S466" s="76"/>
      <c r="T466" s="76"/>
      <c r="U466" s="76"/>
      <c r="V466" s="76"/>
      <c r="W466" s="76"/>
      <c r="X466" s="76"/>
      <c r="Y466" s="76"/>
      <c r="Z466" s="77">
        <f t="shared" si="38"/>
        <v>0</v>
      </c>
      <c r="AA466" s="78" t="s">
        <v>1630</v>
      </c>
      <c r="AB466" s="78"/>
      <c r="AC466" s="72" t="s">
        <v>47</v>
      </c>
      <c r="AE466" s="79" t="str">
        <f t="shared" si="72"/>
        <v>Fev10786</v>
      </c>
      <c r="AF466" s="80" t="str">
        <f>IF(N466="","",IF(N466="SIM",VLOOKUP($I466&amp;$J466&amp;N$1,Pesos!$A:$I,7,FALSE),VLOOKUP($I466&amp;$J466&amp;N$1,Pesos!$A:$I,9,FALSE)))</f>
        <v/>
      </c>
      <c r="AG466" s="80" t="str">
        <f>IF(O466="","",IF(O466="SIM",VLOOKUP($I466&amp;$J466&amp;O$1,Pesos!$A:$I,7,FALSE),VLOOKUP($I466&amp;$J466&amp;O$1,Pesos!$A:$I,9,FALSE)))</f>
        <v/>
      </c>
      <c r="AH466" s="80" t="str">
        <f>IF(P466="","",IF(P466="SIM",VLOOKUP($I466&amp;$J466&amp;P$1,Pesos!$A:$I,7,FALSE),VLOOKUP($I466&amp;$J466&amp;P$1,Pesos!$A:$I,9,FALSE)))</f>
        <v/>
      </c>
      <c r="AI466" s="80" t="str">
        <f>IF(Q466="","",IF(Q466="SIM",VLOOKUP($I466&amp;$J466&amp;Q$1,Pesos!$A:$I,7,FALSE),VLOOKUP($I466&amp;$J466&amp;Q$1,Pesos!$A:$I,9,FALSE)))</f>
        <v/>
      </c>
      <c r="AJ466" s="80" t="str">
        <f>IF(R466="","",IF(R466="SIM",VLOOKUP($I466&amp;$J466&amp;R$1,Pesos!$A:$I,7,FALSE),VLOOKUP($I466&amp;$J466&amp;R$1,Pesos!$A:$I,9,FALSE)))</f>
        <v/>
      </c>
      <c r="AK466" s="80" t="str">
        <f>IF(S466="","",IF(S466="SIM",VLOOKUP($I466&amp;$J466&amp;S$1,Pesos!$A:$I,7,FALSE),VLOOKUP($I466&amp;$J466&amp;S$1,Pesos!$A:$I,9,FALSE)))</f>
        <v/>
      </c>
      <c r="AL466" s="80">
        <f t="shared" si="73"/>
        <v>0</v>
      </c>
      <c r="AM466" s="80" t="str">
        <f>IF(T466="","",IF(T466="SIM",VLOOKUP($I466&amp;$J466&amp;T$1,Pesos!$A:$I,7,FALSE),VLOOKUP($I466&amp;$J466&amp;T$1,Pesos!$A:$I,9,FALSE)))</f>
        <v/>
      </c>
      <c r="AN466" s="80" t="str">
        <f>IF(U466="","",IF(U466="SIM",VLOOKUP($I466&amp;$J466&amp;U$1,Pesos!$A:$I,7,FALSE),VLOOKUP($I466&amp;$J466&amp;U$1,Pesos!$A:$I,9,FALSE)))</f>
        <v/>
      </c>
      <c r="AO466" s="80" t="str">
        <f>IF(V466="","",IF(V466="SIM",VLOOKUP($I466&amp;$J466&amp;V$1,Pesos!$A:$I,7,FALSE),VLOOKUP($I466&amp;$J466&amp;V$1,Pesos!$A:$I,9,FALSE)))</f>
        <v/>
      </c>
      <c r="AP466" s="80" t="str">
        <f>IF(W466="","",IF(W466="SIM",VLOOKUP($I466&amp;$J466&amp;W$1,Pesos!$A:$I,7,FALSE),VLOOKUP($I466&amp;$J466&amp;W$1,Pesos!$A:$I,9,FALSE)))</f>
        <v/>
      </c>
      <c r="AQ466" s="80" t="str">
        <f>IF(X466="","",IF(X466="SIM",VLOOKUP($I466&amp;$J466&amp;X$1,Pesos!$A:$I,7,FALSE),VLOOKUP($I466&amp;$J466&amp;X$1,Pesos!$A:$I,9,FALSE)))</f>
        <v/>
      </c>
      <c r="AR466" s="80" t="str">
        <f>IF(Y466="","",IF(Y466="SIM",VLOOKUP($I466&amp;$J466&amp;Y$1,Pesos!$A:$I,7,FALSE),VLOOKUP($I466&amp;$J466&amp;Y$1,Pesos!$A:$I,9,FALSE)))</f>
        <v/>
      </c>
      <c r="AS466" s="81">
        <f>IFERROR(Z466*VLOOKUP(J466,'BD Campos'!$Y$1:$Z$12,2,FALSE),"0")</f>
        <v>0</v>
      </c>
    </row>
    <row r="467" spans="1:45" x14ac:dyDescent="0.35">
      <c r="A467" s="68" t="str">
        <f t="shared" si="68"/>
        <v>Fev202511016ReceptivaDISTRIBUIÇÃO</v>
      </c>
      <c r="B467" s="69" t="str">
        <f t="shared" si="69"/>
        <v>Fev2025110165DISTRIBUIÇÃOPADRÃO</v>
      </c>
      <c r="C467" s="70">
        <v>1</v>
      </c>
      <c r="D467" s="71">
        <v>45698.629185300924</v>
      </c>
      <c r="E467" s="112" t="s">
        <v>338</v>
      </c>
      <c r="F467" s="72">
        <v>11016</v>
      </c>
      <c r="G467" s="69" t="s">
        <v>261</v>
      </c>
      <c r="H467" s="73">
        <v>5</v>
      </c>
      <c r="I467" s="69" t="s">
        <v>6</v>
      </c>
      <c r="J467" s="69" t="s">
        <v>98</v>
      </c>
      <c r="K467" s="69" t="s">
        <v>23</v>
      </c>
      <c r="L467" s="74"/>
      <c r="M467" s="75">
        <v>8.6805555555555551E-4</v>
      </c>
      <c r="N467" s="76" t="s">
        <v>83</v>
      </c>
      <c r="O467" s="76" t="s">
        <v>83</v>
      </c>
      <c r="P467" s="76" t="s">
        <v>79</v>
      </c>
      <c r="Q467" s="76" t="s">
        <v>79</v>
      </c>
      <c r="R467" s="76" t="s">
        <v>79</v>
      </c>
      <c r="S467" s="76" t="s">
        <v>79</v>
      </c>
      <c r="T467" s="76" t="s">
        <v>79</v>
      </c>
      <c r="U467" s="76" t="s">
        <v>79</v>
      </c>
      <c r="V467" s="76" t="s">
        <v>79</v>
      </c>
      <c r="W467" s="76" t="s">
        <v>79</v>
      </c>
      <c r="X467" s="76" t="s">
        <v>79</v>
      </c>
      <c r="Y467" s="76" t="s">
        <v>79</v>
      </c>
      <c r="Z467" s="77">
        <f t="shared" si="38"/>
        <v>8.3199999999999985</v>
      </c>
      <c r="AA467" s="78" t="s">
        <v>1616</v>
      </c>
      <c r="AB467" s="78"/>
      <c r="AC467" s="72" t="s">
        <v>47</v>
      </c>
      <c r="AE467" s="79" t="str">
        <f t="shared" si="72"/>
        <v>Fev11016</v>
      </c>
      <c r="AF467" s="80">
        <f>IF(N467="","",IF(N467="SIM",VLOOKUP($I467&amp;$J467&amp;N$1,Pesos!$A:$I,7,FALSE),VLOOKUP($I467&amp;$J467&amp;N$1,Pesos!$A:$I,9,FALSE)))</f>
        <v>-4.0000000000000008E-2</v>
      </c>
      <c r="AG467" s="80">
        <f>IF(O467="","",IF(O467="SIM",VLOOKUP($I467&amp;$J467&amp;O$1,Pesos!$A:$I,7,FALSE),VLOOKUP($I467&amp;$J467&amp;O$1,Pesos!$A:$I,9,FALSE)))</f>
        <v>-4.0000000000000008E-2</v>
      </c>
      <c r="AH467" s="80">
        <f>IF(P467="","",IF(P467="SIM",VLOOKUP($I467&amp;$J467&amp;P$1,Pesos!$A:$I,7,FALSE),VLOOKUP($I467&amp;$J467&amp;P$1,Pesos!$A:$I,9,FALSE)))</f>
        <v>1.2</v>
      </c>
      <c r="AI467" s="80">
        <f>IF(Q467="","",IF(Q467="SIM",VLOOKUP($I467&amp;$J467&amp;Q$1,Pesos!$A:$I,7,FALSE),VLOOKUP($I467&amp;$J467&amp;Q$1,Pesos!$A:$I,9,FALSE)))</f>
        <v>0.8</v>
      </c>
      <c r="AJ467" s="80">
        <f>IF(R467="","",IF(R467="SIM",VLOOKUP($I467&amp;$J467&amp;R$1,Pesos!$A:$I,7,FALSE),VLOOKUP($I467&amp;$J467&amp;R$1,Pesos!$A:$I,9,FALSE)))</f>
        <v>0.8</v>
      </c>
      <c r="AK467" s="80">
        <f>IF(S467="","",IF(S467="SIM",VLOOKUP($I467&amp;$J467&amp;S$1,Pesos!$A:$I,7,FALSE),VLOOKUP($I467&amp;$J467&amp;S$1,Pesos!$A:$I,9,FALSE)))</f>
        <v>0.8</v>
      </c>
      <c r="AL467" s="80">
        <f t="shared" si="73"/>
        <v>3.5199999999999996</v>
      </c>
      <c r="AM467" s="80">
        <f>IF(T467="","",IF(T467="SIM",VLOOKUP($I467&amp;$J467&amp;T$1,Pesos!$A:$I,7,FALSE),VLOOKUP($I467&amp;$J467&amp;T$1,Pesos!$A:$I,9,FALSE)))</f>
        <v>0.8</v>
      </c>
      <c r="AN467" s="80">
        <f>IF(U467="","",IF(U467="SIM",VLOOKUP($I467&amp;$J467&amp;U$1,Pesos!$A:$I,7,FALSE),VLOOKUP($I467&amp;$J467&amp;U$1,Pesos!$A:$I,9,FALSE)))</f>
        <v>0.8</v>
      </c>
      <c r="AO467" s="80">
        <f>IF(V467="","",IF(V467="SIM",VLOOKUP($I467&amp;$J467&amp;V$1,Pesos!$A:$I,7,FALSE),VLOOKUP($I467&amp;$J467&amp;V$1,Pesos!$A:$I,9,FALSE)))</f>
        <v>0.8</v>
      </c>
      <c r="AP467" s="80">
        <f>IF(W467="","",IF(W467="SIM",VLOOKUP($I467&amp;$J467&amp;W$1,Pesos!$A:$I,7,FALSE),VLOOKUP($I467&amp;$J467&amp;W$1,Pesos!$A:$I,9,FALSE)))</f>
        <v>0.8</v>
      </c>
      <c r="AQ467" s="80">
        <f>IF(X467="","",IF(X467="SIM",VLOOKUP($I467&amp;$J467&amp;X$1,Pesos!$A:$I,7,FALSE),VLOOKUP($I467&amp;$J467&amp;X$1,Pesos!$A:$I,9,FALSE)))</f>
        <v>0.8</v>
      </c>
      <c r="AR467" s="80">
        <f>IF(Y467="","",IF(Y467="SIM",VLOOKUP($I467&amp;$J467&amp;Y$1,Pesos!$A:$I,7,FALSE),VLOOKUP($I467&amp;$J467&amp;Y$1,Pesos!$A:$I,9,FALSE)))</f>
        <v>0.8</v>
      </c>
      <c r="AS467" s="81">
        <f>IFERROR(Z467*VLOOKUP(J467,'BD Campos'!$Y$1:$Z$12,2,FALSE),"0")</f>
        <v>8.3199999999999985</v>
      </c>
    </row>
    <row r="468" spans="1:45" x14ac:dyDescent="0.35">
      <c r="A468" s="68" t="str">
        <f t="shared" si="68"/>
        <v>Fev202511226MotoristaDISTRIBUIÇÃO</v>
      </c>
      <c r="B468" s="69" t="str">
        <f t="shared" si="69"/>
        <v>Fev2025112261DISTRIBUIÇÃOPADRÃO</v>
      </c>
      <c r="C468" s="70">
        <v>1</v>
      </c>
      <c r="D468" s="71">
        <v>45698.63396215278</v>
      </c>
      <c r="E468" s="112" t="s">
        <v>338</v>
      </c>
      <c r="F468" s="72">
        <v>11226</v>
      </c>
      <c r="G468" s="69" t="s">
        <v>1565</v>
      </c>
      <c r="H468" s="73">
        <v>1</v>
      </c>
      <c r="I468" s="69" t="s">
        <v>121</v>
      </c>
      <c r="J468" s="69" t="s">
        <v>122</v>
      </c>
      <c r="K468" s="69" t="s">
        <v>23</v>
      </c>
      <c r="L468" s="74">
        <v>31079048</v>
      </c>
      <c r="M468" s="75">
        <v>1.1921296296296296E-3</v>
      </c>
      <c r="N468" s="76" t="s">
        <v>79</v>
      </c>
      <c r="O468" s="76" t="s">
        <v>79</v>
      </c>
      <c r="P468" s="76" t="s">
        <v>79</v>
      </c>
      <c r="Q468" s="76" t="s">
        <v>79</v>
      </c>
      <c r="R468" s="76" t="s">
        <v>79</v>
      </c>
      <c r="S468" s="76" t="s">
        <v>79</v>
      </c>
      <c r="T468" s="76" t="s">
        <v>79</v>
      </c>
      <c r="U468" s="76" t="s">
        <v>79</v>
      </c>
      <c r="V468" s="76" t="s">
        <v>79</v>
      </c>
      <c r="W468" s="76" t="s">
        <v>83</v>
      </c>
      <c r="X468" s="76" t="s">
        <v>79</v>
      </c>
      <c r="Y468" s="76"/>
      <c r="Z468" s="77">
        <f t="shared" si="38"/>
        <v>9.0549999999999997</v>
      </c>
      <c r="AA468" s="78"/>
      <c r="AB468" s="78" t="s">
        <v>1631</v>
      </c>
      <c r="AC468" s="72" t="s">
        <v>47</v>
      </c>
      <c r="AE468" s="79" t="str">
        <f t="shared" si="72"/>
        <v>Fev11226</v>
      </c>
      <c r="AF468" s="80">
        <f>IF(N468="","",IF(N468="SIM",VLOOKUP($I468&amp;$J468&amp;N$1,Pesos!$A:$I,7,FALSE),VLOOKUP($I468&amp;$J468&amp;N$1,Pesos!$A:$I,9,FALSE)))</f>
        <v>0.89999999999999991</v>
      </c>
      <c r="AG468" s="80">
        <f>IF(O468="","",IF(O468="SIM",VLOOKUP($I468&amp;$J468&amp;O$1,Pesos!$A:$I,7,FALSE),VLOOKUP($I468&amp;$J468&amp;O$1,Pesos!$A:$I,9,FALSE)))</f>
        <v>0.89999999999999991</v>
      </c>
      <c r="AH468" s="80">
        <f>IF(P468="","",IF(P468="SIM",VLOOKUP($I468&amp;$J468&amp;P$1,Pesos!$A:$I,7,FALSE),VLOOKUP($I468&amp;$J468&amp;P$1,Pesos!$A:$I,9,FALSE)))</f>
        <v>0.89999999999999991</v>
      </c>
      <c r="AI468" s="80">
        <f>IF(Q468="","",IF(Q468="SIM",VLOOKUP($I468&amp;$J468&amp;Q$1,Pesos!$A:$I,7,FALSE),VLOOKUP($I468&amp;$J468&amp;Q$1,Pesos!$A:$I,9,FALSE)))</f>
        <v>0.89999999999999991</v>
      </c>
      <c r="AJ468" s="80">
        <f>IF(R468="","",IF(R468="SIM",VLOOKUP($I468&amp;$J468&amp;R$1,Pesos!$A:$I,7,FALSE),VLOOKUP($I468&amp;$J468&amp;R$1,Pesos!$A:$I,9,FALSE)))</f>
        <v>0.89999999999999991</v>
      </c>
      <c r="AK468" s="80">
        <f>IF(S468="","",IF(S468="SIM",VLOOKUP($I468&amp;$J468&amp;S$1,Pesos!$A:$I,7,FALSE),VLOOKUP($I468&amp;$J468&amp;S$1,Pesos!$A:$I,9,FALSE)))</f>
        <v>0.89999999999999991</v>
      </c>
      <c r="AL468" s="80">
        <f t="shared" si="73"/>
        <v>5.4</v>
      </c>
      <c r="AM468" s="80">
        <f>IF(T468="","",IF(T468="SIM",VLOOKUP($I468&amp;$J468&amp;T$1,Pesos!$A:$I,7,FALSE),VLOOKUP($I468&amp;$J468&amp;T$1,Pesos!$A:$I,9,FALSE)))</f>
        <v>0.89999999999999991</v>
      </c>
      <c r="AN468" s="80">
        <f>IF(U468="","",IF(U468="SIM",VLOOKUP($I468&amp;$J468&amp;U$1,Pesos!$A:$I,7,FALSE),VLOOKUP($I468&amp;$J468&amp;U$1,Pesos!$A:$I,9,FALSE)))</f>
        <v>0.92500000000000004</v>
      </c>
      <c r="AO468" s="80">
        <f>IF(V468="","",IF(V468="SIM",VLOOKUP($I468&amp;$J468&amp;V$1,Pesos!$A:$I,7,FALSE),VLOOKUP($I468&amp;$J468&amp;V$1,Pesos!$A:$I,9,FALSE)))</f>
        <v>0.92500000000000004</v>
      </c>
      <c r="AP468" s="80">
        <f>IF(W468="","",IF(W468="SIM",VLOOKUP($I468&amp;$J468&amp;W$1,Pesos!$A:$I,7,FALSE),VLOOKUP($I468&amp;$J468&amp;W$1,Pesos!$A:$I,9,FALSE)))</f>
        <v>-4.4999999999999998E-2</v>
      </c>
      <c r="AQ468" s="80">
        <f>IF(X468="","",IF(X468="SIM",VLOOKUP($I468&amp;$J468&amp;X$1,Pesos!$A:$I,7,FALSE),VLOOKUP($I468&amp;$J468&amp;X$1,Pesos!$A:$I,9,FALSE)))</f>
        <v>0.95</v>
      </c>
      <c r="AR468" s="80" t="str">
        <f>IF(Y468="","",IF(Y468="SIM",VLOOKUP($I468&amp;$J468&amp;Y$1,Pesos!$A:$I,7,FALSE),VLOOKUP($I468&amp;$J468&amp;Y$1,Pesos!$A:$I,9,FALSE)))</f>
        <v/>
      </c>
      <c r="AS468" s="81">
        <f>IFERROR(Z468*VLOOKUP(J468,'BD Campos'!$Y$1:$Z$12,2,FALSE),"0")</f>
        <v>9.0549999999999997</v>
      </c>
    </row>
    <row r="469" spans="1:45" x14ac:dyDescent="0.35">
      <c r="A469" s="68" t="str">
        <f t="shared" si="68"/>
        <v>Fev202511226ReceptivaDISTRIBUIÇÃO</v>
      </c>
      <c r="B469" s="69" t="str">
        <f t="shared" si="69"/>
        <v>Fev2025112265DISTRIBUIÇÃOPADRÃO</v>
      </c>
      <c r="C469" s="70">
        <v>1</v>
      </c>
      <c r="D469" s="71">
        <v>45698.636626388892</v>
      </c>
      <c r="E469" s="112" t="s">
        <v>338</v>
      </c>
      <c r="F469" s="72">
        <v>11226</v>
      </c>
      <c r="G469" s="69" t="s">
        <v>1565</v>
      </c>
      <c r="H469" s="73">
        <v>5</v>
      </c>
      <c r="I469" s="69" t="s">
        <v>6</v>
      </c>
      <c r="J469" s="69" t="s">
        <v>98</v>
      </c>
      <c r="K469" s="69" t="s">
        <v>23</v>
      </c>
      <c r="L469" s="74"/>
      <c r="M469" s="75">
        <v>1.6782407407407406E-3</v>
      </c>
      <c r="N469" s="76" t="s">
        <v>83</v>
      </c>
      <c r="O469" s="76" t="s">
        <v>79</v>
      </c>
      <c r="P469" s="76" t="s">
        <v>79</v>
      </c>
      <c r="Q469" s="76" t="s">
        <v>79</v>
      </c>
      <c r="R469" s="76" t="s">
        <v>79</v>
      </c>
      <c r="S469" s="76" t="s">
        <v>79</v>
      </c>
      <c r="T469" s="76" t="s">
        <v>79</v>
      </c>
      <c r="U469" s="76" t="s">
        <v>79</v>
      </c>
      <c r="V469" s="76" t="s">
        <v>79</v>
      </c>
      <c r="W469" s="76" t="s">
        <v>79</v>
      </c>
      <c r="X469" s="76" t="s">
        <v>79</v>
      </c>
      <c r="Y469" s="76" t="s">
        <v>79</v>
      </c>
      <c r="Z469" s="77">
        <f t="shared" si="38"/>
        <v>9.16</v>
      </c>
      <c r="AA469" s="78" t="s">
        <v>1616</v>
      </c>
      <c r="AB469" s="78"/>
      <c r="AC469" s="72" t="s">
        <v>47</v>
      </c>
      <c r="AE469" s="79" t="str">
        <f t="shared" si="72"/>
        <v>Fev11226</v>
      </c>
      <c r="AF469" s="80">
        <f>IF(N469="","",IF(N469="SIM",VLOOKUP($I469&amp;$J469&amp;N$1,Pesos!$A:$I,7,FALSE),VLOOKUP($I469&amp;$J469&amp;N$1,Pesos!$A:$I,9,FALSE)))</f>
        <v>-4.0000000000000008E-2</v>
      </c>
      <c r="AG469" s="80">
        <f>IF(O469="","",IF(O469="SIM",VLOOKUP($I469&amp;$J469&amp;O$1,Pesos!$A:$I,7,FALSE),VLOOKUP($I469&amp;$J469&amp;O$1,Pesos!$A:$I,9,FALSE)))</f>
        <v>0.8</v>
      </c>
      <c r="AH469" s="80">
        <f>IF(P469="","",IF(P469="SIM",VLOOKUP($I469&amp;$J469&amp;P$1,Pesos!$A:$I,7,FALSE),VLOOKUP($I469&amp;$J469&amp;P$1,Pesos!$A:$I,9,FALSE)))</f>
        <v>1.2</v>
      </c>
      <c r="AI469" s="80">
        <f>IF(Q469="","",IF(Q469="SIM",VLOOKUP($I469&amp;$J469&amp;Q$1,Pesos!$A:$I,7,FALSE),VLOOKUP($I469&amp;$J469&amp;Q$1,Pesos!$A:$I,9,FALSE)))</f>
        <v>0.8</v>
      </c>
      <c r="AJ469" s="80">
        <f>IF(R469="","",IF(R469="SIM",VLOOKUP($I469&amp;$J469&amp;R$1,Pesos!$A:$I,7,FALSE),VLOOKUP($I469&amp;$J469&amp;R$1,Pesos!$A:$I,9,FALSE)))</f>
        <v>0.8</v>
      </c>
      <c r="AK469" s="80">
        <f>IF(S469="","",IF(S469="SIM",VLOOKUP($I469&amp;$J469&amp;S$1,Pesos!$A:$I,7,FALSE),VLOOKUP($I469&amp;$J469&amp;S$1,Pesos!$A:$I,9,FALSE)))</f>
        <v>0.8</v>
      </c>
      <c r="AL469" s="80">
        <f t="shared" si="73"/>
        <v>4.3599999999999994</v>
      </c>
      <c r="AM469" s="80">
        <f>IF(T469="","",IF(T469="SIM",VLOOKUP($I469&amp;$J469&amp;T$1,Pesos!$A:$I,7,FALSE),VLOOKUP($I469&amp;$J469&amp;T$1,Pesos!$A:$I,9,FALSE)))</f>
        <v>0.8</v>
      </c>
      <c r="AN469" s="80">
        <f>IF(U469="","",IF(U469="SIM",VLOOKUP($I469&amp;$J469&amp;U$1,Pesos!$A:$I,7,FALSE),VLOOKUP($I469&amp;$J469&amp;U$1,Pesos!$A:$I,9,FALSE)))</f>
        <v>0.8</v>
      </c>
      <c r="AO469" s="80">
        <f>IF(V469="","",IF(V469="SIM",VLOOKUP($I469&amp;$J469&amp;V$1,Pesos!$A:$I,7,FALSE),VLOOKUP($I469&amp;$J469&amp;V$1,Pesos!$A:$I,9,FALSE)))</f>
        <v>0.8</v>
      </c>
      <c r="AP469" s="80">
        <f>IF(W469="","",IF(W469="SIM",VLOOKUP($I469&amp;$J469&amp;W$1,Pesos!$A:$I,7,FALSE),VLOOKUP($I469&amp;$J469&amp;W$1,Pesos!$A:$I,9,FALSE)))</f>
        <v>0.8</v>
      </c>
      <c r="AQ469" s="80">
        <f>IF(X469="","",IF(X469="SIM",VLOOKUP($I469&amp;$J469&amp;X$1,Pesos!$A:$I,7,FALSE),VLOOKUP($I469&amp;$J469&amp;X$1,Pesos!$A:$I,9,FALSE)))</f>
        <v>0.8</v>
      </c>
      <c r="AR469" s="80">
        <f>IF(Y469="","",IF(Y469="SIM",VLOOKUP($I469&amp;$J469&amp;Y$1,Pesos!$A:$I,7,FALSE),VLOOKUP($I469&amp;$J469&amp;Y$1,Pesos!$A:$I,9,FALSE)))</f>
        <v>0.8</v>
      </c>
      <c r="AS469" s="81">
        <f>IFERROR(Z469*VLOOKUP(J469,'BD Campos'!$Y$1:$Z$12,2,FALSE),"0")</f>
        <v>9.16</v>
      </c>
    </row>
    <row r="470" spans="1:45" x14ac:dyDescent="0.35">
      <c r="A470" s="68" t="str">
        <f t="shared" si="68"/>
        <v>Fev202511220ReceptivaDISTRIBUIÇÃO</v>
      </c>
      <c r="B470" s="69" t="str">
        <f t="shared" si="69"/>
        <v>Fev2025112205DISTRIBUIÇÃOPADRÃO</v>
      </c>
      <c r="C470" s="70">
        <v>1</v>
      </c>
      <c r="D470" s="71">
        <v>45698.637897916669</v>
      </c>
      <c r="E470" s="112" t="s">
        <v>338</v>
      </c>
      <c r="F470" s="72">
        <v>11220</v>
      </c>
      <c r="G470" s="69" t="s">
        <v>1399</v>
      </c>
      <c r="H470" s="73">
        <v>5</v>
      </c>
      <c r="I470" s="69" t="s">
        <v>6</v>
      </c>
      <c r="J470" s="69" t="s">
        <v>98</v>
      </c>
      <c r="K470" s="69" t="s">
        <v>23</v>
      </c>
      <c r="L470" s="74"/>
      <c r="M470" s="75">
        <v>1.8750000000000001E-3</v>
      </c>
      <c r="N470" s="76" t="s">
        <v>83</v>
      </c>
      <c r="O470" s="76" t="s">
        <v>79</v>
      </c>
      <c r="P470" s="76" t="s">
        <v>79</v>
      </c>
      <c r="Q470" s="76" t="s">
        <v>79</v>
      </c>
      <c r="R470" s="76" t="s">
        <v>79</v>
      </c>
      <c r="S470" s="76" t="s">
        <v>79</v>
      </c>
      <c r="T470" s="76" t="s">
        <v>79</v>
      </c>
      <c r="U470" s="76" t="s">
        <v>79</v>
      </c>
      <c r="V470" s="76" t="s">
        <v>79</v>
      </c>
      <c r="W470" s="76" t="s">
        <v>79</v>
      </c>
      <c r="X470" s="76" t="s">
        <v>79</v>
      </c>
      <c r="Y470" s="76" t="s">
        <v>79</v>
      </c>
      <c r="Z470" s="77">
        <f t="shared" si="38"/>
        <v>9.16</v>
      </c>
      <c r="AA470" s="78" t="s">
        <v>1616</v>
      </c>
      <c r="AB470" s="78"/>
      <c r="AC470" s="72" t="s">
        <v>47</v>
      </c>
      <c r="AE470" s="79" t="str">
        <f t="shared" si="72"/>
        <v>Fev11220</v>
      </c>
      <c r="AF470" s="80">
        <f>IF(N470="","",IF(N470="SIM",VLOOKUP($I470&amp;$J470&amp;N$1,Pesos!$A:$I,7,FALSE),VLOOKUP($I470&amp;$J470&amp;N$1,Pesos!$A:$I,9,FALSE)))</f>
        <v>-4.0000000000000008E-2</v>
      </c>
      <c r="AG470" s="80">
        <f>IF(O470="","",IF(O470="SIM",VLOOKUP($I470&amp;$J470&amp;O$1,Pesos!$A:$I,7,FALSE),VLOOKUP($I470&amp;$J470&amp;O$1,Pesos!$A:$I,9,FALSE)))</f>
        <v>0.8</v>
      </c>
      <c r="AH470" s="80">
        <f>IF(P470="","",IF(P470="SIM",VLOOKUP($I470&amp;$J470&amp;P$1,Pesos!$A:$I,7,FALSE),VLOOKUP($I470&amp;$J470&amp;P$1,Pesos!$A:$I,9,FALSE)))</f>
        <v>1.2</v>
      </c>
      <c r="AI470" s="80">
        <f>IF(Q470="","",IF(Q470="SIM",VLOOKUP($I470&amp;$J470&amp;Q$1,Pesos!$A:$I,7,FALSE),VLOOKUP($I470&amp;$J470&amp;Q$1,Pesos!$A:$I,9,FALSE)))</f>
        <v>0.8</v>
      </c>
      <c r="AJ470" s="80">
        <f>IF(R470="","",IF(R470="SIM",VLOOKUP($I470&amp;$J470&amp;R$1,Pesos!$A:$I,7,FALSE),VLOOKUP($I470&amp;$J470&amp;R$1,Pesos!$A:$I,9,FALSE)))</f>
        <v>0.8</v>
      </c>
      <c r="AK470" s="80">
        <f>IF(S470="","",IF(S470="SIM",VLOOKUP($I470&amp;$J470&amp;S$1,Pesos!$A:$I,7,FALSE),VLOOKUP($I470&amp;$J470&amp;S$1,Pesos!$A:$I,9,FALSE)))</f>
        <v>0.8</v>
      </c>
      <c r="AL470" s="80">
        <f t="shared" si="73"/>
        <v>4.3599999999999994</v>
      </c>
      <c r="AM470" s="80">
        <f>IF(T470="","",IF(T470="SIM",VLOOKUP($I470&amp;$J470&amp;T$1,Pesos!$A:$I,7,FALSE),VLOOKUP($I470&amp;$J470&amp;T$1,Pesos!$A:$I,9,FALSE)))</f>
        <v>0.8</v>
      </c>
      <c r="AN470" s="80">
        <f>IF(U470="","",IF(U470="SIM",VLOOKUP($I470&amp;$J470&amp;U$1,Pesos!$A:$I,7,FALSE),VLOOKUP($I470&amp;$J470&amp;U$1,Pesos!$A:$I,9,FALSE)))</f>
        <v>0.8</v>
      </c>
      <c r="AO470" s="80">
        <f>IF(V470="","",IF(V470="SIM",VLOOKUP($I470&amp;$J470&amp;V$1,Pesos!$A:$I,7,FALSE),VLOOKUP($I470&amp;$J470&amp;V$1,Pesos!$A:$I,9,FALSE)))</f>
        <v>0.8</v>
      </c>
      <c r="AP470" s="80">
        <f>IF(W470="","",IF(W470="SIM",VLOOKUP($I470&amp;$J470&amp;W$1,Pesos!$A:$I,7,FALSE),VLOOKUP($I470&amp;$J470&amp;W$1,Pesos!$A:$I,9,FALSE)))</f>
        <v>0.8</v>
      </c>
      <c r="AQ470" s="80">
        <f>IF(X470="","",IF(X470="SIM",VLOOKUP($I470&amp;$J470&amp;X$1,Pesos!$A:$I,7,FALSE),VLOOKUP($I470&amp;$J470&amp;X$1,Pesos!$A:$I,9,FALSE)))</f>
        <v>0.8</v>
      </c>
      <c r="AR470" s="80">
        <f>IF(Y470="","",IF(Y470="SIM",VLOOKUP($I470&amp;$J470&amp;Y$1,Pesos!$A:$I,7,FALSE),VLOOKUP($I470&amp;$J470&amp;Y$1,Pesos!$A:$I,9,FALSE)))</f>
        <v>0.8</v>
      </c>
      <c r="AS470" s="81">
        <f>IFERROR(Z470*VLOOKUP(J470,'BD Campos'!$Y$1:$Z$12,2,FALSE),"0")</f>
        <v>9.16</v>
      </c>
    </row>
    <row r="471" spans="1:45" x14ac:dyDescent="0.35">
      <c r="A471" s="68" t="str">
        <f t="shared" si="68"/>
        <v>Fev202510921MotoristaDISTRIBUIÇÃO</v>
      </c>
      <c r="B471" s="69" t="str">
        <f t="shared" si="69"/>
        <v>Fev2025109211DISTRIBUIÇÃOPADRÃO</v>
      </c>
      <c r="C471" s="70">
        <v>1</v>
      </c>
      <c r="D471" s="71">
        <v>45698.640697685187</v>
      </c>
      <c r="E471" s="112" t="s">
        <v>338</v>
      </c>
      <c r="F471" s="72">
        <v>10921</v>
      </c>
      <c r="G471" s="69" t="s">
        <v>339</v>
      </c>
      <c r="H471" s="73">
        <v>1</v>
      </c>
      <c r="I471" s="69" t="s">
        <v>126</v>
      </c>
      <c r="J471" s="69" t="s">
        <v>122</v>
      </c>
      <c r="K471" s="69" t="s">
        <v>23</v>
      </c>
      <c r="L471" s="74">
        <v>31109447</v>
      </c>
      <c r="M471" s="75">
        <v>1.8055555555555557E-3</v>
      </c>
      <c r="N471" s="76" t="s">
        <v>79</v>
      </c>
      <c r="O471" s="76" t="s">
        <v>79</v>
      </c>
      <c r="P471" s="76" t="s">
        <v>79</v>
      </c>
      <c r="Q471" s="76" t="s">
        <v>79</v>
      </c>
      <c r="R471" s="76" t="s">
        <v>79</v>
      </c>
      <c r="S471" s="76" t="s">
        <v>79</v>
      </c>
      <c r="T471" s="76" t="s">
        <v>79</v>
      </c>
      <c r="U471" s="76" t="s">
        <v>79</v>
      </c>
      <c r="V471" s="76" t="s">
        <v>79</v>
      </c>
      <c r="W471" s="76" t="s">
        <v>79</v>
      </c>
      <c r="X471" s="76" t="s">
        <v>83</v>
      </c>
      <c r="Y471" s="76" t="s">
        <v>79</v>
      </c>
      <c r="Z471" s="77">
        <f t="shared" si="38"/>
        <v>8.9499999999999993</v>
      </c>
      <c r="AA471" s="78"/>
      <c r="AB471" s="78" t="s">
        <v>1632</v>
      </c>
      <c r="AC471" s="72" t="s">
        <v>47</v>
      </c>
      <c r="AE471" s="79" t="str">
        <f t="shared" si="72"/>
        <v>Fev10921</v>
      </c>
      <c r="AF471" s="80">
        <f>IF(N471="","",IF(N471="SIM",VLOOKUP($I471&amp;$J471&amp;N$1,Pesos!$A:$I,7,FALSE),VLOOKUP($I471&amp;$J471&amp;N$1,Pesos!$A:$I,9,FALSE)))</f>
        <v>0.8</v>
      </c>
      <c r="AG471" s="80">
        <f>IF(O471="","",IF(O471="SIM",VLOOKUP($I471&amp;$J471&amp;O$1,Pesos!$A:$I,7,FALSE),VLOOKUP($I471&amp;$J471&amp;O$1,Pesos!$A:$I,9,FALSE)))</f>
        <v>0.8</v>
      </c>
      <c r="AH471" s="80">
        <f>IF(P471="","",IF(P471="SIM",VLOOKUP($I471&amp;$J471&amp;P$1,Pesos!$A:$I,7,FALSE),VLOOKUP($I471&amp;$J471&amp;P$1,Pesos!$A:$I,9,FALSE)))</f>
        <v>0.8</v>
      </c>
      <c r="AI471" s="80">
        <f>IF(Q471="","",IF(Q471="SIM",VLOOKUP($I471&amp;$J471&amp;Q$1,Pesos!$A:$I,7,FALSE),VLOOKUP($I471&amp;$J471&amp;Q$1,Pesos!$A:$I,9,FALSE)))</f>
        <v>0.8</v>
      </c>
      <c r="AJ471" s="80">
        <f>IF(R471="","",IF(R471="SIM",VLOOKUP($I471&amp;$J471&amp;R$1,Pesos!$A:$I,7,FALSE),VLOOKUP($I471&amp;$J471&amp;R$1,Pesos!$A:$I,9,FALSE)))</f>
        <v>0.8</v>
      </c>
      <c r="AK471" s="80">
        <f>IF(S471="","",IF(S471="SIM",VLOOKUP($I471&amp;$J471&amp;S$1,Pesos!$A:$I,7,FALSE),VLOOKUP($I471&amp;$J471&amp;S$1,Pesos!$A:$I,9,FALSE)))</f>
        <v>0.8</v>
      </c>
      <c r="AL471" s="80">
        <f t="shared" si="73"/>
        <v>4.8</v>
      </c>
      <c r="AM471" s="80">
        <f>IF(T471="","",IF(T471="SIM",VLOOKUP($I471&amp;$J471&amp;T$1,Pesos!$A:$I,7,FALSE),VLOOKUP($I471&amp;$J471&amp;T$1,Pesos!$A:$I,9,FALSE)))</f>
        <v>0.8</v>
      </c>
      <c r="AN471" s="80">
        <f>IF(U471="","",IF(U471="SIM",VLOOKUP($I471&amp;$J471&amp;U$1,Pesos!$A:$I,7,FALSE),VLOOKUP($I471&amp;$J471&amp;U$1,Pesos!$A:$I,9,FALSE)))</f>
        <v>0.8</v>
      </c>
      <c r="AO471" s="80">
        <f>IF(V471="","",IF(V471="SIM",VLOOKUP($I471&amp;$J471&amp;V$1,Pesos!$A:$I,7,FALSE),VLOOKUP($I471&amp;$J471&amp;V$1,Pesos!$A:$I,9,FALSE)))</f>
        <v>0.8</v>
      </c>
      <c r="AP471" s="80">
        <f>IF(W471="","",IF(W471="SIM",VLOOKUP($I471&amp;$J471&amp;W$1,Pesos!$A:$I,7,FALSE),VLOOKUP($I471&amp;$J471&amp;W$1,Pesos!$A:$I,9,FALSE)))</f>
        <v>0.8</v>
      </c>
      <c r="AQ471" s="80">
        <f>IF(X471="","",IF(X471="SIM",VLOOKUP($I471&amp;$J471&amp;X$1,Pesos!$A:$I,7,FALSE),VLOOKUP($I471&amp;$J471&amp;X$1,Pesos!$A:$I,9,FALSE)))</f>
        <v>-0.05</v>
      </c>
      <c r="AR471" s="80">
        <f>IF(Y471="","",IF(Y471="SIM",VLOOKUP($I471&amp;$J471&amp;Y$1,Pesos!$A:$I,7,FALSE),VLOOKUP($I471&amp;$J471&amp;Y$1,Pesos!$A:$I,9,FALSE)))</f>
        <v>1</v>
      </c>
      <c r="AS471" s="81">
        <f>IFERROR(Z471*VLOOKUP(J471,'BD Campos'!$Y$1:$Z$12,2,FALSE),"0")</f>
        <v>8.9499999999999993</v>
      </c>
    </row>
    <row r="472" spans="1:45" x14ac:dyDescent="0.35">
      <c r="A472" s="68" t="str">
        <f t="shared" si="68"/>
        <v>Fev202510921ReceptivaDISTRIBUIÇÃO</v>
      </c>
      <c r="B472" s="69" t="str">
        <f t="shared" si="69"/>
        <v>Fev2025109215DISTRIBUIÇÃOPADRÃO</v>
      </c>
      <c r="C472" s="70">
        <v>1</v>
      </c>
      <c r="D472" s="71">
        <v>45698.648635648147</v>
      </c>
      <c r="E472" s="112" t="s">
        <v>338</v>
      </c>
      <c r="F472" s="72">
        <v>10921</v>
      </c>
      <c r="G472" s="69" t="s">
        <v>339</v>
      </c>
      <c r="H472" s="73">
        <v>5</v>
      </c>
      <c r="I472" s="69" t="s">
        <v>6</v>
      </c>
      <c r="J472" s="69" t="s">
        <v>98</v>
      </c>
      <c r="K472" s="69" t="s">
        <v>23</v>
      </c>
      <c r="L472" s="74"/>
      <c r="M472" s="75">
        <v>1.0185185185185186E-3</v>
      </c>
      <c r="N472" s="76" t="s">
        <v>83</v>
      </c>
      <c r="O472" s="76" t="s">
        <v>79</v>
      </c>
      <c r="P472" s="76" t="s">
        <v>79</v>
      </c>
      <c r="Q472" s="76" t="s">
        <v>79</v>
      </c>
      <c r="R472" s="76" t="s">
        <v>79</v>
      </c>
      <c r="S472" s="76" t="s">
        <v>79</v>
      </c>
      <c r="T472" s="76" t="s">
        <v>79</v>
      </c>
      <c r="U472" s="76" t="s">
        <v>79</v>
      </c>
      <c r="V472" s="76" t="s">
        <v>79</v>
      </c>
      <c r="W472" s="76" t="s">
        <v>79</v>
      </c>
      <c r="X472" s="76" t="s">
        <v>79</v>
      </c>
      <c r="Y472" s="76" t="s">
        <v>79</v>
      </c>
      <c r="Z472" s="77">
        <f t="shared" si="38"/>
        <v>9.16</v>
      </c>
      <c r="AA472" s="78" t="s">
        <v>1616</v>
      </c>
      <c r="AB472" s="78"/>
      <c r="AC472" s="72" t="s">
        <v>47</v>
      </c>
      <c r="AE472" s="79" t="str">
        <f t="shared" si="72"/>
        <v>Fev10921</v>
      </c>
      <c r="AF472" s="80">
        <f>IF(N472="","",IF(N472="SIM",VLOOKUP($I472&amp;$J472&amp;N$1,Pesos!$A:$I,7,FALSE),VLOOKUP($I472&amp;$J472&amp;N$1,Pesos!$A:$I,9,FALSE)))</f>
        <v>-4.0000000000000008E-2</v>
      </c>
      <c r="AG472" s="80">
        <f>IF(O472="","",IF(O472="SIM",VLOOKUP($I472&amp;$J472&amp;O$1,Pesos!$A:$I,7,FALSE),VLOOKUP($I472&amp;$J472&amp;O$1,Pesos!$A:$I,9,FALSE)))</f>
        <v>0.8</v>
      </c>
      <c r="AH472" s="80">
        <f>IF(P472="","",IF(P472="SIM",VLOOKUP($I472&amp;$J472&amp;P$1,Pesos!$A:$I,7,FALSE),VLOOKUP($I472&amp;$J472&amp;P$1,Pesos!$A:$I,9,FALSE)))</f>
        <v>1.2</v>
      </c>
      <c r="AI472" s="80">
        <f>IF(Q472="","",IF(Q472="SIM",VLOOKUP($I472&amp;$J472&amp;Q$1,Pesos!$A:$I,7,FALSE),VLOOKUP($I472&amp;$J472&amp;Q$1,Pesos!$A:$I,9,FALSE)))</f>
        <v>0.8</v>
      </c>
      <c r="AJ472" s="80">
        <f>IF(R472="","",IF(R472="SIM",VLOOKUP($I472&amp;$J472&amp;R$1,Pesos!$A:$I,7,FALSE),VLOOKUP($I472&amp;$J472&amp;R$1,Pesos!$A:$I,9,FALSE)))</f>
        <v>0.8</v>
      </c>
      <c r="AK472" s="80">
        <f>IF(S472="","",IF(S472="SIM",VLOOKUP($I472&amp;$J472&amp;S$1,Pesos!$A:$I,7,FALSE),VLOOKUP($I472&amp;$J472&amp;S$1,Pesos!$A:$I,9,FALSE)))</f>
        <v>0.8</v>
      </c>
      <c r="AL472" s="80">
        <f t="shared" si="73"/>
        <v>4.3599999999999994</v>
      </c>
      <c r="AM472" s="80">
        <f>IF(T472="","",IF(T472="SIM",VLOOKUP($I472&amp;$J472&amp;T$1,Pesos!$A:$I,7,FALSE),VLOOKUP($I472&amp;$J472&amp;T$1,Pesos!$A:$I,9,FALSE)))</f>
        <v>0.8</v>
      </c>
      <c r="AN472" s="80">
        <f>IF(U472="","",IF(U472="SIM",VLOOKUP($I472&amp;$J472&amp;U$1,Pesos!$A:$I,7,FALSE),VLOOKUP($I472&amp;$J472&amp;U$1,Pesos!$A:$I,9,FALSE)))</f>
        <v>0.8</v>
      </c>
      <c r="AO472" s="80">
        <f>IF(V472="","",IF(V472="SIM",VLOOKUP($I472&amp;$J472&amp;V$1,Pesos!$A:$I,7,FALSE),VLOOKUP($I472&amp;$J472&amp;V$1,Pesos!$A:$I,9,FALSE)))</f>
        <v>0.8</v>
      </c>
      <c r="AP472" s="80">
        <f>IF(W472="","",IF(W472="SIM",VLOOKUP($I472&amp;$J472&amp;W$1,Pesos!$A:$I,7,FALSE),VLOOKUP($I472&amp;$J472&amp;W$1,Pesos!$A:$I,9,FALSE)))</f>
        <v>0.8</v>
      </c>
      <c r="AQ472" s="80">
        <f>IF(X472="","",IF(X472="SIM",VLOOKUP($I472&amp;$J472&amp;X$1,Pesos!$A:$I,7,FALSE),VLOOKUP($I472&amp;$J472&amp;X$1,Pesos!$A:$I,9,FALSE)))</f>
        <v>0.8</v>
      </c>
      <c r="AR472" s="80">
        <f>IF(Y472="","",IF(Y472="SIM",VLOOKUP($I472&amp;$J472&amp;Y$1,Pesos!$A:$I,7,FALSE),VLOOKUP($I472&amp;$J472&amp;Y$1,Pesos!$A:$I,9,FALSE)))</f>
        <v>0.8</v>
      </c>
      <c r="AS472" s="81">
        <f>IFERROR(Z472*VLOOKUP(J472,'BD Campos'!$Y$1:$Z$12,2,FALSE),"0")</f>
        <v>9.16</v>
      </c>
    </row>
    <row r="473" spans="1:45" x14ac:dyDescent="0.35">
      <c r="A473" s="68" t="str">
        <f t="shared" si="68"/>
        <v>Fev202511046ReceptivaDISTRIBUIÇÃO</v>
      </c>
      <c r="B473" s="69" t="str">
        <f t="shared" si="69"/>
        <v>Fev2025110465DISTRIBUIÇÃOPADRÃO</v>
      </c>
      <c r="C473" s="70">
        <v>1</v>
      </c>
      <c r="D473" s="71">
        <v>45698.651110069448</v>
      </c>
      <c r="E473" s="112" t="s">
        <v>338</v>
      </c>
      <c r="F473" s="72">
        <v>11046</v>
      </c>
      <c r="G473" s="69" t="s">
        <v>376</v>
      </c>
      <c r="H473" s="73">
        <v>5</v>
      </c>
      <c r="I473" s="69" t="s">
        <v>6</v>
      </c>
      <c r="J473" s="69" t="s">
        <v>98</v>
      </c>
      <c r="K473" s="69" t="s">
        <v>23</v>
      </c>
      <c r="L473" s="74"/>
      <c r="M473" s="75">
        <v>2.0486111111111113E-3</v>
      </c>
      <c r="N473" s="76" t="s">
        <v>83</v>
      </c>
      <c r="O473" s="76" t="s">
        <v>79</v>
      </c>
      <c r="P473" s="76" t="s">
        <v>79</v>
      </c>
      <c r="Q473" s="76" t="s">
        <v>79</v>
      </c>
      <c r="R473" s="76" t="s">
        <v>79</v>
      </c>
      <c r="S473" s="76" t="s">
        <v>79</v>
      </c>
      <c r="T473" s="76" t="s">
        <v>79</v>
      </c>
      <c r="U473" s="76" t="s">
        <v>79</v>
      </c>
      <c r="V473" s="76" t="s">
        <v>79</v>
      </c>
      <c r="W473" s="76" t="s">
        <v>79</v>
      </c>
      <c r="X473" s="76" t="s">
        <v>79</v>
      </c>
      <c r="Y473" s="76" t="s">
        <v>79</v>
      </c>
      <c r="Z473" s="77">
        <f t="shared" si="38"/>
        <v>9.16</v>
      </c>
      <c r="AA473" s="78" t="s">
        <v>1616</v>
      </c>
      <c r="AB473" s="78"/>
      <c r="AC473" s="72" t="s">
        <v>47</v>
      </c>
      <c r="AE473" s="79" t="str">
        <f t="shared" si="72"/>
        <v>Fev11046</v>
      </c>
      <c r="AF473" s="80">
        <f>IF(N473="","",IF(N473="SIM",VLOOKUP($I473&amp;$J473&amp;N$1,Pesos!$A:$I,7,FALSE),VLOOKUP($I473&amp;$J473&amp;N$1,Pesos!$A:$I,9,FALSE)))</f>
        <v>-4.0000000000000008E-2</v>
      </c>
      <c r="AG473" s="80">
        <f>IF(O473="","",IF(O473="SIM",VLOOKUP($I473&amp;$J473&amp;O$1,Pesos!$A:$I,7,FALSE),VLOOKUP($I473&amp;$J473&amp;O$1,Pesos!$A:$I,9,FALSE)))</f>
        <v>0.8</v>
      </c>
      <c r="AH473" s="80">
        <f>IF(P473="","",IF(P473="SIM",VLOOKUP($I473&amp;$J473&amp;P$1,Pesos!$A:$I,7,FALSE),VLOOKUP($I473&amp;$J473&amp;P$1,Pesos!$A:$I,9,FALSE)))</f>
        <v>1.2</v>
      </c>
      <c r="AI473" s="80">
        <f>IF(Q473="","",IF(Q473="SIM",VLOOKUP($I473&amp;$J473&amp;Q$1,Pesos!$A:$I,7,FALSE),VLOOKUP($I473&amp;$J473&amp;Q$1,Pesos!$A:$I,9,FALSE)))</f>
        <v>0.8</v>
      </c>
      <c r="AJ473" s="80">
        <f>IF(R473="","",IF(R473="SIM",VLOOKUP($I473&amp;$J473&amp;R$1,Pesos!$A:$I,7,FALSE),VLOOKUP($I473&amp;$J473&amp;R$1,Pesos!$A:$I,9,FALSE)))</f>
        <v>0.8</v>
      </c>
      <c r="AK473" s="80">
        <f>IF(S473="","",IF(S473="SIM",VLOOKUP($I473&amp;$J473&amp;S$1,Pesos!$A:$I,7,FALSE),VLOOKUP($I473&amp;$J473&amp;S$1,Pesos!$A:$I,9,FALSE)))</f>
        <v>0.8</v>
      </c>
      <c r="AL473" s="80">
        <f t="shared" si="73"/>
        <v>4.3599999999999994</v>
      </c>
      <c r="AM473" s="80">
        <f>IF(T473="","",IF(T473="SIM",VLOOKUP($I473&amp;$J473&amp;T$1,Pesos!$A:$I,7,FALSE),VLOOKUP($I473&amp;$J473&amp;T$1,Pesos!$A:$I,9,FALSE)))</f>
        <v>0.8</v>
      </c>
      <c r="AN473" s="80">
        <f>IF(U473="","",IF(U473="SIM",VLOOKUP($I473&amp;$J473&amp;U$1,Pesos!$A:$I,7,FALSE),VLOOKUP($I473&amp;$J473&amp;U$1,Pesos!$A:$I,9,FALSE)))</f>
        <v>0.8</v>
      </c>
      <c r="AO473" s="80">
        <f>IF(V473="","",IF(V473="SIM",VLOOKUP($I473&amp;$J473&amp;V$1,Pesos!$A:$I,7,FALSE),VLOOKUP($I473&amp;$J473&amp;V$1,Pesos!$A:$I,9,FALSE)))</f>
        <v>0.8</v>
      </c>
      <c r="AP473" s="80">
        <f>IF(W473="","",IF(W473="SIM",VLOOKUP($I473&amp;$J473&amp;W$1,Pesos!$A:$I,7,FALSE),VLOOKUP($I473&amp;$J473&amp;W$1,Pesos!$A:$I,9,FALSE)))</f>
        <v>0.8</v>
      </c>
      <c r="AQ473" s="80">
        <f>IF(X473="","",IF(X473="SIM",VLOOKUP($I473&amp;$J473&amp;X$1,Pesos!$A:$I,7,FALSE),VLOOKUP($I473&amp;$J473&amp;X$1,Pesos!$A:$I,9,FALSE)))</f>
        <v>0.8</v>
      </c>
      <c r="AR473" s="80">
        <f>IF(Y473="","",IF(Y473="SIM",VLOOKUP($I473&amp;$J473&amp;Y$1,Pesos!$A:$I,7,FALSE),VLOOKUP($I473&amp;$J473&amp;Y$1,Pesos!$A:$I,9,FALSE)))</f>
        <v>0.8</v>
      </c>
      <c r="AS473" s="81">
        <f>IFERROR(Z473*VLOOKUP(J473,'BD Campos'!$Y$1:$Z$12,2,FALSE),"0")</f>
        <v>9.16</v>
      </c>
    </row>
    <row r="474" spans="1:45" x14ac:dyDescent="0.35">
      <c r="A474" s="68" t="str">
        <f t="shared" si="68"/>
        <v>Fev20251308ReceptivaRECEPTIVO</v>
      </c>
      <c r="B474" s="69" t="str">
        <f t="shared" si="69"/>
        <v>Fev202513085RECEPTIVOPADRÃO</v>
      </c>
      <c r="C474" s="70">
        <v>1</v>
      </c>
      <c r="D474" s="71">
        <v>45698.65277523148</v>
      </c>
      <c r="E474" s="112" t="s">
        <v>338</v>
      </c>
      <c r="F474" s="72">
        <v>1308</v>
      </c>
      <c r="G474" s="69" t="s">
        <v>262</v>
      </c>
      <c r="H474" s="73">
        <v>5</v>
      </c>
      <c r="I474" s="69" t="s">
        <v>97</v>
      </c>
      <c r="J474" s="69" t="s">
        <v>98</v>
      </c>
      <c r="K474" s="69" t="s">
        <v>99</v>
      </c>
      <c r="L474" s="74">
        <v>1739176201248710</v>
      </c>
      <c r="M474" s="75"/>
      <c r="N474" s="76" t="s">
        <v>79</v>
      </c>
      <c r="O474" s="76" t="s">
        <v>79</v>
      </c>
      <c r="P474" s="76" t="s">
        <v>79</v>
      </c>
      <c r="Q474" s="76" t="s">
        <v>79</v>
      </c>
      <c r="R474" s="76" t="s">
        <v>79</v>
      </c>
      <c r="S474" s="76" t="s">
        <v>79</v>
      </c>
      <c r="T474" s="76" t="s">
        <v>79</v>
      </c>
      <c r="U474" s="76" t="s">
        <v>79</v>
      </c>
      <c r="V474" s="76" t="s">
        <v>79</v>
      </c>
      <c r="W474" s="76" t="s">
        <v>79</v>
      </c>
      <c r="X474" s="76"/>
      <c r="Y474" s="76"/>
      <c r="Z474" s="77">
        <f t="shared" si="38"/>
        <v>10</v>
      </c>
      <c r="AA474" s="78"/>
      <c r="AB474" s="78"/>
      <c r="AC474" s="72" t="s">
        <v>47</v>
      </c>
      <c r="AE474" s="79" t="str">
        <f t="shared" si="72"/>
        <v>Fev1308</v>
      </c>
      <c r="AF474" s="80">
        <f>IF(N474="","",IF(N474="SIM",VLOOKUP($I474&amp;$J474&amp;N$1,Pesos!$A:$I,7,FALSE),VLOOKUP($I474&amp;$J474&amp;N$1,Pesos!$A:$I,9,FALSE)))</f>
        <v>1</v>
      </c>
      <c r="AG474" s="80">
        <f>IF(O474="","",IF(O474="SIM",VLOOKUP($I474&amp;$J474&amp;O$1,Pesos!$A:$I,7,FALSE),VLOOKUP($I474&amp;$J474&amp;O$1,Pesos!$A:$I,9,FALSE)))</f>
        <v>1</v>
      </c>
      <c r="AH474" s="80">
        <f>IF(P474="","",IF(P474="SIM",VLOOKUP($I474&amp;$J474&amp;P$1,Pesos!$A:$I,7,FALSE),VLOOKUP($I474&amp;$J474&amp;P$1,Pesos!$A:$I,9,FALSE)))</f>
        <v>1</v>
      </c>
      <c r="AI474" s="80">
        <f>IF(Q474="","",IF(Q474="SIM",VLOOKUP($I474&amp;$J474&amp;Q$1,Pesos!$A:$I,7,FALSE),VLOOKUP($I474&amp;$J474&amp;Q$1,Pesos!$A:$I,9,FALSE)))</f>
        <v>1</v>
      </c>
      <c r="AJ474" s="80">
        <f>IF(R474="","",IF(R474="SIM",VLOOKUP($I474&amp;$J474&amp;R$1,Pesos!$A:$I,7,FALSE),VLOOKUP($I474&amp;$J474&amp;R$1,Pesos!$A:$I,9,FALSE)))</f>
        <v>1</v>
      </c>
      <c r="AK474" s="80">
        <f>IF(S474="","",IF(S474="SIM",VLOOKUP($I474&amp;$J474&amp;S$1,Pesos!$A:$I,7,FALSE),VLOOKUP($I474&amp;$J474&amp;S$1,Pesos!$A:$I,9,FALSE)))</f>
        <v>1</v>
      </c>
      <c r="AL474" s="80">
        <f t="shared" si="73"/>
        <v>6</v>
      </c>
      <c r="AM474" s="80">
        <f>IF(T474="","",IF(T474="SIM",VLOOKUP($I474&amp;$J474&amp;T$1,Pesos!$A:$I,7,FALSE),VLOOKUP($I474&amp;$J474&amp;T$1,Pesos!$A:$I,9,FALSE)))</f>
        <v>1</v>
      </c>
      <c r="AN474" s="80">
        <f>IF(U474="","",IF(U474="SIM",VLOOKUP($I474&amp;$J474&amp;U$1,Pesos!$A:$I,7,FALSE),VLOOKUP($I474&amp;$J474&amp;U$1,Pesos!$A:$I,9,FALSE)))</f>
        <v>1</v>
      </c>
      <c r="AO474" s="80">
        <f>IF(V474="","",IF(V474="SIM",VLOOKUP($I474&amp;$J474&amp;V$1,Pesos!$A:$I,7,FALSE),VLOOKUP($I474&amp;$J474&amp;V$1,Pesos!$A:$I,9,FALSE)))</f>
        <v>1</v>
      </c>
      <c r="AP474" s="80">
        <f>IF(W474="","",IF(W474="SIM",VLOOKUP($I474&amp;$J474&amp;W$1,Pesos!$A:$I,7,FALSE),VLOOKUP($I474&amp;$J474&amp;W$1,Pesos!$A:$I,9,FALSE)))</f>
        <v>1</v>
      </c>
      <c r="AQ474" s="80" t="str">
        <f>IF(X474="","",IF(X474="SIM",VLOOKUP($I474&amp;$J474&amp;X$1,Pesos!$A:$I,7,FALSE),VLOOKUP($I474&amp;$J474&amp;X$1,Pesos!$A:$I,9,FALSE)))</f>
        <v/>
      </c>
      <c r="AR474" s="80" t="str">
        <f>IF(Y474="","",IF(Y474="SIM",VLOOKUP($I474&amp;$J474&amp;Y$1,Pesos!$A:$I,7,FALSE),VLOOKUP($I474&amp;$J474&amp;Y$1,Pesos!$A:$I,9,FALSE)))</f>
        <v/>
      </c>
      <c r="AS474" s="81">
        <f>IFERROR(Z474*VLOOKUP(J474,'BD Campos'!$Y$1:$Z$12,2,FALSE),"0")</f>
        <v>10</v>
      </c>
    </row>
    <row r="475" spans="1:45" x14ac:dyDescent="0.35">
      <c r="A475" s="68" t="str">
        <f t="shared" si="68"/>
        <v>Fev20251308Receptiva 2RECEPTIVO</v>
      </c>
      <c r="B475" s="69" t="str">
        <f t="shared" si="69"/>
        <v>Fev202513086RECEPTIVOPADRÃO</v>
      </c>
      <c r="C475" s="70">
        <v>1</v>
      </c>
      <c r="D475" s="71">
        <v>45698.653651736109</v>
      </c>
      <c r="E475" s="112" t="s">
        <v>338</v>
      </c>
      <c r="F475" s="72">
        <v>1308</v>
      </c>
      <c r="G475" s="69" t="s">
        <v>262</v>
      </c>
      <c r="H475" s="73">
        <v>6</v>
      </c>
      <c r="I475" s="69" t="s">
        <v>97</v>
      </c>
      <c r="J475" s="69" t="s">
        <v>100</v>
      </c>
      <c r="K475" s="69" t="s">
        <v>99</v>
      </c>
      <c r="L475" s="74">
        <v>1738398749555190</v>
      </c>
      <c r="M475" s="75"/>
      <c r="N475" s="76" t="s">
        <v>79</v>
      </c>
      <c r="O475" s="76" t="s">
        <v>79</v>
      </c>
      <c r="P475" s="76" t="s">
        <v>79</v>
      </c>
      <c r="Q475" s="76" t="s">
        <v>79</v>
      </c>
      <c r="R475" s="76" t="s">
        <v>79</v>
      </c>
      <c r="S475" s="76" t="s">
        <v>79</v>
      </c>
      <c r="T475" s="76" t="s">
        <v>79</v>
      </c>
      <c r="U475" s="76" t="s">
        <v>79</v>
      </c>
      <c r="V475" s="76" t="s">
        <v>79</v>
      </c>
      <c r="W475" s="76" t="s">
        <v>79</v>
      </c>
      <c r="X475" s="76"/>
      <c r="Y475" s="76"/>
      <c r="Z475" s="77">
        <f t="shared" si="38"/>
        <v>10</v>
      </c>
      <c r="AA475" s="78"/>
      <c r="AB475" s="78"/>
      <c r="AC475" s="72" t="s">
        <v>47</v>
      </c>
      <c r="AE475" s="79" t="str">
        <f t="shared" si="72"/>
        <v>Fev1308</v>
      </c>
      <c r="AF475" s="80">
        <f>IF(N475="","",IF(N475="SIM",VLOOKUP($I475&amp;$J475&amp;N$1,Pesos!$A:$I,7,FALSE),VLOOKUP($I475&amp;$J475&amp;N$1,Pesos!$A:$I,9,FALSE)))</f>
        <v>1</v>
      </c>
      <c r="AG475" s="80">
        <f>IF(O475="","",IF(O475="SIM",VLOOKUP($I475&amp;$J475&amp;O$1,Pesos!$A:$I,7,FALSE),VLOOKUP($I475&amp;$J475&amp;O$1,Pesos!$A:$I,9,FALSE)))</f>
        <v>1</v>
      </c>
      <c r="AH475" s="80">
        <f>IF(P475="","",IF(P475="SIM",VLOOKUP($I475&amp;$J475&amp;P$1,Pesos!$A:$I,7,FALSE),VLOOKUP($I475&amp;$J475&amp;P$1,Pesos!$A:$I,9,FALSE)))</f>
        <v>1</v>
      </c>
      <c r="AI475" s="80">
        <f>IF(Q475="","",IF(Q475="SIM",VLOOKUP($I475&amp;$J475&amp;Q$1,Pesos!$A:$I,7,FALSE),VLOOKUP($I475&amp;$J475&amp;Q$1,Pesos!$A:$I,9,FALSE)))</f>
        <v>1</v>
      </c>
      <c r="AJ475" s="80">
        <f>IF(R475="","",IF(R475="SIM",VLOOKUP($I475&amp;$J475&amp;R$1,Pesos!$A:$I,7,FALSE),VLOOKUP($I475&amp;$J475&amp;R$1,Pesos!$A:$I,9,FALSE)))</f>
        <v>1</v>
      </c>
      <c r="AK475" s="80">
        <f>IF(S475="","",IF(S475="SIM",VLOOKUP($I475&amp;$J475&amp;S$1,Pesos!$A:$I,7,FALSE),VLOOKUP($I475&amp;$J475&amp;S$1,Pesos!$A:$I,9,FALSE)))</f>
        <v>1</v>
      </c>
      <c r="AL475" s="80">
        <f t="shared" si="73"/>
        <v>6</v>
      </c>
      <c r="AM475" s="80">
        <f>IF(T475="","",IF(T475="SIM",VLOOKUP($I475&amp;$J475&amp;T$1,Pesos!$A:$I,7,FALSE),VLOOKUP($I475&amp;$J475&amp;T$1,Pesos!$A:$I,9,FALSE)))</f>
        <v>1</v>
      </c>
      <c r="AN475" s="80">
        <f>IF(U475="","",IF(U475="SIM",VLOOKUP($I475&amp;$J475&amp;U$1,Pesos!$A:$I,7,FALSE),VLOOKUP($I475&amp;$J475&amp;U$1,Pesos!$A:$I,9,FALSE)))</f>
        <v>1</v>
      </c>
      <c r="AO475" s="80">
        <f>IF(V475="","",IF(V475="SIM",VLOOKUP($I475&amp;$J475&amp;V$1,Pesos!$A:$I,7,FALSE),VLOOKUP($I475&amp;$J475&amp;V$1,Pesos!$A:$I,9,FALSE)))</f>
        <v>1</v>
      </c>
      <c r="AP475" s="80">
        <f>IF(W475="","",IF(W475="SIM",VLOOKUP($I475&amp;$J475&amp;W$1,Pesos!$A:$I,7,FALSE),VLOOKUP($I475&amp;$J475&amp;W$1,Pesos!$A:$I,9,FALSE)))</f>
        <v>1</v>
      </c>
      <c r="AQ475" s="80" t="str">
        <f>IF(X475="","",IF(X475="SIM",VLOOKUP($I475&amp;$J475&amp;X$1,Pesos!$A:$I,7,FALSE),VLOOKUP($I475&amp;$J475&amp;X$1,Pesos!$A:$I,9,FALSE)))</f>
        <v/>
      </c>
      <c r="AR475" s="80" t="str">
        <f>IF(Y475="","",IF(Y475="SIM",VLOOKUP($I475&amp;$J475&amp;Y$1,Pesos!$A:$I,7,FALSE),VLOOKUP($I475&amp;$J475&amp;Y$1,Pesos!$A:$I,9,FALSE)))</f>
        <v/>
      </c>
      <c r="AS475" s="81">
        <f>IFERROR(Z475*VLOOKUP(J475,'BD Campos'!$Y$1:$Z$12,2,FALSE),"0")</f>
        <v>10</v>
      </c>
    </row>
    <row r="476" spans="1:45" x14ac:dyDescent="0.35">
      <c r="A476" s="68" t="str">
        <f t="shared" si="68"/>
        <v>Fev202510961ReceptivaRECEPTIVO</v>
      </c>
      <c r="B476" s="69" t="str">
        <f t="shared" si="69"/>
        <v>Fev2025109615RECEPTIVOPADRÃO</v>
      </c>
      <c r="C476" s="70">
        <v>1</v>
      </c>
      <c r="D476" s="71">
        <v>45698.655201273148</v>
      </c>
      <c r="E476" s="112" t="s">
        <v>338</v>
      </c>
      <c r="F476" s="72">
        <v>10961</v>
      </c>
      <c r="G476" s="69" t="s">
        <v>104</v>
      </c>
      <c r="H476" s="73">
        <v>5</v>
      </c>
      <c r="I476" s="69" t="s">
        <v>97</v>
      </c>
      <c r="J476" s="69" t="s">
        <v>98</v>
      </c>
      <c r="K476" s="69" t="s">
        <v>99</v>
      </c>
      <c r="L476" s="74">
        <v>1738721118893540</v>
      </c>
      <c r="M476" s="75"/>
      <c r="N476" s="76" t="s">
        <v>79</v>
      </c>
      <c r="O476" s="76" t="s">
        <v>79</v>
      </c>
      <c r="P476" s="76" t="s">
        <v>79</v>
      </c>
      <c r="Q476" s="76" t="s">
        <v>79</v>
      </c>
      <c r="R476" s="76" t="s">
        <v>79</v>
      </c>
      <c r="S476" s="76" t="s">
        <v>79</v>
      </c>
      <c r="T476" s="76" t="s">
        <v>79</v>
      </c>
      <c r="U476" s="76" t="s">
        <v>79</v>
      </c>
      <c r="V476" s="76" t="s">
        <v>79</v>
      </c>
      <c r="W476" s="76" t="s">
        <v>83</v>
      </c>
      <c r="X476" s="76"/>
      <c r="Y476" s="76"/>
      <c r="Z476" s="77">
        <f t="shared" si="38"/>
        <v>8.9499999999999993</v>
      </c>
      <c r="AA476" s="78"/>
      <c r="AB476" s="78"/>
      <c r="AC476" s="72" t="s">
        <v>47</v>
      </c>
      <c r="AE476" s="79" t="str">
        <f t="shared" si="72"/>
        <v>Fev10961</v>
      </c>
      <c r="AF476" s="80">
        <f>IF(N476="","",IF(N476="SIM",VLOOKUP($I476&amp;$J476&amp;N$1,Pesos!$A:$I,7,FALSE),VLOOKUP($I476&amp;$J476&amp;N$1,Pesos!$A:$I,9,FALSE)))</f>
        <v>1</v>
      </c>
      <c r="AG476" s="80">
        <f>IF(O476="","",IF(O476="SIM",VLOOKUP($I476&amp;$J476&amp;O$1,Pesos!$A:$I,7,FALSE),VLOOKUP($I476&amp;$J476&amp;O$1,Pesos!$A:$I,9,FALSE)))</f>
        <v>1</v>
      </c>
      <c r="AH476" s="80">
        <f>IF(P476="","",IF(P476="SIM",VLOOKUP($I476&amp;$J476&amp;P$1,Pesos!$A:$I,7,FALSE),VLOOKUP($I476&amp;$J476&amp;P$1,Pesos!$A:$I,9,FALSE)))</f>
        <v>1</v>
      </c>
      <c r="AI476" s="80">
        <f>IF(Q476="","",IF(Q476="SIM",VLOOKUP($I476&amp;$J476&amp;Q$1,Pesos!$A:$I,7,FALSE),VLOOKUP($I476&amp;$J476&amp;Q$1,Pesos!$A:$I,9,FALSE)))</f>
        <v>1</v>
      </c>
      <c r="AJ476" s="80">
        <f>IF(R476="","",IF(R476="SIM",VLOOKUP($I476&amp;$J476&amp;R$1,Pesos!$A:$I,7,FALSE),VLOOKUP($I476&amp;$J476&amp;R$1,Pesos!$A:$I,9,FALSE)))</f>
        <v>1</v>
      </c>
      <c r="AK476" s="80">
        <f>IF(S476="","",IF(S476="SIM",VLOOKUP($I476&amp;$J476&amp;S$1,Pesos!$A:$I,7,FALSE),VLOOKUP($I476&amp;$J476&amp;S$1,Pesos!$A:$I,9,FALSE)))</f>
        <v>1</v>
      </c>
      <c r="AL476" s="80">
        <f t="shared" si="73"/>
        <v>6</v>
      </c>
      <c r="AM476" s="80">
        <f>IF(T476="","",IF(T476="SIM",VLOOKUP($I476&amp;$J476&amp;T$1,Pesos!$A:$I,7,FALSE),VLOOKUP($I476&amp;$J476&amp;T$1,Pesos!$A:$I,9,FALSE)))</f>
        <v>1</v>
      </c>
      <c r="AN476" s="80">
        <f>IF(U476="","",IF(U476="SIM",VLOOKUP($I476&amp;$J476&amp;U$1,Pesos!$A:$I,7,FALSE),VLOOKUP($I476&amp;$J476&amp;U$1,Pesos!$A:$I,9,FALSE)))</f>
        <v>1</v>
      </c>
      <c r="AO476" s="80">
        <f>IF(V476="","",IF(V476="SIM",VLOOKUP($I476&amp;$J476&amp;V$1,Pesos!$A:$I,7,FALSE),VLOOKUP($I476&amp;$J476&amp;V$1,Pesos!$A:$I,9,FALSE)))</f>
        <v>1</v>
      </c>
      <c r="AP476" s="80">
        <f>IF(W476="","",IF(W476="SIM",VLOOKUP($I476&amp;$J476&amp;W$1,Pesos!$A:$I,7,FALSE),VLOOKUP($I476&amp;$J476&amp;W$1,Pesos!$A:$I,9,FALSE)))</f>
        <v>-0.05</v>
      </c>
      <c r="AQ476" s="80" t="str">
        <f>IF(X476="","",IF(X476="SIM",VLOOKUP($I476&amp;$J476&amp;X$1,Pesos!$A:$I,7,FALSE),VLOOKUP($I476&amp;$J476&amp;X$1,Pesos!$A:$I,9,FALSE)))</f>
        <v/>
      </c>
      <c r="AR476" s="80" t="str">
        <f>IF(Y476="","",IF(Y476="SIM",VLOOKUP($I476&amp;$J476&amp;Y$1,Pesos!$A:$I,7,FALSE),VLOOKUP($I476&amp;$J476&amp;Y$1,Pesos!$A:$I,9,FALSE)))</f>
        <v/>
      </c>
      <c r="AS476" s="81">
        <f>IFERROR(Z476*VLOOKUP(J476,'BD Campos'!$Y$1:$Z$12,2,FALSE),"0")</f>
        <v>8.9499999999999993</v>
      </c>
    </row>
    <row r="477" spans="1:45" x14ac:dyDescent="0.35">
      <c r="A477" s="68" t="str">
        <f t="shared" si="68"/>
        <v>Fev202510961Receptiva 2RECEPTIVO</v>
      </c>
      <c r="B477" s="69" t="str">
        <f t="shared" si="69"/>
        <v>Fev2025109616RECEPTIVOPADRÃO</v>
      </c>
      <c r="C477" s="70">
        <v>1</v>
      </c>
      <c r="D477" s="71">
        <v>45698.655942129626</v>
      </c>
      <c r="E477" s="112" t="s">
        <v>338</v>
      </c>
      <c r="F477" s="72">
        <v>10961</v>
      </c>
      <c r="G477" s="69" t="s">
        <v>104</v>
      </c>
      <c r="H477" s="73">
        <v>6</v>
      </c>
      <c r="I477" s="69" t="s">
        <v>97</v>
      </c>
      <c r="J477" s="69" t="s">
        <v>100</v>
      </c>
      <c r="K477" s="69" t="s">
        <v>99</v>
      </c>
      <c r="L477" s="74">
        <v>1739002306479740</v>
      </c>
      <c r="M477" s="75"/>
      <c r="N477" s="76" t="s">
        <v>79</v>
      </c>
      <c r="O477" s="76" t="s">
        <v>79</v>
      </c>
      <c r="P477" s="76" t="s">
        <v>79</v>
      </c>
      <c r="Q477" s="76" t="s">
        <v>79</v>
      </c>
      <c r="R477" s="76" t="s">
        <v>79</v>
      </c>
      <c r="S477" s="76" t="s">
        <v>79</v>
      </c>
      <c r="T477" s="76" t="s">
        <v>79</v>
      </c>
      <c r="U477" s="76" t="s">
        <v>79</v>
      </c>
      <c r="V477" s="76" t="s">
        <v>79</v>
      </c>
      <c r="W477" s="76" t="s">
        <v>79</v>
      </c>
      <c r="X477" s="76"/>
      <c r="Y477" s="76"/>
      <c r="Z477" s="77">
        <f t="shared" si="38"/>
        <v>10</v>
      </c>
      <c r="AA477" s="78"/>
      <c r="AB477" s="78"/>
      <c r="AC477" s="72" t="s">
        <v>47</v>
      </c>
      <c r="AE477" s="79" t="str">
        <f t="shared" si="72"/>
        <v>Fev10961</v>
      </c>
      <c r="AF477" s="80">
        <f>IF(N477="","",IF(N477="SIM",VLOOKUP($I477&amp;$J477&amp;N$1,Pesos!$A:$I,7,FALSE),VLOOKUP($I477&amp;$J477&amp;N$1,Pesos!$A:$I,9,FALSE)))</f>
        <v>1</v>
      </c>
      <c r="AG477" s="80">
        <f>IF(O477="","",IF(O477="SIM",VLOOKUP($I477&amp;$J477&amp;O$1,Pesos!$A:$I,7,FALSE),VLOOKUP($I477&amp;$J477&amp;O$1,Pesos!$A:$I,9,FALSE)))</f>
        <v>1</v>
      </c>
      <c r="AH477" s="80">
        <f>IF(P477="","",IF(P477="SIM",VLOOKUP($I477&amp;$J477&amp;P$1,Pesos!$A:$I,7,FALSE),VLOOKUP($I477&amp;$J477&amp;P$1,Pesos!$A:$I,9,FALSE)))</f>
        <v>1</v>
      </c>
      <c r="AI477" s="80">
        <f>IF(Q477="","",IF(Q477="SIM",VLOOKUP($I477&amp;$J477&amp;Q$1,Pesos!$A:$I,7,FALSE),VLOOKUP($I477&amp;$J477&amp;Q$1,Pesos!$A:$I,9,FALSE)))</f>
        <v>1</v>
      </c>
      <c r="AJ477" s="80">
        <f>IF(R477="","",IF(R477="SIM",VLOOKUP($I477&amp;$J477&amp;R$1,Pesos!$A:$I,7,FALSE),VLOOKUP($I477&amp;$J477&amp;R$1,Pesos!$A:$I,9,FALSE)))</f>
        <v>1</v>
      </c>
      <c r="AK477" s="80">
        <f>IF(S477="","",IF(S477="SIM",VLOOKUP($I477&amp;$J477&amp;S$1,Pesos!$A:$I,7,FALSE),VLOOKUP($I477&amp;$J477&amp;S$1,Pesos!$A:$I,9,FALSE)))</f>
        <v>1</v>
      </c>
      <c r="AL477" s="80">
        <f t="shared" si="73"/>
        <v>6</v>
      </c>
      <c r="AM477" s="80">
        <f>IF(T477="","",IF(T477="SIM",VLOOKUP($I477&amp;$J477&amp;T$1,Pesos!$A:$I,7,FALSE),VLOOKUP($I477&amp;$J477&amp;T$1,Pesos!$A:$I,9,FALSE)))</f>
        <v>1</v>
      </c>
      <c r="AN477" s="80">
        <f>IF(U477="","",IF(U477="SIM",VLOOKUP($I477&amp;$J477&amp;U$1,Pesos!$A:$I,7,FALSE),VLOOKUP($I477&amp;$J477&amp;U$1,Pesos!$A:$I,9,FALSE)))</f>
        <v>1</v>
      </c>
      <c r="AO477" s="80">
        <f>IF(V477="","",IF(V477="SIM",VLOOKUP($I477&amp;$J477&amp;V$1,Pesos!$A:$I,7,FALSE),VLOOKUP($I477&amp;$J477&amp;V$1,Pesos!$A:$I,9,FALSE)))</f>
        <v>1</v>
      </c>
      <c r="AP477" s="80">
        <f>IF(W477="","",IF(W477="SIM",VLOOKUP($I477&amp;$J477&amp;W$1,Pesos!$A:$I,7,FALSE),VLOOKUP($I477&amp;$J477&amp;W$1,Pesos!$A:$I,9,FALSE)))</f>
        <v>1</v>
      </c>
      <c r="AQ477" s="80" t="str">
        <f>IF(X477="","",IF(X477="SIM",VLOOKUP($I477&amp;$J477&amp;X$1,Pesos!$A:$I,7,FALSE),VLOOKUP($I477&amp;$J477&amp;X$1,Pesos!$A:$I,9,FALSE)))</f>
        <v/>
      </c>
      <c r="AR477" s="80" t="str">
        <f>IF(Y477="","",IF(Y477="SIM",VLOOKUP($I477&amp;$J477&amp;Y$1,Pesos!$A:$I,7,FALSE),VLOOKUP($I477&amp;$J477&amp;Y$1,Pesos!$A:$I,9,FALSE)))</f>
        <v/>
      </c>
      <c r="AS477" s="81">
        <f>IFERROR(Z477*VLOOKUP(J477,'BD Campos'!$Y$1:$Z$12,2,FALSE),"0")</f>
        <v>10</v>
      </c>
    </row>
    <row r="478" spans="1:45" x14ac:dyDescent="0.35">
      <c r="A478" s="68" t="str">
        <f t="shared" si="68"/>
        <v>Fev20254186MotoristaTRANSFERÊNCIA</v>
      </c>
      <c r="B478" s="69" t="str">
        <f t="shared" si="69"/>
        <v>Fev202541861TRANSFERÊNCIAPADRÃO</v>
      </c>
      <c r="C478" s="70">
        <v>1</v>
      </c>
      <c r="D478" s="71">
        <v>45698.673840393516</v>
      </c>
      <c r="E478" s="112" t="s">
        <v>338</v>
      </c>
      <c r="F478" s="72">
        <v>4186</v>
      </c>
      <c r="G478" s="69" t="s">
        <v>229</v>
      </c>
      <c r="H478" s="73">
        <v>1</v>
      </c>
      <c r="I478" s="69" t="s">
        <v>123</v>
      </c>
      <c r="J478" s="69" t="s">
        <v>122</v>
      </c>
      <c r="K478" s="69" t="s">
        <v>106</v>
      </c>
      <c r="L478" s="74">
        <v>31127147</v>
      </c>
      <c r="M478" s="75">
        <v>9.6064814814814808E-4</v>
      </c>
      <c r="N478" s="76" t="s">
        <v>79</v>
      </c>
      <c r="O478" s="76" t="s">
        <v>79</v>
      </c>
      <c r="P478" s="76" t="s">
        <v>79</v>
      </c>
      <c r="Q478" s="76" t="s">
        <v>79</v>
      </c>
      <c r="R478" s="76" t="s">
        <v>79</v>
      </c>
      <c r="S478" s="76" t="s">
        <v>79</v>
      </c>
      <c r="T478" s="76" t="s">
        <v>79</v>
      </c>
      <c r="U478" s="76" t="s">
        <v>83</v>
      </c>
      <c r="V478" s="76" t="s">
        <v>79</v>
      </c>
      <c r="W478" s="76" t="s">
        <v>79</v>
      </c>
      <c r="X478" s="76"/>
      <c r="Y478" s="76"/>
      <c r="Z478" s="77">
        <f t="shared" si="38"/>
        <v>8.9499999999999993</v>
      </c>
      <c r="AA478" s="78"/>
      <c r="AB478" s="78" t="s">
        <v>1633</v>
      </c>
      <c r="AC478" s="72" t="s">
        <v>47</v>
      </c>
      <c r="AE478" s="79" t="str">
        <f t="shared" ref="AE478:AE491" si="74">E478&amp;F478</f>
        <v>Fev4186</v>
      </c>
      <c r="AF478" s="80">
        <f>IF(N478="","",IF(N478="SIM",VLOOKUP($I478&amp;$J478&amp;N$1,Pesos!$A:$I,7,FALSE),VLOOKUP($I478&amp;$J478&amp;N$1,Pesos!$A:$I,9,FALSE)))</f>
        <v>1</v>
      </c>
      <c r="AG478" s="80">
        <f>IF(O478="","",IF(O478="SIM",VLOOKUP($I478&amp;$J478&amp;O$1,Pesos!$A:$I,7,FALSE),VLOOKUP($I478&amp;$J478&amp;O$1,Pesos!$A:$I,9,FALSE)))</f>
        <v>1</v>
      </c>
      <c r="AH478" s="80">
        <f>IF(P478="","",IF(P478="SIM",VLOOKUP($I478&amp;$J478&amp;P$1,Pesos!$A:$I,7,FALSE),VLOOKUP($I478&amp;$J478&amp;P$1,Pesos!$A:$I,9,FALSE)))</f>
        <v>1</v>
      </c>
      <c r="AI478" s="80">
        <f>IF(Q478="","",IF(Q478="SIM",VLOOKUP($I478&amp;$J478&amp;Q$1,Pesos!$A:$I,7,FALSE),VLOOKUP($I478&amp;$J478&amp;Q$1,Pesos!$A:$I,9,FALSE)))</f>
        <v>1</v>
      </c>
      <c r="AJ478" s="80">
        <f>IF(R478="","",IF(R478="SIM",VLOOKUP($I478&amp;$J478&amp;R$1,Pesos!$A:$I,7,FALSE),VLOOKUP($I478&amp;$J478&amp;R$1,Pesos!$A:$I,9,FALSE)))</f>
        <v>1</v>
      </c>
      <c r="AK478" s="80">
        <f>IF(S478="","",IF(S478="SIM",VLOOKUP($I478&amp;$J478&amp;S$1,Pesos!$A:$I,7,FALSE),VLOOKUP($I478&amp;$J478&amp;S$1,Pesos!$A:$I,9,FALSE)))</f>
        <v>1</v>
      </c>
      <c r="AL478" s="80">
        <f t="shared" si="73"/>
        <v>6</v>
      </c>
      <c r="AM478" s="80">
        <f>IF(T478="","",IF(T478="SIM",VLOOKUP($I478&amp;$J478&amp;T$1,Pesos!$A:$I,7,FALSE),VLOOKUP($I478&amp;$J478&amp;T$1,Pesos!$A:$I,9,FALSE)))</f>
        <v>1</v>
      </c>
      <c r="AN478" s="80">
        <f>IF(U478="","",IF(U478="SIM",VLOOKUP($I478&amp;$J478&amp;U$1,Pesos!$A:$I,7,FALSE),VLOOKUP($I478&amp;$J478&amp;U$1,Pesos!$A:$I,9,FALSE)))</f>
        <v>-0.05</v>
      </c>
      <c r="AO478" s="80">
        <f>IF(V478="","",IF(V478="SIM",VLOOKUP($I478&amp;$J478&amp;V$1,Pesos!$A:$I,7,FALSE),VLOOKUP($I478&amp;$J478&amp;V$1,Pesos!$A:$I,9,FALSE)))</f>
        <v>1</v>
      </c>
      <c r="AP478" s="80">
        <f>IF(W478="","",IF(W478="SIM",VLOOKUP($I478&amp;$J478&amp;W$1,Pesos!$A:$I,7,FALSE),VLOOKUP($I478&amp;$J478&amp;W$1,Pesos!$A:$I,9,FALSE)))</f>
        <v>1</v>
      </c>
      <c r="AQ478" s="80" t="str">
        <f>IF(X478="","",IF(X478="SIM",VLOOKUP($I478&amp;$J478&amp;X$1,Pesos!$A:$I,7,FALSE),VLOOKUP($I478&amp;$J478&amp;X$1,Pesos!$A:$I,9,FALSE)))</f>
        <v/>
      </c>
      <c r="AR478" s="80" t="str">
        <f>IF(Y478="","",IF(Y478="SIM",VLOOKUP($I478&amp;$J478&amp;Y$1,Pesos!$A:$I,7,FALSE),VLOOKUP($I478&amp;$J478&amp;Y$1,Pesos!$A:$I,9,FALSE)))</f>
        <v/>
      </c>
      <c r="AS478" s="81">
        <f>IFERROR(Z478*VLOOKUP(J478,'BD Campos'!$Y$1:$Z$12,2,FALSE),"0")</f>
        <v>8.9499999999999993</v>
      </c>
    </row>
    <row r="479" spans="1:45" x14ac:dyDescent="0.35">
      <c r="A479" s="68" t="str">
        <f t="shared" si="68"/>
        <v>Fev20254186ReceptivaTRANSFERÊNCIA</v>
      </c>
      <c r="B479" s="69" t="str">
        <f t="shared" si="69"/>
        <v>Fev202541865TRANSFERÊNCIAPADRÃO</v>
      </c>
      <c r="C479" s="70">
        <v>1</v>
      </c>
      <c r="D479" s="71">
        <v>45698.675732754629</v>
      </c>
      <c r="E479" s="112" t="s">
        <v>338</v>
      </c>
      <c r="F479" s="72">
        <v>4186</v>
      </c>
      <c r="G479" s="69" t="s">
        <v>229</v>
      </c>
      <c r="H479" s="73">
        <v>5</v>
      </c>
      <c r="I479" s="69" t="s">
        <v>6</v>
      </c>
      <c r="J479" s="69" t="s">
        <v>98</v>
      </c>
      <c r="K479" s="69" t="s">
        <v>106</v>
      </c>
      <c r="L479" s="74"/>
      <c r="M479" s="75">
        <v>1.2152777777777778E-3</v>
      </c>
      <c r="N479" s="76" t="s">
        <v>79</v>
      </c>
      <c r="O479" s="76" t="s">
        <v>79</v>
      </c>
      <c r="P479" s="76" t="s">
        <v>79</v>
      </c>
      <c r="Q479" s="76" t="s">
        <v>79</v>
      </c>
      <c r="R479" s="76" t="s">
        <v>79</v>
      </c>
      <c r="S479" s="76" t="s">
        <v>79</v>
      </c>
      <c r="T479" s="76" t="s">
        <v>79</v>
      </c>
      <c r="U479" s="76" t="s">
        <v>79</v>
      </c>
      <c r="V479" s="76" t="s">
        <v>79</v>
      </c>
      <c r="W479" s="76" t="s">
        <v>79</v>
      </c>
      <c r="X479" s="76" t="s">
        <v>79</v>
      </c>
      <c r="Y479" s="76" t="s">
        <v>79</v>
      </c>
      <c r="Z479" s="77">
        <f t="shared" si="38"/>
        <v>10</v>
      </c>
      <c r="AA479" s="78"/>
      <c r="AB479" s="78"/>
      <c r="AC479" s="72" t="s">
        <v>47</v>
      </c>
      <c r="AE479" s="79" t="str">
        <f t="shared" si="74"/>
        <v>Fev4186</v>
      </c>
      <c r="AF479" s="80">
        <f>IF(N479="","",IF(N479="SIM",VLOOKUP($I479&amp;$J479&amp;N$1,Pesos!$A:$I,7,FALSE),VLOOKUP($I479&amp;$J479&amp;N$1,Pesos!$A:$I,9,FALSE)))</f>
        <v>0.8</v>
      </c>
      <c r="AG479" s="80">
        <f>IF(O479="","",IF(O479="SIM",VLOOKUP($I479&amp;$J479&amp;O$1,Pesos!$A:$I,7,FALSE),VLOOKUP($I479&amp;$J479&amp;O$1,Pesos!$A:$I,9,FALSE)))</f>
        <v>0.8</v>
      </c>
      <c r="AH479" s="80">
        <f>IF(P479="","",IF(P479="SIM",VLOOKUP($I479&amp;$J479&amp;P$1,Pesos!$A:$I,7,FALSE),VLOOKUP($I479&amp;$J479&amp;P$1,Pesos!$A:$I,9,FALSE)))</f>
        <v>1.2</v>
      </c>
      <c r="AI479" s="80">
        <f>IF(Q479="","",IF(Q479="SIM",VLOOKUP($I479&amp;$J479&amp;Q$1,Pesos!$A:$I,7,FALSE),VLOOKUP($I479&amp;$J479&amp;Q$1,Pesos!$A:$I,9,FALSE)))</f>
        <v>0.8</v>
      </c>
      <c r="AJ479" s="80">
        <f>IF(R479="","",IF(R479="SIM",VLOOKUP($I479&amp;$J479&amp;R$1,Pesos!$A:$I,7,FALSE),VLOOKUP($I479&amp;$J479&amp;R$1,Pesos!$A:$I,9,FALSE)))</f>
        <v>0.8</v>
      </c>
      <c r="AK479" s="80">
        <f>IF(S479="","",IF(S479="SIM",VLOOKUP($I479&amp;$J479&amp;S$1,Pesos!$A:$I,7,FALSE),VLOOKUP($I479&amp;$J479&amp;S$1,Pesos!$A:$I,9,FALSE)))</f>
        <v>0.8</v>
      </c>
      <c r="AL479" s="80">
        <f t="shared" si="73"/>
        <v>5.1999999999999993</v>
      </c>
      <c r="AM479" s="80">
        <f>IF(T479="","",IF(T479="SIM",VLOOKUP($I479&amp;$J479&amp;T$1,Pesos!$A:$I,7,FALSE),VLOOKUP($I479&amp;$J479&amp;T$1,Pesos!$A:$I,9,FALSE)))</f>
        <v>0.8</v>
      </c>
      <c r="AN479" s="80">
        <f>IF(U479="","",IF(U479="SIM",VLOOKUP($I479&amp;$J479&amp;U$1,Pesos!$A:$I,7,FALSE),VLOOKUP($I479&amp;$J479&amp;U$1,Pesos!$A:$I,9,FALSE)))</f>
        <v>0.8</v>
      </c>
      <c r="AO479" s="80">
        <f>IF(V479="","",IF(V479="SIM",VLOOKUP($I479&amp;$J479&amp;V$1,Pesos!$A:$I,7,FALSE),VLOOKUP($I479&amp;$J479&amp;V$1,Pesos!$A:$I,9,FALSE)))</f>
        <v>0.8</v>
      </c>
      <c r="AP479" s="80">
        <f>IF(W479="","",IF(W479="SIM",VLOOKUP($I479&amp;$J479&amp;W$1,Pesos!$A:$I,7,FALSE),VLOOKUP($I479&amp;$J479&amp;W$1,Pesos!$A:$I,9,FALSE)))</f>
        <v>0.8</v>
      </c>
      <c r="AQ479" s="80">
        <f>IF(X479="","",IF(X479="SIM",VLOOKUP($I479&amp;$J479&amp;X$1,Pesos!$A:$I,7,FALSE),VLOOKUP($I479&amp;$J479&amp;X$1,Pesos!$A:$I,9,FALSE)))</f>
        <v>0.8</v>
      </c>
      <c r="AR479" s="80">
        <f>IF(Y479="","",IF(Y479="SIM",VLOOKUP($I479&amp;$J479&amp;Y$1,Pesos!$A:$I,7,FALSE),VLOOKUP($I479&amp;$J479&amp;Y$1,Pesos!$A:$I,9,FALSE)))</f>
        <v>0.8</v>
      </c>
      <c r="AS479" s="81">
        <f>IFERROR(Z479*VLOOKUP(J479,'BD Campos'!$Y$1:$Z$12,2,FALSE),"0")</f>
        <v>10</v>
      </c>
    </row>
    <row r="480" spans="1:45" x14ac:dyDescent="0.35">
      <c r="A480" s="68" t="str">
        <f t="shared" si="68"/>
        <v>Fev20254207ClienteTRANSFERÊNCIA</v>
      </c>
      <c r="B480" s="69" t="str">
        <f t="shared" si="69"/>
        <v>Fev202542071TRANSFERÊNCIAPADRÃO</v>
      </c>
      <c r="C480" s="70">
        <v>1</v>
      </c>
      <c r="D480" s="71">
        <v>45698.677889583334</v>
      </c>
      <c r="E480" s="112" t="s">
        <v>338</v>
      </c>
      <c r="F480" s="72">
        <v>4207</v>
      </c>
      <c r="G480" s="69" t="s">
        <v>1098</v>
      </c>
      <c r="H480" s="73">
        <v>1</v>
      </c>
      <c r="I480" s="69" t="s">
        <v>123</v>
      </c>
      <c r="J480" s="69" t="s">
        <v>124</v>
      </c>
      <c r="K480" s="69" t="s">
        <v>106</v>
      </c>
      <c r="L480" s="74">
        <v>31077408</v>
      </c>
      <c r="M480" s="75">
        <v>8.3333333333333339E-4</v>
      </c>
      <c r="N480" s="76" t="s">
        <v>79</v>
      </c>
      <c r="O480" s="76" t="s">
        <v>79</v>
      </c>
      <c r="P480" s="76" t="s">
        <v>79</v>
      </c>
      <c r="Q480" s="76" t="s">
        <v>79</v>
      </c>
      <c r="R480" s="76" t="s">
        <v>79</v>
      </c>
      <c r="S480" s="76" t="s">
        <v>83</v>
      </c>
      <c r="T480" s="76" t="s">
        <v>83</v>
      </c>
      <c r="U480" s="76" t="s">
        <v>83</v>
      </c>
      <c r="V480" s="76" t="s">
        <v>83</v>
      </c>
      <c r="W480" s="76" t="s">
        <v>83</v>
      </c>
      <c r="X480" s="76" t="s">
        <v>83</v>
      </c>
      <c r="Y480" s="76"/>
      <c r="Z480" s="77">
        <f t="shared" si="38"/>
        <v>4.2249999999999996</v>
      </c>
      <c r="AA480" s="78"/>
      <c r="AB480" s="78" t="s">
        <v>1634</v>
      </c>
      <c r="AC480" s="72" t="s">
        <v>47</v>
      </c>
      <c r="AE480" s="79" t="str">
        <f t="shared" si="74"/>
        <v>Fev4207</v>
      </c>
      <c r="AF480" s="80">
        <f>IF(N480="","",IF(N480="SIM",VLOOKUP($I480&amp;$J480&amp;N$1,Pesos!$A:$I,7,FALSE),VLOOKUP($I480&amp;$J480&amp;N$1,Pesos!$A:$I,9,FALSE)))</f>
        <v>0.89999999999999991</v>
      </c>
      <c r="AG480" s="80">
        <f>IF(O480="","",IF(O480="SIM",VLOOKUP($I480&amp;$J480&amp;O$1,Pesos!$A:$I,7,FALSE),VLOOKUP($I480&amp;$J480&amp;O$1,Pesos!$A:$I,9,FALSE)))</f>
        <v>0.89999999999999991</v>
      </c>
      <c r="AH480" s="80">
        <f>IF(P480="","",IF(P480="SIM",VLOOKUP($I480&amp;$J480&amp;P$1,Pesos!$A:$I,7,FALSE),VLOOKUP($I480&amp;$J480&amp;P$1,Pesos!$A:$I,9,FALSE)))</f>
        <v>0.89999999999999991</v>
      </c>
      <c r="AI480" s="80">
        <f>IF(Q480="","",IF(Q480="SIM",VLOOKUP($I480&amp;$J480&amp;Q$1,Pesos!$A:$I,7,FALSE),VLOOKUP($I480&amp;$J480&amp;Q$1,Pesos!$A:$I,9,FALSE)))</f>
        <v>0.89999999999999991</v>
      </c>
      <c r="AJ480" s="80">
        <f>IF(R480="","",IF(R480="SIM",VLOOKUP($I480&amp;$J480&amp;R$1,Pesos!$A:$I,7,FALSE),VLOOKUP($I480&amp;$J480&amp;R$1,Pesos!$A:$I,9,FALSE)))</f>
        <v>0.89999999999999991</v>
      </c>
      <c r="AK480" s="80">
        <f>IF(S480="","",IF(S480="SIM",VLOOKUP($I480&amp;$J480&amp;S$1,Pesos!$A:$I,7,FALSE),VLOOKUP($I480&amp;$J480&amp;S$1,Pesos!$A:$I,9,FALSE)))</f>
        <v>-4.4999999999999998E-2</v>
      </c>
      <c r="AL480" s="80">
        <f t="shared" si="73"/>
        <v>4.4550000000000001</v>
      </c>
      <c r="AM480" s="80">
        <f>IF(T480="","",IF(T480="SIM",VLOOKUP($I480&amp;$J480&amp;T$1,Pesos!$A:$I,7,FALSE),VLOOKUP($I480&amp;$J480&amp;T$1,Pesos!$A:$I,9,FALSE)))</f>
        <v>-4.4999999999999998E-2</v>
      </c>
      <c r="AN480" s="80">
        <f>IF(U480="","",IF(U480="SIM",VLOOKUP($I480&amp;$J480&amp;U$1,Pesos!$A:$I,7,FALSE),VLOOKUP($I480&amp;$J480&amp;U$1,Pesos!$A:$I,9,FALSE)))</f>
        <v>-4.7500000000000001E-2</v>
      </c>
      <c r="AO480" s="80">
        <f>IF(V480="","",IF(V480="SIM",VLOOKUP($I480&amp;$J480&amp;V$1,Pesos!$A:$I,7,FALSE),VLOOKUP($I480&amp;$J480&amp;V$1,Pesos!$A:$I,9,FALSE)))</f>
        <v>-4.7500000000000001E-2</v>
      </c>
      <c r="AP480" s="80">
        <f>IF(W480="","",IF(W480="SIM",VLOOKUP($I480&amp;$J480&amp;W$1,Pesos!$A:$I,7,FALSE),VLOOKUP($I480&amp;$J480&amp;W$1,Pesos!$A:$I,9,FALSE)))</f>
        <v>-4.4999999999999998E-2</v>
      </c>
      <c r="AQ480" s="80">
        <f>IF(X480="","",IF(X480="SIM",VLOOKUP($I480&amp;$J480&amp;X$1,Pesos!$A:$I,7,FALSE),VLOOKUP($I480&amp;$J480&amp;X$1,Pesos!$A:$I,9,FALSE)))</f>
        <v>-4.4999999999999998E-2</v>
      </c>
      <c r="AR480" s="80" t="str">
        <f>IF(Y480="","",IF(Y480="SIM",VLOOKUP($I480&amp;$J480&amp;Y$1,Pesos!$A:$I,7,FALSE),VLOOKUP($I480&amp;$J480&amp;Y$1,Pesos!$A:$I,9,FALSE)))</f>
        <v/>
      </c>
      <c r="AS480" s="81">
        <f>IFERROR(Z480*VLOOKUP(J480,'BD Campos'!$Y$1:$Z$12,2,FALSE),"0")</f>
        <v>4.2249999999999996</v>
      </c>
    </row>
    <row r="481" spans="1:45" x14ac:dyDescent="0.35">
      <c r="A481" s="68" t="str">
        <f t="shared" si="68"/>
        <v>Fev20254207ReceptivaTRANSFERÊNCIA</v>
      </c>
      <c r="B481" s="69" t="str">
        <f t="shared" si="69"/>
        <v>Fev202542075TRANSFERÊNCIAPADRÃO</v>
      </c>
      <c r="C481" s="70">
        <v>1</v>
      </c>
      <c r="D481" s="71">
        <v>45698.680165972219</v>
      </c>
      <c r="E481" s="112" t="s">
        <v>338</v>
      </c>
      <c r="F481" s="72">
        <v>4207</v>
      </c>
      <c r="G481" s="69" t="s">
        <v>1098</v>
      </c>
      <c r="H481" s="73">
        <v>5</v>
      </c>
      <c r="I481" s="69" t="s">
        <v>6</v>
      </c>
      <c r="J481" s="69" t="s">
        <v>98</v>
      </c>
      <c r="K481" s="69" t="s">
        <v>106</v>
      </c>
      <c r="L481" s="74"/>
      <c r="M481" s="75">
        <v>9.7222222222222209E-4</v>
      </c>
      <c r="N481" s="76" t="s">
        <v>83</v>
      </c>
      <c r="O481" s="76" t="s">
        <v>83</v>
      </c>
      <c r="P481" s="76" t="s">
        <v>79</v>
      </c>
      <c r="Q481" s="76" t="s">
        <v>79</v>
      </c>
      <c r="R481" s="76" t="s">
        <v>79</v>
      </c>
      <c r="S481" s="76" t="s">
        <v>79</v>
      </c>
      <c r="T481" s="76" t="s">
        <v>79</v>
      </c>
      <c r="U481" s="76" t="s">
        <v>79</v>
      </c>
      <c r="V481" s="76" t="s">
        <v>79</v>
      </c>
      <c r="W481" s="76" t="s">
        <v>79</v>
      </c>
      <c r="X481" s="76" t="s">
        <v>79</v>
      </c>
      <c r="Y481" s="76" t="s">
        <v>79</v>
      </c>
      <c r="Z481" s="77">
        <f t="shared" si="38"/>
        <v>8.3199999999999985</v>
      </c>
      <c r="AA481" s="78" t="s">
        <v>1616</v>
      </c>
      <c r="AB481" s="78"/>
      <c r="AC481" s="72" t="s">
        <v>47</v>
      </c>
      <c r="AE481" s="79" t="str">
        <f t="shared" si="74"/>
        <v>Fev4207</v>
      </c>
      <c r="AF481" s="80">
        <f>IF(N481="","",IF(N481="SIM",VLOOKUP($I481&amp;$J481&amp;N$1,Pesos!$A:$I,7,FALSE),VLOOKUP($I481&amp;$J481&amp;N$1,Pesos!$A:$I,9,FALSE)))</f>
        <v>-4.0000000000000008E-2</v>
      </c>
      <c r="AG481" s="80">
        <f>IF(O481="","",IF(O481="SIM",VLOOKUP($I481&amp;$J481&amp;O$1,Pesos!$A:$I,7,FALSE),VLOOKUP($I481&amp;$J481&amp;O$1,Pesos!$A:$I,9,FALSE)))</f>
        <v>-4.0000000000000008E-2</v>
      </c>
      <c r="AH481" s="80">
        <f>IF(P481="","",IF(P481="SIM",VLOOKUP($I481&amp;$J481&amp;P$1,Pesos!$A:$I,7,FALSE),VLOOKUP($I481&amp;$J481&amp;P$1,Pesos!$A:$I,9,FALSE)))</f>
        <v>1.2</v>
      </c>
      <c r="AI481" s="80">
        <f>IF(Q481="","",IF(Q481="SIM",VLOOKUP($I481&amp;$J481&amp;Q$1,Pesos!$A:$I,7,FALSE),VLOOKUP($I481&amp;$J481&amp;Q$1,Pesos!$A:$I,9,FALSE)))</f>
        <v>0.8</v>
      </c>
      <c r="AJ481" s="80">
        <f>IF(R481="","",IF(R481="SIM",VLOOKUP($I481&amp;$J481&amp;R$1,Pesos!$A:$I,7,FALSE),VLOOKUP($I481&amp;$J481&amp;R$1,Pesos!$A:$I,9,FALSE)))</f>
        <v>0.8</v>
      </c>
      <c r="AK481" s="80">
        <f>IF(S481="","",IF(S481="SIM",VLOOKUP($I481&amp;$J481&amp;S$1,Pesos!$A:$I,7,FALSE),VLOOKUP($I481&amp;$J481&amp;S$1,Pesos!$A:$I,9,FALSE)))</f>
        <v>0.8</v>
      </c>
      <c r="AL481" s="80">
        <f t="shared" si="73"/>
        <v>3.5199999999999996</v>
      </c>
      <c r="AM481" s="80">
        <f>IF(T481="","",IF(T481="SIM",VLOOKUP($I481&amp;$J481&amp;T$1,Pesos!$A:$I,7,FALSE),VLOOKUP($I481&amp;$J481&amp;T$1,Pesos!$A:$I,9,FALSE)))</f>
        <v>0.8</v>
      </c>
      <c r="AN481" s="80">
        <f>IF(U481="","",IF(U481="SIM",VLOOKUP($I481&amp;$J481&amp;U$1,Pesos!$A:$I,7,FALSE),VLOOKUP($I481&amp;$J481&amp;U$1,Pesos!$A:$I,9,FALSE)))</f>
        <v>0.8</v>
      </c>
      <c r="AO481" s="80">
        <f>IF(V481="","",IF(V481="SIM",VLOOKUP($I481&amp;$J481&amp;V$1,Pesos!$A:$I,7,FALSE),VLOOKUP($I481&amp;$J481&amp;V$1,Pesos!$A:$I,9,FALSE)))</f>
        <v>0.8</v>
      </c>
      <c r="AP481" s="80">
        <f>IF(W481="","",IF(W481="SIM",VLOOKUP($I481&amp;$J481&amp;W$1,Pesos!$A:$I,7,FALSE),VLOOKUP($I481&amp;$J481&amp;W$1,Pesos!$A:$I,9,FALSE)))</f>
        <v>0.8</v>
      </c>
      <c r="AQ481" s="80">
        <f>IF(X481="","",IF(X481="SIM",VLOOKUP($I481&amp;$J481&amp;X$1,Pesos!$A:$I,7,FALSE),VLOOKUP($I481&amp;$J481&amp;X$1,Pesos!$A:$I,9,FALSE)))</f>
        <v>0.8</v>
      </c>
      <c r="AR481" s="80">
        <f>IF(Y481="","",IF(Y481="SIM",VLOOKUP($I481&amp;$J481&amp;Y$1,Pesos!$A:$I,7,FALSE),VLOOKUP($I481&amp;$J481&amp;Y$1,Pesos!$A:$I,9,FALSE)))</f>
        <v>0.8</v>
      </c>
      <c r="AS481" s="81">
        <f>IFERROR(Z481*VLOOKUP(J481,'BD Campos'!$Y$1:$Z$12,2,FALSE),"0")</f>
        <v>8.3199999999999985</v>
      </c>
    </row>
    <row r="482" spans="1:45" x14ac:dyDescent="0.35">
      <c r="A482" s="68" t="str">
        <f t="shared" si="68"/>
        <v>Fev20254210MotoristaTRANSFERÊNCIA</v>
      </c>
      <c r="B482" s="69" t="str">
        <f t="shared" si="69"/>
        <v>Fev202542101TRANSFERÊNCIAPADRÃO</v>
      </c>
      <c r="C482" s="70">
        <v>1</v>
      </c>
      <c r="D482" s="71">
        <v>45698.683252199073</v>
      </c>
      <c r="E482" s="112" t="s">
        <v>338</v>
      </c>
      <c r="F482" s="72">
        <v>4210</v>
      </c>
      <c r="G482" s="69" t="s">
        <v>1493</v>
      </c>
      <c r="H482" s="73">
        <v>1</v>
      </c>
      <c r="I482" s="69" t="s">
        <v>147</v>
      </c>
      <c r="J482" s="69" t="s">
        <v>122</v>
      </c>
      <c r="K482" s="69" t="s">
        <v>106</v>
      </c>
      <c r="L482" s="74">
        <v>31126594</v>
      </c>
      <c r="M482" s="75">
        <v>2.8356481481481479E-3</v>
      </c>
      <c r="N482" s="76" t="s">
        <v>83</v>
      </c>
      <c r="O482" s="76" t="s">
        <v>79</v>
      </c>
      <c r="P482" s="76" t="s">
        <v>79</v>
      </c>
      <c r="Q482" s="76" t="s">
        <v>79</v>
      </c>
      <c r="R482" s="76" t="s">
        <v>79</v>
      </c>
      <c r="S482" s="76" t="s">
        <v>79</v>
      </c>
      <c r="T482" s="76" t="s">
        <v>79</v>
      </c>
      <c r="U482" s="76" t="s">
        <v>79</v>
      </c>
      <c r="V482" s="76"/>
      <c r="W482" s="76"/>
      <c r="X482" s="76"/>
      <c r="Y482" s="76"/>
      <c r="Z482" s="77">
        <f t="shared" si="38"/>
        <v>8.8450000000000006</v>
      </c>
      <c r="AA482" s="78"/>
      <c r="AB482" s="78" t="s">
        <v>1635</v>
      </c>
      <c r="AC482" s="72" t="s">
        <v>47</v>
      </c>
      <c r="AE482" s="79" t="str">
        <f t="shared" si="74"/>
        <v>Fev4210</v>
      </c>
      <c r="AF482" s="80">
        <f>IF(N482="","",IF(N482="SIM",VLOOKUP($I482&amp;$J482&amp;N$1,Pesos!$A:$I,7,FALSE),VLOOKUP($I482&amp;$J482&amp;N$1,Pesos!$A:$I,9,FALSE)))</f>
        <v>-5.5000000000000007E-2</v>
      </c>
      <c r="AG482" s="80">
        <f>IF(O482="","",IF(O482="SIM",VLOOKUP($I482&amp;$J482&amp;O$1,Pesos!$A:$I,7,FALSE),VLOOKUP($I482&amp;$J482&amp;O$1,Pesos!$A:$I,9,FALSE)))</f>
        <v>1.1000000000000001</v>
      </c>
      <c r="AH482" s="80">
        <f>IF(P482="","",IF(P482="SIM",VLOOKUP($I482&amp;$J482&amp;P$1,Pesos!$A:$I,7,FALSE),VLOOKUP($I482&amp;$J482&amp;P$1,Pesos!$A:$I,9,FALSE)))</f>
        <v>1.1000000000000001</v>
      </c>
      <c r="AI482" s="80">
        <f>IF(Q482="","",IF(Q482="SIM",VLOOKUP($I482&amp;$J482&amp;Q$1,Pesos!$A:$I,7,FALSE),VLOOKUP($I482&amp;$J482&amp;Q$1,Pesos!$A:$I,9,FALSE)))</f>
        <v>1.1000000000000001</v>
      </c>
      <c r="AJ482" s="80">
        <f>IF(R482="","",IF(R482="SIM",VLOOKUP($I482&amp;$J482&amp;R$1,Pesos!$A:$I,7,FALSE),VLOOKUP($I482&amp;$J482&amp;R$1,Pesos!$A:$I,9,FALSE)))</f>
        <v>1.1000000000000001</v>
      </c>
      <c r="AK482" s="80">
        <f>IF(S482="","",IF(S482="SIM",VLOOKUP($I482&amp;$J482&amp;S$1,Pesos!$A:$I,7,FALSE),VLOOKUP($I482&amp;$J482&amp;S$1,Pesos!$A:$I,9,FALSE)))</f>
        <v>1.6</v>
      </c>
      <c r="AL482" s="80">
        <f t="shared" si="73"/>
        <v>5.9450000000000003</v>
      </c>
      <c r="AM482" s="80">
        <f>IF(T482="","",IF(T482="SIM",VLOOKUP($I482&amp;$J482&amp;T$1,Pesos!$A:$I,7,FALSE),VLOOKUP($I482&amp;$J482&amp;T$1,Pesos!$A:$I,9,FALSE)))</f>
        <v>1.2</v>
      </c>
      <c r="AN482" s="80">
        <f>IF(U482="","",IF(U482="SIM",VLOOKUP($I482&amp;$J482&amp;U$1,Pesos!$A:$I,7,FALSE),VLOOKUP($I482&amp;$J482&amp;U$1,Pesos!$A:$I,9,FALSE)))</f>
        <v>1.7000000000000002</v>
      </c>
      <c r="AO482" s="80" t="str">
        <f>IF(V482="","",IF(V482="SIM",VLOOKUP($I482&amp;$J482&amp;V$1,Pesos!$A:$I,7,FALSE),VLOOKUP($I482&amp;$J482&amp;V$1,Pesos!$A:$I,9,FALSE)))</f>
        <v/>
      </c>
      <c r="AP482" s="80" t="str">
        <f>IF(W482="","",IF(W482="SIM",VLOOKUP($I482&amp;$J482&amp;W$1,Pesos!$A:$I,7,FALSE),VLOOKUP($I482&amp;$J482&amp;W$1,Pesos!$A:$I,9,FALSE)))</f>
        <v/>
      </c>
      <c r="AQ482" s="80" t="str">
        <f>IF(X482="","",IF(X482="SIM",VLOOKUP($I482&amp;$J482&amp;X$1,Pesos!$A:$I,7,FALSE),VLOOKUP($I482&amp;$J482&amp;X$1,Pesos!$A:$I,9,FALSE)))</f>
        <v/>
      </c>
      <c r="AR482" s="80" t="str">
        <f>IF(Y482="","",IF(Y482="SIM",VLOOKUP($I482&amp;$J482&amp;Y$1,Pesos!$A:$I,7,FALSE),VLOOKUP($I482&amp;$J482&amp;Y$1,Pesos!$A:$I,9,FALSE)))</f>
        <v/>
      </c>
      <c r="AS482" s="81">
        <f>IFERROR(Z482*VLOOKUP(J482,'BD Campos'!$Y$1:$Z$12,2,FALSE),"0")</f>
        <v>8.8450000000000006</v>
      </c>
    </row>
    <row r="483" spans="1:45" x14ac:dyDescent="0.35">
      <c r="A483" s="68" t="str">
        <f t="shared" si="68"/>
        <v>Fev20254210ReceptivaTRANSFERÊNCIA</v>
      </c>
      <c r="B483" s="69" t="str">
        <f t="shared" si="69"/>
        <v>Fev202542105TRANSFERÊNCIAPADRÃO</v>
      </c>
      <c r="C483" s="70">
        <v>1</v>
      </c>
      <c r="D483" s="71">
        <v>45698.686853240739</v>
      </c>
      <c r="E483" s="112" t="s">
        <v>338</v>
      </c>
      <c r="F483" s="72">
        <v>4210</v>
      </c>
      <c r="G483" s="69" t="s">
        <v>1493</v>
      </c>
      <c r="H483" s="73">
        <v>5</v>
      </c>
      <c r="I483" s="69" t="s">
        <v>6</v>
      </c>
      <c r="J483" s="69" t="s">
        <v>98</v>
      </c>
      <c r="K483" s="69" t="s">
        <v>106</v>
      </c>
      <c r="L483" s="74"/>
      <c r="M483" s="75">
        <v>1.5277777777777779E-3</v>
      </c>
      <c r="N483" s="76" t="s">
        <v>83</v>
      </c>
      <c r="O483" s="76" t="s">
        <v>79</v>
      </c>
      <c r="P483" s="76" t="s">
        <v>79</v>
      </c>
      <c r="Q483" s="76" t="s">
        <v>79</v>
      </c>
      <c r="R483" s="76" t="s">
        <v>79</v>
      </c>
      <c r="S483" s="76" t="s">
        <v>79</v>
      </c>
      <c r="T483" s="76" t="s">
        <v>79</v>
      </c>
      <c r="U483" s="76" t="s">
        <v>79</v>
      </c>
      <c r="V483" s="76" t="s">
        <v>79</v>
      </c>
      <c r="W483" s="76" t="s">
        <v>79</v>
      </c>
      <c r="X483" s="76" t="s">
        <v>79</v>
      </c>
      <c r="Y483" s="76" t="s">
        <v>79</v>
      </c>
      <c r="Z483" s="77">
        <f t="shared" si="38"/>
        <v>9.16</v>
      </c>
      <c r="AA483" s="78" t="s">
        <v>1616</v>
      </c>
      <c r="AB483" s="78"/>
      <c r="AC483" s="72" t="s">
        <v>47</v>
      </c>
      <c r="AE483" s="79" t="str">
        <f t="shared" si="74"/>
        <v>Fev4210</v>
      </c>
      <c r="AF483" s="80">
        <f>IF(N483="","",IF(N483="SIM",VLOOKUP($I483&amp;$J483&amp;N$1,Pesos!$A:$I,7,FALSE),VLOOKUP($I483&amp;$J483&amp;N$1,Pesos!$A:$I,9,FALSE)))</f>
        <v>-4.0000000000000008E-2</v>
      </c>
      <c r="AG483" s="80">
        <f>IF(O483="","",IF(O483="SIM",VLOOKUP($I483&amp;$J483&amp;O$1,Pesos!$A:$I,7,FALSE),VLOOKUP($I483&amp;$J483&amp;O$1,Pesos!$A:$I,9,FALSE)))</f>
        <v>0.8</v>
      </c>
      <c r="AH483" s="80">
        <f>IF(P483="","",IF(P483="SIM",VLOOKUP($I483&amp;$J483&amp;P$1,Pesos!$A:$I,7,FALSE),VLOOKUP($I483&amp;$J483&amp;P$1,Pesos!$A:$I,9,FALSE)))</f>
        <v>1.2</v>
      </c>
      <c r="AI483" s="80">
        <f>IF(Q483="","",IF(Q483="SIM",VLOOKUP($I483&amp;$J483&amp;Q$1,Pesos!$A:$I,7,FALSE),VLOOKUP($I483&amp;$J483&amp;Q$1,Pesos!$A:$I,9,FALSE)))</f>
        <v>0.8</v>
      </c>
      <c r="AJ483" s="80">
        <f>IF(R483="","",IF(R483="SIM",VLOOKUP($I483&amp;$J483&amp;R$1,Pesos!$A:$I,7,FALSE),VLOOKUP($I483&amp;$J483&amp;R$1,Pesos!$A:$I,9,FALSE)))</f>
        <v>0.8</v>
      </c>
      <c r="AK483" s="80">
        <f>IF(S483="","",IF(S483="SIM",VLOOKUP($I483&amp;$J483&amp;S$1,Pesos!$A:$I,7,FALSE),VLOOKUP($I483&amp;$J483&amp;S$1,Pesos!$A:$I,9,FALSE)))</f>
        <v>0.8</v>
      </c>
      <c r="AL483" s="80">
        <f t="shared" si="73"/>
        <v>4.3599999999999994</v>
      </c>
      <c r="AM483" s="80">
        <f>IF(T483="","",IF(T483="SIM",VLOOKUP($I483&amp;$J483&amp;T$1,Pesos!$A:$I,7,FALSE),VLOOKUP($I483&amp;$J483&amp;T$1,Pesos!$A:$I,9,FALSE)))</f>
        <v>0.8</v>
      </c>
      <c r="AN483" s="80">
        <f>IF(U483="","",IF(U483="SIM",VLOOKUP($I483&amp;$J483&amp;U$1,Pesos!$A:$I,7,FALSE),VLOOKUP($I483&amp;$J483&amp;U$1,Pesos!$A:$I,9,FALSE)))</f>
        <v>0.8</v>
      </c>
      <c r="AO483" s="80">
        <f>IF(V483="","",IF(V483="SIM",VLOOKUP($I483&amp;$J483&amp;V$1,Pesos!$A:$I,7,FALSE),VLOOKUP($I483&amp;$J483&amp;V$1,Pesos!$A:$I,9,FALSE)))</f>
        <v>0.8</v>
      </c>
      <c r="AP483" s="80">
        <f>IF(W483="","",IF(W483="SIM",VLOOKUP($I483&amp;$J483&amp;W$1,Pesos!$A:$I,7,FALSE),VLOOKUP($I483&amp;$J483&amp;W$1,Pesos!$A:$I,9,FALSE)))</f>
        <v>0.8</v>
      </c>
      <c r="AQ483" s="80">
        <f>IF(X483="","",IF(X483="SIM",VLOOKUP($I483&amp;$J483&amp;X$1,Pesos!$A:$I,7,FALSE),VLOOKUP($I483&amp;$J483&amp;X$1,Pesos!$A:$I,9,FALSE)))</f>
        <v>0.8</v>
      </c>
      <c r="AR483" s="80">
        <f>IF(Y483="","",IF(Y483="SIM",VLOOKUP($I483&amp;$J483&amp;Y$1,Pesos!$A:$I,7,FALSE),VLOOKUP($I483&amp;$J483&amp;Y$1,Pesos!$A:$I,9,FALSE)))</f>
        <v>0.8</v>
      </c>
      <c r="AS483" s="81">
        <f>IFERROR(Z483*VLOOKUP(J483,'BD Campos'!$Y$1:$Z$12,2,FALSE),"0")</f>
        <v>9.16</v>
      </c>
    </row>
    <row r="484" spans="1:45" x14ac:dyDescent="0.35">
      <c r="A484" s="68" t="str">
        <f t="shared" si="68"/>
        <v>Fev20254199MotoristaTRANSFERÊNCIA</v>
      </c>
      <c r="B484" s="69" t="str">
        <f t="shared" si="69"/>
        <v>Fev202541991TRANSFERÊNCIAPADRÃO</v>
      </c>
      <c r="C484" s="70">
        <v>1</v>
      </c>
      <c r="D484" s="71">
        <v>45698.688895023151</v>
      </c>
      <c r="E484" s="112" t="s">
        <v>338</v>
      </c>
      <c r="F484" s="72">
        <v>4199</v>
      </c>
      <c r="G484" s="69" t="s">
        <v>346</v>
      </c>
      <c r="H484" s="73">
        <v>1</v>
      </c>
      <c r="I484" s="69" t="s">
        <v>121</v>
      </c>
      <c r="J484" s="69" t="s">
        <v>122</v>
      </c>
      <c r="K484" s="69" t="s">
        <v>106</v>
      </c>
      <c r="L484" s="74">
        <v>13748207</v>
      </c>
      <c r="M484" s="75">
        <v>1.1226851851851851E-3</v>
      </c>
      <c r="N484" s="76" t="s">
        <v>79</v>
      </c>
      <c r="O484" s="76" t="s">
        <v>79</v>
      </c>
      <c r="P484" s="76" t="s">
        <v>79</v>
      </c>
      <c r="Q484" s="76" t="s">
        <v>79</v>
      </c>
      <c r="R484" s="76" t="s">
        <v>79</v>
      </c>
      <c r="S484" s="76" t="s">
        <v>79</v>
      </c>
      <c r="T484" s="76" t="s">
        <v>79</v>
      </c>
      <c r="U484" s="76" t="s">
        <v>79</v>
      </c>
      <c r="V484" s="76" t="s">
        <v>79</v>
      </c>
      <c r="W484" s="76" t="s">
        <v>79</v>
      </c>
      <c r="X484" s="76" t="s">
        <v>79</v>
      </c>
      <c r="Y484" s="76"/>
      <c r="Z484" s="77">
        <f t="shared" si="38"/>
        <v>10</v>
      </c>
      <c r="AA484" s="78"/>
      <c r="AB484" s="78" t="s">
        <v>1636</v>
      </c>
      <c r="AC484" s="72" t="s">
        <v>47</v>
      </c>
      <c r="AE484" s="79" t="str">
        <f t="shared" si="74"/>
        <v>Fev4199</v>
      </c>
      <c r="AF484" s="80">
        <f>IF(N484="","",IF(N484="SIM",VLOOKUP($I484&amp;$J484&amp;N$1,Pesos!$A:$I,7,FALSE),VLOOKUP($I484&amp;$J484&amp;N$1,Pesos!$A:$I,9,FALSE)))</f>
        <v>0.89999999999999991</v>
      </c>
      <c r="AG484" s="80">
        <f>IF(O484="","",IF(O484="SIM",VLOOKUP($I484&amp;$J484&amp;O$1,Pesos!$A:$I,7,FALSE),VLOOKUP($I484&amp;$J484&amp;O$1,Pesos!$A:$I,9,FALSE)))</f>
        <v>0.89999999999999991</v>
      </c>
      <c r="AH484" s="80">
        <f>IF(P484="","",IF(P484="SIM",VLOOKUP($I484&amp;$J484&amp;P$1,Pesos!$A:$I,7,FALSE),VLOOKUP($I484&amp;$J484&amp;P$1,Pesos!$A:$I,9,FALSE)))</f>
        <v>0.89999999999999991</v>
      </c>
      <c r="AI484" s="80">
        <f>IF(Q484="","",IF(Q484="SIM",VLOOKUP($I484&amp;$J484&amp;Q$1,Pesos!$A:$I,7,FALSE),VLOOKUP($I484&amp;$J484&amp;Q$1,Pesos!$A:$I,9,FALSE)))</f>
        <v>0.89999999999999991</v>
      </c>
      <c r="AJ484" s="80">
        <f>IF(R484="","",IF(R484="SIM",VLOOKUP($I484&amp;$J484&amp;R$1,Pesos!$A:$I,7,FALSE),VLOOKUP($I484&amp;$J484&amp;R$1,Pesos!$A:$I,9,FALSE)))</f>
        <v>0.89999999999999991</v>
      </c>
      <c r="AK484" s="80">
        <f>IF(S484="","",IF(S484="SIM",VLOOKUP($I484&amp;$J484&amp;S$1,Pesos!$A:$I,7,FALSE),VLOOKUP($I484&amp;$J484&amp;S$1,Pesos!$A:$I,9,FALSE)))</f>
        <v>0.89999999999999991</v>
      </c>
      <c r="AL484" s="80">
        <f t="shared" si="73"/>
        <v>5.4</v>
      </c>
      <c r="AM484" s="80">
        <f>IF(T484="","",IF(T484="SIM",VLOOKUP($I484&amp;$J484&amp;T$1,Pesos!$A:$I,7,FALSE),VLOOKUP($I484&amp;$J484&amp;T$1,Pesos!$A:$I,9,FALSE)))</f>
        <v>0.89999999999999991</v>
      </c>
      <c r="AN484" s="80">
        <f>IF(U484="","",IF(U484="SIM",VLOOKUP($I484&amp;$J484&amp;U$1,Pesos!$A:$I,7,FALSE),VLOOKUP($I484&amp;$J484&amp;U$1,Pesos!$A:$I,9,FALSE)))</f>
        <v>0.92500000000000004</v>
      </c>
      <c r="AO484" s="80">
        <f>IF(V484="","",IF(V484="SIM",VLOOKUP($I484&amp;$J484&amp;V$1,Pesos!$A:$I,7,FALSE),VLOOKUP($I484&amp;$J484&amp;V$1,Pesos!$A:$I,9,FALSE)))</f>
        <v>0.92500000000000004</v>
      </c>
      <c r="AP484" s="80">
        <f>IF(W484="","",IF(W484="SIM",VLOOKUP($I484&amp;$J484&amp;W$1,Pesos!$A:$I,7,FALSE),VLOOKUP($I484&amp;$J484&amp;W$1,Pesos!$A:$I,9,FALSE)))</f>
        <v>0.89999999999999991</v>
      </c>
      <c r="AQ484" s="80">
        <f>IF(X484="","",IF(X484="SIM",VLOOKUP($I484&amp;$J484&amp;X$1,Pesos!$A:$I,7,FALSE),VLOOKUP($I484&amp;$J484&amp;X$1,Pesos!$A:$I,9,FALSE)))</f>
        <v>0.95</v>
      </c>
      <c r="AR484" s="80" t="str">
        <f>IF(Y484="","",IF(Y484="SIM",VLOOKUP($I484&amp;$J484&amp;Y$1,Pesos!$A:$I,7,FALSE),VLOOKUP($I484&amp;$J484&amp;Y$1,Pesos!$A:$I,9,FALSE)))</f>
        <v/>
      </c>
      <c r="AS484" s="81">
        <f>IFERROR(Z484*VLOOKUP(J484,'BD Campos'!$Y$1:$Z$12,2,FALSE),"0")</f>
        <v>10</v>
      </c>
    </row>
    <row r="485" spans="1:45" x14ac:dyDescent="0.35">
      <c r="A485" s="68" t="str">
        <f t="shared" si="68"/>
        <v>Fev20254199ReceptivaTRANSFERÊNCIA</v>
      </c>
      <c r="B485" s="69" t="str">
        <f t="shared" si="69"/>
        <v>Fev202541995TRANSFERÊNCIAPADRÃO</v>
      </c>
      <c r="C485" s="70">
        <v>1</v>
      </c>
      <c r="D485" s="71">
        <v>45698.690413657408</v>
      </c>
      <c r="E485" s="112" t="s">
        <v>338</v>
      </c>
      <c r="F485" s="72">
        <v>4199</v>
      </c>
      <c r="G485" s="69" t="s">
        <v>346</v>
      </c>
      <c r="H485" s="73">
        <v>5</v>
      </c>
      <c r="I485" s="69" t="s">
        <v>6</v>
      </c>
      <c r="J485" s="69" t="s">
        <v>98</v>
      </c>
      <c r="K485" s="69" t="s">
        <v>106</v>
      </c>
      <c r="L485" s="74"/>
      <c r="M485" s="75">
        <v>8.1018518518518516E-4</v>
      </c>
      <c r="N485" s="76" t="s">
        <v>79</v>
      </c>
      <c r="O485" s="76" t="s">
        <v>79</v>
      </c>
      <c r="P485" s="76" t="s">
        <v>79</v>
      </c>
      <c r="Q485" s="76" t="s">
        <v>79</v>
      </c>
      <c r="R485" s="76" t="s">
        <v>79</v>
      </c>
      <c r="S485" s="76" t="s">
        <v>79</v>
      </c>
      <c r="T485" s="76" t="s">
        <v>79</v>
      </c>
      <c r="U485" s="76" t="s">
        <v>79</v>
      </c>
      <c r="V485" s="76" t="s">
        <v>79</v>
      </c>
      <c r="W485" s="76" t="s">
        <v>79</v>
      </c>
      <c r="X485" s="76" t="s">
        <v>79</v>
      </c>
      <c r="Y485" s="76" t="s">
        <v>79</v>
      </c>
      <c r="Z485" s="77">
        <f t="shared" si="38"/>
        <v>10</v>
      </c>
      <c r="AA485" s="78"/>
      <c r="AB485" s="78"/>
      <c r="AC485" s="72" t="s">
        <v>47</v>
      </c>
      <c r="AE485" s="79" t="str">
        <f t="shared" si="74"/>
        <v>Fev4199</v>
      </c>
      <c r="AF485" s="80">
        <f>IF(N485="","",IF(N485="SIM",VLOOKUP($I485&amp;$J485&amp;N$1,Pesos!$A:$I,7,FALSE),VLOOKUP($I485&amp;$J485&amp;N$1,Pesos!$A:$I,9,FALSE)))</f>
        <v>0.8</v>
      </c>
      <c r="AG485" s="80">
        <f>IF(O485="","",IF(O485="SIM",VLOOKUP($I485&amp;$J485&amp;O$1,Pesos!$A:$I,7,FALSE),VLOOKUP($I485&amp;$J485&amp;O$1,Pesos!$A:$I,9,FALSE)))</f>
        <v>0.8</v>
      </c>
      <c r="AH485" s="80">
        <f>IF(P485="","",IF(P485="SIM",VLOOKUP($I485&amp;$J485&amp;P$1,Pesos!$A:$I,7,FALSE),VLOOKUP($I485&amp;$J485&amp;P$1,Pesos!$A:$I,9,FALSE)))</f>
        <v>1.2</v>
      </c>
      <c r="AI485" s="80">
        <f>IF(Q485="","",IF(Q485="SIM",VLOOKUP($I485&amp;$J485&amp;Q$1,Pesos!$A:$I,7,FALSE),VLOOKUP($I485&amp;$J485&amp;Q$1,Pesos!$A:$I,9,FALSE)))</f>
        <v>0.8</v>
      </c>
      <c r="AJ485" s="80">
        <f>IF(R485="","",IF(R485="SIM",VLOOKUP($I485&amp;$J485&amp;R$1,Pesos!$A:$I,7,FALSE),VLOOKUP($I485&amp;$J485&amp;R$1,Pesos!$A:$I,9,FALSE)))</f>
        <v>0.8</v>
      </c>
      <c r="AK485" s="80">
        <f>IF(S485="","",IF(S485="SIM",VLOOKUP($I485&amp;$J485&amp;S$1,Pesos!$A:$I,7,FALSE),VLOOKUP($I485&amp;$J485&amp;S$1,Pesos!$A:$I,9,FALSE)))</f>
        <v>0.8</v>
      </c>
      <c r="AL485" s="80">
        <f t="shared" si="73"/>
        <v>5.1999999999999993</v>
      </c>
      <c r="AM485" s="80">
        <f>IF(T485="","",IF(T485="SIM",VLOOKUP($I485&amp;$J485&amp;T$1,Pesos!$A:$I,7,FALSE),VLOOKUP($I485&amp;$J485&amp;T$1,Pesos!$A:$I,9,FALSE)))</f>
        <v>0.8</v>
      </c>
      <c r="AN485" s="80">
        <f>IF(U485="","",IF(U485="SIM",VLOOKUP($I485&amp;$J485&amp;U$1,Pesos!$A:$I,7,FALSE),VLOOKUP($I485&amp;$J485&amp;U$1,Pesos!$A:$I,9,FALSE)))</f>
        <v>0.8</v>
      </c>
      <c r="AO485" s="80">
        <f>IF(V485="","",IF(V485="SIM",VLOOKUP($I485&amp;$J485&amp;V$1,Pesos!$A:$I,7,FALSE),VLOOKUP($I485&amp;$J485&amp;V$1,Pesos!$A:$I,9,FALSE)))</f>
        <v>0.8</v>
      </c>
      <c r="AP485" s="80">
        <f>IF(W485="","",IF(W485="SIM",VLOOKUP($I485&amp;$J485&amp;W$1,Pesos!$A:$I,7,FALSE),VLOOKUP($I485&amp;$J485&amp;W$1,Pesos!$A:$I,9,FALSE)))</f>
        <v>0.8</v>
      </c>
      <c r="AQ485" s="80">
        <f>IF(X485="","",IF(X485="SIM",VLOOKUP($I485&amp;$J485&amp;X$1,Pesos!$A:$I,7,FALSE),VLOOKUP($I485&amp;$J485&amp;X$1,Pesos!$A:$I,9,FALSE)))</f>
        <v>0.8</v>
      </c>
      <c r="AR485" s="80">
        <f>IF(Y485="","",IF(Y485="SIM",VLOOKUP($I485&amp;$J485&amp;Y$1,Pesos!$A:$I,7,FALSE),VLOOKUP($I485&amp;$J485&amp;Y$1,Pesos!$A:$I,9,FALSE)))</f>
        <v>0.8</v>
      </c>
      <c r="AS485" s="81">
        <f>IFERROR(Z485*VLOOKUP(J485,'BD Campos'!$Y$1:$Z$12,2,FALSE),"0")</f>
        <v>10</v>
      </c>
    </row>
    <row r="486" spans="1:45" x14ac:dyDescent="0.35">
      <c r="A486" s="68" t="str">
        <f t="shared" si="68"/>
        <v>Fev20254208MotoristaTRANSFERÊNCIA</v>
      </c>
      <c r="B486" s="69" t="str">
        <f t="shared" si="69"/>
        <v>Fev202542081TRANSFERÊNCIAPADRÃO</v>
      </c>
      <c r="C486" s="70">
        <v>1</v>
      </c>
      <c r="D486" s="71">
        <v>45698.692344791663</v>
      </c>
      <c r="E486" s="112" t="s">
        <v>338</v>
      </c>
      <c r="F486" s="72">
        <v>4208</v>
      </c>
      <c r="G486" s="69" t="s">
        <v>1482</v>
      </c>
      <c r="H486" s="73">
        <v>1</v>
      </c>
      <c r="I486" s="69" t="s">
        <v>123</v>
      </c>
      <c r="J486" s="69" t="s">
        <v>122</v>
      </c>
      <c r="K486" s="69" t="s">
        <v>106</v>
      </c>
      <c r="L486" s="74">
        <v>31092071</v>
      </c>
      <c r="M486" s="75">
        <v>1.8750000000000001E-3</v>
      </c>
      <c r="N486" s="76" t="s">
        <v>79</v>
      </c>
      <c r="O486" s="76" t="s">
        <v>79</v>
      </c>
      <c r="P486" s="76" t="s">
        <v>79</v>
      </c>
      <c r="Q486" s="76" t="s">
        <v>79</v>
      </c>
      <c r="R486" s="76" t="s">
        <v>79</v>
      </c>
      <c r="S486" s="76" t="s">
        <v>79</v>
      </c>
      <c r="T486" s="76" t="s">
        <v>79</v>
      </c>
      <c r="U486" s="76" t="s">
        <v>79</v>
      </c>
      <c r="V486" s="76" t="s">
        <v>79</v>
      </c>
      <c r="W486" s="76" t="s">
        <v>79</v>
      </c>
      <c r="X486" s="76"/>
      <c r="Y486" s="76"/>
      <c r="Z486" s="77">
        <f t="shared" si="38"/>
        <v>10</v>
      </c>
      <c r="AA486" s="78"/>
      <c r="AB486" s="78" t="s">
        <v>1637</v>
      </c>
      <c r="AC486" s="72" t="s">
        <v>47</v>
      </c>
      <c r="AE486" s="79" t="str">
        <f t="shared" si="74"/>
        <v>Fev4208</v>
      </c>
      <c r="AF486" s="80">
        <f>IF(N486="","",IF(N486="SIM",VLOOKUP($I486&amp;$J486&amp;N$1,Pesos!$A:$I,7,FALSE),VLOOKUP($I486&amp;$J486&amp;N$1,Pesos!$A:$I,9,FALSE)))</f>
        <v>1</v>
      </c>
      <c r="AG486" s="80">
        <f>IF(O486="","",IF(O486="SIM",VLOOKUP($I486&amp;$J486&amp;O$1,Pesos!$A:$I,7,FALSE),VLOOKUP($I486&amp;$J486&amp;O$1,Pesos!$A:$I,9,FALSE)))</f>
        <v>1</v>
      </c>
      <c r="AH486" s="80">
        <f>IF(P486="","",IF(P486="SIM",VLOOKUP($I486&amp;$J486&amp;P$1,Pesos!$A:$I,7,FALSE),VLOOKUP($I486&amp;$J486&amp;P$1,Pesos!$A:$I,9,FALSE)))</f>
        <v>1</v>
      </c>
      <c r="AI486" s="80">
        <f>IF(Q486="","",IF(Q486="SIM",VLOOKUP($I486&amp;$J486&amp;Q$1,Pesos!$A:$I,7,FALSE),VLOOKUP($I486&amp;$J486&amp;Q$1,Pesos!$A:$I,9,FALSE)))</f>
        <v>1</v>
      </c>
      <c r="AJ486" s="80">
        <f>IF(R486="","",IF(R486="SIM",VLOOKUP($I486&amp;$J486&amp;R$1,Pesos!$A:$I,7,FALSE),VLOOKUP($I486&amp;$J486&amp;R$1,Pesos!$A:$I,9,FALSE)))</f>
        <v>1</v>
      </c>
      <c r="AK486" s="80">
        <f>IF(S486="","",IF(S486="SIM",VLOOKUP($I486&amp;$J486&amp;S$1,Pesos!$A:$I,7,FALSE),VLOOKUP($I486&amp;$J486&amp;S$1,Pesos!$A:$I,9,FALSE)))</f>
        <v>1</v>
      </c>
      <c r="AL486" s="80">
        <f t="shared" si="73"/>
        <v>6</v>
      </c>
      <c r="AM486" s="80">
        <f>IF(T486="","",IF(T486="SIM",VLOOKUP($I486&amp;$J486&amp;T$1,Pesos!$A:$I,7,FALSE),VLOOKUP($I486&amp;$J486&amp;T$1,Pesos!$A:$I,9,FALSE)))</f>
        <v>1</v>
      </c>
      <c r="AN486" s="80">
        <f>IF(U486="","",IF(U486="SIM",VLOOKUP($I486&amp;$J486&amp;U$1,Pesos!$A:$I,7,FALSE),VLOOKUP($I486&amp;$J486&amp;U$1,Pesos!$A:$I,9,FALSE)))</f>
        <v>1</v>
      </c>
      <c r="AO486" s="80">
        <f>IF(V486="","",IF(V486="SIM",VLOOKUP($I486&amp;$J486&amp;V$1,Pesos!$A:$I,7,FALSE),VLOOKUP($I486&amp;$J486&amp;V$1,Pesos!$A:$I,9,FALSE)))</f>
        <v>1</v>
      </c>
      <c r="AP486" s="80">
        <f>IF(W486="","",IF(W486="SIM",VLOOKUP($I486&amp;$J486&amp;W$1,Pesos!$A:$I,7,FALSE),VLOOKUP($I486&amp;$J486&amp;W$1,Pesos!$A:$I,9,FALSE)))</f>
        <v>1</v>
      </c>
      <c r="AQ486" s="80" t="str">
        <f>IF(X486="","",IF(X486="SIM",VLOOKUP($I486&amp;$J486&amp;X$1,Pesos!$A:$I,7,FALSE),VLOOKUP($I486&amp;$J486&amp;X$1,Pesos!$A:$I,9,FALSE)))</f>
        <v/>
      </c>
      <c r="AR486" s="80" t="str">
        <f>IF(Y486="","",IF(Y486="SIM",VLOOKUP($I486&amp;$J486&amp;Y$1,Pesos!$A:$I,7,FALSE),VLOOKUP($I486&amp;$J486&amp;Y$1,Pesos!$A:$I,9,FALSE)))</f>
        <v/>
      </c>
      <c r="AS486" s="81">
        <f>IFERROR(Z486*VLOOKUP(J486,'BD Campos'!$Y$1:$Z$12,2,FALSE),"0")</f>
        <v>10</v>
      </c>
    </row>
    <row r="487" spans="1:45" x14ac:dyDescent="0.35">
      <c r="A487" s="68" t="str">
        <f t="shared" si="68"/>
        <v>Fev20254208ReceptivaTRANSFERÊNCIA</v>
      </c>
      <c r="B487" s="69" t="str">
        <f t="shared" si="69"/>
        <v>Fev202542085TRANSFERÊNCIAPADRÃO</v>
      </c>
      <c r="C487" s="70">
        <v>1</v>
      </c>
      <c r="D487" s="71">
        <v>45698.694133217592</v>
      </c>
      <c r="E487" s="112" t="s">
        <v>338</v>
      </c>
      <c r="F487" s="72">
        <v>4208</v>
      </c>
      <c r="G487" s="69" t="s">
        <v>1482</v>
      </c>
      <c r="H487" s="73">
        <v>5</v>
      </c>
      <c r="I487" s="69" t="s">
        <v>6</v>
      </c>
      <c r="J487" s="69" t="s">
        <v>98</v>
      </c>
      <c r="K487" s="69" t="s">
        <v>106</v>
      </c>
      <c r="L487" s="74"/>
      <c r="M487" s="75">
        <v>7.9861111111111105E-4</v>
      </c>
      <c r="N487" s="76" t="s">
        <v>83</v>
      </c>
      <c r="O487" s="76" t="s">
        <v>79</v>
      </c>
      <c r="P487" s="76" t="s">
        <v>79</v>
      </c>
      <c r="Q487" s="76" t="s">
        <v>79</v>
      </c>
      <c r="R487" s="76" t="s">
        <v>79</v>
      </c>
      <c r="S487" s="76" t="s">
        <v>79</v>
      </c>
      <c r="T487" s="76" t="s">
        <v>79</v>
      </c>
      <c r="U487" s="76" t="s">
        <v>79</v>
      </c>
      <c r="V487" s="76" t="s">
        <v>79</v>
      </c>
      <c r="W487" s="76" t="s">
        <v>79</v>
      </c>
      <c r="X487" s="76" t="s">
        <v>79</v>
      </c>
      <c r="Y487" s="76" t="s">
        <v>79</v>
      </c>
      <c r="Z487" s="77">
        <f t="shared" si="38"/>
        <v>9.16</v>
      </c>
      <c r="AA487" s="78" t="s">
        <v>1616</v>
      </c>
      <c r="AB487" s="78"/>
      <c r="AC487" s="72" t="s">
        <v>47</v>
      </c>
      <c r="AE487" s="79" t="str">
        <f t="shared" si="74"/>
        <v>Fev4208</v>
      </c>
      <c r="AF487" s="80">
        <f>IF(N487="","",IF(N487="SIM",VLOOKUP($I487&amp;$J487&amp;N$1,Pesos!$A:$I,7,FALSE),VLOOKUP($I487&amp;$J487&amp;N$1,Pesos!$A:$I,9,FALSE)))</f>
        <v>-4.0000000000000008E-2</v>
      </c>
      <c r="AG487" s="80">
        <f>IF(O487="","",IF(O487="SIM",VLOOKUP($I487&amp;$J487&amp;O$1,Pesos!$A:$I,7,FALSE),VLOOKUP($I487&amp;$J487&amp;O$1,Pesos!$A:$I,9,FALSE)))</f>
        <v>0.8</v>
      </c>
      <c r="AH487" s="80">
        <f>IF(P487="","",IF(P487="SIM",VLOOKUP($I487&amp;$J487&amp;P$1,Pesos!$A:$I,7,FALSE),VLOOKUP($I487&amp;$J487&amp;P$1,Pesos!$A:$I,9,FALSE)))</f>
        <v>1.2</v>
      </c>
      <c r="AI487" s="80">
        <f>IF(Q487="","",IF(Q487="SIM",VLOOKUP($I487&amp;$J487&amp;Q$1,Pesos!$A:$I,7,FALSE),VLOOKUP($I487&amp;$J487&amp;Q$1,Pesos!$A:$I,9,FALSE)))</f>
        <v>0.8</v>
      </c>
      <c r="AJ487" s="80">
        <f>IF(R487="","",IF(R487="SIM",VLOOKUP($I487&amp;$J487&amp;R$1,Pesos!$A:$I,7,FALSE),VLOOKUP($I487&amp;$J487&amp;R$1,Pesos!$A:$I,9,FALSE)))</f>
        <v>0.8</v>
      </c>
      <c r="AK487" s="80">
        <f>IF(S487="","",IF(S487="SIM",VLOOKUP($I487&amp;$J487&amp;S$1,Pesos!$A:$I,7,FALSE),VLOOKUP($I487&amp;$J487&amp;S$1,Pesos!$A:$I,9,FALSE)))</f>
        <v>0.8</v>
      </c>
      <c r="AL487" s="80">
        <f t="shared" si="73"/>
        <v>4.3599999999999994</v>
      </c>
      <c r="AM487" s="80">
        <f>IF(T487="","",IF(T487="SIM",VLOOKUP($I487&amp;$J487&amp;T$1,Pesos!$A:$I,7,FALSE),VLOOKUP($I487&amp;$J487&amp;T$1,Pesos!$A:$I,9,FALSE)))</f>
        <v>0.8</v>
      </c>
      <c r="AN487" s="80">
        <f>IF(U487="","",IF(U487="SIM",VLOOKUP($I487&amp;$J487&amp;U$1,Pesos!$A:$I,7,FALSE),VLOOKUP($I487&amp;$J487&amp;U$1,Pesos!$A:$I,9,FALSE)))</f>
        <v>0.8</v>
      </c>
      <c r="AO487" s="80">
        <f>IF(V487="","",IF(V487="SIM",VLOOKUP($I487&amp;$J487&amp;V$1,Pesos!$A:$I,7,FALSE),VLOOKUP($I487&amp;$J487&amp;V$1,Pesos!$A:$I,9,FALSE)))</f>
        <v>0.8</v>
      </c>
      <c r="AP487" s="80">
        <f>IF(W487="","",IF(W487="SIM",VLOOKUP($I487&amp;$J487&amp;W$1,Pesos!$A:$I,7,FALSE),VLOOKUP($I487&amp;$J487&amp;W$1,Pesos!$A:$I,9,FALSE)))</f>
        <v>0.8</v>
      </c>
      <c r="AQ487" s="80">
        <f>IF(X487="","",IF(X487="SIM",VLOOKUP($I487&amp;$J487&amp;X$1,Pesos!$A:$I,7,FALSE),VLOOKUP($I487&amp;$J487&amp;X$1,Pesos!$A:$I,9,FALSE)))</f>
        <v>0.8</v>
      </c>
      <c r="AR487" s="80">
        <f>IF(Y487="","",IF(Y487="SIM",VLOOKUP($I487&amp;$J487&amp;Y$1,Pesos!$A:$I,7,FALSE),VLOOKUP($I487&amp;$J487&amp;Y$1,Pesos!$A:$I,9,FALSE)))</f>
        <v>0.8</v>
      </c>
      <c r="AS487" s="81">
        <f>IFERROR(Z487*VLOOKUP(J487,'BD Campos'!$Y$1:$Z$12,2,FALSE),"0")</f>
        <v>9.16</v>
      </c>
    </row>
    <row r="488" spans="1:45" x14ac:dyDescent="0.35">
      <c r="A488" s="68" t="str">
        <f t="shared" si="68"/>
        <v>Fev20254204MotoristaTRANSFERÊNCIA</v>
      </c>
      <c r="B488" s="69" t="str">
        <f t="shared" si="69"/>
        <v>Fev202542041TRANSFERÊNCIAPADRÃO</v>
      </c>
      <c r="C488" s="70">
        <v>1</v>
      </c>
      <c r="D488" s="71">
        <v>45698.69650046296</v>
      </c>
      <c r="E488" s="112" t="s">
        <v>338</v>
      </c>
      <c r="F488" s="72">
        <v>4204</v>
      </c>
      <c r="G488" s="69" t="s">
        <v>1492</v>
      </c>
      <c r="H488" s="73">
        <v>1</v>
      </c>
      <c r="I488" s="69" t="s">
        <v>123</v>
      </c>
      <c r="J488" s="69" t="s">
        <v>122</v>
      </c>
      <c r="K488" s="69" t="s">
        <v>106</v>
      </c>
      <c r="L488" s="74">
        <v>31061955</v>
      </c>
      <c r="M488" s="75">
        <v>2.0949074074074073E-3</v>
      </c>
      <c r="N488" s="76" t="s">
        <v>79</v>
      </c>
      <c r="O488" s="76" t="s">
        <v>79</v>
      </c>
      <c r="P488" s="76" t="s">
        <v>79</v>
      </c>
      <c r="Q488" s="76" t="s">
        <v>79</v>
      </c>
      <c r="R488" s="76" t="s">
        <v>79</v>
      </c>
      <c r="S488" s="76" t="s">
        <v>79</v>
      </c>
      <c r="T488" s="76" t="s">
        <v>79</v>
      </c>
      <c r="U488" s="76" t="s">
        <v>79</v>
      </c>
      <c r="V488" s="76" t="s">
        <v>79</v>
      </c>
      <c r="W488" s="76" t="s">
        <v>83</v>
      </c>
      <c r="X488" s="76"/>
      <c r="Y488" s="76"/>
      <c r="Z488" s="77">
        <f t="shared" si="38"/>
        <v>8.9499999999999993</v>
      </c>
      <c r="AA488" s="78"/>
      <c r="AB488" s="78" t="s">
        <v>1638</v>
      </c>
      <c r="AC488" s="72" t="s">
        <v>47</v>
      </c>
      <c r="AE488" s="79" t="str">
        <f t="shared" si="74"/>
        <v>Fev4204</v>
      </c>
      <c r="AF488" s="80">
        <f>IF(N488="","",IF(N488="SIM",VLOOKUP($I488&amp;$J488&amp;N$1,Pesos!$A:$I,7,FALSE),VLOOKUP($I488&amp;$J488&amp;N$1,Pesos!$A:$I,9,FALSE)))</f>
        <v>1</v>
      </c>
      <c r="AG488" s="80">
        <f>IF(O488="","",IF(O488="SIM",VLOOKUP($I488&amp;$J488&amp;O$1,Pesos!$A:$I,7,FALSE),VLOOKUP($I488&amp;$J488&amp;O$1,Pesos!$A:$I,9,FALSE)))</f>
        <v>1</v>
      </c>
      <c r="AH488" s="80">
        <f>IF(P488="","",IF(P488="SIM",VLOOKUP($I488&amp;$J488&amp;P$1,Pesos!$A:$I,7,FALSE),VLOOKUP($I488&amp;$J488&amp;P$1,Pesos!$A:$I,9,FALSE)))</f>
        <v>1</v>
      </c>
      <c r="AI488" s="80">
        <f>IF(Q488="","",IF(Q488="SIM",VLOOKUP($I488&amp;$J488&amp;Q$1,Pesos!$A:$I,7,FALSE),VLOOKUP($I488&amp;$J488&amp;Q$1,Pesos!$A:$I,9,FALSE)))</f>
        <v>1</v>
      </c>
      <c r="AJ488" s="80">
        <f>IF(R488="","",IF(R488="SIM",VLOOKUP($I488&amp;$J488&amp;R$1,Pesos!$A:$I,7,FALSE),VLOOKUP($I488&amp;$J488&amp;R$1,Pesos!$A:$I,9,FALSE)))</f>
        <v>1</v>
      </c>
      <c r="AK488" s="80">
        <f>IF(S488="","",IF(S488="SIM",VLOOKUP($I488&amp;$J488&amp;S$1,Pesos!$A:$I,7,FALSE),VLOOKUP($I488&amp;$J488&amp;S$1,Pesos!$A:$I,9,FALSE)))</f>
        <v>1</v>
      </c>
      <c r="AL488" s="80">
        <f t="shared" si="73"/>
        <v>6</v>
      </c>
      <c r="AM488" s="80">
        <f>IF(T488="","",IF(T488="SIM",VLOOKUP($I488&amp;$J488&amp;T$1,Pesos!$A:$I,7,FALSE),VLOOKUP($I488&amp;$J488&amp;T$1,Pesos!$A:$I,9,FALSE)))</f>
        <v>1</v>
      </c>
      <c r="AN488" s="80">
        <f>IF(U488="","",IF(U488="SIM",VLOOKUP($I488&amp;$J488&amp;U$1,Pesos!$A:$I,7,FALSE),VLOOKUP($I488&amp;$J488&amp;U$1,Pesos!$A:$I,9,FALSE)))</f>
        <v>1</v>
      </c>
      <c r="AO488" s="80">
        <f>IF(V488="","",IF(V488="SIM",VLOOKUP($I488&amp;$J488&amp;V$1,Pesos!$A:$I,7,FALSE),VLOOKUP($I488&amp;$J488&amp;V$1,Pesos!$A:$I,9,FALSE)))</f>
        <v>1</v>
      </c>
      <c r="AP488" s="80">
        <f>IF(W488="","",IF(W488="SIM",VLOOKUP($I488&amp;$J488&amp;W$1,Pesos!$A:$I,7,FALSE),VLOOKUP($I488&amp;$J488&amp;W$1,Pesos!$A:$I,9,FALSE)))</f>
        <v>-0.05</v>
      </c>
      <c r="AQ488" s="80" t="str">
        <f>IF(X488="","",IF(X488="SIM",VLOOKUP($I488&amp;$J488&amp;X$1,Pesos!$A:$I,7,FALSE),VLOOKUP($I488&amp;$J488&amp;X$1,Pesos!$A:$I,9,FALSE)))</f>
        <v/>
      </c>
      <c r="AR488" s="80" t="str">
        <f>IF(Y488="","",IF(Y488="SIM",VLOOKUP($I488&amp;$J488&amp;Y$1,Pesos!$A:$I,7,FALSE),VLOOKUP($I488&amp;$J488&amp;Y$1,Pesos!$A:$I,9,FALSE)))</f>
        <v/>
      </c>
      <c r="AS488" s="81">
        <f>IFERROR(Z488*VLOOKUP(J488,'BD Campos'!$Y$1:$Z$12,2,FALSE),"0")</f>
        <v>8.9499999999999993</v>
      </c>
    </row>
    <row r="489" spans="1:45" x14ac:dyDescent="0.35">
      <c r="A489" s="68" t="str">
        <f t="shared" si="68"/>
        <v>Fev20254204ReceptivaTRANSFERÊNCIA</v>
      </c>
      <c r="B489" s="69" t="str">
        <f t="shared" si="69"/>
        <v>Fev202542045TRANSFERÊNCIAPADRÃO</v>
      </c>
      <c r="C489" s="70">
        <v>1</v>
      </c>
      <c r="D489" s="71">
        <v>45698.698695601852</v>
      </c>
      <c r="E489" s="112" t="s">
        <v>338</v>
      </c>
      <c r="F489" s="72">
        <v>4204</v>
      </c>
      <c r="G489" s="69" t="s">
        <v>1492</v>
      </c>
      <c r="H489" s="73">
        <v>5</v>
      </c>
      <c r="I489" s="69" t="s">
        <v>6</v>
      </c>
      <c r="J489" s="69" t="s">
        <v>98</v>
      </c>
      <c r="K489" s="69" t="s">
        <v>106</v>
      </c>
      <c r="L489" s="74"/>
      <c r="M489" s="75">
        <v>1.3657407407407409E-3</v>
      </c>
      <c r="N489" s="76" t="s">
        <v>79</v>
      </c>
      <c r="O489" s="76" t="s">
        <v>79</v>
      </c>
      <c r="P489" s="76" t="s">
        <v>79</v>
      </c>
      <c r="Q489" s="76" t="s">
        <v>79</v>
      </c>
      <c r="R489" s="76" t="s">
        <v>79</v>
      </c>
      <c r="S489" s="76" t="s">
        <v>79</v>
      </c>
      <c r="T489" s="76" t="s">
        <v>79</v>
      </c>
      <c r="U489" s="76" t="s">
        <v>79</v>
      </c>
      <c r="V489" s="76" t="s">
        <v>79</v>
      </c>
      <c r="W489" s="76" t="s">
        <v>79</v>
      </c>
      <c r="X489" s="76" t="s">
        <v>79</v>
      </c>
      <c r="Y489" s="76" t="s">
        <v>79</v>
      </c>
      <c r="Z489" s="77">
        <f t="shared" si="38"/>
        <v>10</v>
      </c>
      <c r="AA489" s="78"/>
      <c r="AB489" s="78"/>
      <c r="AC489" s="72" t="s">
        <v>47</v>
      </c>
      <c r="AE489" s="79" t="str">
        <f t="shared" si="74"/>
        <v>Fev4204</v>
      </c>
      <c r="AF489" s="80">
        <f>IF(N489="","",IF(N489="SIM",VLOOKUP($I489&amp;$J489&amp;N$1,Pesos!$A:$I,7,FALSE),VLOOKUP($I489&amp;$J489&amp;N$1,Pesos!$A:$I,9,FALSE)))</f>
        <v>0.8</v>
      </c>
      <c r="AG489" s="80">
        <f>IF(O489="","",IF(O489="SIM",VLOOKUP($I489&amp;$J489&amp;O$1,Pesos!$A:$I,7,FALSE),VLOOKUP($I489&amp;$J489&amp;O$1,Pesos!$A:$I,9,FALSE)))</f>
        <v>0.8</v>
      </c>
      <c r="AH489" s="80">
        <f>IF(P489="","",IF(P489="SIM",VLOOKUP($I489&amp;$J489&amp;P$1,Pesos!$A:$I,7,FALSE),VLOOKUP($I489&amp;$J489&amp;P$1,Pesos!$A:$I,9,FALSE)))</f>
        <v>1.2</v>
      </c>
      <c r="AI489" s="80">
        <f>IF(Q489="","",IF(Q489="SIM",VLOOKUP($I489&amp;$J489&amp;Q$1,Pesos!$A:$I,7,FALSE),VLOOKUP($I489&amp;$J489&amp;Q$1,Pesos!$A:$I,9,FALSE)))</f>
        <v>0.8</v>
      </c>
      <c r="AJ489" s="80">
        <f>IF(R489="","",IF(R489="SIM",VLOOKUP($I489&amp;$J489&amp;R$1,Pesos!$A:$I,7,FALSE),VLOOKUP($I489&amp;$J489&amp;R$1,Pesos!$A:$I,9,FALSE)))</f>
        <v>0.8</v>
      </c>
      <c r="AK489" s="80">
        <f>IF(S489="","",IF(S489="SIM",VLOOKUP($I489&amp;$J489&amp;S$1,Pesos!$A:$I,7,FALSE),VLOOKUP($I489&amp;$J489&amp;S$1,Pesos!$A:$I,9,FALSE)))</f>
        <v>0.8</v>
      </c>
      <c r="AL489" s="80">
        <f t="shared" si="73"/>
        <v>5.1999999999999993</v>
      </c>
      <c r="AM489" s="80">
        <f>IF(T489="","",IF(T489="SIM",VLOOKUP($I489&amp;$J489&amp;T$1,Pesos!$A:$I,7,FALSE),VLOOKUP($I489&amp;$J489&amp;T$1,Pesos!$A:$I,9,FALSE)))</f>
        <v>0.8</v>
      </c>
      <c r="AN489" s="80">
        <f>IF(U489="","",IF(U489="SIM",VLOOKUP($I489&amp;$J489&amp;U$1,Pesos!$A:$I,7,FALSE),VLOOKUP($I489&amp;$J489&amp;U$1,Pesos!$A:$I,9,FALSE)))</f>
        <v>0.8</v>
      </c>
      <c r="AO489" s="80">
        <f>IF(V489="","",IF(V489="SIM",VLOOKUP($I489&amp;$J489&amp;V$1,Pesos!$A:$I,7,FALSE),VLOOKUP($I489&amp;$J489&amp;V$1,Pesos!$A:$I,9,FALSE)))</f>
        <v>0.8</v>
      </c>
      <c r="AP489" s="80">
        <f>IF(W489="","",IF(W489="SIM",VLOOKUP($I489&amp;$J489&amp;W$1,Pesos!$A:$I,7,FALSE),VLOOKUP($I489&amp;$J489&amp;W$1,Pesos!$A:$I,9,FALSE)))</f>
        <v>0.8</v>
      </c>
      <c r="AQ489" s="80">
        <f>IF(X489="","",IF(X489="SIM",VLOOKUP($I489&amp;$J489&amp;X$1,Pesos!$A:$I,7,FALSE),VLOOKUP($I489&amp;$J489&amp;X$1,Pesos!$A:$I,9,FALSE)))</f>
        <v>0.8</v>
      </c>
      <c r="AR489" s="80">
        <f>IF(Y489="","",IF(Y489="SIM",VLOOKUP($I489&amp;$J489&amp;Y$1,Pesos!$A:$I,7,FALSE),VLOOKUP($I489&amp;$J489&amp;Y$1,Pesos!$A:$I,9,FALSE)))</f>
        <v>0.8</v>
      </c>
      <c r="AS489" s="81">
        <f>IFERROR(Z489*VLOOKUP(J489,'BD Campos'!$Y$1:$Z$12,2,FALSE),"0")</f>
        <v>10</v>
      </c>
    </row>
    <row r="490" spans="1:45" x14ac:dyDescent="0.35">
      <c r="A490" s="68" t="str">
        <f t="shared" si="68"/>
        <v>Fev20254155MotoristaTRANSFERÊNCIA</v>
      </c>
      <c r="B490" s="69" t="str">
        <f t="shared" si="69"/>
        <v>Fev202541551TRANSFERÊNCIAPADRÃO</v>
      </c>
      <c r="C490" s="70">
        <v>1</v>
      </c>
      <c r="D490" s="71">
        <v>45698.701621990738</v>
      </c>
      <c r="E490" s="112" t="s">
        <v>338</v>
      </c>
      <c r="F490" s="72">
        <v>4155</v>
      </c>
      <c r="G490" s="69" t="s">
        <v>347</v>
      </c>
      <c r="H490" s="73">
        <v>1</v>
      </c>
      <c r="I490" s="69" t="s">
        <v>147</v>
      </c>
      <c r="J490" s="69" t="s">
        <v>122</v>
      </c>
      <c r="K490" s="69" t="s">
        <v>106</v>
      </c>
      <c r="L490" s="74">
        <v>31146648</v>
      </c>
      <c r="M490" s="75">
        <v>8.3333333333333339E-4</v>
      </c>
      <c r="N490" s="76" t="s">
        <v>79</v>
      </c>
      <c r="O490" s="76" t="s">
        <v>79</v>
      </c>
      <c r="P490" s="76" t="s">
        <v>79</v>
      </c>
      <c r="Q490" s="76" t="s">
        <v>79</v>
      </c>
      <c r="R490" s="76" t="s">
        <v>79</v>
      </c>
      <c r="S490" s="76" t="s">
        <v>83</v>
      </c>
      <c r="T490" s="76" t="s">
        <v>79</v>
      </c>
      <c r="U490" s="76" t="s">
        <v>79</v>
      </c>
      <c r="V490" s="76"/>
      <c r="W490" s="76"/>
      <c r="X490" s="76"/>
      <c r="Y490" s="76"/>
      <c r="Z490" s="77">
        <f t="shared" si="38"/>
        <v>8.32</v>
      </c>
      <c r="AA490" s="78" t="s">
        <v>1640</v>
      </c>
      <c r="AB490" s="78" t="s">
        <v>1639</v>
      </c>
      <c r="AC490" s="72" t="s">
        <v>47</v>
      </c>
      <c r="AE490" s="79" t="str">
        <f t="shared" si="74"/>
        <v>Fev4155</v>
      </c>
      <c r="AF490" s="80">
        <f>IF(N490="","",IF(N490="SIM",VLOOKUP($I490&amp;$J490&amp;N$1,Pesos!$A:$I,7,FALSE),VLOOKUP($I490&amp;$J490&amp;N$1,Pesos!$A:$I,9,FALSE)))</f>
        <v>1.1000000000000001</v>
      </c>
      <c r="AG490" s="80">
        <f>IF(O490="","",IF(O490="SIM",VLOOKUP($I490&amp;$J490&amp;O$1,Pesos!$A:$I,7,FALSE),VLOOKUP($I490&amp;$J490&amp;O$1,Pesos!$A:$I,9,FALSE)))</f>
        <v>1.1000000000000001</v>
      </c>
      <c r="AH490" s="80">
        <f>IF(P490="","",IF(P490="SIM",VLOOKUP($I490&amp;$J490&amp;P$1,Pesos!$A:$I,7,FALSE),VLOOKUP($I490&amp;$J490&amp;P$1,Pesos!$A:$I,9,FALSE)))</f>
        <v>1.1000000000000001</v>
      </c>
      <c r="AI490" s="80">
        <f>IF(Q490="","",IF(Q490="SIM",VLOOKUP($I490&amp;$J490&amp;Q$1,Pesos!$A:$I,7,FALSE),VLOOKUP($I490&amp;$J490&amp;Q$1,Pesos!$A:$I,9,FALSE)))</f>
        <v>1.1000000000000001</v>
      </c>
      <c r="AJ490" s="80">
        <f>IF(R490="","",IF(R490="SIM",VLOOKUP($I490&amp;$J490&amp;R$1,Pesos!$A:$I,7,FALSE),VLOOKUP($I490&amp;$J490&amp;R$1,Pesos!$A:$I,9,FALSE)))</f>
        <v>1.1000000000000001</v>
      </c>
      <c r="AK490" s="80">
        <f>IF(S490="","",IF(S490="SIM",VLOOKUP($I490&amp;$J490&amp;S$1,Pesos!$A:$I,7,FALSE),VLOOKUP($I490&amp;$J490&amp;S$1,Pesos!$A:$I,9,FALSE)))</f>
        <v>-8.0000000000000016E-2</v>
      </c>
      <c r="AL490" s="80">
        <f t="shared" si="73"/>
        <v>5.42</v>
      </c>
      <c r="AM490" s="80">
        <f>IF(T490="","",IF(T490="SIM",VLOOKUP($I490&amp;$J490&amp;T$1,Pesos!$A:$I,7,FALSE),VLOOKUP($I490&amp;$J490&amp;T$1,Pesos!$A:$I,9,FALSE)))</f>
        <v>1.2</v>
      </c>
      <c r="AN490" s="80">
        <f>IF(U490="","",IF(U490="SIM",VLOOKUP($I490&amp;$J490&amp;U$1,Pesos!$A:$I,7,FALSE),VLOOKUP($I490&amp;$J490&amp;U$1,Pesos!$A:$I,9,FALSE)))</f>
        <v>1.7000000000000002</v>
      </c>
      <c r="AO490" s="80" t="str">
        <f>IF(V490="","",IF(V490="SIM",VLOOKUP($I490&amp;$J490&amp;V$1,Pesos!$A:$I,7,FALSE),VLOOKUP($I490&amp;$J490&amp;V$1,Pesos!$A:$I,9,FALSE)))</f>
        <v/>
      </c>
      <c r="AP490" s="80" t="str">
        <f>IF(W490="","",IF(W490="SIM",VLOOKUP($I490&amp;$J490&amp;W$1,Pesos!$A:$I,7,FALSE),VLOOKUP($I490&amp;$J490&amp;W$1,Pesos!$A:$I,9,FALSE)))</f>
        <v/>
      </c>
      <c r="AQ490" s="80" t="str">
        <f>IF(X490="","",IF(X490="SIM",VLOOKUP($I490&amp;$J490&amp;X$1,Pesos!$A:$I,7,FALSE),VLOOKUP($I490&amp;$J490&amp;X$1,Pesos!$A:$I,9,FALSE)))</f>
        <v/>
      </c>
      <c r="AR490" s="80" t="str">
        <f>IF(Y490="","",IF(Y490="SIM",VLOOKUP($I490&amp;$J490&amp;Y$1,Pesos!$A:$I,7,FALSE),VLOOKUP($I490&amp;$J490&amp;Y$1,Pesos!$A:$I,9,FALSE)))</f>
        <v/>
      </c>
      <c r="AS490" s="81">
        <f>IFERROR(Z490*VLOOKUP(J490,'BD Campos'!$Y$1:$Z$12,2,FALSE),"0")</f>
        <v>8.32</v>
      </c>
    </row>
    <row r="491" spans="1:45" x14ac:dyDescent="0.35">
      <c r="A491" s="68" t="str">
        <f t="shared" si="68"/>
        <v>Fev20254155ReceptivaTRANSFERÊNCIA</v>
      </c>
      <c r="B491" s="69" t="str">
        <f t="shared" si="69"/>
        <v>Fev202541555TRANSFERÊNCIAPADRÃO</v>
      </c>
      <c r="C491" s="70">
        <v>1</v>
      </c>
      <c r="D491" s="71">
        <v>45698.705273611115</v>
      </c>
      <c r="E491" s="112" t="s">
        <v>338</v>
      </c>
      <c r="F491" s="72">
        <v>4155</v>
      </c>
      <c r="G491" s="69" t="s">
        <v>347</v>
      </c>
      <c r="H491" s="73">
        <v>5</v>
      </c>
      <c r="I491" s="69" t="s">
        <v>6</v>
      </c>
      <c r="J491" s="69" t="s">
        <v>98</v>
      </c>
      <c r="K491" s="69" t="s">
        <v>106</v>
      </c>
      <c r="L491" s="74"/>
      <c r="M491" s="75">
        <v>1.3194444444444443E-3</v>
      </c>
      <c r="N491" s="76"/>
      <c r="O491" s="76"/>
      <c r="P491" s="76"/>
      <c r="Q491" s="76"/>
      <c r="R491" s="76"/>
      <c r="S491" s="76"/>
      <c r="T491" s="76"/>
      <c r="U491" s="76"/>
      <c r="V491" s="76"/>
      <c r="W491" s="76"/>
      <c r="X491" s="76"/>
      <c r="Y491" s="76"/>
      <c r="Z491" s="77">
        <f t="shared" si="38"/>
        <v>0</v>
      </c>
      <c r="AA491" s="78" t="s">
        <v>1641</v>
      </c>
      <c r="AB491" s="78"/>
      <c r="AC491" s="72" t="s">
        <v>47</v>
      </c>
      <c r="AE491" s="79" t="str">
        <f t="shared" si="74"/>
        <v>Fev4155</v>
      </c>
      <c r="AF491" s="80" t="str">
        <f>IF(N491="","",IF(N491="SIM",VLOOKUP($I491&amp;$J491&amp;N$1,Pesos!$A:$I,7,FALSE),VLOOKUP($I491&amp;$J491&amp;N$1,Pesos!$A:$I,9,FALSE)))</f>
        <v/>
      </c>
      <c r="AG491" s="80" t="str">
        <f>IF(O491="","",IF(O491="SIM",VLOOKUP($I491&amp;$J491&amp;O$1,Pesos!$A:$I,7,FALSE),VLOOKUP($I491&amp;$J491&amp;O$1,Pesos!$A:$I,9,FALSE)))</f>
        <v/>
      </c>
      <c r="AH491" s="80" t="str">
        <f>IF(P491="","",IF(P491="SIM",VLOOKUP($I491&amp;$J491&amp;P$1,Pesos!$A:$I,7,FALSE),VLOOKUP($I491&amp;$J491&amp;P$1,Pesos!$A:$I,9,FALSE)))</f>
        <v/>
      </c>
      <c r="AI491" s="80" t="str">
        <f>IF(Q491="","",IF(Q491="SIM",VLOOKUP($I491&amp;$J491&amp;Q$1,Pesos!$A:$I,7,FALSE),VLOOKUP($I491&amp;$J491&amp;Q$1,Pesos!$A:$I,9,FALSE)))</f>
        <v/>
      </c>
      <c r="AJ491" s="80" t="str">
        <f>IF(R491="","",IF(R491="SIM",VLOOKUP($I491&amp;$J491&amp;R$1,Pesos!$A:$I,7,FALSE),VLOOKUP($I491&amp;$J491&amp;R$1,Pesos!$A:$I,9,FALSE)))</f>
        <v/>
      </c>
      <c r="AK491" s="80" t="str">
        <f>IF(S491="","",IF(S491="SIM",VLOOKUP($I491&amp;$J491&amp;S$1,Pesos!$A:$I,7,FALSE),VLOOKUP($I491&amp;$J491&amp;S$1,Pesos!$A:$I,9,FALSE)))</f>
        <v/>
      </c>
      <c r="AL491" s="80">
        <f t="shared" si="73"/>
        <v>0</v>
      </c>
      <c r="AM491" s="80" t="str">
        <f>IF(T491="","",IF(T491="SIM",VLOOKUP($I491&amp;$J491&amp;T$1,Pesos!$A:$I,7,FALSE),VLOOKUP($I491&amp;$J491&amp;T$1,Pesos!$A:$I,9,FALSE)))</f>
        <v/>
      </c>
      <c r="AN491" s="80" t="str">
        <f>IF(U491="","",IF(U491="SIM",VLOOKUP($I491&amp;$J491&amp;U$1,Pesos!$A:$I,7,FALSE),VLOOKUP($I491&amp;$J491&amp;U$1,Pesos!$A:$I,9,FALSE)))</f>
        <v/>
      </c>
      <c r="AO491" s="80" t="str">
        <f>IF(V491="","",IF(V491="SIM",VLOOKUP($I491&amp;$J491&amp;V$1,Pesos!$A:$I,7,FALSE),VLOOKUP($I491&amp;$J491&amp;V$1,Pesos!$A:$I,9,FALSE)))</f>
        <v/>
      </c>
      <c r="AP491" s="80" t="str">
        <f>IF(W491="","",IF(W491="SIM",VLOOKUP($I491&amp;$J491&amp;W$1,Pesos!$A:$I,7,FALSE),VLOOKUP($I491&amp;$J491&amp;W$1,Pesos!$A:$I,9,FALSE)))</f>
        <v/>
      </c>
      <c r="AQ491" s="80" t="str">
        <f>IF(X491="","",IF(X491="SIM",VLOOKUP($I491&amp;$J491&amp;X$1,Pesos!$A:$I,7,FALSE),VLOOKUP($I491&amp;$J491&amp;X$1,Pesos!$A:$I,9,FALSE)))</f>
        <v/>
      </c>
      <c r="AR491" s="80" t="str">
        <f>IF(Y491="","",IF(Y491="SIM",VLOOKUP($I491&amp;$J491&amp;Y$1,Pesos!$A:$I,7,FALSE),VLOOKUP($I491&amp;$J491&amp;Y$1,Pesos!$A:$I,9,FALSE)))</f>
        <v/>
      </c>
      <c r="AS491" s="81">
        <f>IFERROR(Z491*VLOOKUP(J491,'BD Campos'!$Y$1:$Z$12,2,FALSE),"0")</f>
        <v>0</v>
      </c>
    </row>
    <row r="492" spans="1:45" x14ac:dyDescent="0.35">
      <c r="A492" s="68" t="str">
        <f t="shared" si="68"/>
        <v>Fev20254206MotoristaTRANSFERÊNCIA</v>
      </c>
      <c r="B492" s="69" t="str">
        <f t="shared" si="69"/>
        <v>Fev202542061TRANSFERÊNCIAPADRÃO</v>
      </c>
      <c r="C492" s="70">
        <v>1</v>
      </c>
      <c r="D492" s="71">
        <v>45698.709067129632</v>
      </c>
      <c r="E492" s="112" t="s">
        <v>338</v>
      </c>
      <c r="F492" s="72">
        <v>4206</v>
      </c>
      <c r="G492" s="69" t="s">
        <v>1364</v>
      </c>
      <c r="H492" s="73">
        <v>1</v>
      </c>
      <c r="I492" s="69" t="s">
        <v>123</v>
      </c>
      <c r="J492" s="69" t="s">
        <v>122</v>
      </c>
      <c r="K492" s="69" t="s">
        <v>106</v>
      </c>
      <c r="L492" s="74">
        <v>31120816</v>
      </c>
      <c r="M492" s="75">
        <v>1.6782407407407406E-3</v>
      </c>
      <c r="N492" s="76" t="s">
        <v>79</v>
      </c>
      <c r="O492" s="76" t="s">
        <v>79</v>
      </c>
      <c r="P492" s="76" t="s">
        <v>79</v>
      </c>
      <c r="Q492" s="76" t="s">
        <v>79</v>
      </c>
      <c r="R492" s="76" t="s">
        <v>79</v>
      </c>
      <c r="S492" s="76" t="s">
        <v>79</v>
      </c>
      <c r="T492" s="76" t="s">
        <v>79</v>
      </c>
      <c r="U492" s="76" t="s">
        <v>79</v>
      </c>
      <c r="V492" s="76" t="s">
        <v>79</v>
      </c>
      <c r="W492" s="76" t="s">
        <v>79</v>
      </c>
      <c r="X492" s="76"/>
      <c r="Y492" s="76"/>
      <c r="Z492" s="77">
        <f t="shared" si="38"/>
        <v>10</v>
      </c>
      <c r="AA492" s="78"/>
      <c r="AB492" s="78" t="s">
        <v>1642</v>
      </c>
      <c r="AC492" s="72" t="s">
        <v>47</v>
      </c>
      <c r="AE492" s="79" t="str">
        <f t="shared" ref="AE492:AE498" si="75">E492&amp;F492</f>
        <v>Fev4206</v>
      </c>
      <c r="AF492" s="80">
        <f>IF(N492="","",IF(N492="SIM",VLOOKUP($I492&amp;$J492&amp;N$1,Pesos!$A:$I,7,FALSE),VLOOKUP($I492&amp;$J492&amp;N$1,Pesos!$A:$I,9,FALSE)))</f>
        <v>1</v>
      </c>
      <c r="AG492" s="80">
        <f>IF(O492="","",IF(O492="SIM",VLOOKUP($I492&amp;$J492&amp;O$1,Pesos!$A:$I,7,FALSE),VLOOKUP($I492&amp;$J492&amp;O$1,Pesos!$A:$I,9,FALSE)))</f>
        <v>1</v>
      </c>
      <c r="AH492" s="80">
        <f>IF(P492="","",IF(P492="SIM",VLOOKUP($I492&amp;$J492&amp;P$1,Pesos!$A:$I,7,FALSE),VLOOKUP($I492&amp;$J492&amp;P$1,Pesos!$A:$I,9,FALSE)))</f>
        <v>1</v>
      </c>
      <c r="AI492" s="80">
        <f>IF(Q492="","",IF(Q492="SIM",VLOOKUP($I492&amp;$J492&amp;Q$1,Pesos!$A:$I,7,FALSE),VLOOKUP($I492&amp;$J492&amp;Q$1,Pesos!$A:$I,9,FALSE)))</f>
        <v>1</v>
      </c>
      <c r="AJ492" s="80">
        <f>IF(R492="","",IF(R492="SIM",VLOOKUP($I492&amp;$J492&amp;R$1,Pesos!$A:$I,7,FALSE),VLOOKUP($I492&amp;$J492&amp;R$1,Pesos!$A:$I,9,FALSE)))</f>
        <v>1</v>
      </c>
      <c r="AK492" s="80">
        <f>IF(S492="","",IF(S492="SIM",VLOOKUP($I492&amp;$J492&amp;S$1,Pesos!$A:$I,7,FALSE),VLOOKUP($I492&amp;$J492&amp;S$1,Pesos!$A:$I,9,FALSE)))</f>
        <v>1</v>
      </c>
      <c r="AL492" s="80">
        <f t="shared" si="73"/>
        <v>6</v>
      </c>
      <c r="AM492" s="80">
        <f>IF(T492="","",IF(T492="SIM",VLOOKUP($I492&amp;$J492&amp;T$1,Pesos!$A:$I,7,FALSE),VLOOKUP($I492&amp;$J492&amp;T$1,Pesos!$A:$I,9,FALSE)))</f>
        <v>1</v>
      </c>
      <c r="AN492" s="80">
        <f>IF(U492="","",IF(U492="SIM",VLOOKUP($I492&amp;$J492&amp;U$1,Pesos!$A:$I,7,FALSE),VLOOKUP($I492&amp;$J492&amp;U$1,Pesos!$A:$I,9,FALSE)))</f>
        <v>1</v>
      </c>
      <c r="AO492" s="80">
        <f>IF(V492="","",IF(V492="SIM",VLOOKUP($I492&amp;$J492&amp;V$1,Pesos!$A:$I,7,FALSE),VLOOKUP($I492&amp;$J492&amp;V$1,Pesos!$A:$I,9,FALSE)))</f>
        <v>1</v>
      </c>
      <c r="AP492" s="80">
        <f>IF(W492="","",IF(W492="SIM",VLOOKUP($I492&amp;$J492&amp;W$1,Pesos!$A:$I,7,FALSE),VLOOKUP($I492&amp;$J492&amp;W$1,Pesos!$A:$I,9,FALSE)))</f>
        <v>1</v>
      </c>
      <c r="AQ492" s="80" t="str">
        <f>IF(X492="","",IF(X492="SIM",VLOOKUP($I492&amp;$J492&amp;X$1,Pesos!$A:$I,7,FALSE),VLOOKUP($I492&amp;$J492&amp;X$1,Pesos!$A:$I,9,FALSE)))</f>
        <v/>
      </c>
      <c r="AR492" s="80" t="str">
        <f>IF(Y492="","",IF(Y492="SIM",VLOOKUP($I492&amp;$J492&amp;Y$1,Pesos!$A:$I,7,FALSE),VLOOKUP($I492&amp;$J492&amp;Y$1,Pesos!$A:$I,9,FALSE)))</f>
        <v/>
      </c>
      <c r="AS492" s="81">
        <f>IFERROR(Z492*VLOOKUP(J492,'BD Campos'!$Y$1:$Z$12,2,FALSE),"0")</f>
        <v>10</v>
      </c>
    </row>
    <row r="493" spans="1:45" x14ac:dyDescent="0.35">
      <c r="A493" s="68" t="str">
        <f t="shared" si="68"/>
        <v>Fev20254206ReceptivaTRANSFERÊNCIA</v>
      </c>
      <c r="B493" s="69" t="str">
        <f t="shared" si="69"/>
        <v>Fev202542065TRANSFERÊNCIAPADRÃO</v>
      </c>
      <c r="C493" s="70">
        <v>1</v>
      </c>
      <c r="D493" s="71">
        <v>45698.711117939813</v>
      </c>
      <c r="E493" s="112" t="s">
        <v>338</v>
      </c>
      <c r="F493" s="72">
        <v>4206</v>
      </c>
      <c r="G493" s="69" t="s">
        <v>1364</v>
      </c>
      <c r="H493" s="73">
        <v>5</v>
      </c>
      <c r="I493" s="69" t="s">
        <v>6</v>
      </c>
      <c r="J493" s="69" t="s">
        <v>98</v>
      </c>
      <c r="K493" s="69" t="s">
        <v>106</v>
      </c>
      <c r="L493" s="74"/>
      <c r="M493" s="75">
        <v>1.0416666666666667E-3</v>
      </c>
      <c r="N493" s="76" t="s">
        <v>79</v>
      </c>
      <c r="O493" s="76" t="s">
        <v>79</v>
      </c>
      <c r="P493" s="76" t="s">
        <v>79</v>
      </c>
      <c r="Q493" s="76" t="s">
        <v>79</v>
      </c>
      <c r="R493" s="76" t="s">
        <v>79</v>
      </c>
      <c r="S493" s="76" t="s">
        <v>79</v>
      </c>
      <c r="T493" s="76" t="s">
        <v>79</v>
      </c>
      <c r="U493" s="76" t="s">
        <v>79</v>
      </c>
      <c r="V493" s="76" t="s">
        <v>79</v>
      </c>
      <c r="W493" s="76" t="s">
        <v>79</v>
      </c>
      <c r="X493" s="76" t="s">
        <v>79</v>
      </c>
      <c r="Y493" s="76" t="s">
        <v>79</v>
      </c>
      <c r="Z493" s="77">
        <f t="shared" si="38"/>
        <v>10</v>
      </c>
      <c r="AA493" s="78"/>
      <c r="AB493" s="78"/>
      <c r="AC493" s="72" t="s">
        <v>47</v>
      </c>
      <c r="AE493" s="79" t="str">
        <f t="shared" si="75"/>
        <v>Fev4206</v>
      </c>
      <c r="AF493" s="80">
        <f>IF(N493="","",IF(N493="SIM",VLOOKUP($I493&amp;$J493&amp;N$1,Pesos!$A:$I,7,FALSE),VLOOKUP($I493&amp;$J493&amp;N$1,Pesos!$A:$I,9,FALSE)))</f>
        <v>0.8</v>
      </c>
      <c r="AG493" s="80">
        <f>IF(O493="","",IF(O493="SIM",VLOOKUP($I493&amp;$J493&amp;O$1,Pesos!$A:$I,7,FALSE),VLOOKUP($I493&amp;$J493&amp;O$1,Pesos!$A:$I,9,FALSE)))</f>
        <v>0.8</v>
      </c>
      <c r="AH493" s="80">
        <f>IF(P493="","",IF(P493="SIM",VLOOKUP($I493&amp;$J493&amp;P$1,Pesos!$A:$I,7,FALSE),VLOOKUP($I493&amp;$J493&amp;P$1,Pesos!$A:$I,9,FALSE)))</f>
        <v>1.2</v>
      </c>
      <c r="AI493" s="80">
        <f>IF(Q493="","",IF(Q493="SIM",VLOOKUP($I493&amp;$J493&amp;Q$1,Pesos!$A:$I,7,FALSE),VLOOKUP($I493&amp;$J493&amp;Q$1,Pesos!$A:$I,9,FALSE)))</f>
        <v>0.8</v>
      </c>
      <c r="AJ493" s="80">
        <f>IF(R493="","",IF(R493="SIM",VLOOKUP($I493&amp;$J493&amp;R$1,Pesos!$A:$I,7,FALSE),VLOOKUP($I493&amp;$J493&amp;R$1,Pesos!$A:$I,9,FALSE)))</f>
        <v>0.8</v>
      </c>
      <c r="AK493" s="80">
        <f>IF(S493="","",IF(S493="SIM",VLOOKUP($I493&amp;$J493&amp;S$1,Pesos!$A:$I,7,FALSE),VLOOKUP($I493&amp;$J493&amp;S$1,Pesos!$A:$I,9,FALSE)))</f>
        <v>0.8</v>
      </c>
      <c r="AL493" s="80">
        <f t="shared" si="73"/>
        <v>5.1999999999999993</v>
      </c>
      <c r="AM493" s="80">
        <f>IF(T493="","",IF(T493="SIM",VLOOKUP($I493&amp;$J493&amp;T$1,Pesos!$A:$I,7,FALSE),VLOOKUP($I493&amp;$J493&amp;T$1,Pesos!$A:$I,9,FALSE)))</f>
        <v>0.8</v>
      </c>
      <c r="AN493" s="80">
        <f>IF(U493="","",IF(U493="SIM",VLOOKUP($I493&amp;$J493&amp;U$1,Pesos!$A:$I,7,FALSE),VLOOKUP($I493&amp;$J493&amp;U$1,Pesos!$A:$I,9,FALSE)))</f>
        <v>0.8</v>
      </c>
      <c r="AO493" s="80">
        <f>IF(V493="","",IF(V493="SIM",VLOOKUP($I493&amp;$J493&amp;V$1,Pesos!$A:$I,7,FALSE),VLOOKUP($I493&amp;$J493&amp;V$1,Pesos!$A:$I,9,FALSE)))</f>
        <v>0.8</v>
      </c>
      <c r="AP493" s="80">
        <f>IF(W493="","",IF(W493="SIM",VLOOKUP($I493&amp;$J493&amp;W$1,Pesos!$A:$I,7,FALSE),VLOOKUP($I493&amp;$J493&amp;W$1,Pesos!$A:$I,9,FALSE)))</f>
        <v>0.8</v>
      </c>
      <c r="AQ493" s="80">
        <f>IF(X493="","",IF(X493="SIM",VLOOKUP($I493&amp;$J493&amp;X$1,Pesos!$A:$I,7,FALSE),VLOOKUP($I493&amp;$J493&amp;X$1,Pesos!$A:$I,9,FALSE)))</f>
        <v>0.8</v>
      </c>
      <c r="AR493" s="80">
        <f>IF(Y493="","",IF(Y493="SIM",VLOOKUP($I493&amp;$J493&amp;Y$1,Pesos!$A:$I,7,FALSE),VLOOKUP($I493&amp;$J493&amp;Y$1,Pesos!$A:$I,9,FALSE)))</f>
        <v>0.8</v>
      </c>
      <c r="AS493" s="81">
        <f>IFERROR(Z493*VLOOKUP(J493,'BD Campos'!$Y$1:$Z$12,2,FALSE),"0")</f>
        <v>10</v>
      </c>
    </row>
    <row r="494" spans="1:45" x14ac:dyDescent="0.35">
      <c r="A494" s="68" t="str">
        <f t="shared" si="68"/>
        <v>Fev20254159ReceptivaTRANSFERÊNCIA</v>
      </c>
      <c r="B494" s="69" t="str">
        <f t="shared" si="69"/>
        <v>Fev202541595TRANSFERÊNCIAPADRÃO</v>
      </c>
      <c r="C494" s="70">
        <v>1</v>
      </c>
      <c r="D494" s="71">
        <v>45698.720599652777</v>
      </c>
      <c r="E494" s="112" t="s">
        <v>338</v>
      </c>
      <c r="F494" s="72">
        <v>4159</v>
      </c>
      <c r="G494" s="69" t="s">
        <v>231</v>
      </c>
      <c r="H494" s="73">
        <v>5</v>
      </c>
      <c r="I494" s="69" t="s">
        <v>6</v>
      </c>
      <c r="J494" s="69" t="s">
        <v>98</v>
      </c>
      <c r="K494" s="69" t="s">
        <v>106</v>
      </c>
      <c r="L494" s="74"/>
      <c r="M494" s="75">
        <v>7.5231481481481471E-4</v>
      </c>
      <c r="N494" s="76" t="s">
        <v>79</v>
      </c>
      <c r="O494" s="76" t="s">
        <v>83</v>
      </c>
      <c r="P494" s="76" t="s">
        <v>79</v>
      </c>
      <c r="Q494" s="76" t="s">
        <v>79</v>
      </c>
      <c r="R494" s="76" t="s">
        <v>79</v>
      </c>
      <c r="S494" s="76" t="s">
        <v>79</v>
      </c>
      <c r="T494" s="76" t="s">
        <v>79</v>
      </c>
      <c r="U494" s="76" t="s">
        <v>79</v>
      </c>
      <c r="V494" s="76" t="s">
        <v>79</v>
      </c>
      <c r="W494" s="76" t="s">
        <v>79</v>
      </c>
      <c r="X494" s="76" t="s">
        <v>79</v>
      </c>
      <c r="Y494" s="76" t="s">
        <v>79</v>
      </c>
      <c r="Z494" s="77">
        <f t="shared" si="38"/>
        <v>9.16</v>
      </c>
      <c r="AA494" s="78"/>
      <c r="AB494" s="78"/>
      <c r="AC494" s="72" t="s">
        <v>47</v>
      </c>
      <c r="AE494" s="79" t="str">
        <f t="shared" si="75"/>
        <v>Fev4159</v>
      </c>
      <c r="AF494" s="80">
        <f>IF(N494="","",IF(N494="SIM",VLOOKUP($I494&amp;$J494&amp;N$1,Pesos!$A:$I,7,FALSE),VLOOKUP($I494&amp;$J494&amp;N$1,Pesos!$A:$I,9,FALSE)))</f>
        <v>0.8</v>
      </c>
      <c r="AG494" s="80">
        <f>IF(O494="","",IF(O494="SIM",VLOOKUP($I494&amp;$J494&amp;O$1,Pesos!$A:$I,7,FALSE),VLOOKUP($I494&amp;$J494&amp;O$1,Pesos!$A:$I,9,FALSE)))</f>
        <v>-4.0000000000000008E-2</v>
      </c>
      <c r="AH494" s="80">
        <f>IF(P494="","",IF(P494="SIM",VLOOKUP($I494&amp;$J494&amp;P$1,Pesos!$A:$I,7,FALSE),VLOOKUP($I494&amp;$J494&amp;P$1,Pesos!$A:$I,9,FALSE)))</f>
        <v>1.2</v>
      </c>
      <c r="AI494" s="80">
        <f>IF(Q494="","",IF(Q494="SIM",VLOOKUP($I494&amp;$J494&amp;Q$1,Pesos!$A:$I,7,FALSE),VLOOKUP($I494&amp;$J494&amp;Q$1,Pesos!$A:$I,9,FALSE)))</f>
        <v>0.8</v>
      </c>
      <c r="AJ494" s="80">
        <f>IF(R494="","",IF(R494="SIM",VLOOKUP($I494&amp;$J494&amp;R$1,Pesos!$A:$I,7,FALSE),VLOOKUP($I494&amp;$J494&amp;R$1,Pesos!$A:$I,9,FALSE)))</f>
        <v>0.8</v>
      </c>
      <c r="AK494" s="80">
        <f>IF(S494="","",IF(S494="SIM",VLOOKUP($I494&amp;$J494&amp;S$1,Pesos!$A:$I,7,FALSE),VLOOKUP($I494&amp;$J494&amp;S$1,Pesos!$A:$I,9,FALSE)))</f>
        <v>0.8</v>
      </c>
      <c r="AL494" s="80">
        <f t="shared" si="73"/>
        <v>4.3599999999999994</v>
      </c>
      <c r="AM494" s="80">
        <f>IF(T494="","",IF(T494="SIM",VLOOKUP($I494&amp;$J494&amp;T$1,Pesos!$A:$I,7,FALSE),VLOOKUP($I494&amp;$J494&amp;T$1,Pesos!$A:$I,9,FALSE)))</f>
        <v>0.8</v>
      </c>
      <c r="AN494" s="80">
        <f>IF(U494="","",IF(U494="SIM",VLOOKUP($I494&amp;$J494&amp;U$1,Pesos!$A:$I,7,FALSE),VLOOKUP($I494&amp;$J494&amp;U$1,Pesos!$A:$I,9,FALSE)))</f>
        <v>0.8</v>
      </c>
      <c r="AO494" s="80">
        <f>IF(V494="","",IF(V494="SIM",VLOOKUP($I494&amp;$J494&amp;V$1,Pesos!$A:$I,7,FALSE),VLOOKUP($I494&amp;$J494&amp;V$1,Pesos!$A:$I,9,FALSE)))</f>
        <v>0.8</v>
      </c>
      <c r="AP494" s="80">
        <f>IF(W494="","",IF(W494="SIM",VLOOKUP($I494&amp;$J494&amp;W$1,Pesos!$A:$I,7,FALSE),VLOOKUP($I494&amp;$J494&amp;W$1,Pesos!$A:$I,9,FALSE)))</f>
        <v>0.8</v>
      </c>
      <c r="AQ494" s="80">
        <f>IF(X494="","",IF(X494="SIM",VLOOKUP($I494&amp;$J494&amp;X$1,Pesos!$A:$I,7,FALSE),VLOOKUP($I494&amp;$J494&amp;X$1,Pesos!$A:$I,9,FALSE)))</f>
        <v>0.8</v>
      </c>
      <c r="AR494" s="80">
        <f>IF(Y494="","",IF(Y494="SIM",VLOOKUP($I494&amp;$J494&amp;Y$1,Pesos!$A:$I,7,FALSE),VLOOKUP($I494&amp;$J494&amp;Y$1,Pesos!$A:$I,9,FALSE)))</f>
        <v>0.8</v>
      </c>
      <c r="AS494" s="81">
        <f>IFERROR(Z494*VLOOKUP(J494,'BD Campos'!$Y$1:$Z$12,2,FALSE),"0")</f>
        <v>9.16</v>
      </c>
    </row>
    <row r="495" spans="1:45" x14ac:dyDescent="0.35">
      <c r="A495" s="68" t="str">
        <f t="shared" si="68"/>
        <v>Fev20254203MotoristaTRANSFERÊNCIA</v>
      </c>
      <c r="B495" s="69" t="str">
        <f t="shared" si="69"/>
        <v>Fev202542031TRANSFERÊNCIAPADRÃO</v>
      </c>
      <c r="C495" s="70">
        <v>1</v>
      </c>
      <c r="D495" s="71">
        <v>45698.722925462964</v>
      </c>
      <c r="E495" s="112" t="s">
        <v>338</v>
      </c>
      <c r="F495" s="72">
        <v>4203</v>
      </c>
      <c r="G495" s="69" t="s">
        <v>409</v>
      </c>
      <c r="H495" s="73">
        <v>1</v>
      </c>
      <c r="I495" s="69" t="s">
        <v>147</v>
      </c>
      <c r="J495" s="69" t="s">
        <v>122</v>
      </c>
      <c r="K495" s="69" t="s">
        <v>106</v>
      </c>
      <c r="L495" s="74">
        <v>31095045</v>
      </c>
      <c r="M495" s="75">
        <v>1.1689814814814816E-3</v>
      </c>
      <c r="N495" s="76" t="s">
        <v>79</v>
      </c>
      <c r="O495" s="76" t="s">
        <v>79</v>
      </c>
      <c r="P495" s="76" t="s">
        <v>79</v>
      </c>
      <c r="Q495" s="76" t="s">
        <v>79</v>
      </c>
      <c r="R495" s="76" t="s">
        <v>79</v>
      </c>
      <c r="S495" s="76" t="s">
        <v>79</v>
      </c>
      <c r="T495" s="76" t="s">
        <v>79</v>
      </c>
      <c r="U495" s="76" t="s">
        <v>79</v>
      </c>
      <c r="V495" s="76"/>
      <c r="W495" s="76"/>
      <c r="X495" s="76"/>
      <c r="Y495" s="76"/>
      <c r="Z495" s="77">
        <f t="shared" si="38"/>
        <v>10</v>
      </c>
      <c r="AA495" s="78"/>
      <c r="AB495" s="78" t="s">
        <v>1643</v>
      </c>
      <c r="AC495" s="72" t="s">
        <v>47</v>
      </c>
      <c r="AE495" s="79" t="str">
        <f t="shared" si="75"/>
        <v>Fev4203</v>
      </c>
      <c r="AF495" s="80">
        <f>IF(N495="","",IF(N495="SIM",VLOOKUP($I495&amp;$J495&amp;N$1,Pesos!$A:$I,7,FALSE),VLOOKUP($I495&amp;$J495&amp;N$1,Pesos!$A:$I,9,FALSE)))</f>
        <v>1.1000000000000001</v>
      </c>
      <c r="AG495" s="80">
        <f>IF(O495="","",IF(O495="SIM",VLOOKUP($I495&amp;$J495&amp;O$1,Pesos!$A:$I,7,FALSE),VLOOKUP($I495&amp;$J495&amp;O$1,Pesos!$A:$I,9,FALSE)))</f>
        <v>1.1000000000000001</v>
      </c>
      <c r="AH495" s="80">
        <f>IF(P495="","",IF(P495="SIM",VLOOKUP($I495&amp;$J495&amp;P$1,Pesos!$A:$I,7,FALSE),VLOOKUP($I495&amp;$J495&amp;P$1,Pesos!$A:$I,9,FALSE)))</f>
        <v>1.1000000000000001</v>
      </c>
      <c r="AI495" s="80">
        <f>IF(Q495="","",IF(Q495="SIM",VLOOKUP($I495&amp;$J495&amp;Q$1,Pesos!$A:$I,7,FALSE),VLOOKUP($I495&amp;$J495&amp;Q$1,Pesos!$A:$I,9,FALSE)))</f>
        <v>1.1000000000000001</v>
      </c>
      <c r="AJ495" s="80">
        <f>IF(R495="","",IF(R495="SIM",VLOOKUP($I495&amp;$J495&amp;R$1,Pesos!$A:$I,7,FALSE),VLOOKUP($I495&amp;$J495&amp;R$1,Pesos!$A:$I,9,FALSE)))</f>
        <v>1.1000000000000001</v>
      </c>
      <c r="AK495" s="80">
        <f>IF(S495="","",IF(S495="SIM",VLOOKUP($I495&amp;$J495&amp;S$1,Pesos!$A:$I,7,FALSE),VLOOKUP($I495&amp;$J495&amp;S$1,Pesos!$A:$I,9,FALSE)))</f>
        <v>1.6</v>
      </c>
      <c r="AL495" s="80">
        <f t="shared" si="73"/>
        <v>7.1</v>
      </c>
      <c r="AM495" s="80">
        <f>IF(T495="","",IF(T495="SIM",VLOOKUP($I495&amp;$J495&amp;T$1,Pesos!$A:$I,7,FALSE),VLOOKUP($I495&amp;$J495&amp;T$1,Pesos!$A:$I,9,FALSE)))</f>
        <v>1.2</v>
      </c>
      <c r="AN495" s="80">
        <f>IF(U495="","",IF(U495="SIM",VLOOKUP($I495&amp;$J495&amp;U$1,Pesos!$A:$I,7,FALSE),VLOOKUP($I495&amp;$J495&amp;U$1,Pesos!$A:$I,9,FALSE)))</f>
        <v>1.7000000000000002</v>
      </c>
      <c r="AO495" s="80" t="str">
        <f>IF(V495="","",IF(V495="SIM",VLOOKUP($I495&amp;$J495&amp;V$1,Pesos!$A:$I,7,FALSE),VLOOKUP($I495&amp;$J495&amp;V$1,Pesos!$A:$I,9,FALSE)))</f>
        <v/>
      </c>
      <c r="AP495" s="80" t="str">
        <f>IF(W495="","",IF(W495="SIM",VLOOKUP($I495&amp;$J495&amp;W$1,Pesos!$A:$I,7,FALSE),VLOOKUP($I495&amp;$J495&amp;W$1,Pesos!$A:$I,9,FALSE)))</f>
        <v/>
      </c>
      <c r="AQ495" s="80" t="str">
        <f>IF(X495="","",IF(X495="SIM",VLOOKUP($I495&amp;$J495&amp;X$1,Pesos!$A:$I,7,FALSE),VLOOKUP($I495&amp;$J495&amp;X$1,Pesos!$A:$I,9,FALSE)))</f>
        <v/>
      </c>
      <c r="AR495" s="80" t="str">
        <f>IF(Y495="","",IF(Y495="SIM",VLOOKUP($I495&amp;$J495&amp;Y$1,Pesos!$A:$I,7,FALSE),VLOOKUP($I495&amp;$J495&amp;Y$1,Pesos!$A:$I,9,FALSE)))</f>
        <v/>
      </c>
      <c r="AS495" s="81">
        <f>IFERROR(Z495*VLOOKUP(J495,'BD Campos'!$Y$1:$Z$12,2,FALSE),"0")</f>
        <v>10</v>
      </c>
    </row>
    <row r="496" spans="1:45" x14ac:dyDescent="0.35">
      <c r="A496" s="68" t="str">
        <f t="shared" si="68"/>
        <v>Fev20254203ReceptivaTRANSFERÊNCIA</v>
      </c>
      <c r="B496" s="69" t="str">
        <f t="shared" si="69"/>
        <v>Fev202542035TRANSFERÊNCIAPADRÃO</v>
      </c>
      <c r="C496" s="70">
        <v>1</v>
      </c>
      <c r="D496" s="71">
        <v>45698.724466319443</v>
      </c>
      <c r="E496" s="112" t="s">
        <v>338</v>
      </c>
      <c r="F496" s="72">
        <v>4203</v>
      </c>
      <c r="G496" s="69" t="s">
        <v>409</v>
      </c>
      <c r="H496" s="73">
        <v>5</v>
      </c>
      <c r="I496" s="69" t="s">
        <v>6</v>
      </c>
      <c r="J496" s="69" t="s">
        <v>98</v>
      </c>
      <c r="K496" s="69" t="s">
        <v>106</v>
      </c>
      <c r="L496" s="74"/>
      <c r="M496" s="75">
        <v>1.0763888888888889E-3</v>
      </c>
      <c r="N496" s="76" t="s">
        <v>83</v>
      </c>
      <c r="O496" s="76" t="s">
        <v>79</v>
      </c>
      <c r="P496" s="76" t="s">
        <v>79</v>
      </c>
      <c r="Q496" s="76" t="s">
        <v>79</v>
      </c>
      <c r="R496" s="76" t="s">
        <v>79</v>
      </c>
      <c r="S496" s="76" t="s">
        <v>79</v>
      </c>
      <c r="T496" s="76" t="s">
        <v>79</v>
      </c>
      <c r="U496" s="76" t="s">
        <v>79</v>
      </c>
      <c r="V496" s="76" t="s">
        <v>79</v>
      </c>
      <c r="W496" s="76" t="s">
        <v>79</v>
      </c>
      <c r="X496" s="76" t="s">
        <v>79</v>
      </c>
      <c r="Y496" s="76" t="s">
        <v>79</v>
      </c>
      <c r="Z496" s="77">
        <f t="shared" si="38"/>
        <v>9.16</v>
      </c>
      <c r="AA496" s="78" t="s">
        <v>1616</v>
      </c>
      <c r="AB496" s="78"/>
      <c r="AC496" s="72" t="s">
        <v>47</v>
      </c>
      <c r="AE496" s="79" t="str">
        <f t="shared" si="75"/>
        <v>Fev4203</v>
      </c>
      <c r="AF496" s="80">
        <f>IF(N496="","",IF(N496="SIM",VLOOKUP($I496&amp;$J496&amp;N$1,Pesos!$A:$I,7,FALSE),VLOOKUP($I496&amp;$J496&amp;N$1,Pesos!$A:$I,9,FALSE)))</f>
        <v>-4.0000000000000008E-2</v>
      </c>
      <c r="AG496" s="80">
        <f>IF(O496="","",IF(O496="SIM",VLOOKUP($I496&amp;$J496&amp;O$1,Pesos!$A:$I,7,FALSE),VLOOKUP($I496&amp;$J496&amp;O$1,Pesos!$A:$I,9,FALSE)))</f>
        <v>0.8</v>
      </c>
      <c r="AH496" s="80">
        <f>IF(P496="","",IF(P496="SIM",VLOOKUP($I496&amp;$J496&amp;P$1,Pesos!$A:$I,7,FALSE),VLOOKUP($I496&amp;$J496&amp;P$1,Pesos!$A:$I,9,FALSE)))</f>
        <v>1.2</v>
      </c>
      <c r="AI496" s="80">
        <f>IF(Q496="","",IF(Q496="SIM",VLOOKUP($I496&amp;$J496&amp;Q$1,Pesos!$A:$I,7,FALSE),VLOOKUP($I496&amp;$J496&amp;Q$1,Pesos!$A:$I,9,FALSE)))</f>
        <v>0.8</v>
      </c>
      <c r="AJ496" s="80">
        <f>IF(R496="","",IF(R496="SIM",VLOOKUP($I496&amp;$J496&amp;R$1,Pesos!$A:$I,7,FALSE),VLOOKUP($I496&amp;$J496&amp;R$1,Pesos!$A:$I,9,FALSE)))</f>
        <v>0.8</v>
      </c>
      <c r="AK496" s="80">
        <f>IF(S496="","",IF(S496="SIM",VLOOKUP($I496&amp;$J496&amp;S$1,Pesos!$A:$I,7,FALSE),VLOOKUP($I496&amp;$J496&amp;S$1,Pesos!$A:$I,9,FALSE)))</f>
        <v>0.8</v>
      </c>
      <c r="AL496" s="80">
        <f t="shared" si="73"/>
        <v>4.3599999999999994</v>
      </c>
      <c r="AM496" s="80">
        <f>IF(T496="","",IF(T496="SIM",VLOOKUP($I496&amp;$J496&amp;T$1,Pesos!$A:$I,7,FALSE),VLOOKUP($I496&amp;$J496&amp;T$1,Pesos!$A:$I,9,FALSE)))</f>
        <v>0.8</v>
      </c>
      <c r="AN496" s="80">
        <f>IF(U496="","",IF(U496="SIM",VLOOKUP($I496&amp;$J496&amp;U$1,Pesos!$A:$I,7,FALSE),VLOOKUP($I496&amp;$J496&amp;U$1,Pesos!$A:$I,9,FALSE)))</f>
        <v>0.8</v>
      </c>
      <c r="AO496" s="80">
        <f>IF(V496="","",IF(V496="SIM",VLOOKUP($I496&amp;$J496&amp;V$1,Pesos!$A:$I,7,FALSE),VLOOKUP($I496&amp;$J496&amp;V$1,Pesos!$A:$I,9,FALSE)))</f>
        <v>0.8</v>
      </c>
      <c r="AP496" s="80">
        <f>IF(W496="","",IF(W496="SIM",VLOOKUP($I496&amp;$J496&amp;W$1,Pesos!$A:$I,7,FALSE),VLOOKUP($I496&amp;$J496&amp;W$1,Pesos!$A:$I,9,FALSE)))</f>
        <v>0.8</v>
      </c>
      <c r="AQ496" s="80">
        <f>IF(X496="","",IF(X496="SIM",VLOOKUP($I496&amp;$J496&amp;X$1,Pesos!$A:$I,7,FALSE),VLOOKUP($I496&amp;$J496&amp;X$1,Pesos!$A:$I,9,FALSE)))</f>
        <v>0.8</v>
      </c>
      <c r="AR496" s="80">
        <f>IF(Y496="","",IF(Y496="SIM",VLOOKUP($I496&amp;$J496&amp;Y$1,Pesos!$A:$I,7,FALSE),VLOOKUP($I496&amp;$J496&amp;Y$1,Pesos!$A:$I,9,FALSE)))</f>
        <v>0.8</v>
      </c>
      <c r="AS496" s="81">
        <f>IFERROR(Z496*VLOOKUP(J496,'BD Campos'!$Y$1:$Z$12,2,FALSE),"0")</f>
        <v>9.16</v>
      </c>
    </row>
    <row r="497" spans="1:45" x14ac:dyDescent="0.35">
      <c r="A497" s="68" t="str">
        <f t="shared" si="68"/>
        <v>Fev20254176MotoristaTRANSFERÊNCIA</v>
      </c>
      <c r="B497" s="69" t="str">
        <f t="shared" si="69"/>
        <v>Fev202541761TRANSFERÊNCIAPADRÃO</v>
      </c>
      <c r="C497" s="70">
        <v>1</v>
      </c>
      <c r="D497" s="71">
        <v>45698.726147222224</v>
      </c>
      <c r="E497" s="112" t="s">
        <v>338</v>
      </c>
      <c r="F497" s="72">
        <v>4176</v>
      </c>
      <c r="G497" s="69" t="s">
        <v>230</v>
      </c>
      <c r="H497" s="73">
        <v>1</v>
      </c>
      <c r="I497" s="69" t="s">
        <v>121</v>
      </c>
      <c r="J497" s="69" t="s">
        <v>122</v>
      </c>
      <c r="K497" s="69" t="s">
        <v>106</v>
      </c>
      <c r="L497" s="74">
        <v>31135639</v>
      </c>
      <c r="M497" s="75">
        <v>9.7222222222222209E-4</v>
      </c>
      <c r="N497" s="76" t="s">
        <v>79</v>
      </c>
      <c r="O497" s="76" t="s">
        <v>79</v>
      </c>
      <c r="P497" s="76" t="s">
        <v>79</v>
      </c>
      <c r="Q497" s="76" t="s">
        <v>79</v>
      </c>
      <c r="R497" s="76" t="s">
        <v>79</v>
      </c>
      <c r="S497" s="76" t="s">
        <v>79</v>
      </c>
      <c r="T497" s="76" t="s">
        <v>79</v>
      </c>
      <c r="U497" s="76" t="s">
        <v>79</v>
      </c>
      <c r="V497" s="76" t="s">
        <v>83</v>
      </c>
      <c r="W497" s="76" t="s">
        <v>79</v>
      </c>
      <c r="X497" s="76" t="s">
        <v>83</v>
      </c>
      <c r="Y497" s="76"/>
      <c r="Z497" s="77">
        <f t="shared" si="38"/>
        <v>8.0312500000000018</v>
      </c>
      <c r="AA497" s="78"/>
      <c r="AB497" s="78" t="s">
        <v>1644</v>
      </c>
      <c r="AC497" s="72" t="s">
        <v>47</v>
      </c>
      <c r="AE497" s="79" t="str">
        <f t="shared" si="75"/>
        <v>Fev4176</v>
      </c>
      <c r="AF497" s="80">
        <f>IF(N497="","",IF(N497="SIM",VLOOKUP($I497&amp;$J497&amp;N$1,Pesos!$A:$I,7,FALSE),VLOOKUP($I497&amp;$J497&amp;N$1,Pesos!$A:$I,9,FALSE)))</f>
        <v>0.89999999999999991</v>
      </c>
      <c r="AG497" s="80">
        <f>IF(O497="","",IF(O497="SIM",VLOOKUP($I497&amp;$J497&amp;O$1,Pesos!$A:$I,7,FALSE),VLOOKUP($I497&amp;$J497&amp;O$1,Pesos!$A:$I,9,FALSE)))</f>
        <v>0.89999999999999991</v>
      </c>
      <c r="AH497" s="80">
        <f>IF(P497="","",IF(P497="SIM",VLOOKUP($I497&amp;$J497&amp;P$1,Pesos!$A:$I,7,FALSE),VLOOKUP($I497&amp;$J497&amp;P$1,Pesos!$A:$I,9,FALSE)))</f>
        <v>0.89999999999999991</v>
      </c>
      <c r="AI497" s="80">
        <f>IF(Q497="","",IF(Q497="SIM",VLOOKUP($I497&amp;$J497&amp;Q$1,Pesos!$A:$I,7,FALSE),VLOOKUP($I497&amp;$J497&amp;Q$1,Pesos!$A:$I,9,FALSE)))</f>
        <v>0.89999999999999991</v>
      </c>
      <c r="AJ497" s="80">
        <f>IF(R497="","",IF(R497="SIM",VLOOKUP($I497&amp;$J497&amp;R$1,Pesos!$A:$I,7,FALSE),VLOOKUP($I497&amp;$J497&amp;R$1,Pesos!$A:$I,9,FALSE)))</f>
        <v>0.89999999999999991</v>
      </c>
      <c r="AK497" s="80">
        <f>IF(S497="","",IF(S497="SIM",VLOOKUP($I497&amp;$J497&amp;S$1,Pesos!$A:$I,7,FALSE),VLOOKUP($I497&amp;$J497&amp;S$1,Pesos!$A:$I,9,FALSE)))</f>
        <v>0.89999999999999991</v>
      </c>
      <c r="AL497" s="80">
        <f t="shared" si="73"/>
        <v>5.4</v>
      </c>
      <c r="AM497" s="80">
        <f>IF(T497="","",IF(T497="SIM",VLOOKUP($I497&amp;$J497&amp;T$1,Pesos!$A:$I,7,FALSE),VLOOKUP($I497&amp;$J497&amp;T$1,Pesos!$A:$I,9,FALSE)))</f>
        <v>0.89999999999999991</v>
      </c>
      <c r="AN497" s="80">
        <f>IF(U497="","",IF(U497="SIM",VLOOKUP($I497&amp;$J497&amp;U$1,Pesos!$A:$I,7,FALSE),VLOOKUP($I497&amp;$J497&amp;U$1,Pesos!$A:$I,9,FALSE)))</f>
        <v>0.92500000000000004</v>
      </c>
      <c r="AO497" s="80">
        <f>IF(V497="","",IF(V497="SIM",VLOOKUP($I497&amp;$J497&amp;V$1,Pesos!$A:$I,7,FALSE),VLOOKUP($I497&amp;$J497&amp;V$1,Pesos!$A:$I,9,FALSE)))</f>
        <v>-4.6250000000000006E-2</v>
      </c>
      <c r="AP497" s="80">
        <f>IF(W497="","",IF(W497="SIM",VLOOKUP($I497&amp;$J497&amp;W$1,Pesos!$A:$I,7,FALSE),VLOOKUP($I497&amp;$J497&amp;W$1,Pesos!$A:$I,9,FALSE)))</f>
        <v>0.89999999999999991</v>
      </c>
      <c r="AQ497" s="80">
        <f>IF(X497="","",IF(X497="SIM",VLOOKUP($I497&amp;$J497&amp;X$1,Pesos!$A:$I,7,FALSE),VLOOKUP($I497&amp;$J497&amp;X$1,Pesos!$A:$I,9,FALSE)))</f>
        <v>-4.7500000000000001E-2</v>
      </c>
      <c r="AR497" s="80" t="str">
        <f>IF(Y497="","",IF(Y497="SIM",VLOOKUP($I497&amp;$J497&amp;Y$1,Pesos!$A:$I,7,FALSE),VLOOKUP($I497&amp;$J497&amp;Y$1,Pesos!$A:$I,9,FALSE)))</f>
        <v/>
      </c>
      <c r="AS497" s="81">
        <f>IFERROR(Z497*VLOOKUP(J497,'BD Campos'!$Y$1:$Z$12,2,FALSE),"0")</f>
        <v>8.0312500000000018</v>
      </c>
    </row>
    <row r="498" spans="1:45" x14ac:dyDescent="0.35">
      <c r="A498" s="68" t="str">
        <f>E498&amp;YEAR(D498)&amp;F498&amp;J498&amp;K498&amp;""</f>
        <v>Fev20254176ReceptivaTRANSFERÊNCIA</v>
      </c>
      <c r="B498" s="69" t="str">
        <f>E498&amp;YEAR(D498)&amp;F498&amp;H498&amp;K498&amp;AC498</f>
        <v>Fev202541765TRANSFERÊNCIAPADRÃO</v>
      </c>
      <c r="C498" s="70">
        <v>1</v>
      </c>
      <c r="D498" s="71">
        <v>45698.728074768522</v>
      </c>
      <c r="E498" s="112" t="s">
        <v>338</v>
      </c>
      <c r="F498" s="72">
        <v>4176</v>
      </c>
      <c r="G498" s="69" t="s">
        <v>230</v>
      </c>
      <c r="H498" s="73">
        <v>5</v>
      </c>
      <c r="I498" s="69" t="s">
        <v>6</v>
      </c>
      <c r="J498" s="69" t="s">
        <v>98</v>
      </c>
      <c r="K498" s="69" t="s">
        <v>106</v>
      </c>
      <c r="L498" s="74"/>
      <c r="M498" s="75">
        <v>1.2962962962962963E-3</v>
      </c>
      <c r="N498" s="76"/>
      <c r="O498" s="76"/>
      <c r="P498" s="76"/>
      <c r="Q498" s="76"/>
      <c r="R498" s="76"/>
      <c r="S498" s="76"/>
      <c r="T498" s="76"/>
      <c r="U498" s="76"/>
      <c r="V498" s="76"/>
      <c r="W498" s="76"/>
      <c r="X498" s="76"/>
      <c r="Y498" s="76"/>
      <c r="Z498" s="77">
        <f t="shared" si="38"/>
        <v>0</v>
      </c>
      <c r="AA498" s="78" t="s">
        <v>1620</v>
      </c>
      <c r="AB498" s="78"/>
      <c r="AC498" s="72" t="s">
        <v>47</v>
      </c>
      <c r="AE498" s="79" t="str">
        <f t="shared" si="75"/>
        <v>Fev4176</v>
      </c>
      <c r="AF498" s="80" t="str">
        <f>IF(N498="","",IF(N498="SIM",VLOOKUP($I498&amp;$J498&amp;N$1,Pesos!$A:$I,7,FALSE),VLOOKUP($I498&amp;$J498&amp;N$1,Pesos!$A:$I,9,FALSE)))</f>
        <v/>
      </c>
      <c r="AG498" s="80" t="str">
        <f>IF(O498="","",IF(O498="SIM",VLOOKUP($I498&amp;$J498&amp;O$1,Pesos!$A:$I,7,FALSE),VLOOKUP($I498&amp;$J498&amp;O$1,Pesos!$A:$I,9,FALSE)))</f>
        <v/>
      </c>
      <c r="AH498" s="80" t="str">
        <f>IF(P498="","",IF(P498="SIM",VLOOKUP($I498&amp;$J498&amp;P$1,Pesos!$A:$I,7,FALSE),VLOOKUP($I498&amp;$J498&amp;P$1,Pesos!$A:$I,9,FALSE)))</f>
        <v/>
      </c>
      <c r="AI498" s="80" t="str">
        <f>IF(Q498="","",IF(Q498="SIM",VLOOKUP($I498&amp;$J498&amp;Q$1,Pesos!$A:$I,7,FALSE),VLOOKUP($I498&amp;$J498&amp;Q$1,Pesos!$A:$I,9,FALSE)))</f>
        <v/>
      </c>
      <c r="AJ498" s="80" t="str">
        <f>IF(R498="","",IF(R498="SIM",VLOOKUP($I498&amp;$J498&amp;R$1,Pesos!$A:$I,7,FALSE),VLOOKUP($I498&amp;$J498&amp;R$1,Pesos!$A:$I,9,FALSE)))</f>
        <v/>
      </c>
      <c r="AK498" s="80" t="str">
        <f>IF(S498="","",IF(S498="SIM",VLOOKUP($I498&amp;$J498&amp;S$1,Pesos!$A:$I,7,FALSE),VLOOKUP($I498&amp;$J498&amp;S$1,Pesos!$A:$I,9,FALSE)))</f>
        <v/>
      </c>
      <c r="AL498" s="80">
        <f t="shared" si="73"/>
        <v>0</v>
      </c>
      <c r="AM498" s="80" t="str">
        <f>IF(T498="","",IF(T498="SIM",VLOOKUP($I498&amp;$J498&amp;T$1,Pesos!$A:$I,7,FALSE),VLOOKUP($I498&amp;$J498&amp;T$1,Pesos!$A:$I,9,FALSE)))</f>
        <v/>
      </c>
      <c r="AN498" s="80" t="str">
        <f>IF(U498="","",IF(U498="SIM",VLOOKUP($I498&amp;$J498&amp;U$1,Pesos!$A:$I,7,FALSE),VLOOKUP($I498&amp;$J498&amp;U$1,Pesos!$A:$I,9,FALSE)))</f>
        <v/>
      </c>
      <c r="AO498" s="80" t="str">
        <f>IF(V498="","",IF(V498="SIM",VLOOKUP($I498&amp;$J498&amp;V$1,Pesos!$A:$I,7,FALSE),VLOOKUP($I498&amp;$J498&amp;V$1,Pesos!$A:$I,9,FALSE)))</f>
        <v/>
      </c>
      <c r="AP498" s="80" t="str">
        <f>IF(W498="","",IF(W498="SIM",VLOOKUP($I498&amp;$J498&amp;W$1,Pesos!$A:$I,7,FALSE),VLOOKUP($I498&amp;$J498&amp;W$1,Pesos!$A:$I,9,FALSE)))</f>
        <v/>
      </c>
      <c r="AQ498" s="80" t="str">
        <f>IF(X498="","",IF(X498="SIM",VLOOKUP($I498&amp;$J498&amp;X$1,Pesos!$A:$I,7,FALSE),VLOOKUP($I498&amp;$J498&amp;X$1,Pesos!$A:$I,9,FALSE)))</f>
        <v/>
      </c>
      <c r="AR498" s="80" t="str">
        <f>IF(Y498="","",IF(Y498="SIM",VLOOKUP($I498&amp;$J498&amp;Y$1,Pesos!$A:$I,7,FALSE),VLOOKUP($I498&amp;$J498&amp;Y$1,Pesos!$A:$I,9,FALSE)))</f>
        <v/>
      </c>
      <c r="AS498" s="81">
        <f>IFERROR(Z498*VLOOKUP(J498,'BD Campos'!$Y$1:$Z$12,2,FALSE),"0")</f>
        <v>0</v>
      </c>
    </row>
    <row r="499" spans="1:45" x14ac:dyDescent="0.35">
      <c r="A499" s="68" t="str">
        <f t="shared" ref="A499:A511" si="76">E499&amp;YEAR(D499)&amp;F499&amp;J499&amp;K499&amp;""</f>
        <v>Fev20251697ReceptivaUTI (RJ)</v>
      </c>
      <c r="B499" s="69" t="str">
        <f t="shared" ref="B499:B511" si="77">E499&amp;YEAR(D499)&amp;F499&amp;H499&amp;K499&amp;AC499</f>
        <v>Fev202516975UTI (RJ)PADRÃO</v>
      </c>
      <c r="C499" s="70">
        <v>1</v>
      </c>
      <c r="D499" s="71">
        <v>45699.34331261574</v>
      </c>
      <c r="E499" s="112" t="s">
        <v>338</v>
      </c>
      <c r="F499" s="72">
        <v>1697</v>
      </c>
      <c r="G499" s="69" t="s">
        <v>293</v>
      </c>
      <c r="H499" s="73">
        <v>5</v>
      </c>
      <c r="I499" s="69" t="s">
        <v>6</v>
      </c>
      <c r="J499" s="69" t="s">
        <v>98</v>
      </c>
      <c r="K499" s="69" t="s">
        <v>278</v>
      </c>
      <c r="L499" s="74"/>
      <c r="M499" s="75">
        <v>1.4120370370370369E-3</v>
      </c>
      <c r="N499" s="76" t="s">
        <v>79</v>
      </c>
      <c r="O499" s="76" t="s">
        <v>79</v>
      </c>
      <c r="P499" s="76" t="s">
        <v>79</v>
      </c>
      <c r="Q499" s="76" t="s">
        <v>79</v>
      </c>
      <c r="R499" s="76" t="s">
        <v>79</v>
      </c>
      <c r="S499" s="76" t="s">
        <v>79</v>
      </c>
      <c r="T499" s="76" t="s">
        <v>79</v>
      </c>
      <c r="U499" s="76" t="s">
        <v>79</v>
      </c>
      <c r="V499" s="76" t="s">
        <v>79</v>
      </c>
      <c r="W499" s="76" t="s">
        <v>79</v>
      </c>
      <c r="X499" s="76" t="s">
        <v>79</v>
      </c>
      <c r="Y499" s="76" t="s">
        <v>79</v>
      </c>
      <c r="Z499" s="77">
        <f t="shared" si="38"/>
        <v>10</v>
      </c>
      <c r="AA499" s="78"/>
      <c r="AB499" s="78"/>
      <c r="AC499" s="72" t="s">
        <v>47</v>
      </c>
      <c r="AE499" s="79" t="str">
        <f t="shared" ref="AE499:AE511" si="78">E499&amp;F499</f>
        <v>Fev1697</v>
      </c>
      <c r="AF499" s="80">
        <f>IF(N499="","",IF(N499="SIM",VLOOKUP($I499&amp;$J499&amp;N$1,Pesos!$A:$I,7,FALSE),VLOOKUP($I499&amp;$J499&amp;N$1,Pesos!$A:$I,9,FALSE)))</f>
        <v>0.8</v>
      </c>
      <c r="AG499" s="80">
        <f>IF(O499="","",IF(O499="SIM",VLOOKUP($I499&amp;$J499&amp;O$1,Pesos!$A:$I,7,FALSE),VLOOKUP($I499&amp;$J499&amp;O$1,Pesos!$A:$I,9,FALSE)))</f>
        <v>0.8</v>
      </c>
      <c r="AH499" s="80">
        <f>IF(P499="","",IF(P499="SIM",VLOOKUP($I499&amp;$J499&amp;P$1,Pesos!$A:$I,7,FALSE),VLOOKUP($I499&amp;$J499&amp;P$1,Pesos!$A:$I,9,FALSE)))</f>
        <v>1.2</v>
      </c>
      <c r="AI499" s="80">
        <f>IF(Q499="","",IF(Q499="SIM",VLOOKUP($I499&amp;$J499&amp;Q$1,Pesos!$A:$I,7,FALSE),VLOOKUP($I499&amp;$J499&amp;Q$1,Pesos!$A:$I,9,FALSE)))</f>
        <v>0.8</v>
      </c>
      <c r="AJ499" s="80">
        <f>IF(R499="","",IF(R499="SIM",VLOOKUP($I499&amp;$J499&amp;R$1,Pesos!$A:$I,7,FALSE),VLOOKUP($I499&amp;$J499&amp;R$1,Pesos!$A:$I,9,FALSE)))</f>
        <v>0.8</v>
      </c>
      <c r="AK499" s="80">
        <f>IF(S499="","",IF(S499="SIM",VLOOKUP($I499&amp;$J499&amp;S$1,Pesos!$A:$I,7,FALSE),VLOOKUP($I499&amp;$J499&amp;S$1,Pesos!$A:$I,9,FALSE)))</f>
        <v>0.8</v>
      </c>
      <c r="AL499" s="80">
        <f t="shared" si="73"/>
        <v>5.1999999999999993</v>
      </c>
      <c r="AM499" s="80">
        <f>IF(T499="","",IF(T499="SIM",VLOOKUP($I499&amp;$J499&amp;T$1,Pesos!$A:$I,7,FALSE),VLOOKUP($I499&amp;$J499&amp;T$1,Pesos!$A:$I,9,FALSE)))</f>
        <v>0.8</v>
      </c>
      <c r="AN499" s="80">
        <f>IF(U499="","",IF(U499="SIM",VLOOKUP($I499&amp;$J499&amp;U$1,Pesos!$A:$I,7,FALSE),VLOOKUP($I499&amp;$J499&amp;U$1,Pesos!$A:$I,9,FALSE)))</f>
        <v>0.8</v>
      </c>
      <c r="AO499" s="80">
        <f>IF(V499="","",IF(V499="SIM",VLOOKUP($I499&amp;$J499&amp;V$1,Pesos!$A:$I,7,FALSE),VLOOKUP($I499&amp;$J499&amp;V$1,Pesos!$A:$I,9,FALSE)))</f>
        <v>0.8</v>
      </c>
      <c r="AP499" s="80">
        <f>IF(W499="","",IF(W499="SIM",VLOOKUP($I499&amp;$J499&amp;W$1,Pesos!$A:$I,7,FALSE),VLOOKUP($I499&amp;$J499&amp;W$1,Pesos!$A:$I,9,FALSE)))</f>
        <v>0.8</v>
      </c>
      <c r="AQ499" s="80">
        <f>IF(X499="","",IF(X499="SIM",VLOOKUP($I499&amp;$J499&amp;X$1,Pesos!$A:$I,7,FALSE),VLOOKUP($I499&amp;$J499&amp;X$1,Pesos!$A:$I,9,FALSE)))</f>
        <v>0.8</v>
      </c>
      <c r="AR499" s="80">
        <f>IF(Y499="","",IF(Y499="SIM",VLOOKUP($I499&amp;$J499&amp;Y$1,Pesos!$A:$I,7,FALSE),VLOOKUP($I499&amp;$J499&amp;Y$1,Pesos!$A:$I,9,FALSE)))</f>
        <v>0.8</v>
      </c>
      <c r="AS499" s="81">
        <f>IFERROR(Z499*VLOOKUP(J499,'BD Campos'!$Y$1:$Z$12,2,FALSE),"0")</f>
        <v>10</v>
      </c>
    </row>
    <row r="500" spans="1:45" x14ac:dyDescent="0.35">
      <c r="A500" s="68" t="str">
        <f t="shared" si="76"/>
        <v>Fev202510665ReceptivaUTI</v>
      </c>
      <c r="B500" s="69" t="str">
        <f t="shared" si="77"/>
        <v>Fev2025106655UTIPADRÃO</v>
      </c>
      <c r="C500" s="70">
        <v>1</v>
      </c>
      <c r="D500" s="71">
        <v>45699.347824074073</v>
      </c>
      <c r="E500" s="112" t="s">
        <v>338</v>
      </c>
      <c r="F500" s="72">
        <v>10665</v>
      </c>
      <c r="G500" s="69" t="s">
        <v>295</v>
      </c>
      <c r="H500" s="73">
        <v>5</v>
      </c>
      <c r="I500" s="69" t="s">
        <v>6</v>
      </c>
      <c r="J500" s="69" t="s">
        <v>98</v>
      </c>
      <c r="K500" s="69" t="s">
        <v>131</v>
      </c>
      <c r="L500" s="74"/>
      <c r="M500" s="75">
        <v>1.3425925925925925E-3</v>
      </c>
      <c r="N500" s="76" t="s">
        <v>79</v>
      </c>
      <c r="O500" s="76" t="s">
        <v>79</v>
      </c>
      <c r="P500" s="76" t="s">
        <v>79</v>
      </c>
      <c r="Q500" s="76" t="s">
        <v>79</v>
      </c>
      <c r="R500" s="76" t="s">
        <v>79</v>
      </c>
      <c r="S500" s="76" t="s">
        <v>79</v>
      </c>
      <c r="T500" s="76" t="s">
        <v>83</v>
      </c>
      <c r="U500" s="76" t="s">
        <v>79</v>
      </c>
      <c r="V500" s="76" t="s">
        <v>79</v>
      </c>
      <c r="W500" s="76" t="s">
        <v>79</v>
      </c>
      <c r="X500" s="76" t="s">
        <v>79</v>
      </c>
      <c r="Y500" s="76" t="s">
        <v>79</v>
      </c>
      <c r="Z500" s="77">
        <f t="shared" si="38"/>
        <v>9.16</v>
      </c>
      <c r="AA500" s="78"/>
      <c r="AB500" s="78"/>
      <c r="AC500" s="72" t="s">
        <v>47</v>
      </c>
      <c r="AE500" s="79" t="str">
        <f t="shared" si="78"/>
        <v>Fev10665</v>
      </c>
      <c r="AF500" s="80">
        <f>IF(N500="","",IF(N500="SIM",VLOOKUP($I500&amp;$J500&amp;N$1,Pesos!$A:$I,7,FALSE),VLOOKUP($I500&amp;$J500&amp;N$1,Pesos!$A:$I,9,FALSE)))</f>
        <v>0.8</v>
      </c>
      <c r="AG500" s="80">
        <f>IF(O500="","",IF(O500="SIM",VLOOKUP($I500&amp;$J500&amp;O$1,Pesos!$A:$I,7,FALSE),VLOOKUP($I500&amp;$J500&amp;O$1,Pesos!$A:$I,9,FALSE)))</f>
        <v>0.8</v>
      </c>
      <c r="AH500" s="80">
        <f>IF(P500="","",IF(P500="SIM",VLOOKUP($I500&amp;$J500&amp;P$1,Pesos!$A:$I,7,FALSE),VLOOKUP($I500&amp;$J500&amp;P$1,Pesos!$A:$I,9,FALSE)))</f>
        <v>1.2</v>
      </c>
      <c r="AI500" s="80">
        <f>IF(Q500="","",IF(Q500="SIM",VLOOKUP($I500&amp;$J500&amp;Q$1,Pesos!$A:$I,7,FALSE),VLOOKUP($I500&amp;$J500&amp;Q$1,Pesos!$A:$I,9,FALSE)))</f>
        <v>0.8</v>
      </c>
      <c r="AJ500" s="80">
        <f>IF(R500="","",IF(R500="SIM",VLOOKUP($I500&amp;$J500&amp;R$1,Pesos!$A:$I,7,FALSE),VLOOKUP($I500&amp;$J500&amp;R$1,Pesos!$A:$I,9,FALSE)))</f>
        <v>0.8</v>
      </c>
      <c r="AK500" s="80">
        <f>IF(S500="","",IF(S500="SIM",VLOOKUP($I500&amp;$J500&amp;S$1,Pesos!$A:$I,7,FALSE),VLOOKUP($I500&amp;$J500&amp;S$1,Pesos!$A:$I,9,FALSE)))</f>
        <v>0.8</v>
      </c>
      <c r="AL500" s="80">
        <f t="shared" si="73"/>
        <v>5.1999999999999993</v>
      </c>
      <c r="AM500" s="80">
        <f>IF(T500="","",IF(T500="SIM",VLOOKUP($I500&amp;$J500&amp;T$1,Pesos!$A:$I,7,FALSE),VLOOKUP($I500&amp;$J500&amp;T$1,Pesos!$A:$I,9,FALSE)))</f>
        <v>-4.0000000000000008E-2</v>
      </c>
      <c r="AN500" s="80">
        <f>IF(U500="","",IF(U500="SIM",VLOOKUP($I500&amp;$J500&amp;U$1,Pesos!$A:$I,7,FALSE),VLOOKUP($I500&amp;$J500&amp;U$1,Pesos!$A:$I,9,FALSE)))</f>
        <v>0.8</v>
      </c>
      <c r="AO500" s="80">
        <f>IF(V500="","",IF(V500="SIM",VLOOKUP($I500&amp;$J500&amp;V$1,Pesos!$A:$I,7,FALSE),VLOOKUP($I500&amp;$J500&amp;V$1,Pesos!$A:$I,9,FALSE)))</f>
        <v>0.8</v>
      </c>
      <c r="AP500" s="80">
        <f>IF(W500="","",IF(W500="SIM",VLOOKUP($I500&amp;$J500&amp;W$1,Pesos!$A:$I,7,FALSE),VLOOKUP($I500&amp;$J500&amp;W$1,Pesos!$A:$I,9,FALSE)))</f>
        <v>0.8</v>
      </c>
      <c r="AQ500" s="80">
        <f>IF(X500="","",IF(X500="SIM",VLOOKUP($I500&amp;$J500&amp;X$1,Pesos!$A:$I,7,FALSE),VLOOKUP($I500&amp;$J500&amp;X$1,Pesos!$A:$I,9,FALSE)))</f>
        <v>0.8</v>
      </c>
      <c r="AR500" s="80">
        <f>IF(Y500="","",IF(Y500="SIM",VLOOKUP($I500&amp;$J500&amp;Y$1,Pesos!$A:$I,7,FALSE),VLOOKUP($I500&amp;$J500&amp;Y$1,Pesos!$A:$I,9,FALSE)))</f>
        <v>0.8</v>
      </c>
      <c r="AS500" s="81">
        <f>IFERROR(Z500*VLOOKUP(J500,'BD Campos'!$Y$1:$Z$12,2,FALSE),"0")</f>
        <v>9.16</v>
      </c>
    </row>
    <row r="501" spans="1:45" x14ac:dyDescent="0.35">
      <c r="A501" s="68" t="str">
        <f t="shared" si="76"/>
        <v>Fev202510894ReceptivaUTI</v>
      </c>
      <c r="B501" s="69" t="str">
        <f t="shared" si="77"/>
        <v>Fev2025108945UTIPADRÃO</v>
      </c>
      <c r="C501" s="70">
        <v>1</v>
      </c>
      <c r="D501" s="71">
        <v>45699.350766087962</v>
      </c>
      <c r="E501" s="112" t="s">
        <v>338</v>
      </c>
      <c r="F501" s="72">
        <v>10894</v>
      </c>
      <c r="G501" s="69" t="s">
        <v>243</v>
      </c>
      <c r="H501" s="73">
        <v>5</v>
      </c>
      <c r="I501" s="69" t="s">
        <v>6</v>
      </c>
      <c r="J501" s="69" t="s">
        <v>98</v>
      </c>
      <c r="K501" s="69" t="s">
        <v>131</v>
      </c>
      <c r="L501" s="74"/>
      <c r="M501" s="75">
        <v>1.8865740740740742E-3</v>
      </c>
      <c r="N501" s="76" t="s">
        <v>79</v>
      </c>
      <c r="O501" s="76" t="s">
        <v>79</v>
      </c>
      <c r="P501" s="76" t="s">
        <v>79</v>
      </c>
      <c r="Q501" s="76" t="s">
        <v>79</v>
      </c>
      <c r="R501" s="76" t="s">
        <v>79</v>
      </c>
      <c r="S501" s="76" t="s">
        <v>79</v>
      </c>
      <c r="T501" s="76" t="s">
        <v>79</v>
      </c>
      <c r="U501" s="76" t="s">
        <v>79</v>
      </c>
      <c r="V501" s="76" t="s">
        <v>79</v>
      </c>
      <c r="W501" s="76" t="s">
        <v>79</v>
      </c>
      <c r="X501" s="76" t="s">
        <v>79</v>
      </c>
      <c r="Y501" s="76" t="s">
        <v>79</v>
      </c>
      <c r="Z501" s="77">
        <f t="shared" si="38"/>
        <v>10</v>
      </c>
      <c r="AA501" s="78"/>
      <c r="AB501" s="78"/>
      <c r="AC501" s="72" t="s">
        <v>47</v>
      </c>
      <c r="AE501" s="79" t="str">
        <f t="shared" si="78"/>
        <v>Fev10894</v>
      </c>
      <c r="AF501" s="80">
        <f>IF(N501="","",IF(N501="SIM",VLOOKUP($I501&amp;$J501&amp;N$1,Pesos!$A:$I,7,FALSE),VLOOKUP($I501&amp;$J501&amp;N$1,Pesos!$A:$I,9,FALSE)))</f>
        <v>0.8</v>
      </c>
      <c r="AG501" s="80">
        <f>IF(O501="","",IF(O501="SIM",VLOOKUP($I501&amp;$J501&amp;O$1,Pesos!$A:$I,7,FALSE),VLOOKUP($I501&amp;$J501&amp;O$1,Pesos!$A:$I,9,FALSE)))</f>
        <v>0.8</v>
      </c>
      <c r="AH501" s="80">
        <f>IF(P501="","",IF(P501="SIM",VLOOKUP($I501&amp;$J501&amp;P$1,Pesos!$A:$I,7,FALSE),VLOOKUP($I501&amp;$J501&amp;P$1,Pesos!$A:$I,9,FALSE)))</f>
        <v>1.2</v>
      </c>
      <c r="AI501" s="80">
        <f>IF(Q501="","",IF(Q501="SIM",VLOOKUP($I501&amp;$J501&amp;Q$1,Pesos!$A:$I,7,FALSE),VLOOKUP($I501&amp;$J501&amp;Q$1,Pesos!$A:$I,9,FALSE)))</f>
        <v>0.8</v>
      </c>
      <c r="AJ501" s="80">
        <f>IF(R501="","",IF(R501="SIM",VLOOKUP($I501&amp;$J501&amp;R$1,Pesos!$A:$I,7,FALSE),VLOOKUP($I501&amp;$J501&amp;R$1,Pesos!$A:$I,9,FALSE)))</f>
        <v>0.8</v>
      </c>
      <c r="AK501" s="80">
        <f>IF(S501="","",IF(S501="SIM",VLOOKUP($I501&amp;$J501&amp;S$1,Pesos!$A:$I,7,FALSE),VLOOKUP($I501&amp;$J501&amp;S$1,Pesos!$A:$I,9,FALSE)))</f>
        <v>0.8</v>
      </c>
      <c r="AL501" s="80">
        <f t="shared" si="73"/>
        <v>5.1999999999999993</v>
      </c>
      <c r="AM501" s="80">
        <f>IF(T501="","",IF(T501="SIM",VLOOKUP($I501&amp;$J501&amp;T$1,Pesos!$A:$I,7,FALSE),VLOOKUP($I501&amp;$J501&amp;T$1,Pesos!$A:$I,9,FALSE)))</f>
        <v>0.8</v>
      </c>
      <c r="AN501" s="80">
        <f>IF(U501="","",IF(U501="SIM",VLOOKUP($I501&amp;$J501&amp;U$1,Pesos!$A:$I,7,FALSE),VLOOKUP($I501&amp;$J501&amp;U$1,Pesos!$A:$I,9,FALSE)))</f>
        <v>0.8</v>
      </c>
      <c r="AO501" s="80">
        <f>IF(V501="","",IF(V501="SIM",VLOOKUP($I501&amp;$J501&amp;V$1,Pesos!$A:$I,7,FALSE),VLOOKUP($I501&amp;$J501&amp;V$1,Pesos!$A:$I,9,FALSE)))</f>
        <v>0.8</v>
      </c>
      <c r="AP501" s="80">
        <f>IF(W501="","",IF(W501="SIM",VLOOKUP($I501&amp;$J501&amp;W$1,Pesos!$A:$I,7,FALSE),VLOOKUP($I501&amp;$J501&amp;W$1,Pesos!$A:$I,9,FALSE)))</f>
        <v>0.8</v>
      </c>
      <c r="AQ501" s="80">
        <f>IF(X501="","",IF(X501="SIM",VLOOKUP($I501&amp;$J501&amp;X$1,Pesos!$A:$I,7,FALSE),VLOOKUP($I501&amp;$J501&amp;X$1,Pesos!$A:$I,9,FALSE)))</f>
        <v>0.8</v>
      </c>
      <c r="AR501" s="80">
        <f>IF(Y501="","",IF(Y501="SIM",VLOOKUP($I501&amp;$J501&amp;Y$1,Pesos!$A:$I,7,FALSE),VLOOKUP($I501&amp;$J501&amp;Y$1,Pesos!$A:$I,9,FALSE)))</f>
        <v>0.8</v>
      </c>
      <c r="AS501" s="81">
        <f>IFERROR(Z501*VLOOKUP(J501,'BD Campos'!$Y$1:$Z$12,2,FALSE),"0")</f>
        <v>10</v>
      </c>
    </row>
    <row r="502" spans="1:45" x14ac:dyDescent="0.35">
      <c r="A502" s="68" t="str">
        <f t="shared" si="76"/>
        <v>Fev202510500PoliciaBAS</v>
      </c>
      <c r="B502" s="69" t="str">
        <f t="shared" si="77"/>
        <v>Fev2025105001BASPADRÃO</v>
      </c>
      <c r="C502" s="70">
        <v>1</v>
      </c>
      <c r="D502" s="71">
        <v>45699.358390856483</v>
      </c>
      <c r="E502" s="112" t="s">
        <v>338</v>
      </c>
      <c r="F502" s="72">
        <v>10500</v>
      </c>
      <c r="G502" s="69" t="s">
        <v>297</v>
      </c>
      <c r="H502" s="73">
        <v>1</v>
      </c>
      <c r="I502" s="69" t="s">
        <v>147</v>
      </c>
      <c r="J502" s="69" t="s">
        <v>146</v>
      </c>
      <c r="K502" s="69" t="s">
        <v>303</v>
      </c>
      <c r="L502" s="74">
        <v>31052040</v>
      </c>
      <c r="M502" s="75">
        <v>4.9305555555555552E-3</v>
      </c>
      <c r="N502" s="76" t="s">
        <v>79</v>
      </c>
      <c r="O502" s="76" t="s">
        <v>79</v>
      </c>
      <c r="P502" s="76" t="s">
        <v>79</v>
      </c>
      <c r="Q502" s="76" t="s">
        <v>79</v>
      </c>
      <c r="R502" s="76" t="s">
        <v>79</v>
      </c>
      <c r="S502" s="76" t="s">
        <v>79</v>
      </c>
      <c r="T502" s="76" t="s">
        <v>79</v>
      </c>
      <c r="U502" s="76" t="s">
        <v>79</v>
      </c>
      <c r="V502" s="76" t="s">
        <v>79</v>
      </c>
      <c r="W502" s="76" t="s">
        <v>79</v>
      </c>
      <c r="X502" s="76" t="s">
        <v>79</v>
      </c>
      <c r="Y502" s="76" t="s">
        <v>79</v>
      </c>
      <c r="Z502" s="77">
        <f t="shared" si="38"/>
        <v>10</v>
      </c>
      <c r="AA502" s="78"/>
      <c r="AB502" s="78" t="s">
        <v>1645</v>
      </c>
      <c r="AC502" s="72" t="s">
        <v>47</v>
      </c>
      <c r="AE502" s="79" t="str">
        <f t="shared" si="78"/>
        <v>Fev10500</v>
      </c>
      <c r="AF502" s="80">
        <f>IF(N502="","",IF(N502="SIM",VLOOKUP($I502&amp;$J502&amp;N$1,Pesos!$A:$I,7,FALSE),VLOOKUP($I502&amp;$J502&amp;N$1,Pesos!$A:$I,9,FALSE)))</f>
        <v>0.8</v>
      </c>
      <c r="AG502" s="80">
        <f>IF(O502="","",IF(O502="SIM",VLOOKUP($I502&amp;$J502&amp;O$1,Pesos!$A:$I,7,FALSE),VLOOKUP($I502&amp;$J502&amp;O$1,Pesos!$A:$I,9,FALSE)))</f>
        <v>0.8</v>
      </c>
      <c r="AH502" s="80">
        <f>IF(P502="","",IF(P502="SIM",VLOOKUP($I502&amp;$J502&amp;P$1,Pesos!$A:$I,7,FALSE),VLOOKUP($I502&amp;$J502&amp;P$1,Pesos!$A:$I,9,FALSE)))</f>
        <v>0.8</v>
      </c>
      <c r="AI502" s="80">
        <f>IF(Q502="","",IF(Q502="SIM",VLOOKUP($I502&amp;$J502&amp;Q$1,Pesos!$A:$I,7,FALSE),VLOOKUP($I502&amp;$J502&amp;Q$1,Pesos!$A:$I,9,FALSE)))</f>
        <v>0.8</v>
      </c>
      <c r="AJ502" s="80">
        <f>IF(R502="","",IF(R502="SIM",VLOOKUP($I502&amp;$J502&amp;R$1,Pesos!$A:$I,7,FALSE),VLOOKUP($I502&amp;$J502&amp;R$1,Pesos!$A:$I,9,FALSE)))</f>
        <v>0.8</v>
      </c>
      <c r="AK502" s="80">
        <f>IF(S502="","",IF(S502="SIM",VLOOKUP($I502&amp;$J502&amp;S$1,Pesos!$A:$I,7,FALSE),VLOOKUP($I502&amp;$J502&amp;S$1,Pesos!$A:$I,9,FALSE)))</f>
        <v>0.8</v>
      </c>
      <c r="AL502" s="80">
        <f t="shared" si="73"/>
        <v>4.8</v>
      </c>
      <c r="AM502" s="80">
        <f>IF(T502="","",IF(T502="SIM",VLOOKUP($I502&amp;$J502&amp;T$1,Pesos!$A:$I,7,FALSE),VLOOKUP($I502&amp;$J502&amp;T$1,Pesos!$A:$I,9,FALSE)))</f>
        <v>0.8</v>
      </c>
      <c r="AN502" s="80">
        <f>IF(U502="","",IF(U502="SIM",VLOOKUP($I502&amp;$J502&amp;U$1,Pesos!$A:$I,7,FALSE),VLOOKUP($I502&amp;$J502&amp;U$1,Pesos!$A:$I,9,FALSE)))</f>
        <v>0.8</v>
      </c>
      <c r="AO502" s="80">
        <f>IF(V502="","",IF(V502="SIM",VLOOKUP($I502&amp;$J502&amp;V$1,Pesos!$A:$I,7,FALSE),VLOOKUP($I502&amp;$J502&amp;V$1,Pesos!$A:$I,9,FALSE)))</f>
        <v>0.8</v>
      </c>
      <c r="AP502" s="80">
        <f>IF(W502="","",IF(W502="SIM",VLOOKUP($I502&amp;$J502&amp;W$1,Pesos!$A:$I,7,FALSE),VLOOKUP($I502&amp;$J502&amp;W$1,Pesos!$A:$I,9,FALSE)))</f>
        <v>0.8</v>
      </c>
      <c r="AQ502" s="80">
        <f>IF(X502="","",IF(X502="SIM",VLOOKUP($I502&amp;$J502&amp;X$1,Pesos!$A:$I,7,FALSE),VLOOKUP($I502&amp;$J502&amp;X$1,Pesos!$A:$I,9,FALSE)))</f>
        <v>1</v>
      </c>
      <c r="AR502" s="80">
        <f>IF(Y502="","",IF(Y502="SIM",VLOOKUP($I502&amp;$J502&amp;Y$1,Pesos!$A:$I,7,FALSE),VLOOKUP($I502&amp;$J502&amp;Y$1,Pesos!$A:$I,9,FALSE)))</f>
        <v>1</v>
      </c>
      <c r="AS502" s="81">
        <f>IFERROR(Z502*VLOOKUP(J502,'BD Campos'!$Y$1:$Z$12,2,FALSE),"0")</f>
        <v>10</v>
      </c>
    </row>
    <row r="503" spans="1:45" x14ac:dyDescent="0.35">
      <c r="A503" s="68" t="str">
        <f t="shared" si="76"/>
        <v>Fev202510500Policia 2BAS</v>
      </c>
      <c r="B503" s="69" t="str">
        <f t="shared" si="77"/>
        <v>Fev2025105002BASPADRÃO</v>
      </c>
      <c r="C503" s="70">
        <v>1</v>
      </c>
      <c r="D503" s="71">
        <v>45699.364211805558</v>
      </c>
      <c r="E503" s="112" t="s">
        <v>338</v>
      </c>
      <c r="F503" s="72">
        <v>10500</v>
      </c>
      <c r="G503" s="69" t="s">
        <v>297</v>
      </c>
      <c r="H503" s="73">
        <v>2</v>
      </c>
      <c r="I503" s="69" t="s">
        <v>147</v>
      </c>
      <c r="J503" s="69" t="s">
        <v>304</v>
      </c>
      <c r="K503" s="69" t="s">
        <v>303</v>
      </c>
      <c r="L503" s="74">
        <v>31101560</v>
      </c>
      <c r="M503" s="75">
        <v>2.0833333333333333E-3</v>
      </c>
      <c r="N503" s="76" t="s">
        <v>79</v>
      </c>
      <c r="O503" s="76" t="s">
        <v>79</v>
      </c>
      <c r="P503" s="76" t="s">
        <v>79</v>
      </c>
      <c r="Q503" s="76" t="s">
        <v>79</v>
      </c>
      <c r="R503" s="76" t="s">
        <v>79</v>
      </c>
      <c r="S503" s="76" t="s">
        <v>79</v>
      </c>
      <c r="T503" s="76" t="s">
        <v>79</v>
      </c>
      <c r="U503" s="76" t="s">
        <v>79</v>
      </c>
      <c r="V503" s="76" t="s">
        <v>79</v>
      </c>
      <c r="W503" s="76" t="s">
        <v>79</v>
      </c>
      <c r="X503" s="76" t="s">
        <v>79</v>
      </c>
      <c r="Y503" s="76" t="s">
        <v>79</v>
      </c>
      <c r="Z503" s="77">
        <f t="shared" si="38"/>
        <v>10</v>
      </c>
      <c r="AA503" s="78"/>
      <c r="AB503" s="78" t="s">
        <v>1646</v>
      </c>
      <c r="AC503" s="72" t="s">
        <v>47</v>
      </c>
      <c r="AE503" s="79" t="str">
        <f t="shared" si="78"/>
        <v>Fev10500</v>
      </c>
      <c r="AF503" s="80">
        <f>IF(N503="","",IF(N503="SIM",VLOOKUP($I503&amp;$J503&amp;N$1,Pesos!$A:$I,7,FALSE),VLOOKUP($I503&amp;$J503&amp;N$1,Pesos!$A:$I,9,FALSE)))</f>
        <v>0.8</v>
      </c>
      <c r="AG503" s="80">
        <f>IF(O503="","",IF(O503="SIM",VLOOKUP($I503&amp;$J503&amp;O$1,Pesos!$A:$I,7,FALSE),VLOOKUP($I503&amp;$J503&amp;O$1,Pesos!$A:$I,9,FALSE)))</f>
        <v>0.8</v>
      </c>
      <c r="AH503" s="80">
        <f>IF(P503="","",IF(P503="SIM",VLOOKUP($I503&amp;$J503&amp;P$1,Pesos!$A:$I,7,FALSE),VLOOKUP($I503&amp;$J503&amp;P$1,Pesos!$A:$I,9,FALSE)))</f>
        <v>0.8</v>
      </c>
      <c r="AI503" s="80">
        <f>IF(Q503="","",IF(Q503="SIM",VLOOKUP($I503&amp;$J503&amp;Q$1,Pesos!$A:$I,7,FALSE),VLOOKUP($I503&amp;$J503&amp;Q$1,Pesos!$A:$I,9,FALSE)))</f>
        <v>0.8</v>
      </c>
      <c r="AJ503" s="80">
        <f>IF(R503="","",IF(R503="SIM",VLOOKUP($I503&amp;$J503&amp;R$1,Pesos!$A:$I,7,FALSE),VLOOKUP($I503&amp;$J503&amp;R$1,Pesos!$A:$I,9,FALSE)))</f>
        <v>0.8</v>
      </c>
      <c r="AK503" s="80">
        <f>IF(S503="","",IF(S503="SIM",VLOOKUP($I503&amp;$J503&amp;S$1,Pesos!$A:$I,7,FALSE),VLOOKUP($I503&amp;$J503&amp;S$1,Pesos!$A:$I,9,FALSE)))</f>
        <v>0.8</v>
      </c>
      <c r="AL503" s="80">
        <f t="shared" si="73"/>
        <v>4.8</v>
      </c>
      <c r="AM503" s="80">
        <f>IF(T503="","",IF(T503="SIM",VLOOKUP($I503&amp;$J503&amp;T$1,Pesos!$A:$I,7,FALSE),VLOOKUP($I503&amp;$J503&amp;T$1,Pesos!$A:$I,9,FALSE)))</f>
        <v>0.8</v>
      </c>
      <c r="AN503" s="80">
        <f>IF(U503="","",IF(U503="SIM",VLOOKUP($I503&amp;$J503&amp;U$1,Pesos!$A:$I,7,FALSE),VLOOKUP($I503&amp;$J503&amp;U$1,Pesos!$A:$I,9,FALSE)))</f>
        <v>0.8</v>
      </c>
      <c r="AO503" s="80">
        <f>IF(V503="","",IF(V503="SIM",VLOOKUP($I503&amp;$J503&amp;V$1,Pesos!$A:$I,7,FALSE),VLOOKUP($I503&amp;$J503&amp;V$1,Pesos!$A:$I,9,FALSE)))</f>
        <v>0.8</v>
      </c>
      <c r="AP503" s="80">
        <f>IF(W503="","",IF(W503="SIM",VLOOKUP($I503&amp;$J503&amp;W$1,Pesos!$A:$I,7,FALSE),VLOOKUP($I503&amp;$J503&amp;W$1,Pesos!$A:$I,9,FALSE)))</f>
        <v>0.8</v>
      </c>
      <c r="AQ503" s="80">
        <f>IF(X503="","",IF(X503="SIM",VLOOKUP($I503&amp;$J503&amp;X$1,Pesos!$A:$I,7,FALSE),VLOOKUP($I503&amp;$J503&amp;X$1,Pesos!$A:$I,9,FALSE)))</f>
        <v>1</v>
      </c>
      <c r="AR503" s="80">
        <f>IF(Y503="","",IF(Y503="SIM",VLOOKUP($I503&amp;$J503&amp;Y$1,Pesos!$A:$I,7,FALSE),VLOOKUP($I503&amp;$J503&amp;Y$1,Pesos!$A:$I,9,FALSE)))</f>
        <v>1</v>
      </c>
      <c r="AS503" s="81" t="str">
        <f>IFERROR(Z503*VLOOKUP(J503,'BD Campos'!$Y$1:$Z$12,2,FALSE),"0")</f>
        <v>0</v>
      </c>
    </row>
    <row r="504" spans="1:45" x14ac:dyDescent="0.35">
      <c r="A504" s="68" t="str">
        <f t="shared" si="76"/>
        <v>Fev202510920MotoristaUTI</v>
      </c>
      <c r="B504" s="69" t="str">
        <f t="shared" si="77"/>
        <v>Fev2025109201UTIPADRÃO</v>
      </c>
      <c r="C504" s="70">
        <v>1</v>
      </c>
      <c r="D504" s="71">
        <v>45699.367380439813</v>
      </c>
      <c r="E504" s="112" t="s">
        <v>338</v>
      </c>
      <c r="F504" s="72">
        <v>10920</v>
      </c>
      <c r="G504" s="69" t="s">
        <v>251</v>
      </c>
      <c r="H504" s="73">
        <v>1</v>
      </c>
      <c r="I504" s="69" t="s">
        <v>126</v>
      </c>
      <c r="J504" s="69" t="s">
        <v>122</v>
      </c>
      <c r="K504" s="69" t="s">
        <v>131</v>
      </c>
      <c r="L504" s="74">
        <v>31088366</v>
      </c>
      <c r="M504" s="75">
        <v>1.2268518518518518E-3</v>
      </c>
      <c r="N504" s="76" t="s">
        <v>79</v>
      </c>
      <c r="O504" s="76" t="s">
        <v>79</v>
      </c>
      <c r="P504" s="76" t="s">
        <v>79</v>
      </c>
      <c r="Q504" s="76" t="s">
        <v>79</v>
      </c>
      <c r="R504" s="76" t="s">
        <v>79</v>
      </c>
      <c r="S504" s="76" t="s">
        <v>79</v>
      </c>
      <c r="T504" s="76" t="s">
        <v>79</v>
      </c>
      <c r="U504" s="76" t="s">
        <v>79</v>
      </c>
      <c r="V504" s="76" t="s">
        <v>79</v>
      </c>
      <c r="W504" s="76" t="s">
        <v>79</v>
      </c>
      <c r="X504" s="76" t="s">
        <v>79</v>
      </c>
      <c r="Y504" s="76" t="s">
        <v>79</v>
      </c>
      <c r="Z504" s="77">
        <f t="shared" si="38"/>
        <v>10</v>
      </c>
      <c r="AA504" s="78"/>
      <c r="AB504" s="78" t="s">
        <v>1647</v>
      </c>
      <c r="AC504" s="72" t="s">
        <v>47</v>
      </c>
      <c r="AE504" s="79" t="str">
        <f t="shared" si="78"/>
        <v>Fev10920</v>
      </c>
      <c r="AF504" s="80">
        <f>IF(N504="","",IF(N504="SIM",VLOOKUP($I504&amp;$J504&amp;N$1,Pesos!$A:$I,7,FALSE),VLOOKUP($I504&amp;$J504&amp;N$1,Pesos!$A:$I,9,FALSE)))</f>
        <v>0.8</v>
      </c>
      <c r="AG504" s="80">
        <f>IF(O504="","",IF(O504="SIM",VLOOKUP($I504&amp;$J504&amp;O$1,Pesos!$A:$I,7,FALSE),VLOOKUP($I504&amp;$J504&amp;O$1,Pesos!$A:$I,9,FALSE)))</f>
        <v>0.8</v>
      </c>
      <c r="AH504" s="80">
        <f>IF(P504="","",IF(P504="SIM",VLOOKUP($I504&amp;$J504&amp;P$1,Pesos!$A:$I,7,FALSE),VLOOKUP($I504&amp;$J504&amp;P$1,Pesos!$A:$I,9,FALSE)))</f>
        <v>0.8</v>
      </c>
      <c r="AI504" s="80">
        <f>IF(Q504="","",IF(Q504="SIM",VLOOKUP($I504&amp;$J504&amp;Q$1,Pesos!$A:$I,7,FALSE),VLOOKUP($I504&amp;$J504&amp;Q$1,Pesos!$A:$I,9,FALSE)))</f>
        <v>0.8</v>
      </c>
      <c r="AJ504" s="80">
        <f>IF(R504="","",IF(R504="SIM",VLOOKUP($I504&amp;$J504&amp;R$1,Pesos!$A:$I,7,FALSE),VLOOKUP($I504&amp;$J504&amp;R$1,Pesos!$A:$I,9,FALSE)))</f>
        <v>0.8</v>
      </c>
      <c r="AK504" s="80">
        <f>IF(S504="","",IF(S504="SIM",VLOOKUP($I504&amp;$J504&amp;S$1,Pesos!$A:$I,7,FALSE),VLOOKUP($I504&amp;$J504&amp;S$1,Pesos!$A:$I,9,FALSE)))</f>
        <v>0.8</v>
      </c>
      <c r="AL504" s="80">
        <f t="shared" si="73"/>
        <v>4.8</v>
      </c>
      <c r="AM504" s="80">
        <f>IF(T504="","",IF(T504="SIM",VLOOKUP($I504&amp;$J504&amp;T$1,Pesos!$A:$I,7,FALSE),VLOOKUP($I504&amp;$J504&amp;T$1,Pesos!$A:$I,9,FALSE)))</f>
        <v>0.8</v>
      </c>
      <c r="AN504" s="80">
        <f>IF(U504="","",IF(U504="SIM",VLOOKUP($I504&amp;$J504&amp;U$1,Pesos!$A:$I,7,FALSE),VLOOKUP($I504&amp;$J504&amp;U$1,Pesos!$A:$I,9,FALSE)))</f>
        <v>0.8</v>
      </c>
      <c r="AO504" s="80">
        <f>IF(V504="","",IF(V504="SIM",VLOOKUP($I504&amp;$J504&amp;V$1,Pesos!$A:$I,7,FALSE),VLOOKUP($I504&amp;$J504&amp;V$1,Pesos!$A:$I,9,FALSE)))</f>
        <v>0.8</v>
      </c>
      <c r="AP504" s="80">
        <f>IF(W504="","",IF(W504="SIM",VLOOKUP($I504&amp;$J504&amp;W$1,Pesos!$A:$I,7,FALSE),VLOOKUP($I504&amp;$J504&amp;W$1,Pesos!$A:$I,9,FALSE)))</f>
        <v>0.8</v>
      </c>
      <c r="AQ504" s="80">
        <f>IF(X504="","",IF(X504="SIM",VLOOKUP($I504&amp;$J504&amp;X$1,Pesos!$A:$I,7,FALSE),VLOOKUP($I504&amp;$J504&amp;X$1,Pesos!$A:$I,9,FALSE)))</f>
        <v>1</v>
      </c>
      <c r="AR504" s="80">
        <f>IF(Y504="","",IF(Y504="SIM",VLOOKUP($I504&amp;$J504&amp;Y$1,Pesos!$A:$I,7,FALSE),VLOOKUP($I504&amp;$J504&amp;Y$1,Pesos!$A:$I,9,FALSE)))</f>
        <v>1</v>
      </c>
      <c r="AS504" s="81">
        <f>IFERROR(Z504*VLOOKUP(J504,'BD Campos'!$Y$1:$Z$12,2,FALSE),"0")</f>
        <v>10</v>
      </c>
    </row>
    <row r="505" spans="1:45" x14ac:dyDescent="0.35">
      <c r="A505" s="68" t="str">
        <f t="shared" si="76"/>
        <v>Fev202510919MotoristaUTI (RJ)</v>
      </c>
      <c r="B505" s="69" t="str">
        <f t="shared" si="77"/>
        <v>Fev2025109191UTI (RJ)PADRÃO</v>
      </c>
      <c r="C505" s="70">
        <v>1</v>
      </c>
      <c r="D505" s="71">
        <v>45699.371418402778</v>
      </c>
      <c r="E505" s="112" t="s">
        <v>338</v>
      </c>
      <c r="F505" s="72">
        <v>10919</v>
      </c>
      <c r="G505" s="69" t="s">
        <v>253</v>
      </c>
      <c r="H505" s="73">
        <v>1</v>
      </c>
      <c r="I505" s="69" t="s">
        <v>121</v>
      </c>
      <c r="J505" s="69" t="s">
        <v>122</v>
      </c>
      <c r="K505" s="69" t="s">
        <v>278</v>
      </c>
      <c r="L505" s="74">
        <v>31081181</v>
      </c>
      <c r="M505" s="75">
        <v>1.0879629629629629E-3</v>
      </c>
      <c r="N505" s="76" t="s">
        <v>79</v>
      </c>
      <c r="O505" s="76" t="s">
        <v>79</v>
      </c>
      <c r="P505" s="76" t="s">
        <v>79</v>
      </c>
      <c r="Q505" s="76" t="s">
        <v>79</v>
      </c>
      <c r="R505" s="76" t="s">
        <v>79</v>
      </c>
      <c r="S505" s="76" t="s">
        <v>79</v>
      </c>
      <c r="T505" s="76" t="s">
        <v>79</v>
      </c>
      <c r="U505" s="76" t="s">
        <v>79</v>
      </c>
      <c r="V505" s="76" t="s">
        <v>79</v>
      </c>
      <c r="W505" s="76" t="s">
        <v>79</v>
      </c>
      <c r="X505" s="76" t="s">
        <v>79</v>
      </c>
      <c r="Y505" s="76"/>
      <c r="Z505" s="77">
        <f t="shared" si="38"/>
        <v>10</v>
      </c>
      <c r="AA505" s="78"/>
      <c r="AB505" s="78" t="s">
        <v>1648</v>
      </c>
      <c r="AC505" s="72" t="s">
        <v>47</v>
      </c>
      <c r="AE505" s="79" t="str">
        <f t="shared" si="78"/>
        <v>Fev10919</v>
      </c>
      <c r="AF505" s="80">
        <f>IF(N505="","",IF(N505="SIM",VLOOKUP($I505&amp;$J505&amp;N$1,Pesos!$A:$I,7,FALSE),VLOOKUP($I505&amp;$J505&amp;N$1,Pesos!$A:$I,9,FALSE)))</f>
        <v>0.89999999999999991</v>
      </c>
      <c r="AG505" s="80">
        <f>IF(O505="","",IF(O505="SIM",VLOOKUP($I505&amp;$J505&amp;O$1,Pesos!$A:$I,7,FALSE),VLOOKUP($I505&amp;$J505&amp;O$1,Pesos!$A:$I,9,FALSE)))</f>
        <v>0.89999999999999991</v>
      </c>
      <c r="AH505" s="80">
        <f>IF(P505="","",IF(P505="SIM",VLOOKUP($I505&amp;$J505&amp;P$1,Pesos!$A:$I,7,FALSE),VLOOKUP($I505&amp;$J505&amp;P$1,Pesos!$A:$I,9,FALSE)))</f>
        <v>0.89999999999999991</v>
      </c>
      <c r="AI505" s="80">
        <f>IF(Q505="","",IF(Q505="SIM",VLOOKUP($I505&amp;$J505&amp;Q$1,Pesos!$A:$I,7,FALSE),VLOOKUP($I505&amp;$J505&amp;Q$1,Pesos!$A:$I,9,FALSE)))</f>
        <v>0.89999999999999991</v>
      </c>
      <c r="AJ505" s="80">
        <f>IF(R505="","",IF(R505="SIM",VLOOKUP($I505&amp;$J505&amp;R$1,Pesos!$A:$I,7,FALSE),VLOOKUP($I505&amp;$J505&amp;R$1,Pesos!$A:$I,9,FALSE)))</f>
        <v>0.89999999999999991</v>
      </c>
      <c r="AK505" s="80">
        <f>IF(S505="","",IF(S505="SIM",VLOOKUP($I505&amp;$J505&amp;S$1,Pesos!$A:$I,7,FALSE),VLOOKUP($I505&amp;$J505&amp;S$1,Pesos!$A:$I,9,FALSE)))</f>
        <v>0.89999999999999991</v>
      </c>
      <c r="AL505" s="80">
        <f t="shared" si="73"/>
        <v>5.4</v>
      </c>
      <c r="AM505" s="80">
        <f>IF(T505="","",IF(T505="SIM",VLOOKUP($I505&amp;$J505&amp;T$1,Pesos!$A:$I,7,FALSE),VLOOKUP($I505&amp;$J505&amp;T$1,Pesos!$A:$I,9,FALSE)))</f>
        <v>0.89999999999999991</v>
      </c>
      <c r="AN505" s="80">
        <f>IF(U505="","",IF(U505="SIM",VLOOKUP($I505&amp;$J505&amp;U$1,Pesos!$A:$I,7,FALSE),VLOOKUP($I505&amp;$J505&amp;U$1,Pesos!$A:$I,9,FALSE)))</f>
        <v>0.92500000000000004</v>
      </c>
      <c r="AO505" s="80">
        <f>IF(V505="","",IF(V505="SIM",VLOOKUP($I505&amp;$J505&amp;V$1,Pesos!$A:$I,7,FALSE),VLOOKUP($I505&amp;$J505&amp;V$1,Pesos!$A:$I,9,FALSE)))</f>
        <v>0.92500000000000004</v>
      </c>
      <c r="AP505" s="80">
        <f>IF(W505="","",IF(W505="SIM",VLOOKUP($I505&amp;$J505&amp;W$1,Pesos!$A:$I,7,FALSE),VLOOKUP($I505&amp;$J505&amp;W$1,Pesos!$A:$I,9,FALSE)))</f>
        <v>0.89999999999999991</v>
      </c>
      <c r="AQ505" s="80">
        <f>IF(X505="","",IF(X505="SIM",VLOOKUP($I505&amp;$J505&amp;X$1,Pesos!$A:$I,7,FALSE),VLOOKUP($I505&amp;$J505&amp;X$1,Pesos!$A:$I,9,FALSE)))</f>
        <v>0.95</v>
      </c>
      <c r="AR505" s="80" t="str">
        <f>IF(Y505="","",IF(Y505="SIM",VLOOKUP($I505&amp;$J505&amp;Y$1,Pesos!$A:$I,7,FALSE),VLOOKUP($I505&amp;$J505&amp;Y$1,Pesos!$A:$I,9,FALSE)))</f>
        <v/>
      </c>
      <c r="AS505" s="81">
        <f>IFERROR(Z505*VLOOKUP(J505,'BD Campos'!$Y$1:$Z$12,2,FALSE),"0")</f>
        <v>10</v>
      </c>
    </row>
    <row r="506" spans="1:45" x14ac:dyDescent="0.35">
      <c r="A506" s="68" t="str">
        <f t="shared" si="76"/>
        <v>Fev202510919ReceptivaUTI (RJ)</v>
      </c>
      <c r="B506" s="69" t="str">
        <f t="shared" si="77"/>
        <v>Fev2025109195UTI (RJ)PADRÃO</v>
      </c>
      <c r="C506" s="70">
        <v>1</v>
      </c>
      <c r="D506" s="71">
        <v>45699.372811689813</v>
      </c>
      <c r="E506" s="112" t="s">
        <v>338</v>
      </c>
      <c r="F506" s="72">
        <v>10919</v>
      </c>
      <c r="G506" s="69" t="s">
        <v>253</v>
      </c>
      <c r="H506" s="73">
        <v>5</v>
      </c>
      <c r="I506" s="69" t="s">
        <v>6</v>
      </c>
      <c r="J506" s="69" t="s">
        <v>98</v>
      </c>
      <c r="K506" s="69" t="s">
        <v>278</v>
      </c>
      <c r="L506" s="74"/>
      <c r="M506" s="75">
        <v>1.0763888888888889E-3</v>
      </c>
      <c r="N506" s="76" t="s">
        <v>79</v>
      </c>
      <c r="O506" s="76" t="s">
        <v>79</v>
      </c>
      <c r="P506" s="76" t="s">
        <v>79</v>
      </c>
      <c r="Q506" s="76" t="s">
        <v>79</v>
      </c>
      <c r="R506" s="76" t="s">
        <v>79</v>
      </c>
      <c r="S506" s="76" t="s">
        <v>79</v>
      </c>
      <c r="T506" s="76" t="s">
        <v>79</v>
      </c>
      <c r="U506" s="76" t="s">
        <v>79</v>
      </c>
      <c r="V506" s="76" t="s">
        <v>79</v>
      </c>
      <c r="W506" s="76" t="s">
        <v>79</v>
      </c>
      <c r="X506" s="76" t="s">
        <v>79</v>
      </c>
      <c r="Y506" s="76" t="s">
        <v>79</v>
      </c>
      <c r="Z506" s="77">
        <f t="shared" si="38"/>
        <v>10</v>
      </c>
      <c r="AA506" s="78"/>
      <c r="AB506" s="78"/>
      <c r="AC506" s="72" t="s">
        <v>47</v>
      </c>
      <c r="AE506" s="79" t="str">
        <f t="shared" si="78"/>
        <v>Fev10919</v>
      </c>
      <c r="AF506" s="80">
        <f>IF(N506="","",IF(N506="SIM",VLOOKUP($I506&amp;$J506&amp;N$1,Pesos!$A:$I,7,FALSE),VLOOKUP($I506&amp;$J506&amp;N$1,Pesos!$A:$I,9,FALSE)))</f>
        <v>0.8</v>
      </c>
      <c r="AG506" s="80">
        <f>IF(O506="","",IF(O506="SIM",VLOOKUP($I506&amp;$J506&amp;O$1,Pesos!$A:$I,7,FALSE),VLOOKUP($I506&amp;$J506&amp;O$1,Pesos!$A:$I,9,FALSE)))</f>
        <v>0.8</v>
      </c>
      <c r="AH506" s="80">
        <f>IF(P506="","",IF(P506="SIM",VLOOKUP($I506&amp;$J506&amp;P$1,Pesos!$A:$I,7,FALSE),VLOOKUP($I506&amp;$J506&amp;P$1,Pesos!$A:$I,9,FALSE)))</f>
        <v>1.2</v>
      </c>
      <c r="AI506" s="80">
        <f>IF(Q506="","",IF(Q506="SIM",VLOOKUP($I506&amp;$J506&amp;Q$1,Pesos!$A:$I,7,FALSE),VLOOKUP($I506&amp;$J506&amp;Q$1,Pesos!$A:$I,9,FALSE)))</f>
        <v>0.8</v>
      </c>
      <c r="AJ506" s="80">
        <f>IF(R506="","",IF(R506="SIM",VLOOKUP($I506&amp;$J506&amp;R$1,Pesos!$A:$I,7,FALSE),VLOOKUP($I506&amp;$J506&amp;R$1,Pesos!$A:$I,9,FALSE)))</f>
        <v>0.8</v>
      </c>
      <c r="AK506" s="80">
        <f>IF(S506="","",IF(S506="SIM",VLOOKUP($I506&amp;$J506&amp;S$1,Pesos!$A:$I,7,FALSE),VLOOKUP($I506&amp;$J506&amp;S$1,Pesos!$A:$I,9,FALSE)))</f>
        <v>0.8</v>
      </c>
      <c r="AL506" s="80">
        <f t="shared" si="73"/>
        <v>5.1999999999999993</v>
      </c>
      <c r="AM506" s="80">
        <f>IF(T506="","",IF(T506="SIM",VLOOKUP($I506&amp;$J506&amp;T$1,Pesos!$A:$I,7,FALSE),VLOOKUP($I506&amp;$J506&amp;T$1,Pesos!$A:$I,9,FALSE)))</f>
        <v>0.8</v>
      </c>
      <c r="AN506" s="80">
        <f>IF(U506="","",IF(U506="SIM",VLOOKUP($I506&amp;$J506&amp;U$1,Pesos!$A:$I,7,FALSE),VLOOKUP($I506&amp;$J506&amp;U$1,Pesos!$A:$I,9,FALSE)))</f>
        <v>0.8</v>
      </c>
      <c r="AO506" s="80">
        <f>IF(V506="","",IF(V506="SIM",VLOOKUP($I506&amp;$J506&amp;V$1,Pesos!$A:$I,7,FALSE),VLOOKUP($I506&amp;$J506&amp;V$1,Pesos!$A:$I,9,FALSE)))</f>
        <v>0.8</v>
      </c>
      <c r="AP506" s="80">
        <f>IF(W506="","",IF(W506="SIM",VLOOKUP($I506&amp;$J506&amp;W$1,Pesos!$A:$I,7,FALSE),VLOOKUP($I506&amp;$J506&amp;W$1,Pesos!$A:$I,9,FALSE)))</f>
        <v>0.8</v>
      </c>
      <c r="AQ506" s="80">
        <f>IF(X506="","",IF(X506="SIM",VLOOKUP($I506&amp;$J506&amp;X$1,Pesos!$A:$I,7,FALSE),VLOOKUP($I506&amp;$J506&amp;X$1,Pesos!$A:$I,9,FALSE)))</f>
        <v>0.8</v>
      </c>
      <c r="AR506" s="80">
        <f>IF(Y506="","",IF(Y506="SIM",VLOOKUP($I506&amp;$J506&amp;Y$1,Pesos!$A:$I,7,FALSE),VLOOKUP($I506&amp;$J506&amp;Y$1,Pesos!$A:$I,9,FALSE)))</f>
        <v>0.8</v>
      </c>
      <c r="AS506" s="81">
        <f>IFERROR(Z506*VLOOKUP(J506,'BD Campos'!$Y$1:$Z$12,2,FALSE),"0")</f>
        <v>10</v>
      </c>
    </row>
    <row r="507" spans="1:45" x14ac:dyDescent="0.35">
      <c r="A507" s="68" t="str">
        <f t="shared" si="76"/>
        <v>Fev202510924ReceptivaUTI</v>
      </c>
      <c r="B507" s="69" t="str">
        <f t="shared" si="77"/>
        <v>Fev2025109245UTIPADRÃO</v>
      </c>
      <c r="C507" s="70">
        <v>1</v>
      </c>
      <c r="D507" s="71">
        <v>45699.382552430558</v>
      </c>
      <c r="E507" s="112" t="s">
        <v>338</v>
      </c>
      <c r="F507" s="72">
        <v>10924</v>
      </c>
      <c r="G507" s="69" t="s">
        <v>249</v>
      </c>
      <c r="H507" s="73">
        <v>5</v>
      </c>
      <c r="I507" s="69" t="s">
        <v>6</v>
      </c>
      <c r="J507" s="69" t="s">
        <v>98</v>
      </c>
      <c r="K507" s="69" t="s">
        <v>131</v>
      </c>
      <c r="L507" s="74"/>
      <c r="M507" s="75">
        <v>1.4351851851851854E-3</v>
      </c>
      <c r="N507" s="76" t="s">
        <v>79</v>
      </c>
      <c r="O507" s="76" t="s">
        <v>79</v>
      </c>
      <c r="P507" s="76" t="s">
        <v>79</v>
      </c>
      <c r="Q507" s="76" t="s">
        <v>79</v>
      </c>
      <c r="R507" s="76" t="s">
        <v>79</v>
      </c>
      <c r="S507" s="76" t="s">
        <v>79</v>
      </c>
      <c r="T507" s="76" t="s">
        <v>79</v>
      </c>
      <c r="U507" s="76" t="s">
        <v>79</v>
      </c>
      <c r="V507" s="76" t="s">
        <v>79</v>
      </c>
      <c r="W507" s="76" t="s">
        <v>79</v>
      </c>
      <c r="X507" s="76" t="s">
        <v>79</v>
      </c>
      <c r="Y507" s="76" t="s">
        <v>79</v>
      </c>
      <c r="Z507" s="77">
        <f t="shared" si="38"/>
        <v>10</v>
      </c>
      <c r="AA507" s="78"/>
      <c r="AB507" s="78"/>
      <c r="AC507" s="72" t="s">
        <v>47</v>
      </c>
      <c r="AE507" s="79" t="str">
        <f t="shared" si="78"/>
        <v>Fev10924</v>
      </c>
      <c r="AF507" s="80">
        <f>IF(N507="","",IF(N507="SIM",VLOOKUP($I507&amp;$J507&amp;N$1,Pesos!$A:$I,7,FALSE),VLOOKUP($I507&amp;$J507&amp;N$1,Pesos!$A:$I,9,FALSE)))</f>
        <v>0.8</v>
      </c>
      <c r="AG507" s="80">
        <f>IF(O507="","",IF(O507="SIM",VLOOKUP($I507&amp;$J507&amp;O$1,Pesos!$A:$I,7,FALSE),VLOOKUP($I507&amp;$J507&amp;O$1,Pesos!$A:$I,9,FALSE)))</f>
        <v>0.8</v>
      </c>
      <c r="AH507" s="80">
        <f>IF(P507="","",IF(P507="SIM",VLOOKUP($I507&amp;$J507&amp;P$1,Pesos!$A:$I,7,FALSE),VLOOKUP($I507&amp;$J507&amp;P$1,Pesos!$A:$I,9,FALSE)))</f>
        <v>1.2</v>
      </c>
      <c r="AI507" s="80">
        <f>IF(Q507="","",IF(Q507="SIM",VLOOKUP($I507&amp;$J507&amp;Q$1,Pesos!$A:$I,7,FALSE),VLOOKUP($I507&amp;$J507&amp;Q$1,Pesos!$A:$I,9,FALSE)))</f>
        <v>0.8</v>
      </c>
      <c r="AJ507" s="80">
        <f>IF(R507="","",IF(R507="SIM",VLOOKUP($I507&amp;$J507&amp;R$1,Pesos!$A:$I,7,FALSE),VLOOKUP($I507&amp;$J507&amp;R$1,Pesos!$A:$I,9,FALSE)))</f>
        <v>0.8</v>
      </c>
      <c r="AK507" s="80">
        <f>IF(S507="","",IF(S507="SIM",VLOOKUP($I507&amp;$J507&amp;S$1,Pesos!$A:$I,7,FALSE),VLOOKUP($I507&amp;$J507&amp;S$1,Pesos!$A:$I,9,FALSE)))</f>
        <v>0.8</v>
      </c>
      <c r="AL507" s="80">
        <f t="shared" si="73"/>
        <v>5.1999999999999993</v>
      </c>
      <c r="AM507" s="80">
        <f>IF(T507="","",IF(T507="SIM",VLOOKUP($I507&amp;$J507&amp;T$1,Pesos!$A:$I,7,FALSE),VLOOKUP($I507&amp;$J507&amp;T$1,Pesos!$A:$I,9,FALSE)))</f>
        <v>0.8</v>
      </c>
      <c r="AN507" s="80">
        <f>IF(U507="","",IF(U507="SIM",VLOOKUP($I507&amp;$J507&amp;U$1,Pesos!$A:$I,7,FALSE),VLOOKUP($I507&amp;$J507&amp;U$1,Pesos!$A:$I,9,FALSE)))</f>
        <v>0.8</v>
      </c>
      <c r="AO507" s="80">
        <f>IF(V507="","",IF(V507="SIM",VLOOKUP($I507&amp;$J507&amp;V$1,Pesos!$A:$I,7,FALSE),VLOOKUP($I507&amp;$J507&amp;V$1,Pesos!$A:$I,9,FALSE)))</f>
        <v>0.8</v>
      </c>
      <c r="AP507" s="80">
        <f>IF(W507="","",IF(W507="SIM",VLOOKUP($I507&amp;$J507&amp;W$1,Pesos!$A:$I,7,FALSE),VLOOKUP($I507&amp;$J507&amp;W$1,Pesos!$A:$I,9,FALSE)))</f>
        <v>0.8</v>
      </c>
      <c r="AQ507" s="80">
        <f>IF(X507="","",IF(X507="SIM",VLOOKUP($I507&amp;$J507&amp;X$1,Pesos!$A:$I,7,FALSE),VLOOKUP($I507&amp;$J507&amp;X$1,Pesos!$A:$I,9,FALSE)))</f>
        <v>0.8</v>
      </c>
      <c r="AR507" s="80">
        <f>IF(Y507="","",IF(Y507="SIM",VLOOKUP($I507&amp;$J507&amp;Y$1,Pesos!$A:$I,7,FALSE),VLOOKUP($I507&amp;$J507&amp;Y$1,Pesos!$A:$I,9,FALSE)))</f>
        <v>0.8</v>
      </c>
      <c r="AS507" s="81">
        <f>IFERROR(Z507*VLOOKUP(J507,'BD Campos'!$Y$1:$Z$12,2,FALSE),"0")</f>
        <v>10</v>
      </c>
    </row>
    <row r="508" spans="1:45" x14ac:dyDescent="0.35">
      <c r="A508" s="68" t="str">
        <f t="shared" si="76"/>
        <v>Fev202510253MotoristaUTI</v>
      </c>
      <c r="B508" s="69" t="str">
        <f t="shared" si="77"/>
        <v>Fev2025102531UTIPADRÃO</v>
      </c>
      <c r="C508" s="70">
        <v>1</v>
      </c>
      <c r="D508" s="71">
        <v>45699.384124189812</v>
      </c>
      <c r="E508" s="112" t="s">
        <v>338</v>
      </c>
      <c r="F508" s="72">
        <v>10253</v>
      </c>
      <c r="G508" s="69" t="s">
        <v>299</v>
      </c>
      <c r="H508" s="73">
        <v>1</v>
      </c>
      <c r="I508" s="69" t="s">
        <v>147</v>
      </c>
      <c r="J508" s="69" t="s">
        <v>122</v>
      </c>
      <c r="K508" s="69" t="s">
        <v>131</v>
      </c>
      <c r="L508" s="74">
        <v>30973707</v>
      </c>
      <c r="M508" s="75">
        <v>1.3078703703703705E-3</v>
      </c>
      <c r="N508" s="76" t="s">
        <v>79</v>
      </c>
      <c r="O508" s="76" t="s">
        <v>79</v>
      </c>
      <c r="P508" s="76" t="s">
        <v>79</v>
      </c>
      <c r="Q508" s="76" t="s">
        <v>79</v>
      </c>
      <c r="R508" s="76" t="s">
        <v>79</v>
      </c>
      <c r="S508" s="76" t="s">
        <v>79</v>
      </c>
      <c r="T508" s="76" t="s">
        <v>79</v>
      </c>
      <c r="U508" s="76" t="s">
        <v>79</v>
      </c>
      <c r="V508" s="76"/>
      <c r="W508" s="76"/>
      <c r="X508" s="76"/>
      <c r="Y508" s="76"/>
      <c r="Z508" s="77">
        <f t="shared" si="38"/>
        <v>10</v>
      </c>
      <c r="AA508" s="78"/>
      <c r="AB508" s="78" t="s">
        <v>1649</v>
      </c>
      <c r="AC508" s="72" t="s">
        <v>47</v>
      </c>
      <c r="AE508" s="79" t="str">
        <f t="shared" si="78"/>
        <v>Fev10253</v>
      </c>
      <c r="AF508" s="80">
        <f>IF(N508="","",IF(N508="SIM",VLOOKUP($I508&amp;$J508&amp;N$1,Pesos!$A:$I,7,FALSE),VLOOKUP($I508&amp;$J508&amp;N$1,Pesos!$A:$I,9,FALSE)))</f>
        <v>1.1000000000000001</v>
      </c>
      <c r="AG508" s="80">
        <f>IF(O508="","",IF(O508="SIM",VLOOKUP($I508&amp;$J508&amp;O$1,Pesos!$A:$I,7,FALSE),VLOOKUP($I508&amp;$J508&amp;O$1,Pesos!$A:$I,9,FALSE)))</f>
        <v>1.1000000000000001</v>
      </c>
      <c r="AH508" s="80">
        <f>IF(P508="","",IF(P508="SIM",VLOOKUP($I508&amp;$J508&amp;P$1,Pesos!$A:$I,7,FALSE),VLOOKUP($I508&amp;$J508&amp;P$1,Pesos!$A:$I,9,FALSE)))</f>
        <v>1.1000000000000001</v>
      </c>
      <c r="AI508" s="80">
        <f>IF(Q508="","",IF(Q508="SIM",VLOOKUP($I508&amp;$J508&amp;Q$1,Pesos!$A:$I,7,FALSE),VLOOKUP($I508&amp;$J508&amp;Q$1,Pesos!$A:$I,9,FALSE)))</f>
        <v>1.1000000000000001</v>
      </c>
      <c r="AJ508" s="80">
        <f>IF(R508="","",IF(R508="SIM",VLOOKUP($I508&amp;$J508&amp;R$1,Pesos!$A:$I,7,FALSE),VLOOKUP($I508&amp;$J508&amp;R$1,Pesos!$A:$I,9,FALSE)))</f>
        <v>1.1000000000000001</v>
      </c>
      <c r="AK508" s="80">
        <f>IF(S508="","",IF(S508="SIM",VLOOKUP($I508&amp;$J508&amp;S$1,Pesos!$A:$I,7,FALSE),VLOOKUP($I508&amp;$J508&amp;S$1,Pesos!$A:$I,9,FALSE)))</f>
        <v>1.6</v>
      </c>
      <c r="AL508" s="80">
        <f t="shared" si="73"/>
        <v>7.1</v>
      </c>
      <c r="AM508" s="80">
        <f>IF(T508="","",IF(T508="SIM",VLOOKUP($I508&amp;$J508&amp;T$1,Pesos!$A:$I,7,FALSE),VLOOKUP($I508&amp;$J508&amp;T$1,Pesos!$A:$I,9,FALSE)))</f>
        <v>1.2</v>
      </c>
      <c r="AN508" s="80">
        <f>IF(U508="","",IF(U508="SIM",VLOOKUP($I508&amp;$J508&amp;U$1,Pesos!$A:$I,7,FALSE),VLOOKUP($I508&amp;$J508&amp;U$1,Pesos!$A:$I,9,FALSE)))</f>
        <v>1.7000000000000002</v>
      </c>
      <c r="AO508" s="80" t="str">
        <f>IF(V508="","",IF(V508="SIM",VLOOKUP($I508&amp;$J508&amp;V$1,Pesos!$A:$I,7,FALSE),VLOOKUP($I508&amp;$J508&amp;V$1,Pesos!$A:$I,9,FALSE)))</f>
        <v/>
      </c>
      <c r="AP508" s="80" t="str">
        <f>IF(W508="","",IF(W508="SIM",VLOOKUP($I508&amp;$J508&amp;W$1,Pesos!$A:$I,7,FALSE),VLOOKUP($I508&amp;$J508&amp;W$1,Pesos!$A:$I,9,FALSE)))</f>
        <v/>
      </c>
      <c r="AQ508" s="80" t="str">
        <f>IF(X508="","",IF(X508="SIM",VLOOKUP($I508&amp;$J508&amp;X$1,Pesos!$A:$I,7,FALSE),VLOOKUP($I508&amp;$J508&amp;X$1,Pesos!$A:$I,9,FALSE)))</f>
        <v/>
      </c>
      <c r="AR508" s="80" t="str">
        <f>IF(Y508="","",IF(Y508="SIM",VLOOKUP($I508&amp;$J508&amp;Y$1,Pesos!$A:$I,7,FALSE),VLOOKUP($I508&amp;$J508&amp;Y$1,Pesos!$A:$I,9,FALSE)))</f>
        <v/>
      </c>
      <c r="AS508" s="81">
        <f>IFERROR(Z508*VLOOKUP(J508,'BD Campos'!$Y$1:$Z$12,2,FALSE),"0")</f>
        <v>10</v>
      </c>
    </row>
    <row r="509" spans="1:45" x14ac:dyDescent="0.35">
      <c r="A509" s="68" t="str">
        <f t="shared" si="76"/>
        <v>Fev202510253ReceptivaUTI</v>
      </c>
      <c r="B509" s="69" t="str">
        <f t="shared" si="77"/>
        <v>Fev2025102535UTIPADRÃO</v>
      </c>
      <c r="C509" s="70">
        <v>1</v>
      </c>
      <c r="D509" s="71">
        <v>45699.386399884257</v>
      </c>
      <c r="E509" s="112" t="s">
        <v>338</v>
      </c>
      <c r="F509" s="72">
        <v>10253</v>
      </c>
      <c r="G509" s="69" t="s">
        <v>299</v>
      </c>
      <c r="H509" s="73">
        <v>5</v>
      </c>
      <c r="I509" s="69" t="s">
        <v>6</v>
      </c>
      <c r="J509" s="69" t="s">
        <v>98</v>
      </c>
      <c r="K509" s="69" t="s">
        <v>131</v>
      </c>
      <c r="L509" s="74"/>
      <c r="M509" s="75">
        <v>1.0069444444444444E-3</v>
      </c>
      <c r="N509" s="76" t="s">
        <v>79</v>
      </c>
      <c r="O509" s="76" t="s">
        <v>79</v>
      </c>
      <c r="P509" s="76" t="s">
        <v>79</v>
      </c>
      <c r="Q509" s="76" t="s">
        <v>79</v>
      </c>
      <c r="R509" s="76" t="s">
        <v>79</v>
      </c>
      <c r="S509" s="76" t="s">
        <v>79</v>
      </c>
      <c r="T509" s="76" t="s">
        <v>79</v>
      </c>
      <c r="U509" s="76" t="s">
        <v>79</v>
      </c>
      <c r="V509" s="76" t="s">
        <v>79</v>
      </c>
      <c r="W509" s="76" t="s">
        <v>83</v>
      </c>
      <c r="X509" s="76" t="s">
        <v>79</v>
      </c>
      <c r="Y509" s="76" t="s">
        <v>79</v>
      </c>
      <c r="Z509" s="77">
        <f t="shared" si="38"/>
        <v>9.16</v>
      </c>
      <c r="AA509" s="78"/>
      <c r="AB509" s="78"/>
      <c r="AC509" s="72" t="s">
        <v>47</v>
      </c>
      <c r="AE509" s="79" t="str">
        <f t="shared" si="78"/>
        <v>Fev10253</v>
      </c>
      <c r="AF509" s="80">
        <f>IF(N509="","",IF(N509="SIM",VLOOKUP($I509&amp;$J509&amp;N$1,Pesos!$A:$I,7,FALSE),VLOOKUP($I509&amp;$J509&amp;N$1,Pesos!$A:$I,9,FALSE)))</f>
        <v>0.8</v>
      </c>
      <c r="AG509" s="80">
        <f>IF(O509="","",IF(O509="SIM",VLOOKUP($I509&amp;$J509&amp;O$1,Pesos!$A:$I,7,FALSE),VLOOKUP($I509&amp;$J509&amp;O$1,Pesos!$A:$I,9,FALSE)))</f>
        <v>0.8</v>
      </c>
      <c r="AH509" s="80">
        <f>IF(P509="","",IF(P509="SIM",VLOOKUP($I509&amp;$J509&amp;P$1,Pesos!$A:$I,7,FALSE),VLOOKUP($I509&amp;$J509&amp;P$1,Pesos!$A:$I,9,FALSE)))</f>
        <v>1.2</v>
      </c>
      <c r="AI509" s="80">
        <f>IF(Q509="","",IF(Q509="SIM",VLOOKUP($I509&amp;$J509&amp;Q$1,Pesos!$A:$I,7,FALSE),VLOOKUP($I509&amp;$J509&amp;Q$1,Pesos!$A:$I,9,FALSE)))</f>
        <v>0.8</v>
      </c>
      <c r="AJ509" s="80">
        <f>IF(R509="","",IF(R509="SIM",VLOOKUP($I509&amp;$J509&amp;R$1,Pesos!$A:$I,7,FALSE),VLOOKUP($I509&amp;$J509&amp;R$1,Pesos!$A:$I,9,FALSE)))</f>
        <v>0.8</v>
      </c>
      <c r="AK509" s="80">
        <f>IF(S509="","",IF(S509="SIM",VLOOKUP($I509&amp;$J509&amp;S$1,Pesos!$A:$I,7,FALSE),VLOOKUP($I509&amp;$J509&amp;S$1,Pesos!$A:$I,9,FALSE)))</f>
        <v>0.8</v>
      </c>
      <c r="AL509" s="80">
        <f t="shared" si="73"/>
        <v>5.1999999999999993</v>
      </c>
      <c r="AM509" s="80">
        <f>IF(T509="","",IF(T509="SIM",VLOOKUP($I509&amp;$J509&amp;T$1,Pesos!$A:$I,7,FALSE),VLOOKUP($I509&amp;$J509&amp;T$1,Pesos!$A:$I,9,FALSE)))</f>
        <v>0.8</v>
      </c>
      <c r="AN509" s="80">
        <f>IF(U509="","",IF(U509="SIM",VLOOKUP($I509&amp;$J509&amp;U$1,Pesos!$A:$I,7,FALSE),VLOOKUP($I509&amp;$J509&amp;U$1,Pesos!$A:$I,9,FALSE)))</f>
        <v>0.8</v>
      </c>
      <c r="AO509" s="80">
        <f>IF(V509="","",IF(V509="SIM",VLOOKUP($I509&amp;$J509&amp;V$1,Pesos!$A:$I,7,FALSE),VLOOKUP($I509&amp;$J509&amp;V$1,Pesos!$A:$I,9,FALSE)))</f>
        <v>0.8</v>
      </c>
      <c r="AP509" s="80">
        <f>IF(W509="","",IF(W509="SIM",VLOOKUP($I509&amp;$J509&amp;W$1,Pesos!$A:$I,7,FALSE),VLOOKUP($I509&amp;$J509&amp;W$1,Pesos!$A:$I,9,FALSE)))</f>
        <v>-4.0000000000000008E-2</v>
      </c>
      <c r="AQ509" s="80">
        <f>IF(X509="","",IF(X509="SIM",VLOOKUP($I509&amp;$J509&amp;X$1,Pesos!$A:$I,7,FALSE),VLOOKUP($I509&amp;$J509&amp;X$1,Pesos!$A:$I,9,FALSE)))</f>
        <v>0.8</v>
      </c>
      <c r="AR509" s="80">
        <f>IF(Y509="","",IF(Y509="SIM",VLOOKUP($I509&amp;$J509&amp;Y$1,Pesos!$A:$I,7,FALSE),VLOOKUP($I509&amp;$J509&amp;Y$1,Pesos!$A:$I,9,FALSE)))</f>
        <v>0.8</v>
      </c>
      <c r="AS509" s="81">
        <f>IFERROR(Z509*VLOOKUP(J509,'BD Campos'!$Y$1:$Z$12,2,FALSE),"0")</f>
        <v>9.16</v>
      </c>
    </row>
    <row r="510" spans="1:45" x14ac:dyDescent="0.35">
      <c r="A510" s="68" t="str">
        <f t="shared" si="76"/>
        <v>Fev202510758MotoristaUTI</v>
      </c>
      <c r="B510" s="69" t="str">
        <f t="shared" si="77"/>
        <v>Fev2025107581UTIPADRÃO</v>
      </c>
      <c r="C510" s="70">
        <v>1</v>
      </c>
      <c r="D510" s="71">
        <v>45699.389655439816</v>
      </c>
      <c r="E510" s="112" t="s">
        <v>338</v>
      </c>
      <c r="F510" s="72">
        <v>10758</v>
      </c>
      <c r="G510" s="69" t="s">
        <v>148</v>
      </c>
      <c r="H510" s="73">
        <v>1</v>
      </c>
      <c r="I510" s="69" t="s">
        <v>126</v>
      </c>
      <c r="J510" s="69" t="s">
        <v>122</v>
      </c>
      <c r="K510" s="69" t="s">
        <v>131</v>
      </c>
      <c r="L510" s="74">
        <v>31128007</v>
      </c>
      <c r="M510" s="75">
        <v>1.6550925925925926E-3</v>
      </c>
      <c r="N510" s="76" t="s">
        <v>79</v>
      </c>
      <c r="O510" s="76" t="s">
        <v>79</v>
      </c>
      <c r="P510" s="76" t="s">
        <v>79</v>
      </c>
      <c r="Q510" s="76" t="s">
        <v>83</v>
      </c>
      <c r="R510" s="76" t="s">
        <v>79</v>
      </c>
      <c r="S510" s="76" t="s">
        <v>79</v>
      </c>
      <c r="T510" s="76" t="s">
        <v>79</v>
      </c>
      <c r="U510" s="76" t="s">
        <v>79</v>
      </c>
      <c r="V510" s="76" t="s">
        <v>83</v>
      </c>
      <c r="W510" s="76" t="s">
        <v>79</v>
      </c>
      <c r="X510" s="76" t="s">
        <v>79</v>
      </c>
      <c r="Y510" s="76" t="s">
        <v>79</v>
      </c>
      <c r="Z510" s="77">
        <f t="shared" ref="Z510:Z764" si="79">SUM(AL510:AR510)</f>
        <v>8.32</v>
      </c>
      <c r="AA510" s="78" t="s">
        <v>1651</v>
      </c>
      <c r="AB510" s="78" t="s">
        <v>1650</v>
      </c>
      <c r="AC510" s="72" t="s">
        <v>47</v>
      </c>
      <c r="AE510" s="79" t="str">
        <f t="shared" si="78"/>
        <v>Fev10758</v>
      </c>
      <c r="AF510" s="80">
        <f>IF(N510="","",IF(N510="SIM",VLOOKUP($I510&amp;$J510&amp;N$1,Pesos!$A:$I,7,FALSE),VLOOKUP($I510&amp;$J510&amp;N$1,Pesos!$A:$I,9,FALSE)))</f>
        <v>0.8</v>
      </c>
      <c r="AG510" s="80">
        <f>IF(O510="","",IF(O510="SIM",VLOOKUP($I510&amp;$J510&amp;O$1,Pesos!$A:$I,7,FALSE),VLOOKUP($I510&amp;$J510&amp;O$1,Pesos!$A:$I,9,FALSE)))</f>
        <v>0.8</v>
      </c>
      <c r="AH510" s="80">
        <f>IF(P510="","",IF(P510="SIM",VLOOKUP($I510&amp;$J510&amp;P$1,Pesos!$A:$I,7,FALSE),VLOOKUP($I510&amp;$J510&amp;P$1,Pesos!$A:$I,9,FALSE)))</f>
        <v>0.8</v>
      </c>
      <c r="AI510" s="80">
        <f>IF(Q510="","",IF(Q510="SIM",VLOOKUP($I510&amp;$J510&amp;Q$1,Pesos!$A:$I,7,FALSE),VLOOKUP($I510&amp;$J510&amp;Q$1,Pesos!$A:$I,9,FALSE)))</f>
        <v>-4.0000000000000008E-2</v>
      </c>
      <c r="AJ510" s="80">
        <f>IF(R510="","",IF(R510="SIM",VLOOKUP($I510&amp;$J510&amp;R$1,Pesos!$A:$I,7,FALSE),VLOOKUP($I510&amp;$J510&amp;R$1,Pesos!$A:$I,9,FALSE)))</f>
        <v>0.8</v>
      </c>
      <c r="AK510" s="80">
        <f>IF(S510="","",IF(S510="SIM",VLOOKUP($I510&amp;$J510&amp;S$1,Pesos!$A:$I,7,FALSE),VLOOKUP($I510&amp;$J510&amp;S$1,Pesos!$A:$I,9,FALSE)))</f>
        <v>0.8</v>
      </c>
      <c r="AL510" s="80">
        <f t="shared" si="73"/>
        <v>3.96</v>
      </c>
      <c r="AM510" s="80">
        <f>IF(T510="","",IF(T510="SIM",VLOOKUP($I510&amp;$J510&amp;T$1,Pesos!$A:$I,7,FALSE),VLOOKUP($I510&amp;$J510&amp;T$1,Pesos!$A:$I,9,FALSE)))</f>
        <v>0.8</v>
      </c>
      <c r="AN510" s="80">
        <f>IF(U510="","",IF(U510="SIM",VLOOKUP($I510&amp;$J510&amp;U$1,Pesos!$A:$I,7,FALSE),VLOOKUP($I510&amp;$J510&amp;U$1,Pesos!$A:$I,9,FALSE)))</f>
        <v>0.8</v>
      </c>
      <c r="AO510" s="80">
        <f>IF(V510="","",IF(V510="SIM",VLOOKUP($I510&amp;$J510&amp;V$1,Pesos!$A:$I,7,FALSE),VLOOKUP($I510&amp;$J510&amp;V$1,Pesos!$A:$I,9,FALSE)))</f>
        <v>-4.0000000000000008E-2</v>
      </c>
      <c r="AP510" s="80">
        <f>IF(W510="","",IF(W510="SIM",VLOOKUP($I510&amp;$J510&amp;W$1,Pesos!$A:$I,7,FALSE),VLOOKUP($I510&amp;$J510&amp;W$1,Pesos!$A:$I,9,FALSE)))</f>
        <v>0.8</v>
      </c>
      <c r="AQ510" s="80">
        <f>IF(X510="","",IF(X510="SIM",VLOOKUP($I510&amp;$J510&amp;X$1,Pesos!$A:$I,7,FALSE),VLOOKUP($I510&amp;$J510&amp;X$1,Pesos!$A:$I,9,FALSE)))</f>
        <v>1</v>
      </c>
      <c r="AR510" s="80">
        <f>IF(Y510="","",IF(Y510="SIM",VLOOKUP($I510&amp;$J510&amp;Y$1,Pesos!$A:$I,7,FALSE),VLOOKUP($I510&amp;$J510&amp;Y$1,Pesos!$A:$I,9,FALSE)))</f>
        <v>1</v>
      </c>
      <c r="AS510" s="81">
        <f>IFERROR(Z510*VLOOKUP(J510,'BD Campos'!$Y$1:$Z$12,2,FALSE),"0")</f>
        <v>8.32</v>
      </c>
    </row>
    <row r="511" spans="1:45" x14ac:dyDescent="0.35">
      <c r="A511" s="68" t="str">
        <f t="shared" si="76"/>
        <v>Fev202510758ReceptivaUTI</v>
      </c>
      <c r="B511" s="69" t="str">
        <f t="shared" si="77"/>
        <v>Fev2025107585UTIPADRÃO</v>
      </c>
      <c r="C511" s="70">
        <v>1</v>
      </c>
      <c r="D511" s="71">
        <v>45699.392453703702</v>
      </c>
      <c r="E511" s="112" t="s">
        <v>338</v>
      </c>
      <c r="F511" s="72">
        <v>10758</v>
      </c>
      <c r="G511" s="69" t="s">
        <v>148</v>
      </c>
      <c r="H511" s="73">
        <v>5</v>
      </c>
      <c r="I511" s="69" t="s">
        <v>6</v>
      </c>
      <c r="J511" s="69" t="s">
        <v>98</v>
      </c>
      <c r="K511" s="69" t="s">
        <v>131</v>
      </c>
      <c r="L511" s="74"/>
      <c r="M511" s="75">
        <v>1.5972222222222221E-3</v>
      </c>
      <c r="N511" s="76" t="s">
        <v>79</v>
      </c>
      <c r="O511" s="76" t="s">
        <v>79</v>
      </c>
      <c r="P511" s="76" t="s">
        <v>79</v>
      </c>
      <c r="Q511" s="76" t="s">
        <v>79</v>
      </c>
      <c r="R511" s="76" t="s">
        <v>79</v>
      </c>
      <c r="S511" s="76" t="s">
        <v>79</v>
      </c>
      <c r="T511" s="76" t="s">
        <v>79</v>
      </c>
      <c r="U511" s="76" t="s">
        <v>79</v>
      </c>
      <c r="V511" s="76" t="s">
        <v>79</v>
      </c>
      <c r="W511" s="76" t="s">
        <v>79</v>
      </c>
      <c r="X511" s="76" t="s">
        <v>79</v>
      </c>
      <c r="Y511" s="76" t="s">
        <v>83</v>
      </c>
      <c r="Z511" s="77">
        <f t="shared" si="79"/>
        <v>9.16</v>
      </c>
      <c r="AA511" s="78"/>
      <c r="AB511" s="78"/>
      <c r="AC511" s="72" t="s">
        <v>47</v>
      </c>
      <c r="AE511" s="79" t="str">
        <f t="shared" si="78"/>
        <v>Fev10758</v>
      </c>
      <c r="AF511" s="80">
        <f>IF(N511="","",IF(N511="SIM",VLOOKUP($I511&amp;$J511&amp;N$1,Pesos!$A:$I,7,FALSE),VLOOKUP($I511&amp;$J511&amp;N$1,Pesos!$A:$I,9,FALSE)))</f>
        <v>0.8</v>
      </c>
      <c r="AG511" s="80">
        <f>IF(O511="","",IF(O511="SIM",VLOOKUP($I511&amp;$J511&amp;O$1,Pesos!$A:$I,7,FALSE),VLOOKUP($I511&amp;$J511&amp;O$1,Pesos!$A:$I,9,FALSE)))</f>
        <v>0.8</v>
      </c>
      <c r="AH511" s="80">
        <f>IF(P511="","",IF(P511="SIM",VLOOKUP($I511&amp;$J511&amp;P$1,Pesos!$A:$I,7,FALSE),VLOOKUP($I511&amp;$J511&amp;P$1,Pesos!$A:$I,9,FALSE)))</f>
        <v>1.2</v>
      </c>
      <c r="AI511" s="80">
        <f>IF(Q511="","",IF(Q511="SIM",VLOOKUP($I511&amp;$J511&amp;Q$1,Pesos!$A:$I,7,FALSE),VLOOKUP($I511&amp;$J511&amp;Q$1,Pesos!$A:$I,9,FALSE)))</f>
        <v>0.8</v>
      </c>
      <c r="AJ511" s="80">
        <f>IF(R511="","",IF(R511="SIM",VLOOKUP($I511&amp;$J511&amp;R$1,Pesos!$A:$I,7,FALSE),VLOOKUP($I511&amp;$J511&amp;R$1,Pesos!$A:$I,9,FALSE)))</f>
        <v>0.8</v>
      </c>
      <c r="AK511" s="80">
        <f>IF(S511="","",IF(S511="SIM",VLOOKUP($I511&amp;$J511&amp;S$1,Pesos!$A:$I,7,FALSE),VLOOKUP($I511&amp;$J511&amp;S$1,Pesos!$A:$I,9,FALSE)))</f>
        <v>0.8</v>
      </c>
      <c r="AL511" s="80">
        <f t="shared" si="73"/>
        <v>5.1999999999999993</v>
      </c>
      <c r="AM511" s="80">
        <f>IF(T511="","",IF(T511="SIM",VLOOKUP($I511&amp;$J511&amp;T$1,Pesos!$A:$I,7,FALSE),VLOOKUP($I511&amp;$J511&amp;T$1,Pesos!$A:$I,9,FALSE)))</f>
        <v>0.8</v>
      </c>
      <c r="AN511" s="80">
        <f>IF(U511="","",IF(U511="SIM",VLOOKUP($I511&amp;$J511&amp;U$1,Pesos!$A:$I,7,FALSE),VLOOKUP($I511&amp;$J511&amp;U$1,Pesos!$A:$I,9,FALSE)))</f>
        <v>0.8</v>
      </c>
      <c r="AO511" s="80">
        <f>IF(V511="","",IF(V511="SIM",VLOOKUP($I511&amp;$J511&amp;V$1,Pesos!$A:$I,7,FALSE),VLOOKUP($I511&amp;$J511&amp;V$1,Pesos!$A:$I,9,FALSE)))</f>
        <v>0.8</v>
      </c>
      <c r="AP511" s="80">
        <f>IF(W511="","",IF(W511="SIM",VLOOKUP($I511&amp;$J511&amp;W$1,Pesos!$A:$I,7,FALSE),VLOOKUP($I511&amp;$J511&amp;W$1,Pesos!$A:$I,9,FALSE)))</f>
        <v>0.8</v>
      </c>
      <c r="AQ511" s="80">
        <f>IF(X511="","",IF(X511="SIM",VLOOKUP($I511&amp;$J511&amp;X$1,Pesos!$A:$I,7,FALSE),VLOOKUP($I511&amp;$J511&amp;X$1,Pesos!$A:$I,9,FALSE)))</f>
        <v>0.8</v>
      </c>
      <c r="AR511" s="80">
        <f>IF(Y511="","",IF(Y511="SIM",VLOOKUP($I511&amp;$J511&amp;Y$1,Pesos!$A:$I,7,FALSE),VLOOKUP($I511&amp;$J511&amp;Y$1,Pesos!$A:$I,9,FALSE)))</f>
        <v>-4.0000000000000008E-2</v>
      </c>
      <c r="AS511" s="81">
        <f>IFERROR(Z511*VLOOKUP(J511,'BD Campos'!$Y$1:$Z$12,2,FALSE),"0")</f>
        <v>9.16</v>
      </c>
    </row>
    <row r="512" spans="1:45" x14ac:dyDescent="0.35">
      <c r="A512" s="68" t="str">
        <f t="shared" ref="A512:A576" si="80">E512&amp;YEAR(D512)&amp;F512&amp;J512&amp;K512&amp;""</f>
        <v>Fev202510191MotoristaUTI (RJ)</v>
      </c>
      <c r="B512" s="69" t="str">
        <f t="shared" ref="B512:B576" si="81">E512&amp;YEAR(D512)&amp;F512&amp;H512&amp;K512&amp;AC512</f>
        <v>Fev2025101911UTI (RJ)PADRÃO</v>
      </c>
      <c r="C512" s="70">
        <v>1</v>
      </c>
      <c r="D512" s="71">
        <v>45699.39831689815</v>
      </c>
      <c r="E512" s="112" t="s">
        <v>338</v>
      </c>
      <c r="F512" s="72">
        <v>10191</v>
      </c>
      <c r="G512" s="69" t="s">
        <v>283</v>
      </c>
      <c r="H512" s="73">
        <v>1</v>
      </c>
      <c r="I512" s="69" t="s">
        <v>123</v>
      </c>
      <c r="J512" s="69" t="s">
        <v>122</v>
      </c>
      <c r="K512" s="69" t="s">
        <v>278</v>
      </c>
      <c r="L512" s="74">
        <v>31030254</v>
      </c>
      <c r="M512" s="75">
        <v>9.3750000000000007E-4</v>
      </c>
      <c r="N512" s="76" t="s">
        <v>79</v>
      </c>
      <c r="O512" s="76" t="s">
        <v>79</v>
      </c>
      <c r="P512" s="76" t="s">
        <v>79</v>
      </c>
      <c r="Q512" s="76" t="s">
        <v>79</v>
      </c>
      <c r="R512" s="76" t="s">
        <v>79</v>
      </c>
      <c r="S512" s="76" t="s">
        <v>79</v>
      </c>
      <c r="T512" s="76" t="s">
        <v>79</v>
      </c>
      <c r="U512" s="76" t="s">
        <v>79</v>
      </c>
      <c r="V512" s="76" t="s">
        <v>79</v>
      </c>
      <c r="W512" s="76" t="s">
        <v>79</v>
      </c>
      <c r="X512" s="76"/>
      <c r="Y512" s="76"/>
      <c r="Z512" s="77">
        <f t="shared" si="79"/>
        <v>10</v>
      </c>
      <c r="AA512" s="78"/>
      <c r="AB512" s="78" t="s">
        <v>1652</v>
      </c>
      <c r="AC512" s="72" t="s">
        <v>47</v>
      </c>
      <c r="AE512" s="79" t="str">
        <f t="shared" ref="AE512:AE525" si="82">E512&amp;F512</f>
        <v>Fev10191</v>
      </c>
      <c r="AF512" s="80">
        <f>IF(N512="","",IF(N512="SIM",VLOOKUP($I512&amp;$J512&amp;N$1,Pesos!$A:$I,7,FALSE),VLOOKUP($I512&amp;$J512&amp;N$1,Pesos!$A:$I,9,FALSE)))</f>
        <v>1</v>
      </c>
      <c r="AG512" s="80">
        <f>IF(O512="","",IF(O512="SIM",VLOOKUP($I512&amp;$J512&amp;O$1,Pesos!$A:$I,7,FALSE),VLOOKUP($I512&amp;$J512&amp;O$1,Pesos!$A:$I,9,FALSE)))</f>
        <v>1</v>
      </c>
      <c r="AH512" s="80">
        <f>IF(P512="","",IF(P512="SIM",VLOOKUP($I512&amp;$J512&amp;P$1,Pesos!$A:$I,7,FALSE),VLOOKUP($I512&amp;$J512&amp;P$1,Pesos!$A:$I,9,FALSE)))</f>
        <v>1</v>
      </c>
      <c r="AI512" s="80">
        <f>IF(Q512="","",IF(Q512="SIM",VLOOKUP($I512&amp;$J512&amp;Q$1,Pesos!$A:$I,7,FALSE),VLOOKUP($I512&amp;$J512&amp;Q$1,Pesos!$A:$I,9,FALSE)))</f>
        <v>1</v>
      </c>
      <c r="AJ512" s="80">
        <f>IF(R512="","",IF(R512="SIM",VLOOKUP($I512&amp;$J512&amp;R$1,Pesos!$A:$I,7,FALSE),VLOOKUP($I512&amp;$J512&amp;R$1,Pesos!$A:$I,9,FALSE)))</f>
        <v>1</v>
      </c>
      <c r="AK512" s="80">
        <f>IF(S512="","",IF(S512="SIM",VLOOKUP($I512&amp;$J512&amp;S$1,Pesos!$A:$I,7,FALSE),VLOOKUP($I512&amp;$J512&amp;S$1,Pesos!$A:$I,9,FALSE)))</f>
        <v>1</v>
      </c>
      <c r="AL512" s="80">
        <f t="shared" si="73"/>
        <v>6</v>
      </c>
      <c r="AM512" s="80">
        <f>IF(T512="","",IF(T512="SIM",VLOOKUP($I512&amp;$J512&amp;T$1,Pesos!$A:$I,7,FALSE),VLOOKUP($I512&amp;$J512&amp;T$1,Pesos!$A:$I,9,FALSE)))</f>
        <v>1</v>
      </c>
      <c r="AN512" s="80">
        <f>IF(U512="","",IF(U512="SIM",VLOOKUP($I512&amp;$J512&amp;U$1,Pesos!$A:$I,7,FALSE),VLOOKUP($I512&amp;$J512&amp;U$1,Pesos!$A:$I,9,FALSE)))</f>
        <v>1</v>
      </c>
      <c r="AO512" s="80">
        <f>IF(V512="","",IF(V512="SIM",VLOOKUP($I512&amp;$J512&amp;V$1,Pesos!$A:$I,7,FALSE),VLOOKUP($I512&amp;$J512&amp;V$1,Pesos!$A:$I,9,FALSE)))</f>
        <v>1</v>
      </c>
      <c r="AP512" s="80">
        <f>IF(W512="","",IF(W512="SIM",VLOOKUP($I512&amp;$J512&amp;W$1,Pesos!$A:$I,7,FALSE),VLOOKUP($I512&amp;$J512&amp;W$1,Pesos!$A:$I,9,FALSE)))</f>
        <v>1</v>
      </c>
      <c r="AQ512" s="80" t="str">
        <f>IF(X512="","",IF(X512="SIM",VLOOKUP($I512&amp;$J512&amp;X$1,Pesos!$A:$I,7,FALSE),VLOOKUP($I512&amp;$J512&amp;X$1,Pesos!$A:$I,9,FALSE)))</f>
        <v/>
      </c>
      <c r="AR512" s="80" t="str">
        <f>IF(Y512="","",IF(Y512="SIM",VLOOKUP($I512&amp;$J512&amp;Y$1,Pesos!$A:$I,7,FALSE),VLOOKUP($I512&amp;$J512&amp;Y$1,Pesos!$A:$I,9,FALSE)))</f>
        <v/>
      </c>
      <c r="AS512" s="81">
        <f>IFERROR(Z512*VLOOKUP(J512,'BD Campos'!$Y$1:$Z$12,2,FALSE),"0")</f>
        <v>10</v>
      </c>
    </row>
    <row r="513" spans="1:45" x14ac:dyDescent="0.35">
      <c r="A513" s="68" t="str">
        <f t="shared" si="80"/>
        <v>Fev202510191ReceptivaUTI (RJ)</v>
      </c>
      <c r="B513" s="69" t="str">
        <f t="shared" si="81"/>
        <v>Fev2025101915UTI (RJ)PADRÃO</v>
      </c>
      <c r="C513" s="70">
        <v>1</v>
      </c>
      <c r="D513" s="71">
        <v>45699.402427893518</v>
      </c>
      <c r="E513" s="112" t="s">
        <v>338</v>
      </c>
      <c r="F513" s="72">
        <v>10191</v>
      </c>
      <c r="G513" s="69" t="s">
        <v>283</v>
      </c>
      <c r="H513" s="73">
        <v>5</v>
      </c>
      <c r="I513" s="69" t="s">
        <v>6</v>
      </c>
      <c r="J513" s="69" t="s">
        <v>98</v>
      </c>
      <c r="K513" s="69" t="s">
        <v>278</v>
      </c>
      <c r="L513" s="74"/>
      <c r="M513" s="75">
        <v>1.9675925925925928E-3</v>
      </c>
      <c r="N513" s="76" t="s">
        <v>79</v>
      </c>
      <c r="O513" s="76" t="s">
        <v>79</v>
      </c>
      <c r="P513" s="76" t="s">
        <v>79</v>
      </c>
      <c r="Q513" s="76" t="s">
        <v>79</v>
      </c>
      <c r="R513" s="76" t="s">
        <v>79</v>
      </c>
      <c r="S513" s="76" t="s">
        <v>79</v>
      </c>
      <c r="T513" s="76" t="s">
        <v>83</v>
      </c>
      <c r="U513" s="76" t="s">
        <v>79</v>
      </c>
      <c r="V513" s="76" t="s">
        <v>79</v>
      </c>
      <c r="W513" s="76" t="s">
        <v>79</v>
      </c>
      <c r="X513" s="76" t="s">
        <v>79</v>
      </c>
      <c r="Y513" s="76" t="s">
        <v>79</v>
      </c>
      <c r="Z513" s="77">
        <f t="shared" si="79"/>
        <v>9.16</v>
      </c>
      <c r="AA513" s="78"/>
      <c r="AB513" s="78"/>
      <c r="AC513" s="72" t="s">
        <v>47</v>
      </c>
      <c r="AE513" s="79" t="str">
        <f t="shared" si="82"/>
        <v>Fev10191</v>
      </c>
      <c r="AF513" s="80">
        <f>IF(N513="","",IF(N513="SIM",VLOOKUP($I513&amp;$J513&amp;N$1,Pesos!$A:$I,7,FALSE),VLOOKUP($I513&amp;$J513&amp;N$1,Pesos!$A:$I,9,FALSE)))</f>
        <v>0.8</v>
      </c>
      <c r="AG513" s="80">
        <f>IF(O513="","",IF(O513="SIM",VLOOKUP($I513&amp;$J513&amp;O$1,Pesos!$A:$I,7,FALSE),VLOOKUP($I513&amp;$J513&amp;O$1,Pesos!$A:$I,9,FALSE)))</f>
        <v>0.8</v>
      </c>
      <c r="AH513" s="80">
        <f>IF(P513="","",IF(P513="SIM",VLOOKUP($I513&amp;$J513&amp;P$1,Pesos!$A:$I,7,FALSE),VLOOKUP($I513&amp;$J513&amp;P$1,Pesos!$A:$I,9,FALSE)))</f>
        <v>1.2</v>
      </c>
      <c r="AI513" s="80">
        <f>IF(Q513="","",IF(Q513="SIM",VLOOKUP($I513&amp;$J513&amp;Q$1,Pesos!$A:$I,7,FALSE),VLOOKUP($I513&amp;$J513&amp;Q$1,Pesos!$A:$I,9,FALSE)))</f>
        <v>0.8</v>
      </c>
      <c r="AJ513" s="80">
        <f>IF(R513="","",IF(R513="SIM",VLOOKUP($I513&amp;$J513&amp;R$1,Pesos!$A:$I,7,FALSE),VLOOKUP($I513&amp;$J513&amp;R$1,Pesos!$A:$I,9,FALSE)))</f>
        <v>0.8</v>
      </c>
      <c r="AK513" s="80">
        <f>IF(S513="","",IF(S513="SIM",VLOOKUP($I513&amp;$J513&amp;S$1,Pesos!$A:$I,7,FALSE),VLOOKUP($I513&amp;$J513&amp;S$1,Pesos!$A:$I,9,FALSE)))</f>
        <v>0.8</v>
      </c>
      <c r="AL513" s="80">
        <f t="shared" si="73"/>
        <v>5.1999999999999993</v>
      </c>
      <c r="AM513" s="80">
        <f>IF(T513="","",IF(T513="SIM",VLOOKUP($I513&amp;$J513&amp;T$1,Pesos!$A:$I,7,FALSE),VLOOKUP($I513&amp;$J513&amp;T$1,Pesos!$A:$I,9,FALSE)))</f>
        <v>-4.0000000000000008E-2</v>
      </c>
      <c r="AN513" s="80">
        <f>IF(U513="","",IF(U513="SIM",VLOOKUP($I513&amp;$J513&amp;U$1,Pesos!$A:$I,7,FALSE),VLOOKUP($I513&amp;$J513&amp;U$1,Pesos!$A:$I,9,FALSE)))</f>
        <v>0.8</v>
      </c>
      <c r="AO513" s="80">
        <f>IF(V513="","",IF(V513="SIM",VLOOKUP($I513&amp;$J513&amp;V$1,Pesos!$A:$I,7,FALSE),VLOOKUP($I513&amp;$J513&amp;V$1,Pesos!$A:$I,9,FALSE)))</f>
        <v>0.8</v>
      </c>
      <c r="AP513" s="80">
        <f>IF(W513="","",IF(W513="SIM",VLOOKUP($I513&amp;$J513&amp;W$1,Pesos!$A:$I,7,FALSE),VLOOKUP($I513&amp;$J513&amp;W$1,Pesos!$A:$I,9,FALSE)))</f>
        <v>0.8</v>
      </c>
      <c r="AQ513" s="80">
        <f>IF(X513="","",IF(X513="SIM",VLOOKUP($I513&amp;$J513&amp;X$1,Pesos!$A:$I,7,FALSE),VLOOKUP($I513&amp;$J513&amp;X$1,Pesos!$A:$I,9,FALSE)))</f>
        <v>0.8</v>
      </c>
      <c r="AR513" s="80">
        <f>IF(Y513="","",IF(Y513="SIM",VLOOKUP($I513&amp;$J513&amp;Y$1,Pesos!$A:$I,7,FALSE),VLOOKUP($I513&amp;$J513&amp;Y$1,Pesos!$A:$I,9,FALSE)))</f>
        <v>0.8</v>
      </c>
      <c r="AS513" s="81">
        <f>IFERROR(Z513*VLOOKUP(J513,'BD Campos'!$Y$1:$Z$12,2,FALSE),"0")</f>
        <v>9.16</v>
      </c>
    </row>
    <row r="514" spans="1:45" x14ac:dyDescent="0.35">
      <c r="A514" s="68" t="str">
        <f t="shared" si="80"/>
        <v>Fev20251622MotoristaUTI</v>
      </c>
      <c r="B514" s="69" t="str">
        <f t="shared" si="81"/>
        <v>Fev202516221UTIPADRÃO</v>
      </c>
      <c r="C514" s="70">
        <v>1</v>
      </c>
      <c r="D514" s="71">
        <v>45699.404023726849</v>
      </c>
      <c r="E514" s="112" t="s">
        <v>338</v>
      </c>
      <c r="F514" s="72">
        <v>1622</v>
      </c>
      <c r="G514" s="69" t="s">
        <v>284</v>
      </c>
      <c r="H514" s="73">
        <v>1</v>
      </c>
      <c r="I514" s="69" t="s">
        <v>123</v>
      </c>
      <c r="J514" s="69" t="s">
        <v>122</v>
      </c>
      <c r="K514" s="69" t="s">
        <v>131</v>
      </c>
      <c r="L514" s="74">
        <v>31043813</v>
      </c>
      <c r="M514" s="75" t="s">
        <v>1653</v>
      </c>
      <c r="N514" s="76"/>
      <c r="O514" s="76"/>
      <c r="P514" s="76"/>
      <c r="Q514" s="76"/>
      <c r="R514" s="76"/>
      <c r="S514" s="76"/>
      <c r="T514" s="76"/>
      <c r="U514" s="76"/>
      <c r="V514" s="76"/>
      <c r="W514" s="76"/>
      <c r="X514" s="76"/>
      <c r="Y514" s="76"/>
      <c r="Z514" s="77">
        <f t="shared" si="79"/>
        <v>0</v>
      </c>
      <c r="AA514" s="78" t="s">
        <v>1427</v>
      </c>
      <c r="AB514" s="78" t="s">
        <v>1654</v>
      </c>
      <c r="AC514" s="72" t="s">
        <v>47</v>
      </c>
      <c r="AE514" s="79" t="str">
        <f t="shared" si="82"/>
        <v>Fev1622</v>
      </c>
      <c r="AF514" s="80" t="str">
        <f>IF(N514="","",IF(N514="SIM",VLOOKUP($I514&amp;$J514&amp;N$1,Pesos!$A:$I,7,FALSE),VLOOKUP($I514&amp;$J514&amp;N$1,Pesos!$A:$I,9,FALSE)))</f>
        <v/>
      </c>
      <c r="AG514" s="80" t="str">
        <f>IF(O514="","",IF(O514="SIM",VLOOKUP($I514&amp;$J514&amp;O$1,Pesos!$A:$I,7,FALSE),VLOOKUP($I514&amp;$J514&amp;O$1,Pesos!$A:$I,9,FALSE)))</f>
        <v/>
      </c>
      <c r="AH514" s="80" t="str">
        <f>IF(P514="","",IF(P514="SIM",VLOOKUP($I514&amp;$J514&amp;P$1,Pesos!$A:$I,7,FALSE),VLOOKUP($I514&amp;$J514&amp;P$1,Pesos!$A:$I,9,FALSE)))</f>
        <v/>
      </c>
      <c r="AI514" s="80" t="str">
        <f>IF(Q514="","",IF(Q514="SIM",VLOOKUP($I514&amp;$J514&amp;Q$1,Pesos!$A:$I,7,FALSE),VLOOKUP($I514&amp;$J514&amp;Q$1,Pesos!$A:$I,9,FALSE)))</f>
        <v/>
      </c>
      <c r="AJ514" s="80" t="str">
        <f>IF(R514="","",IF(R514="SIM",VLOOKUP($I514&amp;$J514&amp;R$1,Pesos!$A:$I,7,FALSE),VLOOKUP($I514&amp;$J514&amp;R$1,Pesos!$A:$I,9,FALSE)))</f>
        <v/>
      </c>
      <c r="AK514" s="80" t="str">
        <f>IF(S514="","",IF(S514="SIM",VLOOKUP($I514&amp;$J514&amp;S$1,Pesos!$A:$I,7,FALSE),VLOOKUP($I514&amp;$J514&amp;S$1,Pesos!$A:$I,9,FALSE)))</f>
        <v/>
      </c>
      <c r="AL514" s="80">
        <f t="shared" si="73"/>
        <v>0</v>
      </c>
      <c r="AM514" s="80" t="str">
        <f>IF(T514="","",IF(T514="SIM",VLOOKUP($I514&amp;$J514&amp;T$1,Pesos!$A:$I,7,FALSE),VLOOKUP($I514&amp;$J514&amp;T$1,Pesos!$A:$I,9,FALSE)))</f>
        <v/>
      </c>
      <c r="AN514" s="80" t="str">
        <f>IF(U514="","",IF(U514="SIM",VLOOKUP($I514&amp;$J514&amp;U$1,Pesos!$A:$I,7,FALSE),VLOOKUP($I514&amp;$J514&amp;U$1,Pesos!$A:$I,9,FALSE)))</f>
        <v/>
      </c>
      <c r="AO514" s="80" t="str">
        <f>IF(V514="","",IF(V514="SIM",VLOOKUP($I514&amp;$J514&amp;V$1,Pesos!$A:$I,7,FALSE),VLOOKUP($I514&amp;$J514&amp;V$1,Pesos!$A:$I,9,FALSE)))</f>
        <v/>
      </c>
      <c r="AP514" s="80" t="str">
        <f>IF(W514="","",IF(W514="SIM",VLOOKUP($I514&amp;$J514&amp;W$1,Pesos!$A:$I,7,FALSE),VLOOKUP($I514&amp;$J514&amp;W$1,Pesos!$A:$I,9,FALSE)))</f>
        <v/>
      </c>
      <c r="AQ514" s="80" t="str">
        <f>IF(X514="","",IF(X514="SIM",VLOOKUP($I514&amp;$J514&amp;X$1,Pesos!$A:$I,7,FALSE),VLOOKUP($I514&amp;$J514&amp;X$1,Pesos!$A:$I,9,FALSE)))</f>
        <v/>
      </c>
      <c r="AR514" s="80" t="str">
        <f>IF(Y514="","",IF(Y514="SIM",VLOOKUP($I514&amp;$J514&amp;Y$1,Pesos!$A:$I,7,FALSE),VLOOKUP($I514&amp;$J514&amp;Y$1,Pesos!$A:$I,9,FALSE)))</f>
        <v/>
      </c>
      <c r="AS514" s="81">
        <f>IFERROR(Z514*VLOOKUP(J514,'BD Campos'!$Y$1:$Z$12,2,FALSE),"0")</f>
        <v>0</v>
      </c>
    </row>
    <row r="515" spans="1:45" x14ac:dyDescent="0.35">
      <c r="A515" s="68" t="str">
        <f t="shared" si="80"/>
        <v>Fev20251622ReceptivaUTI</v>
      </c>
      <c r="B515" s="69" t="str">
        <f t="shared" si="81"/>
        <v>Fev202516225UTIPADRÃO</v>
      </c>
      <c r="C515" s="70">
        <v>1</v>
      </c>
      <c r="D515" s="71">
        <v>45699.406579166665</v>
      </c>
      <c r="E515" s="112" t="s">
        <v>338</v>
      </c>
      <c r="F515" s="72">
        <v>1622</v>
      </c>
      <c r="G515" s="69" t="s">
        <v>284</v>
      </c>
      <c r="H515" s="73">
        <v>5</v>
      </c>
      <c r="I515" s="69" t="s">
        <v>6</v>
      </c>
      <c r="J515" s="69" t="s">
        <v>98</v>
      </c>
      <c r="K515" s="69" t="s">
        <v>131</v>
      </c>
      <c r="L515" s="74"/>
      <c r="M515" s="75">
        <v>1.2962962962962963E-3</v>
      </c>
      <c r="N515" s="76" t="s">
        <v>79</v>
      </c>
      <c r="O515" s="76" t="s">
        <v>79</v>
      </c>
      <c r="P515" s="76" t="s">
        <v>79</v>
      </c>
      <c r="Q515" s="76" t="s">
        <v>79</v>
      </c>
      <c r="R515" s="76" t="s">
        <v>79</v>
      </c>
      <c r="S515" s="76" t="s">
        <v>79</v>
      </c>
      <c r="T515" s="76" t="s">
        <v>79</v>
      </c>
      <c r="U515" s="76" t="s">
        <v>79</v>
      </c>
      <c r="V515" s="76" t="s">
        <v>79</v>
      </c>
      <c r="W515" s="76" t="s">
        <v>79</v>
      </c>
      <c r="X515" s="76" t="s">
        <v>79</v>
      </c>
      <c r="Y515" s="76" t="s">
        <v>79</v>
      </c>
      <c r="Z515" s="77">
        <f t="shared" si="79"/>
        <v>10</v>
      </c>
      <c r="AA515" s="78"/>
      <c r="AB515" s="78"/>
      <c r="AC515" s="72" t="s">
        <v>47</v>
      </c>
      <c r="AE515" s="79" t="str">
        <f t="shared" si="82"/>
        <v>Fev1622</v>
      </c>
      <c r="AF515" s="80">
        <f>IF(N515="","",IF(N515="SIM",VLOOKUP($I515&amp;$J515&amp;N$1,Pesos!$A:$I,7,FALSE),VLOOKUP($I515&amp;$J515&amp;N$1,Pesos!$A:$I,9,FALSE)))</f>
        <v>0.8</v>
      </c>
      <c r="AG515" s="80">
        <f>IF(O515="","",IF(O515="SIM",VLOOKUP($I515&amp;$J515&amp;O$1,Pesos!$A:$I,7,FALSE),VLOOKUP($I515&amp;$J515&amp;O$1,Pesos!$A:$I,9,FALSE)))</f>
        <v>0.8</v>
      </c>
      <c r="AH515" s="80">
        <f>IF(P515="","",IF(P515="SIM",VLOOKUP($I515&amp;$J515&amp;P$1,Pesos!$A:$I,7,FALSE),VLOOKUP($I515&amp;$J515&amp;P$1,Pesos!$A:$I,9,FALSE)))</f>
        <v>1.2</v>
      </c>
      <c r="AI515" s="80">
        <f>IF(Q515="","",IF(Q515="SIM",VLOOKUP($I515&amp;$J515&amp;Q$1,Pesos!$A:$I,7,FALSE),VLOOKUP($I515&amp;$J515&amp;Q$1,Pesos!$A:$I,9,FALSE)))</f>
        <v>0.8</v>
      </c>
      <c r="AJ515" s="80">
        <f>IF(R515="","",IF(R515="SIM",VLOOKUP($I515&amp;$J515&amp;R$1,Pesos!$A:$I,7,FALSE),VLOOKUP($I515&amp;$J515&amp;R$1,Pesos!$A:$I,9,FALSE)))</f>
        <v>0.8</v>
      </c>
      <c r="AK515" s="80">
        <f>IF(S515="","",IF(S515="SIM",VLOOKUP($I515&amp;$J515&amp;S$1,Pesos!$A:$I,7,FALSE),VLOOKUP($I515&amp;$J515&amp;S$1,Pesos!$A:$I,9,FALSE)))</f>
        <v>0.8</v>
      </c>
      <c r="AL515" s="80">
        <f t="shared" si="73"/>
        <v>5.1999999999999993</v>
      </c>
      <c r="AM515" s="80">
        <f>IF(T515="","",IF(T515="SIM",VLOOKUP($I515&amp;$J515&amp;T$1,Pesos!$A:$I,7,FALSE),VLOOKUP($I515&amp;$J515&amp;T$1,Pesos!$A:$I,9,FALSE)))</f>
        <v>0.8</v>
      </c>
      <c r="AN515" s="80">
        <f>IF(U515="","",IF(U515="SIM",VLOOKUP($I515&amp;$J515&amp;U$1,Pesos!$A:$I,7,FALSE),VLOOKUP($I515&amp;$J515&amp;U$1,Pesos!$A:$I,9,FALSE)))</f>
        <v>0.8</v>
      </c>
      <c r="AO515" s="80">
        <f>IF(V515="","",IF(V515="SIM",VLOOKUP($I515&amp;$J515&amp;V$1,Pesos!$A:$I,7,FALSE),VLOOKUP($I515&amp;$J515&amp;V$1,Pesos!$A:$I,9,FALSE)))</f>
        <v>0.8</v>
      </c>
      <c r="AP515" s="80">
        <f>IF(W515="","",IF(W515="SIM",VLOOKUP($I515&amp;$J515&amp;W$1,Pesos!$A:$I,7,FALSE),VLOOKUP($I515&amp;$J515&amp;W$1,Pesos!$A:$I,9,FALSE)))</f>
        <v>0.8</v>
      </c>
      <c r="AQ515" s="80">
        <f>IF(X515="","",IF(X515="SIM",VLOOKUP($I515&amp;$J515&amp;X$1,Pesos!$A:$I,7,FALSE),VLOOKUP($I515&amp;$J515&amp;X$1,Pesos!$A:$I,9,FALSE)))</f>
        <v>0.8</v>
      </c>
      <c r="AR515" s="80">
        <f>IF(Y515="","",IF(Y515="SIM",VLOOKUP($I515&amp;$J515&amp;Y$1,Pesos!$A:$I,7,FALSE),VLOOKUP($I515&amp;$J515&amp;Y$1,Pesos!$A:$I,9,FALSE)))</f>
        <v>0.8</v>
      </c>
      <c r="AS515" s="81">
        <f>IFERROR(Z515*VLOOKUP(J515,'BD Campos'!$Y$1:$Z$12,2,FALSE),"0")</f>
        <v>10</v>
      </c>
    </row>
    <row r="516" spans="1:45" x14ac:dyDescent="0.35">
      <c r="A516" s="68" t="str">
        <f t="shared" si="80"/>
        <v>Fev2025635MotoristaUTI</v>
      </c>
      <c r="B516" s="69" t="str">
        <f t="shared" si="81"/>
        <v>Fev20256351UTIPADRÃO</v>
      </c>
      <c r="C516" s="70">
        <v>1</v>
      </c>
      <c r="D516" s="71">
        <v>45699.428120486111</v>
      </c>
      <c r="E516" s="112" t="s">
        <v>338</v>
      </c>
      <c r="F516" s="72">
        <v>635</v>
      </c>
      <c r="G516" s="69" t="s">
        <v>279</v>
      </c>
      <c r="H516" s="73">
        <v>1</v>
      </c>
      <c r="I516" s="69" t="s">
        <v>123</v>
      </c>
      <c r="J516" s="69" t="s">
        <v>122</v>
      </c>
      <c r="K516" s="69" t="s">
        <v>131</v>
      </c>
      <c r="L516" s="74">
        <v>31080129</v>
      </c>
      <c r="M516" s="75">
        <v>2.0370370370370373E-3</v>
      </c>
      <c r="N516" s="76" t="s">
        <v>79</v>
      </c>
      <c r="O516" s="76" t="s">
        <v>79</v>
      </c>
      <c r="P516" s="76" t="s">
        <v>79</v>
      </c>
      <c r="Q516" s="76" t="s">
        <v>79</v>
      </c>
      <c r="R516" s="76" t="s">
        <v>79</v>
      </c>
      <c r="S516" s="76" t="s">
        <v>79</v>
      </c>
      <c r="T516" s="76" t="s">
        <v>79</v>
      </c>
      <c r="U516" s="76" t="s">
        <v>79</v>
      </c>
      <c r="V516" s="76" t="s">
        <v>83</v>
      </c>
      <c r="W516" s="76" t="s">
        <v>79</v>
      </c>
      <c r="X516" s="76"/>
      <c r="Y516" s="76"/>
      <c r="Z516" s="77">
        <f t="shared" si="79"/>
        <v>8.9499999999999993</v>
      </c>
      <c r="AA516" s="78" t="s">
        <v>1660</v>
      </c>
      <c r="AB516" s="78" t="s">
        <v>1664</v>
      </c>
      <c r="AC516" s="72" t="s">
        <v>47</v>
      </c>
      <c r="AE516" s="79" t="str">
        <f t="shared" si="82"/>
        <v>Fev635</v>
      </c>
      <c r="AF516" s="80">
        <f>IF(N516="","",IF(N516="SIM",VLOOKUP($I516&amp;$J516&amp;N$1,Pesos!$A:$I,7,FALSE),VLOOKUP($I516&amp;$J516&amp;N$1,Pesos!$A:$I,9,FALSE)))</f>
        <v>1</v>
      </c>
      <c r="AG516" s="80">
        <f>IF(O516="","",IF(O516="SIM",VLOOKUP($I516&amp;$J516&amp;O$1,Pesos!$A:$I,7,FALSE),VLOOKUP($I516&amp;$J516&amp;O$1,Pesos!$A:$I,9,FALSE)))</f>
        <v>1</v>
      </c>
      <c r="AH516" s="80">
        <f>IF(P516="","",IF(P516="SIM",VLOOKUP($I516&amp;$J516&amp;P$1,Pesos!$A:$I,7,FALSE),VLOOKUP($I516&amp;$J516&amp;P$1,Pesos!$A:$I,9,FALSE)))</f>
        <v>1</v>
      </c>
      <c r="AI516" s="80">
        <f>IF(Q516="","",IF(Q516="SIM",VLOOKUP($I516&amp;$J516&amp;Q$1,Pesos!$A:$I,7,FALSE),VLOOKUP($I516&amp;$J516&amp;Q$1,Pesos!$A:$I,9,FALSE)))</f>
        <v>1</v>
      </c>
      <c r="AJ516" s="80">
        <f>IF(R516="","",IF(R516="SIM",VLOOKUP($I516&amp;$J516&amp;R$1,Pesos!$A:$I,7,FALSE),VLOOKUP($I516&amp;$J516&amp;R$1,Pesos!$A:$I,9,FALSE)))</f>
        <v>1</v>
      </c>
      <c r="AK516" s="80">
        <f>IF(S516="","",IF(S516="SIM",VLOOKUP($I516&amp;$J516&amp;S$1,Pesos!$A:$I,7,FALSE),VLOOKUP($I516&amp;$J516&amp;S$1,Pesos!$A:$I,9,FALSE)))</f>
        <v>1</v>
      </c>
      <c r="AL516" s="80">
        <f t="shared" si="73"/>
        <v>6</v>
      </c>
      <c r="AM516" s="80">
        <f>IF(T516="","",IF(T516="SIM",VLOOKUP($I516&amp;$J516&amp;T$1,Pesos!$A:$I,7,FALSE),VLOOKUP($I516&amp;$J516&amp;T$1,Pesos!$A:$I,9,FALSE)))</f>
        <v>1</v>
      </c>
      <c r="AN516" s="80">
        <f>IF(U516="","",IF(U516="SIM",VLOOKUP($I516&amp;$J516&amp;U$1,Pesos!$A:$I,7,FALSE),VLOOKUP($I516&amp;$J516&amp;U$1,Pesos!$A:$I,9,FALSE)))</f>
        <v>1</v>
      </c>
      <c r="AO516" s="80">
        <f>IF(V516="","",IF(V516="SIM",VLOOKUP($I516&amp;$J516&amp;V$1,Pesos!$A:$I,7,FALSE),VLOOKUP($I516&amp;$J516&amp;V$1,Pesos!$A:$I,9,FALSE)))</f>
        <v>-0.05</v>
      </c>
      <c r="AP516" s="80">
        <f>IF(W516="","",IF(W516="SIM",VLOOKUP($I516&amp;$J516&amp;W$1,Pesos!$A:$I,7,FALSE),VLOOKUP($I516&amp;$J516&amp;W$1,Pesos!$A:$I,9,FALSE)))</f>
        <v>1</v>
      </c>
      <c r="AQ516" s="80" t="str">
        <f>IF(X516="","",IF(X516="SIM",VLOOKUP($I516&amp;$J516&amp;X$1,Pesos!$A:$I,7,FALSE),VLOOKUP($I516&amp;$J516&amp;X$1,Pesos!$A:$I,9,FALSE)))</f>
        <v/>
      </c>
      <c r="AR516" s="80" t="str">
        <f>IF(Y516="","",IF(Y516="SIM",VLOOKUP($I516&amp;$J516&amp;Y$1,Pesos!$A:$I,7,FALSE),VLOOKUP($I516&amp;$J516&amp;Y$1,Pesos!$A:$I,9,FALSE)))</f>
        <v/>
      </c>
      <c r="AS516" s="81">
        <f>IFERROR(Z516*VLOOKUP(J516,'BD Campos'!$Y$1:$Z$12,2,FALSE),"0")</f>
        <v>8.9499999999999993</v>
      </c>
    </row>
    <row r="517" spans="1:45" x14ac:dyDescent="0.35">
      <c r="A517" s="68" t="str">
        <f t="shared" si="80"/>
        <v>Fev2025635ReceptivaUTI</v>
      </c>
      <c r="B517" s="69" t="str">
        <f t="shared" si="81"/>
        <v>Fev20256355UTIPADRÃO</v>
      </c>
      <c r="C517" s="70">
        <v>1</v>
      </c>
      <c r="D517" s="71">
        <v>45699.430166666665</v>
      </c>
      <c r="E517" s="112" t="s">
        <v>338</v>
      </c>
      <c r="F517" s="72">
        <v>635</v>
      </c>
      <c r="G517" s="69" t="s">
        <v>279</v>
      </c>
      <c r="H517" s="73">
        <v>5</v>
      </c>
      <c r="I517" s="69" t="s">
        <v>6</v>
      </c>
      <c r="J517" s="69" t="s">
        <v>98</v>
      </c>
      <c r="K517" s="69" t="s">
        <v>131</v>
      </c>
      <c r="L517" s="74"/>
      <c r="M517" s="75">
        <v>1.3078703703703705E-3</v>
      </c>
      <c r="N517" s="76" t="s">
        <v>79</v>
      </c>
      <c r="O517" s="76" t="s">
        <v>79</v>
      </c>
      <c r="P517" s="76" t="s">
        <v>79</v>
      </c>
      <c r="Q517" s="76" t="s">
        <v>79</v>
      </c>
      <c r="R517" s="76" t="s">
        <v>79</v>
      </c>
      <c r="S517" s="76" t="s">
        <v>79</v>
      </c>
      <c r="T517" s="76" t="s">
        <v>79</v>
      </c>
      <c r="U517" s="76" t="s">
        <v>79</v>
      </c>
      <c r="V517" s="76" t="s">
        <v>79</v>
      </c>
      <c r="W517" s="76" t="s">
        <v>79</v>
      </c>
      <c r="X517" s="76" t="s">
        <v>79</v>
      </c>
      <c r="Y517" s="76" t="s">
        <v>79</v>
      </c>
      <c r="Z517" s="77">
        <f t="shared" si="79"/>
        <v>10</v>
      </c>
      <c r="AA517" s="78"/>
      <c r="AB517" s="78"/>
      <c r="AC517" s="72" t="s">
        <v>47</v>
      </c>
      <c r="AE517" s="79" t="str">
        <f t="shared" si="82"/>
        <v>Fev635</v>
      </c>
      <c r="AF517" s="80">
        <f>IF(N517="","",IF(N517="SIM",VLOOKUP($I517&amp;$J517&amp;N$1,Pesos!$A:$I,7,FALSE),VLOOKUP($I517&amp;$J517&amp;N$1,Pesos!$A:$I,9,FALSE)))</f>
        <v>0.8</v>
      </c>
      <c r="AG517" s="80">
        <f>IF(O517="","",IF(O517="SIM",VLOOKUP($I517&amp;$J517&amp;O$1,Pesos!$A:$I,7,FALSE),VLOOKUP($I517&amp;$J517&amp;O$1,Pesos!$A:$I,9,FALSE)))</f>
        <v>0.8</v>
      </c>
      <c r="AH517" s="80">
        <f>IF(P517="","",IF(P517="SIM",VLOOKUP($I517&amp;$J517&amp;P$1,Pesos!$A:$I,7,FALSE),VLOOKUP($I517&amp;$J517&amp;P$1,Pesos!$A:$I,9,FALSE)))</f>
        <v>1.2</v>
      </c>
      <c r="AI517" s="80">
        <f>IF(Q517="","",IF(Q517="SIM",VLOOKUP($I517&amp;$J517&amp;Q$1,Pesos!$A:$I,7,FALSE),VLOOKUP($I517&amp;$J517&amp;Q$1,Pesos!$A:$I,9,FALSE)))</f>
        <v>0.8</v>
      </c>
      <c r="AJ517" s="80">
        <f>IF(R517="","",IF(R517="SIM",VLOOKUP($I517&amp;$J517&amp;R$1,Pesos!$A:$I,7,FALSE),VLOOKUP($I517&amp;$J517&amp;R$1,Pesos!$A:$I,9,FALSE)))</f>
        <v>0.8</v>
      </c>
      <c r="AK517" s="80">
        <f>IF(S517="","",IF(S517="SIM",VLOOKUP($I517&amp;$J517&amp;S$1,Pesos!$A:$I,7,FALSE),VLOOKUP($I517&amp;$J517&amp;S$1,Pesos!$A:$I,9,FALSE)))</f>
        <v>0.8</v>
      </c>
      <c r="AL517" s="80">
        <f t="shared" si="73"/>
        <v>5.1999999999999993</v>
      </c>
      <c r="AM517" s="80">
        <f>IF(T517="","",IF(T517="SIM",VLOOKUP($I517&amp;$J517&amp;T$1,Pesos!$A:$I,7,FALSE),VLOOKUP($I517&amp;$J517&amp;T$1,Pesos!$A:$I,9,FALSE)))</f>
        <v>0.8</v>
      </c>
      <c r="AN517" s="80">
        <f>IF(U517="","",IF(U517="SIM",VLOOKUP($I517&amp;$J517&amp;U$1,Pesos!$A:$I,7,FALSE),VLOOKUP($I517&amp;$J517&amp;U$1,Pesos!$A:$I,9,FALSE)))</f>
        <v>0.8</v>
      </c>
      <c r="AO517" s="80">
        <f>IF(V517="","",IF(V517="SIM",VLOOKUP($I517&amp;$J517&amp;V$1,Pesos!$A:$I,7,FALSE),VLOOKUP($I517&amp;$J517&amp;V$1,Pesos!$A:$I,9,FALSE)))</f>
        <v>0.8</v>
      </c>
      <c r="AP517" s="80">
        <f>IF(W517="","",IF(W517="SIM",VLOOKUP($I517&amp;$J517&amp;W$1,Pesos!$A:$I,7,FALSE),VLOOKUP($I517&amp;$J517&amp;W$1,Pesos!$A:$I,9,FALSE)))</f>
        <v>0.8</v>
      </c>
      <c r="AQ517" s="80">
        <f>IF(X517="","",IF(X517="SIM",VLOOKUP($I517&amp;$J517&amp;X$1,Pesos!$A:$I,7,FALSE),VLOOKUP($I517&amp;$J517&amp;X$1,Pesos!$A:$I,9,FALSE)))</f>
        <v>0.8</v>
      </c>
      <c r="AR517" s="80">
        <f>IF(Y517="","",IF(Y517="SIM",VLOOKUP($I517&amp;$J517&amp;Y$1,Pesos!$A:$I,7,FALSE),VLOOKUP($I517&amp;$J517&amp;Y$1,Pesos!$A:$I,9,FALSE)))</f>
        <v>0.8</v>
      </c>
      <c r="AS517" s="81">
        <f>IFERROR(Z517*VLOOKUP(J517,'BD Campos'!$Y$1:$Z$12,2,FALSE),"0")</f>
        <v>10</v>
      </c>
    </row>
    <row r="518" spans="1:45" x14ac:dyDescent="0.35">
      <c r="A518" s="68" t="str">
        <f t="shared" si="80"/>
        <v>Fev20254183ClienteUTI (RJ)</v>
      </c>
      <c r="B518" s="69" t="str">
        <f t="shared" si="81"/>
        <v>Fev202541831UTI (RJ)PADRÃO</v>
      </c>
      <c r="C518" s="70">
        <v>1</v>
      </c>
      <c r="D518" s="71">
        <v>45699.433106481483</v>
      </c>
      <c r="E518" s="112" t="s">
        <v>338</v>
      </c>
      <c r="F518" s="72">
        <v>4183</v>
      </c>
      <c r="G518" s="69" t="s">
        <v>227</v>
      </c>
      <c r="H518" s="73">
        <v>1</v>
      </c>
      <c r="I518" s="69" t="s">
        <v>123</v>
      </c>
      <c r="J518" s="69" t="s">
        <v>124</v>
      </c>
      <c r="K518" s="69" t="s">
        <v>278</v>
      </c>
      <c r="L518" s="74">
        <v>31047419</v>
      </c>
      <c r="M518" s="75">
        <v>1.5162037037037036E-3</v>
      </c>
      <c r="N518" s="76" t="s">
        <v>79</v>
      </c>
      <c r="O518" s="76" t="s">
        <v>79</v>
      </c>
      <c r="P518" s="76" t="s">
        <v>79</v>
      </c>
      <c r="Q518" s="76" t="s">
        <v>79</v>
      </c>
      <c r="R518" s="76" t="s">
        <v>79</v>
      </c>
      <c r="S518" s="76" t="s">
        <v>83</v>
      </c>
      <c r="T518" s="76" t="s">
        <v>79</v>
      </c>
      <c r="U518" s="76" t="s">
        <v>83</v>
      </c>
      <c r="V518" s="76" t="s">
        <v>83</v>
      </c>
      <c r="W518" s="76" t="s">
        <v>83</v>
      </c>
      <c r="X518" s="76" t="s">
        <v>83</v>
      </c>
      <c r="Y518" s="76"/>
      <c r="Z518" s="77">
        <f t="shared" si="79"/>
        <v>5.17</v>
      </c>
      <c r="AA518" s="78"/>
      <c r="AB518" s="78" t="s">
        <v>1665</v>
      </c>
      <c r="AC518" s="72" t="s">
        <v>47</v>
      </c>
      <c r="AE518" s="79" t="str">
        <f t="shared" si="82"/>
        <v>Fev4183</v>
      </c>
      <c r="AF518" s="80">
        <f>IF(N518="","",IF(N518="SIM",VLOOKUP($I518&amp;$J518&amp;N$1,Pesos!$A:$I,7,FALSE),VLOOKUP($I518&amp;$J518&amp;N$1,Pesos!$A:$I,9,FALSE)))</f>
        <v>0.89999999999999991</v>
      </c>
      <c r="AG518" s="80">
        <f>IF(O518="","",IF(O518="SIM",VLOOKUP($I518&amp;$J518&amp;O$1,Pesos!$A:$I,7,FALSE),VLOOKUP($I518&amp;$J518&amp;O$1,Pesos!$A:$I,9,FALSE)))</f>
        <v>0.89999999999999991</v>
      </c>
      <c r="AH518" s="80">
        <f>IF(P518="","",IF(P518="SIM",VLOOKUP($I518&amp;$J518&amp;P$1,Pesos!$A:$I,7,FALSE),VLOOKUP($I518&amp;$J518&amp;P$1,Pesos!$A:$I,9,FALSE)))</f>
        <v>0.89999999999999991</v>
      </c>
      <c r="AI518" s="80">
        <f>IF(Q518="","",IF(Q518="SIM",VLOOKUP($I518&amp;$J518&amp;Q$1,Pesos!$A:$I,7,FALSE),VLOOKUP($I518&amp;$J518&amp;Q$1,Pesos!$A:$I,9,FALSE)))</f>
        <v>0.89999999999999991</v>
      </c>
      <c r="AJ518" s="80">
        <f>IF(R518="","",IF(R518="SIM",VLOOKUP($I518&amp;$J518&amp;R$1,Pesos!$A:$I,7,FALSE),VLOOKUP($I518&amp;$J518&amp;R$1,Pesos!$A:$I,9,FALSE)))</f>
        <v>0.89999999999999991</v>
      </c>
      <c r="AK518" s="80">
        <f>IF(S518="","",IF(S518="SIM",VLOOKUP($I518&amp;$J518&amp;S$1,Pesos!$A:$I,7,FALSE),VLOOKUP($I518&amp;$J518&amp;S$1,Pesos!$A:$I,9,FALSE)))</f>
        <v>-4.4999999999999998E-2</v>
      </c>
      <c r="AL518" s="80">
        <f t="shared" si="73"/>
        <v>4.4550000000000001</v>
      </c>
      <c r="AM518" s="80">
        <f>IF(T518="","",IF(T518="SIM",VLOOKUP($I518&amp;$J518&amp;T$1,Pesos!$A:$I,7,FALSE),VLOOKUP($I518&amp;$J518&amp;T$1,Pesos!$A:$I,9,FALSE)))</f>
        <v>0.89999999999999991</v>
      </c>
      <c r="AN518" s="80">
        <f>IF(U518="","",IF(U518="SIM",VLOOKUP($I518&amp;$J518&amp;U$1,Pesos!$A:$I,7,FALSE),VLOOKUP($I518&amp;$J518&amp;U$1,Pesos!$A:$I,9,FALSE)))</f>
        <v>-4.7500000000000001E-2</v>
      </c>
      <c r="AO518" s="80">
        <f>IF(V518="","",IF(V518="SIM",VLOOKUP($I518&amp;$J518&amp;V$1,Pesos!$A:$I,7,FALSE),VLOOKUP($I518&amp;$J518&amp;V$1,Pesos!$A:$I,9,FALSE)))</f>
        <v>-4.7500000000000001E-2</v>
      </c>
      <c r="AP518" s="80">
        <f>IF(W518="","",IF(W518="SIM",VLOOKUP($I518&amp;$J518&amp;W$1,Pesos!$A:$I,7,FALSE),VLOOKUP($I518&amp;$J518&amp;W$1,Pesos!$A:$I,9,FALSE)))</f>
        <v>-4.4999999999999998E-2</v>
      </c>
      <c r="AQ518" s="80">
        <f>IF(X518="","",IF(X518="SIM",VLOOKUP($I518&amp;$J518&amp;X$1,Pesos!$A:$I,7,FALSE),VLOOKUP($I518&amp;$J518&amp;X$1,Pesos!$A:$I,9,FALSE)))</f>
        <v>-4.4999999999999998E-2</v>
      </c>
      <c r="AR518" s="80" t="str">
        <f>IF(Y518="","",IF(Y518="SIM",VLOOKUP($I518&amp;$J518&amp;Y$1,Pesos!$A:$I,7,FALSE),VLOOKUP($I518&amp;$J518&amp;Y$1,Pesos!$A:$I,9,FALSE)))</f>
        <v/>
      </c>
      <c r="AS518" s="81">
        <f>IFERROR(Z518*VLOOKUP(J518,'BD Campos'!$Y$1:$Z$12,2,FALSE),"0")</f>
        <v>5.17</v>
      </c>
    </row>
    <row r="519" spans="1:45" x14ac:dyDescent="0.35">
      <c r="A519" s="68" t="str">
        <f t="shared" si="80"/>
        <v>Fev20254183ReceptivaUTI (RJ)</v>
      </c>
      <c r="B519" s="69" t="str">
        <f t="shared" si="81"/>
        <v>Fev202541835UTI (RJ)PADRÃO</v>
      </c>
      <c r="C519" s="70">
        <v>1</v>
      </c>
      <c r="D519" s="71">
        <v>45699.435054166664</v>
      </c>
      <c r="E519" s="112" t="s">
        <v>338</v>
      </c>
      <c r="F519" s="72">
        <v>4183</v>
      </c>
      <c r="G519" s="69" t="s">
        <v>227</v>
      </c>
      <c r="H519" s="73">
        <v>5</v>
      </c>
      <c r="I519" s="69" t="s">
        <v>6</v>
      </c>
      <c r="J519" s="69" t="s">
        <v>98</v>
      </c>
      <c r="K519" s="69" t="s">
        <v>278</v>
      </c>
      <c r="L519" s="74"/>
      <c r="M519" s="75">
        <v>8.1018518518518516E-4</v>
      </c>
      <c r="N519" s="76" t="s">
        <v>83</v>
      </c>
      <c r="O519" s="76" t="s">
        <v>79</v>
      </c>
      <c r="P519" s="76" t="s">
        <v>79</v>
      </c>
      <c r="Q519" s="76" t="s">
        <v>79</v>
      </c>
      <c r="R519" s="76" t="s">
        <v>79</v>
      </c>
      <c r="S519" s="76" t="s">
        <v>79</v>
      </c>
      <c r="T519" s="76" t="s">
        <v>79</v>
      </c>
      <c r="U519" s="76" t="s">
        <v>79</v>
      </c>
      <c r="V519" s="76" t="s">
        <v>79</v>
      </c>
      <c r="W519" s="76" t="s">
        <v>79</v>
      </c>
      <c r="X519" s="76" t="s">
        <v>79</v>
      </c>
      <c r="Y519" s="76" t="s">
        <v>79</v>
      </c>
      <c r="Z519" s="77">
        <f t="shared" si="79"/>
        <v>9.16</v>
      </c>
      <c r="AA519" s="78" t="s">
        <v>1616</v>
      </c>
      <c r="AB519" s="78"/>
      <c r="AC519" s="72" t="s">
        <v>47</v>
      </c>
      <c r="AE519" s="79" t="str">
        <f t="shared" si="82"/>
        <v>Fev4183</v>
      </c>
      <c r="AF519" s="80">
        <f>IF(N519="","",IF(N519="SIM",VLOOKUP($I519&amp;$J519&amp;N$1,Pesos!$A:$I,7,FALSE),VLOOKUP($I519&amp;$J519&amp;N$1,Pesos!$A:$I,9,FALSE)))</f>
        <v>-4.0000000000000008E-2</v>
      </c>
      <c r="AG519" s="80">
        <f>IF(O519="","",IF(O519="SIM",VLOOKUP($I519&amp;$J519&amp;O$1,Pesos!$A:$I,7,FALSE),VLOOKUP($I519&amp;$J519&amp;O$1,Pesos!$A:$I,9,FALSE)))</f>
        <v>0.8</v>
      </c>
      <c r="AH519" s="80">
        <f>IF(P519="","",IF(P519="SIM",VLOOKUP($I519&amp;$J519&amp;P$1,Pesos!$A:$I,7,FALSE),VLOOKUP($I519&amp;$J519&amp;P$1,Pesos!$A:$I,9,FALSE)))</f>
        <v>1.2</v>
      </c>
      <c r="AI519" s="80">
        <f>IF(Q519="","",IF(Q519="SIM",VLOOKUP($I519&amp;$J519&amp;Q$1,Pesos!$A:$I,7,FALSE),VLOOKUP($I519&amp;$J519&amp;Q$1,Pesos!$A:$I,9,FALSE)))</f>
        <v>0.8</v>
      </c>
      <c r="AJ519" s="80">
        <f>IF(R519="","",IF(R519="SIM",VLOOKUP($I519&amp;$J519&amp;R$1,Pesos!$A:$I,7,FALSE),VLOOKUP($I519&amp;$J519&amp;R$1,Pesos!$A:$I,9,FALSE)))</f>
        <v>0.8</v>
      </c>
      <c r="AK519" s="80">
        <f>IF(S519="","",IF(S519="SIM",VLOOKUP($I519&amp;$J519&amp;S$1,Pesos!$A:$I,7,FALSE),VLOOKUP($I519&amp;$J519&amp;S$1,Pesos!$A:$I,9,FALSE)))</f>
        <v>0.8</v>
      </c>
      <c r="AL519" s="80">
        <f t="shared" si="73"/>
        <v>4.3599999999999994</v>
      </c>
      <c r="AM519" s="80">
        <f>IF(T519="","",IF(T519="SIM",VLOOKUP($I519&amp;$J519&amp;T$1,Pesos!$A:$I,7,FALSE),VLOOKUP($I519&amp;$J519&amp;T$1,Pesos!$A:$I,9,FALSE)))</f>
        <v>0.8</v>
      </c>
      <c r="AN519" s="80">
        <f>IF(U519="","",IF(U519="SIM",VLOOKUP($I519&amp;$J519&amp;U$1,Pesos!$A:$I,7,FALSE),VLOOKUP($I519&amp;$J519&amp;U$1,Pesos!$A:$I,9,FALSE)))</f>
        <v>0.8</v>
      </c>
      <c r="AO519" s="80">
        <f>IF(V519="","",IF(V519="SIM",VLOOKUP($I519&amp;$J519&amp;V$1,Pesos!$A:$I,7,FALSE),VLOOKUP($I519&amp;$J519&amp;V$1,Pesos!$A:$I,9,FALSE)))</f>
        <v>0.8</v>
      </c>
      <c r="AP519" s="80">
        <f>IF(W519="","",IF(W519="SIM",VLOOKUP($I519&amp;$J519&amp;W$1,Pesos!$A:$I,7,FALSE),VLOOKUP($I519&amp;$J519&amp;W$1,Pesos!$A:$I,9,FALSE)))</f>
        <v>0.8</v>
      </c>
      <c r="AQ519" s="80">
        <f>IF(X519="","",IF(X519="SIM",VLOOKUP($I519&amp;$J519&amp;X$1,Pesos!$A:$I,7,FALSE),VLOOKUP($I519&amp;$J519&amp;X$1,Pesos!$A:$I,9,FALSE)))</f>
        <v>0.8</v>
      </c>
      <c r="AR519" s="80">
        <f>IF(Y519="","",IF(Y519="SIM",VLOOKUP($I519&amp;$J519&amp;Y$1,Pesos!$A:$I,7,FALSE),VLOOKUP($I519&amp;$J519&amp;Y$1,Pesos!$A:$I,9,FALSE)))</f>
        <v>0.8</v>
      </c>
      <c r="AS519" s="81">
        <f>IFERROR(Z519*VLOOKUP(J519,'BD Campos'!$Y$1:$Z$12,2,FALSE),"0")</f>
        <v>9.16</v>
      </c>
    </row>
    <row r="520" spans="1:45" x14ac:dyDescent="0.35">
      <c r="A520" s="68" t="str">
        <f t="shared" si="80"/>
        <v>Fev202510858MotoristaUTI</v>
      </c>
      <c r="B520" s="69" t="str">
        <f t="shared" si="81"/>
        <v>Fev2025108581UTIPADRÃO</v>
      </c>
      <c r="C520" s="70">
        <v>1</v>
      </c>
      <c r="D520" s="71">
        <v>45699.437148611112</v>
      </c>
      <c r="E520" s="112" t="s">
        <v>338</v>
      </c>
      <c r="F520" s="72">
        <v>10858</v>
      </c>
      <c r="G520" s="69" t="s">
        <v>170</v>
      </c>
      <c r="H520" s="73">
        <v>1</v>
      </c>
      <c r="I520" s="69" t="s">
        <v>147</v>
      </c>
      <c r="J520" s="69" t="s">
        <v>122</v>
      </c>
      <c r="K520" s="69" t="s">
        <v>131</v>
      </c>
      <c r="L520" s="74">
        <v>31088461</v>
      </c>
      <c r="M520" s="75">
        <v>1.4583333333333334E-3</v>
      </c>
      <c r="N520" s="76" t="s">
        <v>79</v>
      </c>
      <c r="O520" s="76" t="s">
        <v>79</v>
      </c>
      <c r="P520" s="76" t="s">
        <v>79</v>
      </c>
      <c r="Q520" s="76" t="s">
        <v>79</v>
      </c>
      <c r="R520" s="76" t="s">
        <v>79</v>
      </c>
      <c r="S520" s="76" t="s">
        <v>79</v>
      </c>
      <c r="T520" s="76" t="s">
        <v>79</v>
      </c>
      <c r="U520" s="76" t="s">
        <v>79</v>
      </c>
      <c r="V520" s="76"/>
      <c r="W520" s="76"/>
      <c r="X520" s="76"/>
      <c r="Y520" s="76"/>
      <c r="Z520" s="77">
        <f t="shared" si="79"/>
        <v>10</v>
      </c>
      <c r="AA520" s="78"/>
      <c r="AB520" s="78" t="s">
        <v>1666</v>
      </c>
      <c r="AC520" s="72" t="s">
        <v>47</v>
      </c>
      <c r="AE520" s="79" t="str">
        <f t="shared" si="82"/>
        <v>Fev10858</v>
      </c>
      <c r="AF520" s="80">
        <f>IF(N520="","",IF(N520="SIM",VLOOKUP($I520&amp;$J520&amp;N$1,Pesos!$A:$I,7,FALSE),VLOOKUP($I520&amp;$J520&amp;N$1,Pesos!$A:$I,9,FALSE)))</f>
        <v>1.1000000000000001</v>
      </c>
      <c r="AG520" s="80">
        <f>IF(O520="","",IF(O520="SIM",VLOOKUP($I520&amp;$J520&amp;O$1,Pesos!$A:$I,7,FALSE),VLOOKUP($I520&amp;$J520&amp;O$1,Pesos!$A:$I,9,FALSE)))</f>
        <v>1.1000000000000001</v>
      </c>
      <c r="AH520" s="80">
        <f>IF(P520="","",IF(P520="SIM",VLOOKUP($I520&amp;$J520&amp;P$1,Pesos!$A:$I,7,FALSE),VLOOKUP($I520&amp;$J520&amp;P$1,Pesos!$A:$I,9,FALSE)))</f>
        <v>1.1000000000000001</v>
      </c>
      <c r="AI520" s="80">
        <f>IF(Q520="","",IF(Q520="SIM",VLOOKUP($I520&amp;$J520&amp;Q$1,Pesos!$A:$I,7,FALSE),VLOOKUP($I520&amp;$J520&amp;Q$1,Pesos!$A:$I,9,FALSE)))</f>
        <v>1.1000000000000001</v>
      </c>
      <c r="AJ520" s="80">
        <f>IF(R520="","",IF(R520="SIM",VLOOKUP($I520&amp;$J520&amp;R$1,Pesos!$A:$I,7,FALSE),VLOOKUP($I520&amp;$J520&amp;R$1,Pesos!$A:$I,9,FALSE)))</f>
        <v>1.1000000000000001</v>
      </c>
      <c r="AK520" s="80">
        <f>IF(S520="","",IF(S520="SIM",VLOOKUP($I520&amp;$J520&amp;S$1,Pesos!$A:$I,7,FALSE),VLOOKUP($I520&amp;$J520&amp;S$1,Pesos!$A:$I,9,FALSE)))</f>
        <v>1.6</v>
      </c>
      <c r="AL520" s="80">
        <f t="shared" si="73"/>
        <v>7.1</v>
      </c>
      <c r="AM520" s="80">
        <f>IF(T520="","",IF(T520="SIM",VLOOKUP($I520&amp;$J520&amp;T$1,Pesos!$A:$I,7,FALSE),VLOOKUP($I520&amp;$J520&amp;T$1,Pesos!$A:$I,9,FALSE)))</f>
        <v>1.2</v>
      </c>
      <c r="AN520" s="80">
        <f>IF(U520="","",IF(U520="SIM",VLOOKUP($I520&amp;$J520&amp;U$1,Pesos!$A:$I,7,FALSE),VLOOKUP($I520&amp;$J520&amp;U$1,Pesos!$A:$I,9,FALSE)))</f>
        <v>1.7000000000000002</v>
      </c>
      <c r="AO520" s="80" t="str">
        <f>IF(V520="","",IF(V520="SIM",VLOOKUP($I520&amp;$J520&amp;V$1,Pesos!$A:$I,7,FALSE),VLOOKUP($I520&amp;$J520&amp;V$1,Pesos!$A:$I,9,FALSE)))</f>
        <v/>
      </c>
      <c r="AP520" s="80" t="str">
        <f>IF(W520="","",IF(W520="SIM",VLOOKUP($I520&amp;$J520&amp;W$1,Pesos!$A:$I,7,FALSE),VLOOKUP($I520&amp;$J520&amp;W$1,Pesos!$A:$I,9,FALSE)))</f>
        <v/>
      </c>
      <c r="AQ520" s="80" t="str">
        <f>IF(X520="","",IF(X520="SIM",VLOOKUP($I520&amp;$J520&amp;X$1,Pesos!$A:$I,7,FALSE),VLOOKUP($I520&amp;$J520&amp;X$1,Pesos!$A:$I,9,FALSE)))</f>
        <v/>
      </c>
      <c r="AR520" s="80" t="str">
        <f>IF(Y520="","",IF(Y520="SIM",VLOOKUP($I520&amp;$J520&amp;Y$1,Pesos!$A:$I,7,FALSE),VLOOKUP($I520&amp;$J520&amp;Y$1,Pesos!$A:$I,9,FALSE)))</f>
        <v/>
      </c>
      <c r="AS520" s="81">
        <f>IFERROR(Z520*VLOOKUP(J520,'BD Campos'!$Y$1:$Z$12,2,FALSE),"0")</f>
        <v>10</v>
      </c>
    </row>
    <row r="521" spans="1:45" x14ac:dyDescent="0.35">
      <c r="A521" s="68" t="str">
        <f t="shared" si="80"/>
        <v>Fev202510858ReceptivaUTI</v>
      </c>
      <c r="B521" s="69" t="str">
        <f t="shared" si="81"/>
        <v>Fev2025108585UTIPADRÃO</v>
      </c>
      <c r="C521" s="70">
        <v>1</v>
      </c>
      <c r="D521" s="71">
        <v>45699.444193750001</v>
      </c>
      <c r="E521" s="112" t="s">
        <v>338</v>
      </c>
      <c r="F521" s="72">
        <v>10858</v>
      </c>
      <c r="G521" s="69" t="s">
        <v>170</v>
      </c>
      <c r="H521" s="73">
        <v>5</v>
      </c>
      <c r="I521" s="69" t="s">
        <v>6</v>
      </c>
      <c r="J521" s="69" t="s">
        <v>98</v>
      </c>
      <c r="K521" s="69" t="s">
        <v>131</v>
      </c>
      <c r="L521" s="74"/>
      <c r="M521" s="75">
        <v>1.8171296296296297E-3</v>
      </c>
      <c r="N521" s="76" t="s">
        <v>79</v>
      </c>
      <c r="O521" s="76" t="s">
        <v>79</v>
      </c>
      <c r="P521" s="76" t="s">
        <v>79</v>
      </c>
      <c r="Q521" s="76" t="s">
        <v>79</v>
      </c>
      <c r="R521" s="76" t="s">
        <v>79</v>
      </c>
      <c r="S521" s="76" t="s">
        <v>79</v>
      </c>
      <c r="T521" s="76" t="s">
        <v>79</v>
      </c>
      <c r="U521" s="76" t="s">
        <v>79</v>
      </c>
      <c r="V521" s="76" t="s">
        <v>79</v>
      </c>
      <c r="W521" s="76" t="s">
        <v>79</v>
      </c>
      <c r="X521" s="76" t="s">
        <v>79</v>
      </c>
      <c r="Y521" s="76" t="s">
        <v>79</v>
      </c>
      <c r="Z521" s="77">
        <f t="shared" si="79"/>
        <v>10</v>
      </c>
      <c r="AA521" s="78"/>
      <c r="AB521" s="78"/>
      <c r="AC521" s="72" t="s">
        <v>47</v>
      </c>
      <c r="AE521" s="79" t="str">
        <f t="shared" si="82"/>
        <v>Fev10858</v>
      </c>
      <c r="AF521" s="80">
        <f>IF(N521="","",IF(N521="SIM",VLOOKUP($I521&amp;$J521&amp;N$1,Pesos!$A:$I,7,FALSE),VLOOKUP($I521&amp;$J521&amp;N$1,Pesos!$A:$I,9,FALSE)))</f>
        <v>0.8</v>
      </c>
      <c r="AG521" s="80">
        <f>IF(O521="","",IF(O521="SIM",VLOOKUP($I521&amp;$J521&amp;O$1,Pesos!$A:$I,7,FALSE),VLOOKUP($I521&amp;$J521&amp;O$1,Pesos!$A:$I,9,FALSE)))</f>
        <v>0.8</v>
      </c>
      <c r="AH521" s="80">
        <f>IF(P521="","",IF(P521="SIM",VLOOKUP($I521&amp;$J521&amp;P$1,Pesos!$A:$I,7,FALSE),VLOOKUP($I521&amp;$J521&amp;P$1,Pesos!$A:$I,9,FALSE)))</f>
        <v>1.2</v>
      </c>
      <c r="AI521" s="80">
        <f>IF(Q521="","",IF(Q521="SIM",VLOOKUP($I521&amp;$J521&amp;Q$1,Pesos!$A:$I,7,FALSE),VLOOKUP($I521&amp;$J521&amp;Q$1,Pesos!$A:$I,9,FALSE)))</f>
        <v>0.8</v>
      </c>
      <c r="AJ521" s="80">
        <f>IF(R521="","",IF(R521="SIM",VLOOKUP($I521&amp;$J521&amp;R$1,Pesos!$A:$I,7,FALSE),VLOOKUP($I521&amp;$J521&amp;R$1,Pesos!$A:$I,9,FALSE)))</f>
        <v>0.8</v>
      </c>
      <c r="AK521" s="80">
        <f>IF(S521="","",IF(S521="SIM",VLOOKUP($I521&amp;$J521&amp;S$1,Pesos!$A:$I,7,FALSE),VLOOKUP($I521&amp;$J521&amp;S$1,Pesos!$A:$I,9,FALSE)))</f>
        <v>0.8</v>
      </c>
      <c r="AL521" s="80">
        <f t="shared" si="73"/>
        <v>5.1999999999999993</v>
      </c>
      <c r="AM521" s="80">
        <f>IF(T521="","",IF(T521="SIM",VLOOKUP($I521&amp;$J521&amp;T$1,Pesos!$A:$I,7,FALSE),VLOOKUP($I521&amp;$J521&amp;T$1,Pesos!$A:$I,9,FALSE)))</f>
        <v>0.8</v>
      </c>
      <c r="AN521" s="80">
        <f>IF(U521="","",IF(U521="SIM",VLOOKUP($I521&amp;$J521&amp;U$1,Pesos!$A:$I,7,FALSE),VLOOKUP($I521&amp;$J521&amp;U$1,Pesos!$A:$I,9,FALSE)))</f>
        <v>0.8</v>
      </c>
      <c r="AO521" s="80">
        <f>IF(V521="","",IF(V521="SIM",VLOOKUP($I521&amp;$J521&amp;V$1,Pesos!$A:$I,7,FALSE),VLOOKUP($I521&amp;$J521&amp;V$1,Pesos!$A:$I,9,FALSE)))</f>
        <v>0.8</v>
      </c>
      <c r="AP521" s="80">
        <f>IF(W521="","",IF(W521="SIM",VLOOKUP($I521&amp;$J521&amp;W$1,Pesos!$A:$I,7,FALSE),VLOOKUP($I521&amp;$J521&amp;W$1,Pesos!$A:$I,9,FALSE)))</f>
        <v>0.8</v>
      </c>
      <c r="AQ521" s="80">
        <f>IF(X521="","",IF(X521="SIM",VLOOKUP($I521&amp;$J521&amp;X$1,Pesos!$A:$I,7,FALSE),VLOOKUP($I521&amp;$J521&amp;X$1,Pesos!$A:$I,9,FALSE)))</f>
        <v>0.8</v>
      </c>
      <c r="AR521" s="80">
        <f>IF(Y521="","",IF(Y521="SIM",VLOOKUP($I521&amp;$J521&amp;Y$1,Pesos!$A:$I,7,FALSE),VLOOKUP($I521&amp;$J521&amp;Y$1,Pesos!$A:$I,9,FALSE)))</f>
        <v>0.8</v>
      </c>
      <c r="AS521" s="81">
        <f>IFERROR(Z521*VLOOKUP(J521,'BD Campos'!$Y$1:$Z$12,2,FALSE),"0")</f>
        <v>10</v>
      </c>
    </row>
    <row r="522" spans="1:45" x14ac:dyDescent="0.35">
      <c r="A522" s="68" t="str">
        <f t="shared" si="80"/>
        <v>Fev202510979PoliciaBAS</v>
      </c>
      <c r="B522" s="69" t="str">
        <f t="shared" si="81"/>
        <v>Fev2025109791BASPADRÃO</v>
      </c>
      <c r="C522" s="70">
        <v>1</v>
      </c>
      <c r="D522" s="71">
        <v>45699.456785995368</v>
      </c>
      <c r="E522" s="112" t="s">
        <v>338</v>
      </c>
      <c r="F522" s="72">
        <v>10979</v>
      </c>
      <c r="G522" s="69" t="s">
        <v>160</v>
      </c>
      <c r="H522" s="73">
        <v>1</v>
      </c>
      <c r="I522" s="69" t="s">
        <v>147</v>
      </c>
      <c r="J522" s="69" t="s">
        <v>146</v>
      </c>
      <c r="K522" s="69" t="s">
        <v>303</v>
      </c>
      <c r="L522" s="74">
        <v>31079555</v>
      </c>
      <c r="M522" s="75">
        <v>2.9282407407407412E-3</v>
      </c>
      <c r="N522" s="76" t="s">
        <v>79</v>
      </c>
      <c r="O522" s="76" t="s">
        <v>79</v>
      </c>
      <c r="P522" s="76" t="s">
        <v>79</v>
      </c>
      <c r="Q522" s="76" t="s">
        <v>79</v>
      </c>
      <c r="R522" s="76" t="s">
        <v>79</v>
      </c>
      <c r="S522" s="76" t="s">
        <v>79</v>
      </c>
      <c r="T522" s="76" t="s">
        <v>79</v>
      </c>
      <c r="U522" s="76" t="s">
        <v>79</v>
      </c>
      <c r="V522" s="76" t="s">
        <v>79</v>
      </c>
      <c r="W522" s="76" t="s">
        <v>79</v>
      </c>
      <c r="X522" s="76" t="s">
        <v>79</v>
      </c>
      <c r="Y522" s="76" t="s">
        <v>79</v>
      </c>
      <c r="Z522" s="77">
        <f t="shared" si="79"/>
        <v>10</v>
      </c>
      <c r="AA522" s="78"/>
      <c r="AB522" s="78" t="s">
        <v>1667</v>
      </c>
      <c r="AC522" s="72" t="s">
        <v>47</v>
      </c>
      <c r="AE522" s="79" t="str">
        <f t="shared" si="82"/>
        <v>Fev10979</v>
      </c>
      <c r="AF522" s="80">
        <f>IF(N522="","",IF(N522="SIM",VLOOKUP($I522&amp;$J522&amp;N$1,Pesos!$A:$I,7,FALSE),VLOOKUP($I522&amp;$J522&amp;N$1,Pesos!$A:$I,9,FALSE)))</f>
        <v>0.8</v>
      </c>
      <c r="AG522" s="80">
        <f>IF(O522="","",IF(O522="SIM",VLOOKUP($I522&amp;$J522&amp;O$1,Pesos!$A:$I,7,FALSE),VLOOKUP($I522&amp;$J522&amp;O$1,Pesos!$A:$I,9,FALSE)))</f>
        <v>0.8</v>
      </c>
      <c r="AH522" s="80">
        <f>IF(P522="","",IF(P522="SIM",VLOOKUP($I522&amp;$J522&amp;P$1,Pesos!$A:$I,7,FALSE),VLOOKUP($I522&amp;$J522&amp;P$1,Pesos!$A:$I,9,FALSE)))</f>
        <v>0.8</v>
      </c>
      <c r="AI522" s="80">
        <f>IF(Q522="","",IF(Q522="SIM",VLOOKUP($I522&amp;$J522&amp;Q$1,Pesos!$A:$I,7,FALSE),VLOOKUP($I522&amp;$J522&amp;Q$1,Pesos!$A:$I,9,FALSE)))</f>
        <v>0.8</v>
      </c>
      <c r="AJ522" s="80">
        <f>IF(R522="","",IF(R522="SIM",VLOOKUP($I522&amp;$J522&amp;R$1,Pesos!$A:$I,7,FALSE),VLOOKUP($I522&amp;$J522&amp;R$1,Pesos!$A:$I,9,FALSE)))</f>
        <v>0.8</v>
      </c>
      <c r="AK522" s="80">
        <f>IF(S522="","",IF(S522="SIM",VLOOKUP($I522&amp;$J522&amp;S$1,Pesos!$A:$I,7,FALSE),VLOOKUP($I522&amp;$J522&amp;S$1,Pesos!$A:$I,9,FALSE)))</f>
        <v>0.8</v>
      </c>
      <c r="AL522" s="80">
        <f t="shared" si="73"/>
        <v>4.8</v>
      </c>
      <c r="AM522" s="80">
        <f>IF(T522="","",IF(T522="SIM",VLOOKUP($I522&amp;$J522&amp;T$1,Pesos!$A:$I,7,FALSE),VLOOKUP($I522&amp;$J522&amp;T$1,Pesos!$A:$I,9,FALSE)))</f>
        <v>0.8</v>
      </c>
      <c r="AN522" s="80">
        <f>IF(U522="","",IF(U522="SIM",VLOOKUP($I522&amp;$J522&amp;U$1,Pesos!$A:$I,7,FALSE),VLOOKUP($I522&amp;$J522&amp;U$1,Pesos!$A:$I,9,FALSE)))</f>
        <v>0.8</v>
      </c>
      <c r="AO522" s="80">
        <f>IF(V522="","",IF(V522="SIM",VLOOKUP($I522&amp;$J522&amp;V$1,Pesos!$A:$I,7,FALSE),VLOOKUP($I522&amp;$J522&amp;V$1,Pesos!$A:$I,9,FALSE)))</f>
        <v>0.8</v>
      </c>
      <c r="AP522" s="80">
        <f>IF(W522="","",IF(W522="SIM",VLOOKUP($I522&amp;$J522&amp;W$1,Pesos!$A:$I,7,FALSE),VLOOKUP($I522&amp;$J522&amp;W$1,Pesos!$A:$I,9,FALSE)))</f>
        <v>0.8</v>
      </c>
      <c r="AQ522" s="80">
        <f>IF(X522="","",IF(X522="SIM",VLOOKUP($I522&amp;$J522&amp;X$1,Pesos!$A:$I,7,FALSE),VLOOKUP($I522&amp;$J522&amp;X$1,Pesos!$A:$I,9,FALSE)))</f>
        <v>1</v>
      </c>
      <c r="AR522" s="80">
        <f>IF(Y522="","",IF(Y522="SIM",VLOOKUP($I522&amp;$J522&amp;Y$1,Pesos!$A:$I,7,FALSE),VLOOKUP($I522&amp;$J522&amp;Y$1,Pesos!$A:$I,9,FALSE)))</f>
        <v>1</v>
      </c>
      <c r="AS522" s="81">
        <f>IFERROR(Z522*VLOOKUP(J522,'BD Campos'!$Y$1:$Z$12,2,FALSE),"0")</f>
        <v>10</v>
      </c>
    </row>
    <row r="523" spans="1:45" x14ac:dyDescent="0.35">
      <c r="A523" s="68" t="str">
        <f t="shared" si="80"/>
        <v>Fev202510979Policia 2BAS</v>
      </c>
      <c r="B523" s="69" t="str">
        <f t="shared" si="81"/>
        <v>Fev2025109792BASPADRÃO</v>
      </c>
      <c r="C523" s="70">
        <v>1</v>
      </c>
      <c r="D523" s="71">
        <v>45699.459075578707</v>
      </c>
      <c r="E523" s="112" t="s">
        <v>338</v>
      </c>
      <c r="F523" s="72">
        <v>10979</v>
      </c>
      <c r="G523" s="69" t="s">
        <v>160</v>
      </c>
      <c r="H523" s="73">
        <v>2</v>
      </c>
      <c r="I523" s="69" t="s">
        <v>147</v>
      </c>
      <c r="J523" s="69" t="s">
        <v>304</v>
      </c>
      <c r="K523" s="69" t="s">
        <v>303</v>
      </c>
      <c r="L523" s="74">
        <v>31145061</v>
      </c>
      <c r="M523" s="75">
        <v>1.6435185185185183E-3</v>
      </c>
      <c r="N523" s="76" t="s">
        <v>79</v>
      </c>
      <c r="O523" s="76" t="s">
        <v>79</v>
      </c>
      <c r="P523" s="76" t="s">
        <v>79</v>
      </c>
      <c r="Q523" s="76" t="s">
        <v>79</v>
      </c>
      <c r="R523" s="76" t="s">
        <v>79</v>
      </c>
      <c r="S523" s="76" t="s">
        <v>79</v>
      </c>
      <c r="T523" s="76" t="s">
        <v>79</v>
      </c>
      <c r="U523" s="76" t="s">
        <v>79</v>
      </c>
      <c r="V523" s="76" t="s">
        <v>79</v>
      </c>
      <c r="W523" s="76" t="s">
        <v>79</v>
      </c>
      <c r="X523" s="76" t="s">
        <v>79</v>
      </c>
      <c r="Y523" s="76" t="s">
        <v>79</v>
      </c>
      <c r="Z523" s="77">
        <f t="shared" si="79"/>
        <v>10</v>
      </c>
      <c r="AA523" s="78"/>
      <c r="AB523" s="78" t="s">
        <v>1668</v>
      </c>
      <c r="AC523" s="72" t="s">
        <v>47</v>
      </c>
      <c r="AE523" s="79" t="str">
        <f t="shared" si="82"/>
        <v>Fev10979</v>
      </c>
      <c r="AF523" s="80">
        <f>IF(N523="","",IF(N523="SIM",VLOOKUP($I523&amp;$J523&amp;N$1,Pesos!$A:$I,7,FALSE),VLOOKUP($I523&amp;$J523&amp;N$1,Pesos!$A:$I,9,FALSE)))</f>
        <v>0.8</v>
      </c>
      <c r="AG523" s="80">
        <f>IF(O523="","",IF(O523="SIM",VLOOKUP($I523&amp;$J523&amp;O$1,Pesos!$A:$I,7,FALSE),VLOOKUP($I523&amp;$J523&amp;O$1,Pesos!$A:$I,9,FALSE)))</f>
        <v>0.8</v>
      </c>
      <c r="AH523" s="80">
        <f>IF(P523="","",IF(P523="SIM",VLOOKUP($I523&amp;$J523&amp;P$1,Pesos!$A:$I,7,FALSE),VLOOKUP($I523&amp;$J523&amp;P$1,Pesos!$A:$I,9,FALSE)))</f>
        <v>0.8</v>
      </c>
      <c r="AI523" s="80">
        <f>IF(Q523="","",IF(Q523="SIM",VLOOKUP($I523&amp;$J523&amp;Q$1,Pesos!$A:$I,7,FALSE),VLOOKUP($I523&amp;$J523&amp;Q$1,Pesos!$A:$I,9,FALSE)))</f>
        <v>0.8</v>
      </c>
      <c r="AJ523" s="80">
        <f>IF(R523="","",IF(R523="SIM",VLOOKUP($I523&amp;$J523&amp;R$1,Pesos!$A:$I,7,FALSE),VLOOKUP($I523&amp;$J523&amp;R$1,Pesos!$A:$I,9,FALSE)))</f>
        <v>0.8</v>
      </c>
      <c r="AK523" s="80">
        <f>IF(S523="","",IF(S523="SIM",VLOOKUP($I523&amp;$J523&amp;S$1,Pesos!$A:$I,7,FALSE),VLOOKUP($I523&amp;$J523&amp;S$1,Pesos!$A:$I,9,FALSE)))</f>
        <v>0.8</v>
      </c>
      <c r="AL523" s="80">
        <f t="shared" si="73"/>
        <v>4.8</v>
      </c>
      <c r="AM523" s="80">
        <f>IF(T523="","",IF(T523="SIM",VLOOKUP($I523&amp;$J523&amp;T$1,Pesos!$A:$I,7,FALSE),VLOOKUP($I523&amp;$J523&amp;T$1,Pesos!$A:$I,9,FALSE)))</f>
        <v>0.8</v>
      </c>
      <c r="AN523" s="80">
        <f>IF(U523="","",IF(U523="SIM",VLOOKUP($I523&amp;$J523&amp;U$1,Pesos!$A:$I,7,FALSE),VLOOKUP($I523&amp;$J523&amp;U$1,Pesos!$A:$I,9,FALSE)))</f>
        <v>0.8</v>
      </c>
      <c r="AO523" s="80">
        <f>IF(V523="","",IF(V523="SIM",VLOOKUP($I523&amp;$J523&amp;V$1,Pesos!$A:$I,7,FALSE),VLOOKUP($I523&amp;$J523&amp;V$1,Pesos!$A:$I,9,FALSE)))</f>
        <v>0.8</v>
      </c>
      <c r="AP523" s="80">
        <f>IF(W523="","",IF(W523="SIM",VLOOKUP($I523&amp;$J523&amp;W$1,Pesos!$A:$I,7,FALSE),VLOOKUP($I523&amp;$J523&amp;W$1,Pesos!$A:$I,9,FALSE)))</f>
        <v>0.8</v>
      </c>
      <c r="AQ523" s="80">
        <f>IF(X523="","",IF(X523="SIM",VLOOKUP($I523&amp;$J523&amp;X$1,Pesos!$A:$I,7,FALSE),VLOOKUP($I523&amp;$J523&amp;X$1,Pesos!$A:$I,9,FALSE)))</f>
        <v>1</v>
      </c>
      <c r="AR523" s="80">
        <f>IF(Y523="","",IF(Y523="SIM",VLOOKUP($I523&amp;$J523&amp;Y$1,Pesos!$A:$I,7,FALSE),VLOOKUP($I523&amp;$J523&amp;Y$1,Pesos!$A:$I,9,FALSE)))</f>
        <v>1</v>
      </c>
      <c r="AS523" s="81" t="str">
        <f>IFERROR(Z523*VLOOKUP(J523,'BD Campos'!$Y$1:$Z$12,2,FALSE),"0")</f>
        <v>0</v>
      </c>
    </row>
    <row r="524" spans="1:45" x14ac:dyDescent="0.35">
      <c r="A524" s="68" t="str">
        <f t="shared" si="80"/>
        <v>Fev202510788MotoristaUTI</v>
      </c>
      <c r="B524" s="69" t="str">
        <f t="shared" si="81"/>
        <v>Fev2025107881UTIPADRÃO</v>
      </c>
      <c r="C524" s="70">
        <v>1</v>
      </c>
      <c r="D524" s="71">
        <v>45699.464260879628</v>
      </c>
      <c r="E524" s="112" t="s">
        <v>338</v>
      </c>
      <c r="F524" s="72">
        <v>10788</v>
      </c>
      <c r="G524" s="69" t="s">
        <v>153</v>
      </c>
      <c r="H524" s="73">
        <v>1</v>
      </c>
      <c r="I524" s="69" t="s">
        <v>123</v>
      </c>
      <c r="J524" s="69" t="s">
        <v>122</v>
      </c>
      <c r="K524" s="69" t="s">
        <v>131</v>
      </c>
      <c r="L524" s="74">
        <v>31049636</v>
      </c>
      <c r="M524" s="75">
        <v>1.7939814814814815E-3</v>
      </c>
      <c r="N524" s="76" t="s">
        <v>79</v>
      </c>
      <c r="O524" s="76" t="s">
        <v>79</v>
      </c>
      <c r="P524" s="76" t="s">
        <v>79</v>
      </c>
      <c r="Q524" s="76" t="s">
        <v>79</v>
      </c>
      <c r="R524" s="76" t="s">
        <v>79</v>
      </c>
      <c r="S524" s="76" t="s">
        <v>79</v>
      </c>
      <c r="T524" s="76" t="s">
        <v>79</v>
      </c>
      <c r="U524" s="76" t="s">
        <v>79</v>
      </c>
      <c r="V524" s="76" t="s">
        <v>79</v>
      </c>
      <c r="W524" s="76" t="s">
        <v>79</v>
      </c>
      <c r="X524" s="76"/>
      <c r="Y524" s="76"/>
      <c r="Z524" s="77">
        <f t="shared" si="79"/>
        <v>10</v>
      </c>
      <c r="AA524" s="78"/>
      <c r="AB524" s="78" t="s">
        <v>1669</v>
      </c>
      <c r="AC524" s="72" t="s">
        <v>47</v>
      </c>
      <c r="AE524" s="79" t="str">
        <f t="shared" si="82"/>
        <v>Fev10788</v>
      </c>
      <c r="AF524" s="80">
        <f>IF(N524="","",IF(N524="SIM",VLOOKUP($I524&amp;$J524&amp;N$1,Pesos!$A:$I,7,FALSE),VLOOKUP($I524&amp;$J524&amp;N$1,Pesos!$A:$I,9,FALSE)))</f>
        <v>1</v>
      </c>
      <c r="AG524" s="80">
        <f>IF(O524="","",IF(O524="SIM",VLOOKUP($I524&amp;$J524&amp;O$1,Pesos!$A:$I,7,FALSE),VLOOKUP($I524&amp;$J524&amp;O$1,Pesos!$A:$I,9,FALSE)))</f>
        <v>1</v>
      </c>
      <c r="AH524" s="80">
        <f>IF(P524="","",IF(P524="SIM",VLOOKUP($I524&amp;$J524&amp;P$1,Pesos!$A:$I,7,FALSE),VLOOKUP($I524&amp;$J524&amp;P$1,Pesos!$A:$I,9,FALSE)))</f>
        <v>1</v>
      </c>
      <c r="AI524" s="80">
        <f>IF(Q524="","",IF(Q524="SIM",VLOOKUP($I524&amp;$J524&amp;Q$1,Pesos!$A:$I,7,FALSE),VLOOKUP($I524&amp;$J524&amp;Q$1,Pesos!$A:$I,9,FALSE)))</f>
        <v>1</v>
      </c>
      <c r="AJ524" s="80">
        <f>IF(R524="","",IF(R524="SIM",VLOOKUP($I524&amp;$J524&amp;R$1,Pesos!$A:$I,7,FALSE),VLOOKUP($I524&amp;$J524&amp;R$1,Pesos!$A:$I,9,FALSE)))</f>
        <v>1</v>
      </c>
      <c r="AK524" s="80">
        <f>IF(S524="","",IF(S524="SIM",VLOOKUP($I524&amp;$J524&amp;S$1,Pesos!$A:$I,7,FALSE),VLOOKUP($I524&amp;$J524&amp;S$1,Pesos!$A:$I,9,FALSE)))</f>
        <v>1</v>
      </c>
      <c r="AL524" s="80">
        <f t="shared" si="73"/>
        <v>6</v>
      </c>
      <c r="AM524" s="80">
        <f>IF(T524="","",IF(T524="SIM",VLOOKUP($I524&amp;$J524&amp;T$1,Pesos!$A:$I,7,FALSE),VLOOKUP($I524&amp;$J524&amp;T$1,Pesos!$A:$I,9,FALSE)))</f>
        <v>1</v>
      </c>
      <c r="AN524" s="80">
        <f>IF(U524="","",IF(U524="SIM",VLOOKUP($I524&amp;$J524&amp;U$1,Pesos!$A:$I,7,FALSE),VLOOKUP($I524&amp;$J524&amp;U$1,Pesos!$A:$I,9,FALSE)))</f>
        <v>1</v>
      </c>
      <c r="AO524" s="80">
        <f>IF(V524="","",IF(V524="SIM",VLOOKUP($I524&amp;$J524&amp;V$1,Pesos!$A:$I,7,FALSE),VLOOKUP($I524&amp;$J524&amp;V$1,Pesos!$A:$I,9,FALSE)))</f>
        <v>1</v>
      </c>
      <c r="AP524" s="80">
        <f>IF(W524="","",IF(W524="SIM",VLOOKUP($I524&amp;$J524&amp;W$1,Pesos!$A:$I,7,FALSE),VLOOKUP($I524&amp;$J524&amp;W$1,Pesos!$A:$I,9,FALSE)))</f>
        <v>1</v>
      </c>
      <c r="AQ524" s="80" t="str">
        <f>IF(X524="","",IF(X524="SIM",VLOOKUP($I524&amp;$J524&amp;X$1,Pesos!$A:$I,7,FALSE),VLOOKUP($I524&amp;$J524&amp;X$1,Pesos!$A:$I,9,FALSE)))</f>
        <v/>
      </c>
      <c r="AR524" s="80" t="str">
        <f>IF(Y524="","",IF(Y524="SIM",VLOOKUP($I524&amp;$J524&amp;Y$1,Pesos!$A:$I,7,FALSE),VLOOKUP($I524&amp;$J524&amp;Y$1,Pesos!$A:$I,9,FALSE)))</f>
        <v/>
      </c>
      <c r="AS524" s="81">
        <f>IFERROR(Z524*VLOOKUP(J524,'BD Campos'!$Y$1:$Z$12,2,FALSE),"0")</f>
        <v>10</v>
      </c>
    </row>
    <row r="525" spans="1:45" x14ac:dyDescent="0.35">
      <c r="A525" s="68" t="str">
        <f t="shared" si="80"/>
        <v>Fev202510788ReceptivaUTI</v>
      </c>
      <c r="B525" s="69" t="str">
        <f t="shared" si="81"/>
        <v>Fev2025107885UTIPADRÃO</v>
      </c>
      <c r="C525" s="115">
        <v>1</v>
      </c>
      <c r="D525" s="116">
        <v>45699.46642488426</v>
      </c>
      <c r="E525" s="117" t="s">
        <v>338</v>
      </c>
      <c r="F525" s="118">
        <v>10788</v>
      </c>
      <c r="G525" s="119" t="s">
        <v>153</v>
      </c>
      <c r="H525" s="120">
        <v>5</v>
      </c>
      <c r="I525" s="119" t="s">
        <v>6</v>
      </c>
      <c r="J525" s="119" t="s">
        <v>98</v>
      </c>
      <c r="K525" s="119" t="s">
        <v>131</v>
      </c>
      <c r="L525" s="121"/>
      <c r="M525" s="122">
        <v>1.5393518518518519E-3</v>
      </c>
      <c r="N525" s="123" t="s">
        <v>79</v>
      </c>
      <c r="O525" s="123" t="s">
        <v>83</v>
      </c>
      <c r="P525" s="123" t="s">
        <v>79</v>
      </c>
      <c r="Q525" s="123" t="s">
        <v>79</v>
      </c>
      <c r="R525" s="123" t="s">
        <v>79</v>
      </c>
      <c r="S525" s="123" t="s">
        <v>79</v>
      </c>
      <c r="T525" s="123" t="s">
        <v>79</v>
      </c>
      <c r="U525" s="123" t="s">
        <v>79</v>
      </c>
      <c r="V525" s="123" t="s">
        <v>79</v>
      </c>
      <c r="W525" s="123" t="s">
        <v>79</v>
      </c>
      <c r="X525" s="123" t="s">
        <v>79</v>
      </c>
      <c r="Y525" s="123" t="s">
        <v>79</v>
      </c>
      <c r="Z525" s="124">
        <f t="shared" si="79"/>
        <v>9.16</v>
      </c>
      <c r="AA525" s="125"/>
      <c r="AB525" s="125"/>
      <c r="AC525" s="118" t="s">
        <v>47</v>
      </c>
      <c r="AE525" s="79" t="str">
        <f t="shared" si="82"/>
        <v>Fev10788</v>
      </c>
      <c r="AF525" s="80">
        <f>IF(N525="","",IF(N525="SIM",VLOOKUP($I525&amp;$J525&amp;N$1,Pesos!$A:$I,7,FALSE),VLOOKUP($I525&amp;$J525&amp;N$1,Pesos!$A:$I,9,FALSE)))</f>
        <v>0.8</v>
      </c>
      <c r="AG525" s="80">
        <f>IF(O525="","",IF(O525="SIM",VLOOKUP($I525&amp;$J525&amp;O$1,Pesos!$A:$I,7,FALSE),VLOOKUP($I525&amp;$J525&amp;O$1,Pesos!$A:$I,9,FALSE)))</f>
        <v>-4.0000000000000008E-2</v>
      </c>
      <c r="AH525" s="80">
        <f>IF(P525="","",IF(P525="SIM",VLOOKUP($I525&amp;$J525&amp;P$1,Pesos!$A:$I,7,FALSE),VLOOKUP($I525&amp;$J525&amp;P$1,Pesos!$A:$I,9,FALSE)))</f>
        <v>1.2</v>
      </c>
      <c r="AI525" s="80">
        <f>IF(Q525="","",IF(Q525="SIM",VLOOKUP($I525&amp;$J525&amp;Q$1,Pesos!$A:$I,7,FALSE),VLOOKUP($I525&amp;$J525&amp;Q$1,Pesos!$A:$I,9,FALSE)))</f>
        <v>0.8</v>
      </c>
      <c r="AJ525" s="80">
        <f>IF(R525="","",IF(R525="SIM",VLOOKUP($I525&amp;$J525&amp;R$1,Pesos!$A:$I,7,FALSE),VLOOKUP($I525&amp;$J525&amp;R$1,Pesos!$A:$I,9,FALSE)))</f>
        <v>0.8</v>
      </c>
      <c r="AK525" s="80">
        <f>IF(S525="","",IF(S525="SIM",VLOOKUP($I525&amp;$J525&amp;S$1,Pesos!$A:$I,7,FALSE),VLOOKUP($I525&amp;$J525&amp;S$1,Pesos!$A:$I,9,FALSE)))</f>
        <v>0.8</v>
      </c>
      <c r="AL525" s="80">
        <f t="shared" si="73"/>
        <v>4.3599999999999994</v>
      </c>
      <c r="AM525" s="80">
        <f>IF(T525="","",IF(T525="SIM",VLOOKUP($I525&amp;$J525&amp;T$1,Pesos!$A:$I,7,FALSE),VLOOKUP($I525&amp;$J525&amp;T$1,Pesos!$A:$I,9,FALSE)))</f>
        <v>0.8</v>
      </c>
      <c r="AN525" s="80">
        <f>IF(U525="","",IF(U525="SIM",VLOOKUP($I525&amp;$J525&amp;U$1,Pesos!$A:$I,7,FALSE),VLOOKUP($I525&amp;$J525&amp;U$1,Pesos!$A:$I,9,FALSE)))</f>
        <v>0.8</v>
      </c>
      <c r="AO525" s="80">
        <f>IF(V525="","",IF(V525="SIM",VLOOKUP($I525&amp;$J525&amp;V$1,Pesos!$A:$I,7,FALSE),VLOOKUP($I525&amp;$J525&amp;V$1,Pesos!$A:$I,9,FALSE)))</f>
        <v>0.8</v>
      </c>
      <c r="AP525" s="80">
        <f>IF(W525="","",IF(W525="SIM",VLOOKUP($I525&amp;$J525&amp;W$1,Pesos!$A:$I,7,FALSE),VLOOKUP($I525&amp;$J525&amp;W$1,Pesos!$A:$I,9,FALSE)))</f>
        <v>0.8</v>
      </c>
      <c r="AQ525" s="80">
        <f>IF(X525="","",IF(X525="SIM",VLOOKUP($I525&amp;$J525&amp;X$1,Pesos!$A:$I,7,FALSE),VLOOKUP($I525&amp;$J525&amp;X$1,Pesos!$A:$I,9,FALSE)))</f>
        <v>0.8</v>
      </c>
      <c r="AR525" s="80">
        <f>IF(Y525="","",IF(Y525="SIM",VLOOKUP($I525&amp;$J525&amp;Y$1,Pesos!$A:$I,7,FALSE),VLOOKUP($I525&amp;$J525&amp;Y$1,Pesos!$A:$I,9,FALSE)))</f>
        <v>0.8</v>
      </c>
      <c r="AS525" s="81">
        <f>IFERROR(Z525*VLOOKUP(J525,'BD Campos'!$Y$1:$Z$12,2,FALSE),"0")</f>
        <v>9.16</v>
      </c>
    </row>
    <row r="526" spans="1:45" x14ac:dyDescent="0.35">
      <c r="A526" s="68" t="str">
        <f t="shared" si="80"/>
        <v>Fev202510529ReceptivaUTI (RJ)</v>
      </c>
      <c r="B526" s="114" t="str">
        <f t="shared" si="81"/>
        <v>Fev2025105295UTI (RJ)PADRÃO</v>
      </c>
      <c r="C526" s="126">
        <v>1</v>
      </c>
      <c r="D526" s="127">
        <v>45699.472033449078</v>
      </c>
      <c r="E526" s="128" t="s">
        <v>338</v>
      </c>
      <c r="F526" s="129">
        <v>10529</v>
      </c>
      <c r="G526" s="130" t="s">
        <v>281</v>
      </c>
      <c r="H526" s="131">
        <v>5</v>
      </c>
      <c r="I526" s="130" t="s">
        <v>6</v>
      </c>
      <c r="J526" s="130" t="s">
        <v>98</v>
      </c>
      <c r="K526" s="130" t="s">
        <v>278</v>
      </c>
      <c r="L526" s="132"/>
      <c r="M526" s="133">
        <v>1.1226851851851851E-3</v>
      </c>
      <c r="N526" s="134" t="s">
        <v>79</v>
      </c>
      <c r="O526" s="134" t="s">
        <v>79</v>
      </c>
      <c r="P526" s="134" t="s">
        <v>79</v>
      </c>
      <c r="Q526" s="134" t="s">
        <v>79</v>
      </c>
      <c r="R526" s="134" t="s">
        <v>79</v>
      </c>
      <c r="S526" s="134" t="s">
        <v>79</v>
      </c>
      <c r="T526" s="134" t="s">
        <v>79</v>
      </c>
      <c r="U526" s="134" t="s">
        <v>79</v>
      </c>
      <c r="V526" s="134" t="s">
        <v>79</v>
      </c>
      <c r="W526" s="134" t="s">
        <v>79</v>
      </c>
      <c r="X526" s="134" t="s">
        <v>79</v>
      </c>
      <c r="Y526" s="134" t="s">
        <v>79</v>
      </c>
      <c r="Z526" s="135">
        <f t="shared" si="79"/>
        <v>10</v>
      </c>
      <c r="AA526" s="136"/>
      <c r="AB526" s="136"/>
      <c r="AC526" s="129" t="s">
        <v>47</v>
      </c>
      <c r="AE526" s="79" t="str">
        <f t="shared" ref="AE526:AE542" si="83">E526&amp;F526</f>
        <v>Fev10529</v>
      </c>
      <c r="AF526" s="80">
        <f>IF(N526="","",IF(N526="SIM",VLOOKUP($I526&amp;$J526&amp;N$1,Pesos!$A:$I,7,FALSE),VLOOKUP($I526&amp;$J526&amp;N$1,Pesos!$A:$I,9,FALSE)))</f>
        <v>0.8</v>
      </c>
      <c r="AG526" s="80">
        <f>IF(O526="","",IF(O526="SIM",VLOOKUP($I526&amp;$J526&amp;O$1,Pesos!$A:$I,7,FALSE),VLOOKUP($I526&amp;$J526&amp;O$1,Pesos!$A:$I,9,FALSE)))</f>
        <v>0.8</v>
      </c>
      <c r="AH526" s="80">
        <f>IF(P526="","",IF(P526="SIM",VLOOKUP($I526&amp;$J526&amp;P$1,Pesos!$A:$I,7,FALSE),VLOOKUP($I526&amp;$J526&amp;P$1,Pesos!$A:$I,9,FALSE)))</f>
        <v>1.2</v>
      </c>
      <c r="AI526" s="80">
        <f>IF(Q526="","",IF(Q526="SIM",VLOOKUP($I526&amp;$J526&amp;Q$1,Pesos!$A:$I,7,FALSE),VLOOKUP($I526&amp;$J526&amp;Q$1,Pesos!$A:$I,9,FALSE)))</f>
        <v>0.8</v>
      </c>
      <c r="AJ526" s="80">
        <f>IF(R526="","",IF(R526="SIM",VLOOKUP($I526&amp;$J526&amp;R$1,Pesos!$A:$I,7,FALSE),VLOOKUP($I526&amp;$J526&amp;R$1,Pesos!$A:$I,9,FALSE)))</f>
        <v>0.8</v>
      </c>
      <c r="AK526" s="80">
        <f>IF(S526="","",IF(S526="SIM",VLOOKUP($I526&amp;$J526&amp;S$1,Pesos!$A:$I,7,FALSE),VLOOKUP($I526&amp;$J526&amp;S$1,Pesos!$A:$I,9,FALSE)))</f>
        <v>0.8</v>
      </c>
      <c r="AL526" s="80">
        <f t="shared" si="73"/>
        <v>5.1999999999999993</v>
      </c>
      <c r="AM526" s="80">
        <f>IF(T526="","",IF(T526="SIM",VLOOKUP($I526&amp;$J526&amp;T$1,Pesos!$A:$I,7,FALSE),VLOOKUP($I526&amp;$J526&amp;T$1,Pesos!$A:$I,9,FALSE)))</f>
        <v>0.8</v>
      </c>
      <c r="AN526" s="80">
        <f>IF(U526="","",IF(U526="SIM",VLOOKUP($I526&amp;$J526&amp;U$1,Pesos!$A:$I,7,FALSE),VLOOKUP($I526&amp;$J526&amp;U$1,Pesos!$A:$I,9,FALSE)))</f>
        <v>0.8</v>
      </c>
      <c r="AO526" s="80">
        <f>IF(V526="","",IF(V526="SIM",VLOOKUP($I526&amp;$J526&amp;V$1,Pesos!$A:$I,7,FALSE),VLOOKUP($I526&amp;$J526&amp;V$1,Pesos!$A:$I,9,FALSE)))</f>
        <v>0.8</v>
      </c>
      <c r="AP526" s="80">
        <f>IF(W526="","",IF(W526="SIM",VLOOKUP($I526&amp;$J526&amp;W$1,Pesos!$A:$I,7,FALSE),VLOOKUP($I526&amp;$J526&amp;W$1,Pesos!$A:$I,9,FALSE)))</f>
        <v>0.8</v>
      </c>
      <c r="AQ526" s="80">
        <f>IF(X526="","",IF(X526="SIM",VLOOKUP($I526&amp;$J526&amp;X$1,Pesos!$A:$I,7,FALSE),VLOOKUP($I526&amp;$J526&amp;X$1,Pesos!$A:$I,9,FALSE)))</f>
        <v>0.8</v>
      </c>
      <c r="AR526" s="80">
        <f>IF(Y526="","",IF(Y526="SIM",VLOOKUP($I526&amp;$J526&amp;Y$1,Pesos!$A:$I,7,FALSE),VLOOKUP($I526&amp;$J526&amp;Y$1,Pesos!$A:$I,9,FALSE)))</f>
        <v>0.8</v>
      </c>
      <c r="AS526" s="81">
        <f>IFERROR(Z526*VLOOKUP(J526,'BD Campos'!$Y$1:$Z$12,2,FALSE),"0")</f>
        <v>10</v>
      </c>
    </row>
    <row r="527" spans="1:45" x14ac:dyDescent="0.35">
      <c r="A527" s="68" t="str">
        <f t="shared" si="80"/>
        <v>Fev202510765MotoristaUTI</v>
      </c>
      <c r="B527" s="114" t="str">
        <f t="shared" si="81"/>
        <v>Fev2025107651UTIPADRÃO</v>
      </c>
      <c r="C527" s="126">
        <v>1</v>
      </c>
      <c r="D527" s="127">
        <v>45699.473840046296</v>
      </c>
      <c r="E527" s="128" t="s">
        <v>338</v>
      </c>
      <c r="F527" s="129">
        <v>10765</v>
      </c>
      <c r="G527" s="130" t="s">
        <v>274</v>
      </c>
      <c r="H527" s="131">
        <v>1</v>
      </c>
      <c r="I527" s="130" t="s">
        <v>123</v>
      </c>
      <c r="J527" s="130" t="s">
        <v>122</v>
      </c>
      <c r="K527" s="130" t="s">
        <v>131</v>
      </c>
      <c r="L527" s="132">
        <v>31109647</v>
      </c>
      <c r="M527" s="133">
        <v>1.1921296296296296E-3</v>
      </c>
      <c r="N527" s="134" t="s">
        <v>79</v>
      </c>
      <c r="O527" s="134" t="s">
        <v>79</v>
      </c>
      <c r="P527" s="134" t="s">
        <v>79</v>
      </c>
      <c r="Q527" s="134" t="s">
        <v>79</v>
      </c>
      <c r="R527" s="134" t="s">
        <v>79</v>
      </c>
      <c r="S527" s="134" t="s">
        <v>83</v>
      </c>
      <c r="T527" s="134" t="s">
        <v>79</v>
      </c>
      <c r="U527" s="134" t="s">
        <v>79</v>
      </c>
      <c r="V527" s="134" t="s">
        <v>83</v>
      </c>
      <c r="W527" s="134" t="s">
        <v>83</v>
      </c>
      <c r="X527" s="134"/>
      <c r="Y527" s="134"/>
      <c r="Z527" s="135">
        <f t="shared" si="79"/>
        <v>6.8500000000000005</v>
      </c>
      <c r="AA527" s="136"/>
      <c r="AB527" s="136" t="s">
        <v>1670</v>
      </c>
      <c r="AC527" s="129" t="s">
        <v>47</v>
      </c>
      <c r="AE527" s="79" t="str">
        <f t="shared" si="83"/>
        <v>Fev10765</v>
      </c>
      <c r="AF527" s="80">
        <f>IF(N527="","",IF(N527="SIM",VLOOKUP($I527&amp;$J527&amp;N$1,Pesos!$A:$I,7,FALSE),VLOOKUP($I527&amp;$J527&amp;N$1,Pesos!$A:$I,9,FALSE)))</f>
        <v>1</v>
      </c>
      <c r="AG527" s="80">
        <f>IF(O527="","",IF(O527="SIM",VLOOKUP($I527&amp;$J527&amp;O$1,Pesos!$A:$I,7,FALSE),VLOOKUP($I527&amp;$J527&amp;O$1,Pesos!$A:$I,9,FALSE)))</f>
        <v>1</v>
      </c>
      <c r="AH527" s="80">
        <f>IF(P527="","",IF(P527="SIM",VLOOKUP($I527&amp;$J527&amp;P$1,Pesos!$A:$I,7,FALSE),VLOOKUP($I527&amp;$J527&amp;P$1,Pesos!$A:$I,9,FALSE)))</f>
        <v>1</v>
      </c>
      <c r="AI527" s="80">
        <f>IF(Q527="","",IF(Q527="SIM",VLOOKUP($I527&amp;$J527&amp;Q$1,Pesos!$A:$I,7,FALSE),VLOOKUP($I527&amp;$J527&amp;Q$1,Pesos!$A:$I,9,FALSE)))</f>
        <v>1</v>
      </c>
      <c r="AJ527" s="80">
        <f>IF(R527="","",IF(R527="SIM",VLOOKUP($I527&amp;$J527&amp;R$1,Pesos!$A:$I,7,FALSE),VLOOKUP($I527&amp;$J527&amp;R$1,Pesos!$A:$I,9,FALSE)))</f>
        <v>1</v>
      </c>
      <c r="AK527" s="80">
        <f>IF(S527="","",IF(S527="SIM",VLOOKUP($I527&amp;$J527&amp;S$1,Pesos!$A:$I,7,FALSE),VLOOKUP($I527&amp;$J527&amp;S$1,Pesos!$A:$I,9,FALSE)))</f>
        <v>-0.05</v>
      </c>
      <c r="AL527" s="80">
        <f t="shared" si="73"/>
        <v>4.95</v>
      </c>
      <c r="AM527" s="80">
        <f>IF(T527="","",IF(T527="SIM",VLOOKUP($I527&amp;$J527&amp;T$1,Pesos!$A:$I,7,FALSE),VLOOKUP($I527&amp;$J527&amp;T$1,Pesos!$A:$I,9,FALSE)))</f>
        <v>1</v>
      </c>
      <c r="AN527" s="80">
        <f>IF(U527="","",IF(U527="SIM",VLOOKUP($I527&amp;$J527&amp;U$1,Pesos!$A:$I,7,FALSE),VLOOKUP($I527&amp;$J527&amp;U$1,Pesos!$A:$I,9,FALSE)))</f>
        <v>1</v>
      </c>
      <c r="AO527" s="80">
        <f>IF(V527="","",IF(V527="SIM",VLOOKUP($I527&amp;$J527&amp;V$1,Pesos!$A:$I,7,FALSE),VLOOKUP($I527&amp;$J527&amp;V$1,Pesos!$A:$I,9,FALSE)))</f>
        <v>-0.05</v>
      </c>
      <c r="AP527" s="80">
        <f>IF(W527="","",IF(W527="SIM",VLOOKUP($I527&amp;$J527&amp;W$1,Pesos!$A:$I,7,FALSE),VLOOKUP($I527&amp;$J527&amp;W$1,Pesos!$A:$I,9,FALSE)))</f>
        <v>-0.05</v>
      </c>
      <c r="AQ527" s="80" t="str">
        <f>IF(X527="","",IF(X527="SIM",VLOOKUP($I527&amp;$J527&amp;X$1,Pesos!$A:$I,7,FALSE),VLOOKUP($I527&amp;$J527&amp;X$1,Pesos!$A:$I,9,FALSE)))</f>
        <v/>
      </c>
      <c r="AR527" s="80" t="str">
        <f>IF(Y527="","",IF(Y527="SIM",VLOOKUP($I527&amp;$J527&amp;Y$1,Pesos!$A:$I,7,FALSE),VLOOKUP($I527&amp;$J527&amp;Y$1,Pesos!$A:$I,9,FALSE)))</f>
        <v/>
      </c>
      <c r="AS527" s="81">
        <f>IFERROR(Z527*VLOOKUP(J527,'BD Campos'!$Y$1:$Z$12,2,FALSE),"0")</f>
        <v>6.8500000000000005</v>
      </c>
    </row>
    <row r="528" spans="1:45" x14ac:dyDescent="0.35">
      <c r="A528" s="68" t="str">
        <f t="shared" si="80"/>
        <v>Fev202510765ReceptivaUTI</v>
      </c>
      <c r="B528" s="114" t="str">
        <f t="shared" si="81"/>
        <v>Fev2025107655UTIPADRÃO</v>
      </c>
      <c r="C528" s="126">
        <v>1</v>
      </c>
      <c r="D528" s="127">
        <v>45699.475307060187</v>
      </c>
      <c r="E528" s="128" t="s">
        <v>338</v>
      </c>
      <c r="F528" s="129">
        <v>10765</v>
      </c>
      <c r="G528" s="130" t="s">
        <v>274</v>
      </c>
      <c r="H528" s="131">
        <v>5</v>
      </c>
      <c r="I528" s="130" t="s">
        <v>6</v>
      </c>
      <c r="J528" s="130" t="s">
        <v>98</v>
      </c>
      <c r="K528" s="130" t="s">
        <v>131</v>
      </c>
      <c r="L528" s="132"/>
      <c r="M528" s="133">
        <v>1.423611111111111E-3</v>
      </c>
      <c r="N528" s="134" t="s">
        <v>79</v>
      </c>
      <c r="O528" s="134" t="s">
        <v>79</v>
      </c>
      <c r="P528" s="134" t="s">
        <v>79</v>
      </c>
      <c r="Q528" s="134" t="s">
        <v>79</v>
      </c>
      <c r="R528" s="134" t="s">
        <v>79</v>
      </c>
      <c r="S528" s="134" t="s">
        <v>79</v>
      </c>
      <c r="T528" s="134" t="s">
        <v>79</v>
      </c>
      <c r="U528" s="134" t="s">
        <v>83</v>
      </c>
      <c r="V528" s="134" t="s">
        <v>79</v>
      </c>
      <c r="W528" s="134" t="s">
        <v>79</v>
      </c>
      <c r="X528" s="134" t="s">
        <v>79</v>
      </c>
      <c r="Y528" s="134" t="s">
        <v>79</v>
      </c>
      <c r="Z528" s="135">
        <f t="shared" si="79"/>
        <v>9.16</v>
      </c>
      <c r="AA528" s="136" t="s">
        <v>1651</v>
      </c>
      <c r="AB528" s="136"/>
      <c r="AC528" s="129" t="s">
        <v>47</v>
      </c>
      <c r="AE528" s="79" t="str">
        <f t="shared" si="83"/>
        <v>Fev10765</v>
      </c>
      <c r="AF528" s="80">
        <f>IF(N528="","",IF(N528="SIM",VLOOKUP($I528&amp;$J528&amp;N$1,Pesos!$A:$I,7,FALSE),VLOOKUP($I528&amp;$J528&amp;N$1,Pesos!$A:$I,9,FALSE)))</f>
        <v>0.8</v>
      </c>
      <c r="AG528" s="80">
        <f>IF(O528="","",IF(O528="SIM",VLOOKUP($I528&amp;$J528&amp;O$1,Pesos!$A:$I,7,FALSE),VLOOKUP($I528&amp;$J528&amp;O$1,Pesos!$A:$I,9,FALSE)))</f>
        <v>0.8</v>
      </c>
      <c r="AH528" s="80">
        <f>IF(P528="","",IF(P528="SIM",VLOOKUP($I528&amp;$J528&amp;P$1,Pesos!$A:$I,7,FALSE),VLOOKUP($I528&amp;$J528&amp;P$1,Pesos!$A:$I,9,FALSE)))</f>
        <v>1.2</v>
      </c>
      <c r="AI528" s="80">
        <f>IF(Q528="","",IF(Q528="SIM",VLOOKUP($I528&amp;$J528&amp;Q$1,Pesos!$A:$I,7,FALSE),VLOOKUP($I528&amp;$J528&amp;Q$1,Pesos!$A:$I,9,FALSE)))</f>
        <v>0.8</v>
      </c>
      <c r="AJ528" s="80">
        <f>IF(R528="","",IF(R528="SIM",VLOOKUP($I528&amp;$J528&amp;R$1,Pesos!$A:$I,7,FALSE),VLOOKUP($I528&amp;$J528&amp;R$1,Pesos!$A:$I,9,FALSE)))</f>
        <v>0.8</v>
      </c>
      <c r="AK528" s="80">
        <f>IF(S528="","",IF(S528="SIM",VLOOKUP($I528&amp;$J528&amp;S$1,Pesos!$A:$I,7,FALSE),VLOOKUP($I528&amp;$J528&amp;S$1,Pesos!$A:$I,9,FALSE)))</f>
        <v>0.8</v>
      </c>
      <c r="AL528" s="80">
        <f t="shared" si="73"/>
        <v>5.1999999999999993</v>
      </c>
      <c r="AM528" s="80">
        <f>IF(T528="","",IF(T528="SIM",VLOOKUP($I528&amp;$J528&amp;T$1,Pesos!$A:$I,7,FALSE),VLOOKUP($I528&amp;$J528&amp;T$1,Pesos!$A:$I,9,FALSE)))</f>
        <v>0.8</v>
      </c>
      <c r="AN528" s="80">
        <f>IF(U528="","",IF(U528="SIM",VLOOKUP($I528&amp;$J528&amp;U$1,Pesos!$A:$I,7,FALSE),VLOOKUP($I528&amp;$J528&amp;U$1,Pesos!$A:$I,9,FALSE)))</f>
        <v>-4.0000000000000008E-2</v>
      </c>
      <c r="AO528" s="80">
        <f>IF(V528="","",IF(V528="SIM",VLOOKUP($I528&amp;$J528&amp;V$1,Pesos!$A:$I,7,FALSE),VLOOKUP($I528&amp;$J528&amp;V$1,Pesos!$A:$I,9,FALSE)))</f>
        <v>0.8</v>
      </c>
      <c r="AP528" s="80">
        <f>IF(W528="","",IF(W528="SIM",VLOOKUP($I528&amp;$J528&amp;W$1,Pesos!$A:$I,7,FALSE),VLOOKUP($I528&amp;$J528&amp;W$1,Pesos!$A:$I,9,FALSE)))</f>
        <v>0.8</v>
      </c>
      <c r="AQ528" s="80">
        <f>IF(X528="","",IF(X528="SIM",VLOOKUP($I528&amp;$J528&amp;X$1,Pesos!$A:$I,7,FALSE),VLOOKUP($I528&amp;$J528&amp;X$1,Pesos!$A:$I,9,FALSE)))</f>
        <v>0.8</v>
      </c>
      <c r="AR528" s="80">
        <f>IF(Y528="","",IF(Y528="SIM",VLOOKUP($I528&amp;$J528&amp;Y$1,Pesos!$A:$I,7,FALSE),VLOOKUP($I528&amp;$J528&amp;Y$1,Pesos!$A:$I,9,FALSE)))</f>
        <v>0.8</v>
      </c>
      <c r="AS528" s="81">
        <f>IFERROR(Z528*VLOOKUP(J528,'BD Campos'!$Y$1:$Z$12,2,FALSE),"0")</f>
        <v>9.16</v>
      </c>
    </row>
    <row r="529" spans="1:45" x14ac:dyDescent="0.35">
      <c r="A529" s="68" t="str">
        <f t="shared" si="80"/>
        <v>Fev202510187ReceptivaUTI</v>
      </c>
      <c r="B529" s="114" t="str">
        <f t="shared" si="81"/>
        <v>Fev2025101875UTIPADRÃO</v>
      </c>
      <c r="C529" s="126">
        <v>1</v>
      </c>
      <c r="D529" s="127">
        <v>45699.477485185183</v>
      </c>
      <c r="E529" s="128" t="s">
        <v>338</v>
      </c>
      <c r="F529" s="129">
        <v>10187</v>
      </c>
      <c r="G529" s="130" t="s">
        <v>309</v>
      </c>
      <c r="H529" s="131">
        <v>5</v>
      </c>
      <c r="I529" s="130" t="s">
        <v>6</v>
      </c>
      <c r="J529" s="130" t="s">
        <v>98</v>
      </c>
      <c r="K529" s="130" t="s">
        <v>131</v>
      </c>
      <c r="L529" s="132"/>
      <c r="M529" s="133">
        <v>1.7824074074074072E-3</v>
      </c>
      <c r="N529" s="134" t="s">
        <v>79</v>
      </c>
      <c r="O529" s="134" t="s">
        <v>79</v>
      </c>
      <c r="P529" s="134" t="s">
        <v>79</v>
      </c>
      <c r="Q529" s="134" t="s">
        <v>79</v>
      </c>
      <c r="R529" s="134" t="s">
        <v>79</v>
      </c>
      <c r="S529" s="134" t="s">
        <v>79</v>
      </c>
      <c r="T529" s="134" t="s">
        <v>79</v>
      </c>
      <c r="U529" s="134" t="s">
        <v>79</v>
      </c>
      <c r="V529" s="134" t="s">
        <v>79</v>
      </c>
      <c r="W529" s="134" t="s">
        <v>79</v>
      </c>
      <c r="X529" s="134" t="s">
        <v>79</v>
      </c>
      <c r="Y529" s="134" t="s">
        <v>79</v>
      </c>
      <c r="Z529" s="135">
        <f t="shared" si="79"/>
        <v>10</v>
      </c>
      <c r="AA529" s="136" t="s">
        <v>1671</v>
      </c>
      <c r="AB529" s="136"/>
      <c r="AC529" s="129" t="s">
        <v>47</v>
      </c>
      <c r="AE529" s="79" t="str">
        <f t="shared" si="83"/>
        <v>Fev10187</v>
      </c>
      <c r="AF529" s="80">
        <f>IF(N529="","",IF(N529="SIM",VLOOKUP($I529&amp;$J529&amp;N$1,Pesos!$A:$I,7,FALSE),VLOOKUP($I529&amp;$J529&amp;N$1,Pesos!$A:$I,9,FALSE)))</f>
        <v>0.8</v>
      </c>
      <c r="AG529" s="80">
        <f>IF(O529="","",IF(O529="SIM",VLOOKUP($I529&amp;$J529&amp;O$1,Pesos!$A:$I,7,FALSE),VLOOKUP($I529&amp;$J529&amp;O$1,Pesos!$A:$I,9,FALSE)))</f>
        <v>0.8</v>
      </c>
      <c r="AH529" s="80">
        <f>IF(P529="","",IF(P529="SIM",VLOOKUP($I529&amp;$J529&amp;P$1,Pesos!$A:$I,7,FALSE),VLOOKUP($I529&amp;$J529&amp;P$1,Pesos!$A:$I,9,FALSE)))</f>
        <v>1.2</v>
      </c>
      <c r="AI529" s="80">
        <f>IF(Q529="","",IF(Q529="SIM",VLOOKUP($I529&amp;$J529&amp;Q$1,Pesos!$A:$I,7,FALSE),VLOOKUP($I529&amp;$J529&amp;Q$1,Pesos!$A:$I,9,FALSE)))</f>
        <v>0.8</v>
      </c>
      <c r="AJ529" s="80">
        <f>IF(R529="","",IF(R529="SIM",VLOOKUP($I529&amp;$J529&amp;R$1,Pesos!$A:$I,7,FALSE),VLOOKUP($I529&amp;$J529&amp;R$1,Pesos!$A:$I,9,FALSE)))</f>
        <v>0.8</v>
      </c>
      <c r="AK529" s="80">
        <f>IF(S529="","",IF(S529="SIM",VLOOKUP($I529&amp;$J529&amp;S$1,Pesos!$A:$I,7,FALSE),VLOOKUP($I529&amp;$J529&amp;S$1,Pesos!$A:$I,9,FALSE)))</f>
        <v>0.8</v>
      </c>
      <c r="AL529" s="80">
        <f t="shared" ref="AL529:AL592" si="84">SUM(AF529:AK529)</f>
        <v>5.1999999999999993</v>
      </c>
      <c r="AM529" s="80">
        <f>IF(T529="","",IF(T529="SIM",VLOOKUP($I529&amp;$J529&amp;T$1,Pesos!$A:$I,7,FALSE),VLOOKUP($I529&amp;$J529&amp;T$1,Pesos!$A:$I,9,FALSE)))</f>
        <v>0.8</v>
      </c>
      <c r="AN529" s="80">
        <f>IF(U529="","",IF(U529="SIM",VLOOKUP($I529&amp;$J529&amp;U$1,Pesos!$A:$I,7,FALSE),VLOOKUP($I529&amp;$J529&amp;U$1,Pesos!$A:$I,9,FALSE)))</f>
        <v>0.8</v>
      </c>
      <c r="AO529" s="80">
        <f>IF(V529="","",IF(V529="SIM",VLOOKUP($I529&amp;$J529&amp;V$1,Pesos!$A:$I,7,FALSE),VLOOKUP($I529&amp;$J529&amp;V$1,Pesos!$A:$I,9,FALSE)))</f>
        <v>0.8</v>
      </c>
      <c r="AP529" s="80">
        <f>IF(W529="","",IF(W529="SIM",VLOOKUP($I529&amp;$J529&amp;W$1,Pesos!$A:$I,7,FALSE),VLOOKUP($I529&amp;$J529&amp;W$1,Pesos!$A:$I,9,FALSE)))</f>
        <v>0.8</v>
      </c>
      <c r="AQ529" s="80">
        <f>IF(X529="","",IF(X529="SIM",VLOOKUP($I529&amp;$J529&amp;X$1,Pesos!$A:$I,7,FALSE),VLOOKUP($I529&amp;$J529&amp;X$1,Pesos!$A:$I,9,FALSE)))</f>
        <v>0.8</v>
      </c>
      <c r="AR529" s="80">
        <f>IF(Y529="","",IF(Y529="SIM",VLOOKUP($I529&amp;$J529&amp;Y$1,Pesos!$A:$I,7,FALSE),VLOOKUP($I529&amp;$J529&amp;Y$1,Pesos!$A:$I,9,FALSE)))</f>
        <v>0.8</v>
      </c>
      <c r="AS529" s="81">
        <f>IFERROR(Z529*VLOOKUP(J529,'BD Campos'!$Y$1:$Z$12,2,FALSE),"0")</f>
        <v>10</v>
      </c>
    </row>
    <row r="530" spans="1:45" x14ac:dyDescent="0.35">
      <c r="A530" s="68" t="str">
        <f t="shared" si="80"/>
        <v>Fev20251945ReceptivaUTI</v>
      </c>
      <c r="B530" s="114" t="str">
        <f t="shared" si="81"/>
        <v>Fev202519455UTIPADRÃO</v>
      </c>
      <c r="C530" s="126">
        <v>1</v>
      </c>
      <c r="D530" s="127">
        <v>45699.479239351851</v>
      </c>
      <c r="E530" s="128" t="s">
        <v>338</v>
      </c>
      <c r="F530" s="129">
        <v>1945</v>
      </c>
      <c r="G530" s="130" t="s">
        <v>273</v>
      </c>
      <c r="H530" s="131">
        <v>5</v>
      </c>
      <c r="I530" s="130" t="s">
        <v>6</v>
      </c>
      <c r="J530" s="130" t="s">
        <v>98</v>
      </c>
      <c r="K530" s="130" t="s">
        <v>131</v>
      </c>
      <c r="L530" s="132"/>
      <c r="M530" s="133">
        <v>1.0763888888888889E-3</v>
      </c>
      <c r="N530" s="134" t="s">
        <v>79</v>
      </c>
      <c r="O530" s="134" t="s">
        <v>79</v>
      </c>
      <c r="P530" s="134" t="s">
        <v>79</v>
      </c>
      <c r="Q530" s="134" t="s">
        <v>79</v>
      </c>
      <c r="R530" s="134" t="s">
        <v>79</v>
      </c>
      <c r="S530" s="134" t="s">
        <v>79</v>
      </c>
      <c r="T530" s="134" t="s">
        <v>79</v>
      </c>
      <c r="U530" s="134" t="s">
        <v>79</v>
      </c>
      <c r="V530" s="134" t="s">
        <v>79</v>
      </c>
      <c r="W530" s="134" t="s">
        <v>79</v>
      </c>
      <c r="X530" s="134" t="s">
        <v>79</v>
      </c>
      <c r="Y530" s="134" t="s">
        <v>79</v>
      </c>
      <c r="Z530" s="135">
        <f t="shared" si="79"/>
        <v>10</v>
      </c>
      <c r="AA530" s="136"/>
      <c r="AB530" s="136"/>
      <c r="AC530" s="129" t="s">
        <v>47</v>
      </c>
      <c r="AE530" s="79" t="str">
        <f t="shared" si="83"/>
        <v>Fev1945</v>
      </c>
      <c r="AF530" s="80">
        <f>IF(N530="","",IF(N530="SIM",VLOOKUP($I530&amp;$J530&amp;N$1,Pesos!$A:$I,7,FALSE),VLOOKUP($I530&amp;$J530&amp;N$1,Pesos!$A:$I,9,FALSE)))</f>
        <v>0.8</v>
      </c>
      <c r="AG530" s="80">
        <f>IF(O530="","",IF(O530="SIM",VLOOKUP($I530&amp;$J530&amp;O$1,Pesos!$A:$I,7,FALSE),VLOOKUP($I530&amp;$J530&amp;O$1,Pesos!$A:$I,9,FALSE)))</f>
        <v>0.8</v>
      </c>
      <c r="AH530" s="80">
        <f>IF(P530="","",IF(P530="SIM",VLOOKUP($I530&amp;$J530&amp;P$1,Pesos!$A:$I,7,FALSE),VLOOKUP($I530&amp;$J530&amp;P$1,Pesos!$A:$I,9,FALSE)))</f>
        <v>1.2</v>
      </c>
      <c r="AI530" s="80">
        <f>IF(Q530="","",IF(Q530="SIM",VLOOKUP($I530&amp;$J530&amp;Q$1,Pesos!$A:$I,7,FALSE),VLOOKUP($I530&amp;$J530&amp;Q$1,Pesos!$A:$I,9,FALSE)))</f>
        <v>0.8</v>
      </c>
      <c r="AJ530" s="80">
        <f>IF(R530="","",IF(R530="SIM",VLOOKUP($I530&amp;$J530&amp;R$1,Pesos!$A:$I,7,FALSE),VLOOKUP($I530&amp;$J530&amp;R$1,Pesos!$A:$I,9,FALSE)))</f>
        <v>0.8</v>
      </c>
      <c r="AK530" s="80">
        <f>IF(S530="","",IF(S530="SIM",VLOOKUP($I530&amp;$J530&amp;S$1,Pesos!$A:$I,7,FALSE),VLOOKUP($I530&amp;$J530&amp;S$1,Pesos!$A:$I,9,FALSE)))</f>
        <v>0.8</v>
      </c>
      <c r="AL530" s="80">
        <f t="shared" si="84"/>
        <v>5.1999999999999993</v>
      </c>
      <c r="AM530" s="80">
        <f>IF(T530="","",IF(T530="SIM",VLOOKUP($I530&amp;$J530&amp;T$1,Pesos!$A:$I,7,FALSE),VLOOKUP($I530&amp;$J530&amp;T$1,Pesos!$A:$I,9,FALSE)))</f>
        <v>0.8</v>
      </c>
      <c r="AN530" s="80">
        <f>IF(U530="","",IF(U530="SIM",VLOOKUP($I530&amp;$J530&amp;U$1,Pesos!$A:$I,7,FALSE),VLOOKUP($I530&amp;$J530&amp;U$1,Pesos!$A:$I,9,FALSE)))</f>
        <v>0.8</v>
      </c>
      <c r="AO530" s="80">
        <f>IF(V530="","",IF(V530="SIM",VLOOKUP($I530&amp;$J530&amp;V$1,Pesos!$A:$I,7,FALSE),VLOOKUP($I530&amp;$J530&amp;V$1,Pesos!$A:$I,9,FALSE)))</f>
        <v>0.8</v>
      </c>
      <c r="AP530" s="80">
        <f>IF(W530="","",IF(W530="SIM",VLOOKUP($I530&amp;$J530&amp;W$1,Pesos!$A:$I,7,FALSE),VLOOKUP($I530&amp;$J530&amp;W$1,Pesos!$A:$I,9,FALSE)))</f>
        <v>0.8</v>
      </c>
      <c r="AQ530" s="80">
        <f>IF(X530="","",IF(X530="SIM",VLOOKUP($I530&amp;$J530&amp;X$1,Pesos!$A:$I,7,FALSE),VLOOKUP($I530&amp;$J530&amp;X$1,Pesos!$A:$I,9,FALSE)))</f>
        <v>0.8</v>
      </c>
      <c r="AR530" s="80">
        <f>IF(Y530="","",IF(Y530="SIM",VLOOKUP($I530&amp;$J530&amp;Y$1,Pesos!$A:$I,7,FALSE),VLOOKUP($I530&amp;$J530&amp;Y$1,Pesos!$A:$I,9,FALSE)))</f>
        <v>0.8</v>
      </c>
      <c r="AS530" s="81">
        <f>IFERROR(Z530*VLOOKUP(J530,'BD Campos'!$Y$1:$Z$12,2,FALSE),"0")</f>
        <v>10</v>
      </c>
    </row>
    <row r="531" spans="1:45" x14ac:dyDescent="0.35">
      <c r="A531" s="68" t="str">
        <f t="shared" si="80"/>
        <v>Fev202510849MotoristaUTI</v>
      </c>
      <c r="B531" s="114" t="str">
        <f t="shared" si="81"/>
        <v>Fev2025108491UTIPADRÃO</v>
      </c>
      <c r="C531" s="126">
        <v>1</v>
      </c>
      <c r="D531" s="127">
        <v>45699.491983912034</v>
      </c>
      <c r="E531" s="128" t="s">
        <v>338</v>
      </c>
      <c r="F531" s="129">
        <v>10849</v>
      </c>
      <c r="G531" s="130" t="s">
        <v>105</v>
      </c>
      <c r="H531" s="131">
        <v>1</v>
      </c>
      <c r="I531" s="130" t="s">
        <v>123</v>
      </c>
      <c r="J531" s="130" t="s">
        <v>122</v>
      </c>
      <c r="K531" s="130" t="s">
        <v>131</v>
      </c>
      <c r="L531" s="132">
        <v>31138196</v>
      </c>
      <c r="M531" s="133">
        <v>1.8402777777777777E-3</v>
      </c>
      <c r="N531" s="134" t="s">
        <v>79</v>
      </c>
      <c r="O531" s="134" t="s">
        <v>79</v>
      </c>
      <c r="P531" s="134" t="s">
        <v>79</v>
      </c>
      <c r="Q531" s="134" t="s">
        <v>79</v>
      </c>
      <c r="R531" s="134" t="s">
        <v>79</v>
      </c>
      <c r="S531" s="134" t="s">
        <v>79</v>
      </c>
      <c r="T531" s="134" t="s">
        <v>79</v>
      </c>
      <c r="U531" s="134" t="s">
        <v>79</v>
      </c>
      <c r="V531" s="134" t="s">
        <v>83</v>
      </c>
      <c r="W531" s="134" t="s">
        <v>79</v>
      </c>
      <c r="X531" s="134"/>
      <c r="Y531" s="134"/>
      <c r="Z531" s="135">
        <f t="shared" si="79"/>
        <v>8.9499999999999993</v>
      </c>
      <c r="AA531" s="136"/>
      <c r="AB531" s="136" t="s">
        <v>1672</v>
      </c>
      <c r="AC531" s="129" t="s">
        <v>47</v>
      </c>
      <c r="AE531" s="79" t="str">
        <f t="shared" si="83"/>
        <v>Fev10849</v>
      </c>
      <c r="AF531" s="80">
        <f>IF(N531="","",IF(N531="SIM",VLOOKUP($I531&amp;$J531&amp;N$1,Pesos!$A:$I,7,FALSE),VLOOKUP($I531&amp;$J531&amp;N$1,Pesos!$A:$I,9,FALSE)))</f>
        <v>1</v>
      </c>
      <c r="AG531" s="80">
        <f>IF(O531="","",IF(O531="SIM",VLOOKUP($I531&amp;$J531&amp;O$1,Pesos!$A:$I,7,FALSE),VLOOKUP($I531&amp;$J531&amp;O$1,Pesos!$A:$I,9,FALSE)))</f>
        <v>1</v>
      </c>
      <c r="AH531" s="80">
        <f>IF(P531="","",IF(P531="SIM",VLOOKUP($I531&amp;$J531&amp;P$1,Pesos!$A:$I,7,FALSE),VLOOKUP($I531&amp;$J531&amp;P$1,Pesos!$A:$I,9,FALSE)))</f>
        <v>1</v>
      </c>
      <c r="AI531" s="80">
        <f>IF(Q531="","",IF(Q531="SIM",VLOOKUP($I531&amp;$J531&amp;Q$1,Pesos!$A:$I,7,FALSE),VLOOKUP($I531&amp;$J531&amp;Q$1,Pesos!$A:$I,9,FALSE)))</f>
        <v>1</v>
      </c>
      <c r="AJ531" s="80">
        <f>IF(R531="","",IF(R531="SIM",VLOOKUP($I531&amp;$J531&amp;R$1,Pesos!$A:$I,7,FALSE),VLOOKUP($I531&amp;$J531&amp;R$1,Pesos!$A:$I,9,FALSE)))</f>
        <v>1</v>
      </c>
      <c r="AK531" s="80">
        <f>IF(S531="","",IF(S531="SIM",VLOOKUP($I531&amp;$J531&amp;S$1,Pesos!$A:$I,7,FALSE),VLOOKUP($I531&amp;$J531&amp;S$1,Pesos!$A:$I,9,FALSE)))</f>
        <v>1</v>
      </c>
      <c r="AL531" s="80">
        <f t="shared" si="84"/>
        <v>6</v>
      </c>
      <c r="AM531" s="80">
        <f>IF(T531="","",IF(T531="SIM",VLOOKUP($I531&amp;$J531&amp;T$1,Pesos!$A:$I,7,FALSE),VLOOKUP($I531&amp;$J531&amp;T$1,Pesos!$A:$I,9,FALSE)))</f>
        <v>1</v>
      </c>
      <c r="AN531" s="80">
        <f>IF(U531="","",IF(U531="SIM",VLOOKUP($I531&amp;$J531&amp;U$1,Pesos!$A:$I,7,FALSE),VLOOKUP($I531&amp;$J531&amp;U$1,Pesos!$A:$I,9,FALSE)))</f>
        <v>1</v>
      </c>
      <c r="AO531" s="80">
        <f>IF(V531="","",IF(V531="SIM",VLOOKUP($I531&amp;$J531&amp;V$1,Pesos!$A:$I,7,FALSE),VLOOKUP($I531&amp;$J531&amp;V$1,Pesos!$A:$I,9,FALSE)))</f>
        <v>-0.05</v>
      </c>
      <c r="AP531" s="80">
        <f>IF(W531="","",IF(W531="SIM",VLOOKUP($I531&amp;$J531&amp;W$1,Pesos!$A:$I,7,FALSE),VLOOKUP($I531&amp;$J531&amp;W$1,Pesos!$A:$I,9,FALSE)))</f>
        <v>1</v>
      </c>
      <c r="AQ531" s="80" t="str">
        <f>IF(X531="","",IF(X531="SIM",VLOOKUP($I531&amp;$J531&amp;X$1,Pesos!$A:$I,7,FALSE),VLOOKUP($I531&amp;$J531&amp;X$1,Pesos!$A:$I,9,FALSE)))</f>
        <v/>
      </c>
      <c r="AR531" s="80" t="str">
        <f>IF(Y531="","",IF(Y531="SIM",VLOOKUP($I531&amp;$J531&amp;Y$1,Pesos!$A:$I,7,FALSE),VLOOKUP($I531&amp;$J531&amp;Y$1,Pesos!$A:$I,9,FALSE)))</f>
        <v/>
      </c>
      <c r="AS531" s="81">
        <f>IFERROR(Z531*VLOOKUP(J531,'BD Campos'!$Y$1:$Z$12,2,FALSE),"0")</f>
        <v>8.9499999999999993</v>
      </c>
    </row>
    <row r="532" spans="1:45" x14ac:dyDescent="0.35">
      <c r="A532" s="68" t="str">
        <f t="shared" si="80"/>
        <v>Fev202510849ReceptivaUTI</v>
      </c>
      <c r="B532" s="114" t="str">
        <f t="shared" si="81"/>
        <v>Fev2025108495UTIPADRÃO</v>
      </c>
      <c r="C532" s="126">
        <v>1</v>
      </c>
      <c r="D532" s="127">
        <v>45699.493006481483</v>
      </c>
      <c r="E532" s="128" t="s">
        <v>338</v>
      </c>
      <c r="F532" s="129">
        <v>10849</v>
      </c>
      <c r="G532" s="130" t="s">
        <v>105</v>
      </c>
      <c r="H532" s="131">
        <v>5</v>
      </c>
      <c r="I532" s="130" t="s">
        <v>6</v>
      </c>
      <c r="J532" s="130" t="s">
        <v>98</v>
      </c>
      <c r="K532" s="130" t="s">
        <v>131</v>
      </c>
      <c r="L532" s="132"/>
      <c r="M532" s="133">
        <v>1.25E-3</v>
      </c>
      <c r="N532" s="134" t="s">
        <v>79</v>
      </c>
      <c r="O532" s="134" t="s">
        <v>79</v>
      </c>
      <c r="P532" s="134" t="s">
        <v>79</v>
      </c>
      <c r="Q532" s="134" t="s">
        <v>79</v>
      </c>
      <c r="R532" s="134" t="s">
        <v>79</v>
      </c>
      <c r="S532" s="134" t="s">
        <v>79</v>
      </c>
      <c r="T532" s="134" t="s">
        <v>79</v>
      </c>
      <c r="U532" s="134" t="s">
        <v>79</v>
      </c>
      <c r="V532" s="134" t="s">
        <v>79</v>
      </c>
      <c r="W532" s="134" t="s">
        <v>79</v>
      </c>
      <c r="X532" s="134" t="s">
        <v>79</v>
      </c>
      <c r="Y532" s="134" t="s">
        <v>79</v>
      </c>
      <c r="Z532" s="135">
        <f t="shared" si="79"/>
        <v>10</v>
      </c>
      <c r="AA532" s="136"/>
      <c r="AB532" s="136"/>
      <c r="AC532" s="129" t="s">
        <v>47</v>
      </c>
      <c r="AE532" s="79" t="str">
        <f t="shared" si="83"/>
        <v>Fev10849</v>
      </c>
      <c r="AF532" s="80">
        <f>IF(N532="","",IF(N532="SIM",VLOOKUP($I532&amp;$J532&amp;N$1,Pesos!$A:$I,7,FALSE),VLOOKUP($I532&amp;$J532&amp;N$1,Pesos!$A:$I,9,FALSE)))</f>
        <v>0.8</v>
      </c>
      <c r="AG532" s="80">
        <f>IF(O532="","",IF(O532="SIM",VLOOKUP($I532&amp;$J532&amp;O$1,Pesos!$A:$I,7,FALSE),VLOOKUP($I532&amp;$J532&amp;O$1,Pesos!$A:$I,9,FALSE)))</f>
        <v>0.8</v>
      </c>
      <c r="AH532" s="80">
        <f>IF(P532="","",IF(P532="SIM",VLOOKUP($I532&amp;$J532&amp;P$1,Pesos!$A:$I,7,FALSE),VLOOKUP($I532&amp;$J532&amp;P$1,Pesos!$A:$I,9,FALSE)))</f>
        <v>1.2</v>
      </c>
      <c r="AI532" s="80">
        <f>IF(Q532="","",IF(Q532="SIM",VLOOKUP($I532&amp;$J532&amp;Q$1,Pesos!$A:$I,7,FALSE),VLOOKUP($I532&amp;$J532&amp;Q$1,Pesos!$A:$I,9,FALSE)))</f>
        <v>0.8</v>
      </c>
      <c r="AJ532" s="80">
        <f>IF(R532="","",IF(R532="SIM",VLOOKUP($I532&amp;$J532&amp;R$1,Pesos!$A:$I,7,FALSE),VLOOKUP($I532&amp;$J532&amp;R$1,Pesos!$A:$I,9,FALSE)))</f>
        <v>0.8</v>
      </c>
      <c r="AK532" s="80">
        <f>IF(S532="","",IF(S532="SIM",VLOOKUP($I532&amp;$J532&amp;S$1,Pesos!$A:$I,7,FALSE),VLOOKUP($I532&amp;$J532&amp;S$1,Pesos!$A:$I,9,FALSE)))</f>
        <v>0.8</v>
      </c>
      <c r="AL532" s="80">
        <f t="shared" si="84"/>
        <v>5.1999999999999993</v>
      </c>
      <c r="AM532" s="80">
        <f>IF(T532="","",IF(T532="SIM",VLOOKUP($I532&amp;$J532&amp;T$1,Pesos!$A:$I,7,FALSE),VLOOKUP($I532&amp;$J532&amp;T$1,Pesos!$A:$I,9,FALSE)))</f>
        <v>0.8</v>
      </c>
      <c r="AN532" s="80">
        <f>IF(U532="","",IF(U532="SIM",VLOOKUP($I532&amp;$J532&amp;U$1,Pesos!$A:$I,7,FALSE),VLOOKUP($I532&amp;$J532&amp;U$1,Pesos!$A:$I,9,FALSE)))</f>
        <v>0.8</v>
      </c>
      <c r="AO532" s="80">
        <f>IF(V532="","",IF(V532="SIM",VLOOKUP($I532&amp;$J532&amp;V$1,Pesos!$A:$I,7,FALSE),VLOOKUP($I532&amp;$J532&amp;V$1,Pesos!$A:$I,9,FALSE)))</f>
        <v>0.8</v>
      </c>
      <c r="AP532" s="80">
        <f>IF(W532="","",IF(W532="SIM",VLOOKUP($I532&amp;$J532&amp;W$1,Pesos!$A:$I,7,FALSE),VLOOKUP($I532&amp;$J532&amp;W$1,Pesos!$A:$I,9,FALSE)))</f>
        <v>0.8</v>
      </c>
      <c r="AQ532" s="80">
        <f>IF(X532="","",IF(X532="SIM",VLOOKUP($I532&amp;$J532&amp;X$1,Pesos!$A:$I,7,FALSE),VLOOKUP($I532&amp;$J532&amp;X$1,Pesos!$A:$I,9,FALSE)))</f>
        <v>0.8</v>
      </c>
      <c r="AR532" s="80">
        <f>IF(Y532="","",IF(Y532="SIM",VLOOKUP($I532&amp;$J532&amp;Y$1,Pesos!$A:$I,7,FALSE),VLOOKUP($I532&amp;$J532&amp;Y$1,Pesos!$A:$I,9,FALSE)))</f>
        <v>0.8</v>
      </c>
      <c r="AS532" s="81">
        <f>IFERROR(Z532*VLOOKUP(J532,'BD Campos'!$Y$1:$Z$12,2,FALSE),"0")</f>
        <v>10</v>
      </c>
    </row>
    <row r="533" spans="1:45" x14ac:dyDescent="0.35">
      <c r="A533" s="68" t="str">
        <f t="shared" si="80"/>
        <v>Fev202511151PoliciaUTI</v>
      </c>
      <c r="B533" s="114" t="str">
        <f t="shared" si="81"/>
        <v>Fev2025111511UTIPADRÃO</v>
      </c>
      <c r="C533" s="126">
        <v>1</v>
      </c>
      <c r="D533" s="127">
        <v>45699.498308333335</v>
      </c>
      <c r="E533" s="128" t="s">
        <v>338</v>
      </c>
      <c r="F533" s="129">
        <v>11151</v>
      </c>
      <c r="G533" s="130" t="s">
        <v>345</v>
      </c>
      <c r="H533" s="131">
        <v>1</v>
      </c>
      <c r="I533" s="130" t="s">
        <v>123</v>
      </c>
      <c r="J533" s="130" t="s">
        <v>146</v>
      </c>
      <c r="K533" s="130" t="s">
        <v>131</v>
      </c>
      <c r="L533" s="132">
        <v>31146470</v>
      </c>
      <c r="M533" s="133">
        <v>1.7708333333333332E-3</v>
      </c>
      <c r="N533" s="134" t="s">
        <v>79</v>
      </c>
      <c r="O533" s="134" t="s">
        <v>79</v>
      </c>
      <c r="P533" s="134" t="s">
        <v>79</v>
      </c>
      <c r="Q533" s="134" t="s">
        <v>79</v>
      </c>
      <c r="R533" s="134" t="s">
        <v>79</v>
      </c>
      <c r="S533" s="134" t="s">
        <v>79</v>
      </c>
      <c r="T533" s="134" t="s">
        <v>79</v>
      </c>
      <c r="U533" s="134" t="s">
        <v>79</v>
      </c>
      <c r="V533" s="134" t="s">
        <v>79</v>
      </c>
      <c r="W533" s="134" t="s">
        <v>79</v>
      </c>
      <c r="X533" s="134" t="s">
        <v>79</v>
      </c>
      <c r="Y533" s="134" t="s">
        <v>79</v>
      </c>
      <c r="Z533" s="135">
        <f t="shared" si="79"/>
        <v>10</v>
      </c>
      <c r="AA533" s="136"/>
      <c r="AB533" s="136" t="s">
        <v>1673</v>
      </c>
      <c r="AC533" s="129" t="s">
        <v>47</v>
      </c>
      <c r="AE533" s="79" t="str">
        <f t="shared" si="83"/>
        <v>Fev11151</v>
      </c>
      <c r="AF533" s="80">
        <f>IF(N533="","",IF(N533="SIM",VLOOKUP($I533&amp;$J533&amp;N$1,Pesos!$A:$I,7,FALSE),VLOOKUP($I533&amp;$J533&amp;N$1,Pesos!$A:$I,9,FALSE)))</f>
        <v>0.8</v>
      </c>
      <c r="AG533" s="80">
        <f>IF(O533="","",IF(O533="SIM",VLOOKUP($I533&amp;$J533&amp;O$1,Pesos!$A:$I,7,FALSE),VLOOKUP($I533&amp;$J533&amp;O$1,Pesos!$A:$I,9,FALSE)))</f>
        <v>0.8</v>
      </c>
      <c r="AH533" s="80">
        <f>IF(P533="","",IF(P533="SIM",VLOOKUP($I533&amp;$J533&amp;P$1,Pesos!$A:$I,7,FALSE),VLOOKUP($I533&amp;$J533&amp;P$1,Pesos!$A:$I,9,FALSE)))</f>
        <v>0.8</v>
      </c>
      <c r="AI533" s="80">
        <f>IF(Q533="","",IF(Q533="SIM",VLOOKUP($I533&amp;$J533&amp;Q$1,Pesos!$A:$I,7,FALSE),VLOOKUP($I533&amp;$J533&amp;Q$1,Pesos!$A:$I,9,FALSE)))</f>
        <v>0.8</v>
      </c>
      <c r="AJ533" s="80">
        <f>IF(R533="","",IF(R533="SIM",VLOOKUP($I533&amp;$J533&amp;R$1,Pesos!$A:$I,7,FALSE),VLOOKUP($I533&amp;$J533&amp;R$1,Pesos!$A:$I,9,FALSE)))</f>
        <v>0.8</v>
      </c>
      <c r="AK533" s="80">
        <f>IF(S533="","",IF(S533="SIM",VLOOKUP($I533&amp;$J533&amp;S$1,Pesos!$A:$I,7,FALSE),VLOOKUP($I533&amp;$J533&amp;S$1,Pesos!$A:$I,9,FALSE)))</f>
        <v>0.8</v>
      </c>
      <c r="AL533" s="80">
        <f t="shared" si="84"/>
        <v>4.8</v>
      </c>
      <c r="AM533" s="80">
        <f>IF(T533="","",IF(T533="SIM",VLOOKUP($I533&amp;$J533&amp;T$1,Pesos!$A:$I,7,FALSE),VLOOKUP($I533&amp;$J533&amp;T$1,Pesos!$A:$I,9,FALSE)))</f>
        <v>0.8</v>
      </c>
      <c r="AN533" s="80">
        <f>IF(U533="","",IF(U533="SIM",VLOOKUP($I533&amp;$J533&amp;U$1,Pesos!$A:$I,7,FALSE),VLOOKUP($I533&amp;$J533&amp;U$1,Pesos!$A:$I,9,FALSE)))</f>
        <v>0.8</v>
      </c>
      <c r="AO533" s="80">
        <f>IF(V533="","",IF(V533="SIM",VLOOKUP($I533&amp;$J533&amp;V$1,Pesos!$A:$I,7,FALSE),VLOOKUP($I533&amp;$J533&amp;V$1,Pesos!$A:$I,9,FALSE)))</f>
        <v>0.8</v>
      </c>
      <c r="AP533" s="80">
        <f>IF(W533="","",IF(W533="SIM",VLOOKUP($I533&amp;$J533&amp;W$1,Pesos!$A:$I,7,FALSE),VLOOKUP($I533&amp;$J533&amp;W$1,Pesos!$A:$I,9,FALSE)))</f>
        <v>0.8</v>
      </c>
      <c r="AQ533" s="80">
        <f>IF(X533="","",IF(X533="SIM",VLOOKUP($I533&amp;$J533&amp;X$1,Pesos!$A:$I,7,FALSE),VLOOKUP($I533&amp;$J533&amp;X$1,Pesos!$A:$I,9,FALSE)))</f>
        <v>1</v>
      </c>
      <c r="AR533" s="80">
        <f>IF(Y533="","",IF(Y533="SIM",VLOOKUP($I533&amp;$J533&amp;Y$1,Pesos!$A:$I,7,FALSE),VLOOKUP($I533&amp;$J533&amp;Y$1,Pesos!$A:$I,9,FALSE)))</f>
        <v>1</v>
      </c>
      <c r="AS533" s="81">
        <f>IFERROR(Z533*VLOOKUP(J533,'BD Campos'!$Y$1:$Z$12,2,FALSE),"0")</f>
        <v>10</v>
      </c>
    </row>
    <row r="534" spans="1:45" x14ac:dyDescent="0.35">
      <c r="A534" s="68" t="str">
        <f t="shared" si="80"/>
        <v>Fev202511151ReceptivaUTI</v>
      </c>
      <c r="B534" s="114" t="str">
        <f t="shared" si="81"/>
        <v>Fev2025111515UTIPADRÃO</v>
      </c>
      <c r="C534" s="126">
        <v>1</v>
      </c>
      <c r="D534" s="127">
        <v>45699.581535648147</v>
      </c>
      <c r="E534" s="128" t="s">
        <v>338</v>
      </c>
      <c r="F534" s="129">
        <v>11151</v>
      </c>
      <c r="G534" s="130" t="s">
        <v>345</v>
      </c>
      <c r="H534" s="131">
        <v>5</v>
      </c>
      <c r="I534" s="130" t="s">
        <v>6</v>
      </c>
      <c r="J534" s="130" t="s">
        <v>98</v>
      </c>
      <c r="K534" s="130" t="s">
        <v>131</v>
      </c>
      <c r="L534" s="132"/>
      <c r="M534" s="133">
        <v>1.0532407407407407E-3</v>
      </c>
      <c r="N534" s="134" t="s">
        <v>79</v>
      </c>
      <c r="O534" s="134" t="s">
        <v>79</v>
      </c>
      <c r="P534" s="134" t="s">
        <v>79</v>
      </c>
      <c r="Q534" s="134" t="s">
        <v>79</v>
      </c>
      <c r="R534" s="134" t="s">
        <v>79</v>
      </c>
      <c r="S534" s="134" t="s">
        <v>79</v>
      </c>
      <c r="T534" s="134" t="s">
        <v>79</v>
      </c>
      <c r="U534" s="134" t="s">
        <v>79</v>
      </c>
      <c r="V534" s="134" t="s">
        <v>79</v>
      </c>
      <c r="W534" s="134" t="s">
        <v>79</v>
      </c>
      <c r="X534" s="134" t="s">
        <v>79</v>
      </c>
      <c r="Y534" s="134" t="s">
        <v>79</v>
      </c>
      <c r="Z534" s="135">
        <f t="shared" si="79"/>
        <v>10</v>
      </c>
      <c r="AA534" s="136"/>
      <c r="AB534" s="136"/>
      <c r="AC534" s="129" t="s">
        <v>47</v>
      </c>
      <c r="AE534" s="79" t="str">
        <f t="shared" si="83"/>
        <v>Fev11151</v>
      </c>
      <c r="AF534" s="80">
        <f>IF(N534="","",IF(N534="SIM",VLOOKUP($I534&amp;$J534&amp;N$1,Pesos!$A:$I,7,FALSE),VLOOKUP($I534&amp;$J534&amp;N$1,Pesos!$A:$I,9,FALSE)))</f>
        <v>0.8</v>
      </c>
      <c r="AG534" s="80">
        <f>IF(O534="","",IF(O534="SIM",VLOOKUP($I534&amp;$J534&amp;O$1,Pesos!$A:$I,7,FALSE),VLOOKUP($I534&amp;$J534&amp;O$1,Pesos!$A:$I,9,FALSE)))</f>
        <v>0.8</v>
      </c>
      <c r="AH534" s="80">
        <f>IF(P534="","",IF(P534="SIM",VLOOKUP($I534&amp;$J534&amp;P$1,Pesos!$A:$I,7,FALSE),VLOOKUP($I534&amp;$J534&amp;P$1,Pesos!$A:$I,9,FALSE)))</f>
        <v>1.2</v>
      </c>
      <c r="AI534" s="80">
        <f>IF(Q534="","",IF(Q534="SIM",VLOOKUP($I534&amp;$J534&amp;Q$1,Pesos!$A:$I,7,FALSE),VLOOKUP($I534&amp;$J534&amp;Q$1,Pesos!$A:$I,9,FALSE)))</f>
        <v>0.8</v>
      </c>
      <c r="AJ534" s="80">
        <f>IF(R534="","",IF(R534="SIM",VLOOKUP($I534&amp;$J534&amp;R$1,Pesos!$A:$I,7,FALSE),VLOOKUP($I534&amp;$J534&amp;R$1,Pesos!$A:$I,9,FALSE)))</f>
        <v>0.8</v>
      </c>
      <c r="AK534" s="80">
        <f>IF(S534="","",IF(S534="SIM",VLOOKUP($I534&amp;$J534&amp;S$1,Pesos!$A:$I,7,FALSE),VLOOKUP($I534&amp;$J534&amp;S$1,Pesos!$A:$I,9,FALSE)))</f>
        <v>0.8</v>
      </c>
      <c r="AL534" s="80">
        <f t="shared" si="84"/>
        <v>5.1999999999999993</v>
      </c>
      <c r="AM534" s="80">
        <f>IF(T534="","",IF(T534="SIM",VLOOKUP($I534&amp;$J534&amp;T$1,Pesos!$A:$I,7,FALSE),VLOOKUP($I534&amp;$J534&amp;T$1,Pesos!$A:$I,9,FALSE)))</f>
        <v>0.8</v>
      </c>
      <c r="AN534" s="80">
        <f>IF(U534="","",IF(U534="SIM",VLOOKUP($I534&amp;$J534&amp;U$1,Pesos!$A:$I,7,FALSE),VLOOKUP($I534&amp;$J534&amp;U$1,Pesos!$A:$I,9,FALSE)))</f>
        <v>0.8</v>
      </c>
      <c r="AO534" s="80">
        <f>IF(V534="","",IF(V534="SIM",VLOOKUP($I534&amp;$J534&amp;V$1,Pesos!$A:$I,7,FALSE),VLOOKUP($I534&amp;$J534&amp;V$1,Pesos!$A:$I,9,FALSE)))</f>
        <v>0.8</v>
      </c>
      <c r="AP534" s="80">
        <f>IF(W534="","",IF(W534="SIM",VLOOKUP($I534&amp;$J534&amp;W$1,Pesos!$A:$I,7,FALSE),VLOOKUP($I534&amp;$J534&amp;W$1,Pesos!$A:$I,9,FALSE)))</f>
        <v>0.8</v>
      </c>
      <c r="AQ534" s="80">
        <f>IF(X534="","",IF(X534="SIM",VLOOKUP($I534&amp;$J534&amp;X$1,Pesos!$A:$I,7,FALSE),VLOOKUP($I534&amp;$J534&amp;X$1,Pesos!$A:$I,9,FALSE)))</f>
        <v>0.8</v>
      </c>
      <c r="AR534" s="80">
        <f>IF(Y534="","",IF(Y534="SIM",VLOOKUP($I534&amp;$J534&amp;Y$1,Pesos!$A:$I,7,FALSE),VLOOKUP($I534&amp;$J534&amp;Y$1,Pesos!$A:$I,9,FALSE)))</f>
        <v>0.8</v>
      </c>
      <c r="AS534" s="81">
        <f>IFERROR(Z534*VLOOKUP(J534,'BD Campos'!$Y$1:$Z$12,2,FALSE),"0")</f>
        <v>10</v>
      </c>
    </row>
    <row r="535" spans="1:45" x14ac:dyDescent="0.35">
      <c r="A535" s="68" t="str">
        <f t="shared" si="80"/>
        <v>Fev202510713MotoristaUTI</v>
      </c>
      <c r="B535" s="114" t="str">
        <f t="shared" si="81"/>
        <v>Fev2025107131UTIPADRÃO</v>
      </c>
      <c r="C535" s="126">
        <v>1</v>
      </c>
      <c r="D535" s="127">
        <v>45699.59358090278</v>
      </c>
      <c r="E535" s="128" t="s">
        <v>338</v>
      </c>
      <c r="F535" s="129">
        <v>10713</v>
      </c>
      <c r="G535" s="130" t="s">
        <v>266</v>
      </c>
      <c r="H535" s="131">
        <v>1</v>
      </c>
      <c r="I535" s="130" t="s">
        <v>121</v>
      </c>
      <c r="J535" s="130" t="s">
        <v>122</v>
      </c>
      <c r="K535" s="130" t="s">
        <v>131</v>
      </c>
      <c r="L535" s="132">
        <v>31101340</v>
      </c>
      <c r="M535" s="133">
        <v>2.3842592592592591E-3</v>
      </c>
      <c r="N535" s="134" t="s">
        <v>79</v>
      </c>
      <c r="O535" s="134" t="s">
        <v>79</v>
      </c>
      <c r="P535" s="134" t="s">
        <v>79</v>
      </c>
      <c r="Q535" s="134" t="s">
        <v>79</v>
      </c>
      <c r="R535" s="134" t="s">
        <v>79</v>
      </c>
      <c r="S535" s="134" t="s">
        <v>79</v>
      </c>
      <c r="T535" s="134" t="s">
        <v>79</v>
      </c>
      <c r="U535" s="134" t="s">
        <v>79</v>
      </c>
      <c r="V535" s="134" t="s">
        <v>83</v>
      </c>
      <c r="W535" s="134" t="s">
        <v>79</v>
      </c>
      <c r="X535" s="134" t="s">
        <v>83</v>
      </c>
      <c r="Y535" s="134"/>
      <c r="Z535" s="135">
        <f t="shared" si="79"/>
        <v>8.0312500000000018</v>
      </c>
      <c r="AA535" s="136"/>
      <c r="AB535" s="136" t="s">
        <v>1674</v>
      </c>
      <c r="AC535" s="129" t="s">
        <v>47</v>
      </c>
      <c r="AE535" s="79" t="str">
        <f t="shared" si="83"/>
        <v>Fev10713</v>
      </c>
      <c r="AF535" s="80">
        <f>IF(N535="","",IF(N535="SIM",VLOOKUP($I535&amp;$J535&amp;N$1,Pesos!$A:$I,7,FALSE),VLOOKUP($I535&amp;$J535&amp;N$1,Pesos!$A:$I,9,FALSE)))</f>
        <v>0.89999999999999991</v>
      </c>
      <c r="AG535" s="80">
        <f>IF(O535="","",IF(O535="SIM",VLOOKUP($I535&amp;$J535&amp;O$1,Pesos!$A:$I,7,FALSE),VLOOKUP($I535&amp;$J535&amp;O$1,Pesos!$A:$I,9,FALSE)))</f>
        <v>0.89999999999999991</v>
      </c>
      <c r="AH535" s="80">
        <f>IF(P535="","",IF(P535="SIM",VLOOKUP($I535&amp;$J535&amp;P$1,Pesos!$A:$I,7,FALSE),VLOOKUP($I535&amp;$J535&amp;P$1,Pesos!$A:$I,9,FALSE)))</f>
        <v>0.89999999999999991</v>
      </c>
      <c r="AI535" s="80">
        <f>IF(Q535="","",IF(Q535="SIM",VLOOKUP($I535&amp;$J535&amp;Q$1,Pesos!$A:$I,7,FALSE),VLOOKUP($I535&amp;$J535&amp;Q$1,Pesos!$A:$I,9,FALSE)))</f>
        <v>0.89999999999999991</v>
      </c>
      <c r="AJ535" s="80">
        <f>IF(R535="","",IF(R535="SIM",VLOOKUP($I535&amp;$J535&amp;R$1,Pesos!$A:$I,7,FALSE),VLOOKUP($I535&amp;$J535&amp;R$1,Pesos!$A:$I,9,FALSE)))</f>
        <v>0.89999999999999991</v>
      </c>
      <c r="AK535" s="80">
        <f>IF(S535="","",IF(S535="SIM",VLOOKUP($I535&amp;$J535&amp;S$1,Pesos!$A:$I,7,FALSE),VLOOKUP($I535&amp;$J535&amp;S$1,Pesos!$A:$I,9,FALSE)))</f>
        <v>0.89999999999999991</v>
      </c>
      <c r="AL535" s="80">
        <f t="shared" si="84"/>
        <v>5.4</v>
      </c>
      <c r="AM535" s="80">
        <f>IF(T535="","",IF(T535="SIM",VLOOKUP($I535&amp;$J535&amp;T$1,Pesos!$A:$I,7,FALSE),VLOOKUP($I535&amp;$J535&amp;T$1,Pesos!$A:$I,9,FALSE)))</f>
        <v>0.89999999999999991</v>
      </c>
      <c r="AN535" s="80">
        <f>IF(U535="","",IF(U535="SIM",VLOOKUP($I535&amp;$J535&amp;U$1,Pesos!$A:$I,7,FALSE),VLOOKUP($I535&amp;$J535&amp;U$1,Pesos!$A:$I,9,FALSE)))</f>
        <v>0.92500000000000004</v>
      </c>
      <c r="AO535" s="80">
        <f>IF(V535="","",IF(V535="SIM",VLOOKUP($I535&amp;$J535&amp;V$1,Pesos!$A:$I,7,FALSE),VLOOKUP($I535&amp;$J535&amp;V$1,Pesos!$A:$I,9,FALSE)))</f>
        <v>-4.6250000000000006E-2</v>
      </c>
      <c r="AP535" s="80">
        <f>IF(W535="","",IF(W535="SIM",VLOOKUP($I535&amp;$J535&amp;W$1,Pesos!$A:$I,7,FALSE),VLOOKUP($I535&amp;$J535&amp;W$1,Pesos!$A:$I,9,FALSE)))</f>
        <v>0.89999999999999991</v>
      </c>
      <c r="AQ535" s="80">
        <f>IF(X535="","",IF(X535="SIM",VLOOKUP($I535&amp;$J535&amp;X$1,Pesos!$A:$I,7,FALSE),VLOOKUP($I535&amp;$J535&amp;X$1,Pesos!$A:$I,9,FALSE)))</f>
        <v>-4.7500000000000001E-2</v>
      </c>
      <c r="AR535" s="80" t="str">
        <f>IF(Y535="","",IF(Y535="SIM",VLOOKUP($I535&amp;$J535&amp;Y$1,Pesos!$A:$I,7,FALSE),VLOOKUP($I535&amp;$J535&amp;Y$1,Pesos!$A:$I,9,FALSE)))</f>
        <v/>
      </c>
      <c r="AS535" s="81">
        <f>IFERROR(Z535*VLOOKUP(J535,'BD Campos'!$Y$1:$Z$12,2,FALSE),"0")</f>
        <v>8.0312500000000018</v>
      </c>
    </row>
    <row r="536" spans="1:45" x14ac:dyDescent="0.35">
      <c r="A536" s="68" t="str">
        <f t="shared" si="80"/>
        <v>Fev202510713ReceptivaUTI</v>
      </c>
      <c r="B536" s="114" t="str">
        <f t="shared" si="81"/>
        <v>Fev2025107135UTIPADRÃO</v>
      </c>
      <c r="C536" s="126">
        <v>1</v>
      </c>
      <c r="D536" s="127">
        <v>45699.594794560187</v>
      </c>
      <c r="E536" s="128" t="s">
        <v>338</v>
      </c>
      <c r="F536" s="129">
        <v>10713</v>
      </c>
      <c r="G536" s="130" t="s">
        <v>266</v>
      </c>
      <c r="H536" s="131">
        <v>5</v>
      </c>
      <c r="I536" s="130" t="s">
        <v>6</v>
      </c>
      <c r="J536" s="130" t="s">
        <v>98</v>
      </c>
      <c r="K536" s="130" t="s">
        <v>131</v>
      </c>
      <c r="L536" s="132"/>
      <c r="M536" s="133">
        <v>1.2962962962962963E-3</v>
      </c>
      <c r="N536" s="134" t="s">
        <v>79</v>
      </c>
      <c r="O536" s="134" t="s">
        <v>79</v>
      </c>
      <c r="P536" s="134" t="s">
        <v>79</v>
      </c>
      <c r="Q536" s="134" t="s">
        <v>79</v>
      </c>
      <c r="R536" s="134" t="s">
        <v>79</v>
      </c>
      <c r="S536" s="134" t="s">
        <v>79</v>
      </c>
      <c r="T536" s="134" t="s">
        <v>79</v>
      </c>
      <c r="U536" s="134" t="s">
        <v>79</v>
      </c>
      <c r="V536" s="134" t="s">
        <v>79</v>
      </c>
      <c r="W536" s="134" t="s">
        <v>79</v>
      </c>
      <c r="X536" s="134" t="s">
        <v>79</v>
      </c>
      <c r="Y536" s="134" t="s">
        <v>79</v>
      </c>
      <c r="Z536" s="135">
        <f t="shared" si="79"/>
        <v>10</v>
      </c>
      <c r="AA536" s="136"/>
      <c r="AB536" s="136"/>
      <c r="AC536" s="129" t="s">
        <v>47</v>
      </c>
      <c r="AE536" s="79" t="str">
        <f t="shared" si="83"/>
        <v>Fev10713</v>
      </c>
      <c r="AF536" s="80">
        <f>IF(N536="","",IF(N536="SIM",VLOOKUP($I536&amp;$J536&amp;N$1,Pesos!$A:$I,7,FALSE),VLOOKUP($I536&amp;$J536&amp;N$1,Pesos!$A:$I,9,FALSE)))</f>
        <v>0.8</v>
      </c>
      <c r="AG536" s="80">
        <f>IF(O536="","",IF(O536="SIM",VLOOKUP($I536&amp;$J536&amp;O$1,Pesos!$A:$I,7,FALSE),VLOOKUP($I536&amp;$J536&amp;O$1,Pesos!$A:$I,9,FALSE)))</f>
        <v>0.8</v>
      </c>
      <c r="AH536" s="80">
        <f>IF(P536="","",IF(P536="SIM",VLOOKUP($I536&amp;$J536&amp;P$1,Pesos!$A:$I,7,FALSE),VLOOKUP($I536&amp;$J536&amp;P$1,Pesos!$A:$I,9,FALSE)))</f>
        <v>1.2</v>
      </c>
      <c r="AI536" s="80">
        <f>IF(Q536="","",IF(Q536="SIM",VLOOKUP($I536&amp;$J536&amp;Q$1,Pesos!$A:$I,7,FALSE),VLOOKUP($I536&amp;$J536&amp;Q$1,Pesos!$A:$I,9,FALSE)))</f>
        <v>0.8</v>
      </c>
      <c r="AJ536" s="80">
        <f>IF(R536="","",IF(R536="SIM",VLOOKUP($I536&amp;$J536&amp;R$1,Pesos!$A:$I,7,FALSE),VLOOKUP($I536&amp;$J536&amp;R$1,Pesos!$A:$I,9,FALSE)))</f>
        <v>0.8</v>
      </c>
      <c r="AK536" s="80">
        <f>IF(S536="","",IF(S536="SIM",VLOOKUP($I536&amp;$J536&amp;S$1,Pesos!$A:$I,7,FALSE),VLOOKUP($I536&amp;$J536&amp;S$1,Pesos!$A:$I,9,FALSE)))</f>
        <v>0.8</v>
      </c>
      <c r="AL536" s="80">
        <f t="shared" si="84"/>
        <v>5.1999999999999993</v>
      </c>
      <c r="AM536" s="80">
        <f>IF(T536="","",IF(T536="SIM",VLOOKUP($I536&amp;$J536&amp;T$1,Pesos!$A:$I,7,FALSE),VLOOKUP($I536&amp;$J536&amp;T$1,Pesos!$A:$I,9,FALSE)))</f>
        <v>0.8</v>
      </c>
      <c r="AN536" s="80">
        <f>IF(U536="","",IF(U536="SIM",VLOOKUP($I536&amp;$J536&amp;U$1,Pesos!$A:$I,7,FALSE),VLOOKUP($I536&amp;$J536&amp;U$1,Pesos!$A:$I,9,FALSE)))</f>
        <v>0.8</v>
      </c>
      <c r="AO536" s="80">
        <f>IF(V536="","",IF(V536="SIM",VLOOKUP($I536&amp;$J536&amp;V$1,Pesos!$A:$I,7,FALSE),VLOOKUP($I536&amp;$J536&amp;V$1,Pesos!$A:$I,9,FALSE)))</f>
        <v>0.8</v>
      </c>
      <c r="AP536" s="80">
        <f>IF(W536="","",IF(W536="SIM",VLOOKUP($I536&amp;$J536&amp;W$1,Pesos!$A:$I,7,FALSE),VLOOKUP($I536&amp;$J536&amp;W$1,Pesos!$A:$I,9,FALSE)))</f>
        <v>0.8</v>
      </c>
      <c r="AQ536" s="80">
        <f>IF(X536="","",IF(X536="SIM",VLOOKUP($I536&amp;$J536&amp;X$1,Pesos!$A:$I,7,FALSE),VLOOKUP($I536&amp;$J536&amp;X$1,Pesos!$A:$I,9,FALSE)))</f>
        <v>0.8</v>
      </c>
      <c r="AR536" s="80">
        <f>IF(Y536="","",IF(Y536="SIM",VLOOKUP($I536&amp;$J536&amp;Y$1,Pesos!$A:$I,7,FALSE),VLOOKUP($I536&amp;$J536&amp;Y$1,Pesos!$A:$I,9,FALSE)))</f>
        <v>0.8</v>
      </c>
      <c r="AS536" s="81">
        <f>IFERROR(Z536*VLOOKUP(J536,'BD Campos'!$Y$1:$Z$12,2,FALSE),"0")</f>
        <v>10</v>
      </c>
    </row>
    <row r="537" spans="1:45" x14ac:dyDescent="0.35">
      <c r="A537" s="68" t="str">
        <f t="shared" si="80"/>
        <v>Fev202510526ReceptivaUTI</v>
      </c>
      <c r="B537" s="114" t="str">
        <f t="shared" si="81"/>
        <v>Fev2025105265UTIPADRÃO</v>
      </c>
      <c r="C537" s="126">
        <v>1</v>
      </c>
      <c r="D537" s="127">
        <v>45699.599781249999</v>
      </c>
      <c r="E537" s="128" t="s">
        <v>338</v>
      </c>
      <c r="F537" s="129">
        <v>10526</v>
      </c>
      <c r="G537" s="130" t="s">
        <v>267</v>
      </c>
      <c r="H537" s="131">
        <v>5</v>
      </c>
      <c r="I537" s="130" t="s">
        <v>6</v>
      </c>
      <c r="J537" s="130" t="s">
        <v>98</v>
      </c>
      <c r="K537" s="130" t="s">
        <v>131</v>
      </c>
      <c r="L537" s="132"/>
      <c r="M537" s="133">
        <v>1.5740740740740741E-3</v>
      </c>
      <c r="N537" s="134" t="s">
        <v>79</v>
      </c>
      <c r="O537" s="134" t="s">
        <v>79</v>
      </c>
      <c r="P537" s="134" t="s">
        <v>79</v>
      </c>
      <c r="Q537" s="134" t="s">
        <v>79</v>
      </c>
      <c r="R537" s="134" t="s">
        <v>79</v>
      </c>
      <c r="S537" s="134" t="s">
        <v>79</v>
      </c>
      <c r="T537" s="134" t="s">
        <v>79</v>
      </c>
      <c r="U537" s="134" t="s">
        <v>79</v>
      </c>
      <c r="V537" s="134" t="s">
        <v>79</v>
      </c>
      <c r="W537" s="134" t="s">
        <v>79</v>
      </c>
      <c r="X537" s="134" t="s">
        <v>79</v>
      </c>
      <c r="Y537" s="134" t="s">
        <v>79</v>
      </c>
      <c r="Z537" s="135">
        <f t="shared" si="79"/>
        <v>10</v>
      </c>
      <c r="AA537" s="136"/>
      <c r="AB537" s="136"/>
      <c r="AC537" s="129" t="s">
        <v>47</v>
      </c>
      <c r="AE537" s="79" t="str">
        <f t="shared" si="83"/>
        <v>Fev10526</v>
      </c>
      <c r="AF537" s="80">
        <f>IF(N537="","",IF(N537="SIM",VLOOKUP($I537&amp;$J537&amp;N$1,Pesos!$A:$I,7,FALSE),VLOOKUP($I537&amp;$J537&amp;N$1,Pesos!$A:$I,9,FALSE)))</f>
        <v>0.8</v>
      </c>
      <c r="AG537" s="80">
        <f>IF(O537="","",IF(O537="SIM",VLOOKUP($I537&amp;$J537&amp;O$1,Pesos!$A:$I,7,FALSE),VLOOKUP($I537&amp;$J537&amp;O$1,Pesos!$A:$I,9,FALSE)))</f>
        <v>0.8</v>
      </c>
      <c r="AH537" s="80">
        <f>IF(P537="","",IF(P537="SIM",VLOOKUP($I537&amp;$J537&amp;P$1,Pesos!$A:$I,7,FALSE),VLOOKUP($I537&amp;$J537&amp;P$1,Pesos!$A:$I,9,FALSE)))</f>
        <v>1.2</v>
      </c>
      <c r="AI537" s="80">
        <f>IF(Q537="","",IF(Q537="SIM",VLOOKUP($I537&amp;$J537&amp;Q$1,Pesos!$A:$I,7,FALSE),VLOOKUP($I537&amp;$J537&amp;Q$1,Pesos!$A:$I,9,FALSE)))</f>
        <v>0.8</v>
      </c>
      <c r="AJ537" s="80">
        <f>IF(R537="","",IF(R537="SIM",VLOOKUP($I537&amp;$J537&amp;R$1,Pesos!$A:$I,7,FALSE),VLOOKUP($I537&amp;$J537&amp;R$1,Pesos!$A:$I,9,FALSE)))</f>
        <v>0.8</v>
      </c>
      <c r="AK537" s="80">
        <f>IF(S537="","",IF(S537="SIM",VLOOKUP($I537&amp;$J537&amp;S$1,Pesos!$A:$I,7,FALSE),VLOOKUP($I537&amp;$J537&amp;S$1,Pesos!$A:$I,9,FALSE)))</f>
        <v>0.8</v>
      </c>
      <c r="AL537" s="80">
        <f t="shared" si="84"/>
        <v>5.1999999999999993</v>
      </c>
      <c r="AM537" s="80">
        <f>IF(T537="","",IF(T537="SIM",VLOOKUP($I537&amp;$J537&amp;T$1,Pesos!$A:$I,7,FALSE),VLOOKUP($I537&amp;$J537&amp;T$1,Pesos!$A:$I,9,FALSE)))</f>
        <v>0.8</v>
      </c>
      <c r="AN537" s="80">
        <f>IF(U537="","",IF(U537="SIM",VLOOKUP($I537&amp;$J537&amp;U$1,Pesos!$A:$I,7,FALSE),VLOOKUP($I537&amp;$J537&amp;U$1,Pesos!$A:$I,9,FALSE)))</f>
        <v>0.8</v>
      </c>
      <c r="AO537" s="80">
        <f>IF(V537="","",IF(V537="SIM",VLOOKUP($I537&amp;$J537&amp;V$1,Pesos!$A:$I,7,FALSE),VLOOKUP($I537&amp;$J537&amp;V$1,Pesos!$A:$I,9,FALSE)))</f>
        <v>0.8</v>
      </c>
      <c r="AP537" s="80">
        <f>IF(W537="","",IF(W537="SIM",VLOOKUP($I537&amp;$J537&amp;W$1,Pesos!$A:$I,7,FALSE),VLOOKUP($I537&amp;$J537&amp;W$1,Pesos!$A:$I,9,FALSE)))</f>
        <v>0.8</v>
      </c>
      <c r="AQ537" s="80">
        <f>IF(X537="","",IF(X537="SIM",VLOOKUP($I537&amp;$J537&amp;X$1,Pesos!$A:$I,7,FALSE),VLOOKUP($I537&amp;$J537&amp;X$1,Pesos!$A:$I,9,FALSE)))</f>
        <v>0.8</v>
      </c>
      <c r="AR537" s="80">
        <f>IF(Y537="","",IF(Y537="SIM",VLOOKUP($I537&amp;$J537&amp;Y$1,Pesos!$A:$I,7,FALSE),VLOOKUP($I537&amp;$J537&amp;Y$1,Pesos!$A:$I,9,FALSE)))</f>
        <v>0.8</v>
      </c>
      <c r="AS537" s="81">
        <f>IFERROR(Z537*VLOOKUP(J537,'BD Campos'!$Y$1:$Z$12,2,FALSE),"0")</f>
        <v>10</v>
      </c>
    </row>
    <row r="538" spans="1:45" x14ac:dyDescent="0.35">
      <c r="A538" s="68" t="str">
        <f t="shared" si="80"/>
        <v>Fev202510586Ponto de ApoioUTI</v>
      </c>
      <c r="B538" s="114" t="str">
        <f t="shared" si="81"/>
        <v>Fev2025105861UTIPADRÃO</v>
      </c>
      <c r="C538" s="126">
        <v>1</v>
      </c>
      <c r="D538" s="127">
        <v>45699.601812962967</v>
      </c>
      <c r="E538" s="128" t="s">
        <v>338</v>
      </c>
      <c r="F538" s="129">
        <v>10586</v>
      </c>
      <c r="G538" s="130" t="s">
        <v>268</v>
      </c>
      <c r="H538" s="131">
        <v>1</v>
      </c>
      <c r="I538" s="130" t="s">
        <v>147</v>
      </c>
      <c r="J538" s="130" t="s">
        <v>125</v>
      </c>
      <c r="K538" s="130" t="s">
        <v>131</v>
      </c>
      <c r="L538" s="132">
        <v>31047662</v>
      </c>
      <c r="M538" s="133">
        <v>1.0879629629629629E-3</v>
      </c>
      <c r="N538" s="134" t="s">
        <v>79</v>
      </c>
      <c r="O538" s="134" t="s">
        <v>79</v>
      </c>
      <c r="P538" s="134" t="s">
        <v>79</v>
      </c>
      <c r="Q538" s="134" t="s">
        <v>79</v>
      </c>
      <c r="R538" s="134" t="s">
        <v>79</v>
      </c>
      <c r="S538" s="134" t="s">
        <v>79</v>
      </c>
      <c r="T538" s="134" t="s">
        <v>79</v>
      </c>
      <c r="U538" s="134" t="s">
        <v>79</v>
      </c>
      <c r="V538" s="134" t="s">
        <v>79</v>
      </c>
      <c r="W538" s="134" t="s">
        <v>83</v>
      </c>
      <c r="X538" s="134"/>
      <c r="Y538" s="134"/>
      <c r="Z538" s="135">
        <f t="shared" si="79"/>
        <v>8.9499999999999993</v>
      </c>
      <c r="AA538" s="136"/>
      <c r="AB538" s="136" t="s">
        <v>1675</v>
      </c>
      <c r="AC538" s="129" t="s">
        <v>47</v>
      </c>
      <c r="AE538" s="79" t="str">
        <f t="shared" si="83"/>
        <v>Fev10586</v>
      </c>
      <c r="AF538" s="80">
        <f>IF(N538="","",IF(N538="SIM",VLOOKUP($I538&amp;$J538&amp;N$1,Pesos!$A:$I,7,FALSE),VLOOKUP($I538&amp;$J538&amp;N$1,Pesos!$A:$I,9,FALSE)))</f>
        <v>1</v>
      </c>
      <c r="AG538" s="80">
        <f>IF(O538="","",IF(O538="SIM",VLOOKUP($I538&amp;$J538&amp;O$1,Pesos!$A:$I,7,FALSE),VLOOKUP($I538&amp;$J538&amp;O$1,Pesos!$A:$I,9,FALSE)))</f>
        <v>1</v>
      </c>
      <c r="AH538" s="80">
        <f>IF(P538="","",IF(P538="SIM",VLOOKUP($I538&amp;$J538&amp;P$1,Pesos!$A:$I,7,FALSE),VLOOKUP($I538&amp;$J538&amp;P$1,Pesos!$A:$I,9,FALSE)))</f>
        <v>1</v>
      </c>
      <c r="AI538" s="80">
        <f>IF(Q538="","",IF(Q538="SIM",VLOOKUP($I538&amp;$J538&amp;Q$1,Pesos!$A:$I,7,FALSE),VLOOKUP($I538&amp;$J538&amp;Q$1,Pesos!$A:$I,9,FALSE)))</f>
        <v>1</v>
      </c>
      <c r="AJ538" s="80">
        <f>IF(R538="","",IF(R538="SIM",VLOOKUP($I538&amp;$J538&amp;R$1,Pesos!$A:$I,7,FALSE),VLOOKUP($I538&amp;$J538&amp;R$1,Pesos!$A:$I,9,FALSE)))</f>
        <v>1</v>
      </c>
      <c r="AK538" s="80">
        <f>IF(S538="","",IF(S538="SIM",VLOOKUP($I538&amp;$J538&amp;S$1,Pesos!$A:$I,7,FALSE),VLOOKUP($I538&amp;$J538&amp;S$1,Pesos!$A:$I,9,FALSE)))</f>
        <v>1</v>
      </c>
      <c r="AL538" s="80">
        <f t="shared" si="84"/>
        <v>6</v>
      </c>
      <c r="AM538" s="80">
        <f>IF(T538="","",IF(T538="SIM",VLOOKUP($I538&amp;$J538&amp;T$1,Pesos!$A:$I,7,FALSE),VLOOKUP($I538&amp;$J538&amp;T$1,Pesos!$A:$I,9,FALSE)))</f>
        <v>1</v>
      </c>
      <c r="AN538" s="80">
        <f>IF(U538="","",IF(U538="SIM",VLOOKUP($I538&amp;$J538&amp;U$1,Pesos!$A:$I,7,FALSE),VLOOKUP($I538&amp;$J538&amp;U$1,Pesos!$A:$I,9,FALSE)))</f>
        <v>1</v>
      </c>
      <c r="AO538" s="80">
        <f>IF(V538="","",IF(V538="SIM",VLOOKUP($I538&amp;$J538&amp;V$1,Pesos!$A:$I,7,FALSE),VLOOKUP($I538&amp;$J538&amp;V$1,Pesos!$A:$I,9,FALSE)))</f>
        <v>1</v>
      </c>
      <c r="AP538" s="80">
        <f>IF(W538="","",IF(W538="SIM",VLOOKUP($I538&amp;$J538&amp;W$1,Pesos!$A:$I,7,FALSE),VLOOKUP($I538&amp;$J538&amp;W$1,Pesos!$A:$I,9,FALSE)))</f>
        <v>-0.05</v>
      </c>
      <c r="AQ538" s="80" t="str">
        <f>IF(X538="","",IF(X538="SIM",VLOOKUP($I538&amp;$J538&amp;X$1,Pesos!$A:$I,7,FALSE),VLOOKUP($I538&amp;$J538&amp;X$1,Pesos!$A:$I,9,FALSE)))</f>
        <v/>
      </c>
      <c r="AR538" s="80" t="str">
        <f>IF(Y538="","",IF(Y538="SIM",VLOOKUP($I538&amp;$J538&amp;Y$1,Pesos!$A:$I,7,FALSE),VLOOKUP($I538&amp;$J538&amp;Y$1,Pesos!$A:$I,9,FALSE)))</f>
        <v/>
      </c>
      <c r="AS538" s="81">
        <f>IFERROR(Z538*VLOOKUP(J538,'BD Campos'!$Y$1:$Z$12,2,FALSE),"0")</f>
        <v>8.9499999999999993</v>
      </c>
    </row>
    <row r="539" spans="1:45" x14ac:dyDescent="0.35">
      <c r="A539" s="68" t="str">
        <f t="shared" si="80"/>
        <v>Fev202510586ReceptivaUTI</v>
      </c>
      <c r="B539" s="114" t="str">
        <f t="shared" si="81"/>
        <v>Fev2025105865UTIPADRÃO</v>
      </c>
      <c r="C539" s="126">
        <v>1</v>
      </c>
      <c r="D539" s="127">
        <v>45699.603771296293</v>
      </c>
      <c r="E539" s="128" t="s">
        <v>338</v>
      </c>
      <c r="F539" s="129">
        <v>10586</v>
      </c>
      <c r="G539" s="130" t="s">
        <v>268</v>
      </c>
      <c r="H539" s="131">
        <v>5</v>
      </c>
      <c r="I539" s="130" t="s">
        <v>6</v>
      </c>
      <c r="J539" s="130" t="s">
        <v>98</v>
      </c>
      <c r="K539" s="130" t="s">
        <v>131</v>
      </c>
      <c r="L539" s="132"/>
      <c r="M539" s="133">
        <v>1.3773148148148147E-3</v>
      </c>
      <c r="N539" s="134" t="s">
        <v>79</v>
      </c>
      <c r="O539" s="134" t="s">
        <v>79</v>
      </c>
      <c r="P539" s="134" t="s">
        <v>79</v>
      </c>
      <c r="Q539" s="134" t="s">
        <v>79</v>
      </c>
      <c r="R539" s="134" t="s">
        <v>79</v>
      </c>
      <c r="S539" s="134" t="s">
        <v>79</v>
      </c>
      <c r="T539" s="134" t="s">
        <v>79</v>
      </c>
      <c r="U539" s="134" t="s">
        <v>79</v>
      </c>
      <c r="V539" s="134" t="s">
        <v>79</v>
      </c>
      <c r="W539" s="134" t="s">
        <v>79</v>
      </c>
      <c r="X539" s="134" t="s">
        <v>79</v>
      </c>
      <c r="Y539" s="134" t="s">
        <v>79</v>
      </c>
      <c r="Z539" s="135">
        <f t="shared" si="79"/>
        <v>10</v>
      </c>
      <c r="AA539" s="136"/>
      <c r="AB539" s="136"/>
      <c r="AC539" s="129" t="s">
        <v>47</v>
      </c>
      <c r="AE539" s="79" t="str">
        <f t="shared" si="83"/>
        <v>Fev10586</v>
      </c>
      <c r="AF539" s="80">
        <f>IF(N539="","",IF(N539="SIM",VLOOKUP($I539&amp;$J539&amp;N$1,Pesos!$A:$I,7,FALSE),VLOOKUP($I539&amp;$J539&amp;N$1,Pesos!$A:$I,9,FALSE)))</f>
        <v>0.8</v>
      </c>
      <c r="AG539" s="80">
        <f>IF(O539="","",IF(O539="SIM",VLOOKUP($I539&amp;$J539&amp;O$1,Pesos!$A:$I,7,FALSE),VLOOKUP($I539&amp;$J539&amp;O$1,Pesos!$A:$I,9,FALSE)))</f>
        <v>0.8</v>
      </c>
      <c r="AH539" s="80">
        <f>IF(P539="","",IF(P539="SIM",VLOOKUP($I539&amp;$J539&amp;P$1,Pesos!$A:$I,7,FALSE),VLOOKUP($I539&amp;$J539&amp;P$1,Pesos!$A:$I,9,FALSE)))</f>
        <v>1.2</v>
      </c>
      <c r="AI539" s="80">
        <f>IF(Q539="","",IF(Q539="SIM",VLOOKUP($I539&amp;$J539&amp;Q$1,Pesos!$A:$I,7,FALSE),VLOOKUP($I539&amp;$J539&amp;Q$1,Pesos!$A:$I,9,FALSE)))</f>
        <v>0.8</v>
      </c>
      <c r="AJ539" s="80">
        <f>IF(R539="","",IF(R539="SIM",VLOOKUP($I539&amp;$J539&amp;R$1,Pesos!$A:$I,7,FALSE),VLOOKUP($I539&amp;$J539&amp;R$1,Pesos!$A:$I,9,FALSE)))</f>
        <v>0.8</v>
      </c>
      <c r="AK539" s="80">
        <f>IF(S539="","",IF(S539="SIM",VLOOKUP($I539&amp;$J539&amp;S$1,Pesos!$A:$I,7,FALSE),VLOOKUP($I539&amp;$J539&amp;S$1,Pesos!$A:$I,9,FALSE)))</f>
        <v>0.8</v>
      </c>
      <c r="AL539" s="80">
        <f t="shared" si="84"/>
        <v>5.1999999999999993</v>
      </c>
      <c r="AM539" s="80">
        <f>IF(T539="","",IF(T539="SIM",VLOOKUP($I539&amp;$J539&amp;T$1,Pesos!$A:$I,7,FALSE),VLOOKUP($I539&amp;$J539&amp;T$1,Pesos!$A:$I,9,FALSE)))</f>
        <v>0.8</v>
      </c>
      <c r="AN539" s="80">
        <f>IF(U539="","",IF(U539="SIM",VLOOKUP($I539&amp;$J539&amp;U$1,Pesos!$A:$I,7,FALSE),VLOOKUP($I539&amp;$J539&amp;U$1,Pesos!$A:$I,9,FALSE)))</f>
        <v>0.8</v>
      </c>
      <c r="AO539" s="80">
        <f>IF(V539="","",IF(V539="SIM",VLOOKUP($I539&amp;$J539&amp;V$1,Pesos!$A:$I,7,FALSE),VLOOKUP($I539&amp;$J539&amp;V$1,Pesos!$A:$I,9,FALSE)))</f>
        <v>0.8</v>
      </c>
      <c r="AP539" s="80">
        <f>IF(W539="","",IF(W539="SIM",VLOOKUP($I539&amp;$J539&amp;W$1,Pesos!$A:$I,7,FALSE),VLOOKUP($I539&amp;$J539&amp;W$1,Pesos!$A:$I,9,FALSE)))</f>
        <v>0.8</v>
      </c>
      <c r="AQ539" s="80">
        <f>IF(X539="","",IF(X539="SIM",VLOOKUP($I539&amp;$J539&amp;X$1,Pesos!$A:$I,7,FALSE),VLOOKUP($I539&amp;$J539&amp;X$1,Pesos!$A:$I,9,FALSE)))</f>
        <v>0.8</v>
      </c>
      <c r="AR539" s="80">
        <f>IF(Y539="","",IF(Y539="SIM",VLOOKUP($I539&amp;$J539&amp;Y$1,Pesos!$A:$I,7,FALSE),VLOOKUP($I539&amp;$J539&amp;Y$1,Pesos!$A:$I,9,FALSE)))</f>
        <v>0.8</v>
      </c>
      <c r="AS539" s="81">
        <f>IFERROR(Z539*VLOOKUP(J539,'BD Campos'!$Y$1:$Z$12,2,FALSE),"0")</f>
        <v>10</v>
      </c>
    </row>
    <row r="540" spans="1:45" x14ac:dyDescent="0.35">
      <c r="A540" s="68" t="str">
        <f t="shared" si="80"/>
        <v>Fev202510610MotoristaUTI</v>
      </c>
      <c r="B540" s="114" t="str">
        <f t="shared" si="81"/>
        <v>Fev2025106101UTIPADRÃO</v>
      </c>
      <c r="C540" s="126">
        <v>1</v>
      </c>
      <c r="D540" s="127">
        <v>45699.61050451389</v>
      </c>
      <c r="E540" s="128" t="s">
        <v>338</v>
      </c>
      <c r="F540" s="129">
        <v>10610</v>
      </c>
      <c r="G540" s="130" t="s">
        <v>298</v>
      </c>
      <c r="H540" s="131">
        <v>1</v>
      </c>
      <c r="I540" s="130" t="s">
        <v>123</v>
      </c>
      <c r="J540" s="130" t="s">
        <v>122</v>
      </c>
      <c r="K540" s="130" t="s">
        <v>131</v>
      </c>
      <c r="L540" s="132">
        <v>31123884</v>
      </c>
      <c r="M540" s="133">
        <v>9.0277777777777784E-4</v>
      </c>
      <c r="N540" s="134" t="s">
        <v>83</v>
      </c>
      <c r="O540" s="134" t="s">
        <v>79</v>
      </c>
      <c r="P540" s="134" t="s">
        <v>79</v>
      </c>
      <c r="Q540" s="134" t="s">
        <v>79</v>
      </c>
      <c r="R540" s="134" t="s">
        <v>79</v>
      </c>
      <c r="S540" s="134" t="s">
        <v>79</v>
      </c>
      <c r="T540" s="134" t="s">
        <v>79</v>
      </c>
      <c r="U540" s="134" t="s">
        <v>79</v>
      </c>
      <c r="V540" s="134" t="s">
        <v>79</v>
      </c>
      <c r="W540" s="134" t="s">
        <v>83</v>
      </c>
      <c r="X540" s="134"/>
      <c r="Y540" s="134"/>
      <c r="Z540" s="135">
        <f t="shared" si="79"/>
        <v>7.9</v>
      </c>
      <c r="AA540" s="136"/>
      <c r="AB540" s="136" t="s">
        <v>1676</v>
      </c>
      <c r="AC540" s="129" t="s">
        <v>47</v>
      </c>
      <c r="AE540" s="79" t="str">
        <f t="shared" si="83"/>
        <v>Fev10610</v>
      </c>
      <c r="AF540" s="80">
        <f>IF(N540="","",IF(N540="SIM",VLOOKUP($I540&amp;$J540&amp;N$1,Pesos!$A:$I,7,FALSE),VLOOKUP($I540&amp;$J540&amp;N$1,Pesos!$A:$I,9,FALSE)))</f>
        <v>-0.05</v>
      </c>
      <c r="AG540" s="80">
        <f>IF(O540="","",IF(O540="SIM",VLOOKUP($I540&amp;$J540&amp;O$1,Pesos!$A:$I,7,FALSE),VLOOKUP($I540&amp;$J540&amp;O$1,Pesos!$A:$I,9,FALSE)))</f>
        <v>1</v>
      </c>
      <c r="AH540" s="80">
        <f>IF(P540="","",IF(P540="SIM",VLOOKUP($I540&amp;$J540&amp;P$1,Pesos!$A:$I,7,FALSE),VLOOKUP($I540&amp;$J540&amp;P$1,Pesos!$A:$I,9,FALSE)))</f>
        <v>1</v>
      </c>
      <c r="AI540" s="80">
        <f>IF(Q540="","",IF(Q540="SIM",VLOOKUP($I540&amp;$J540&amp;Q$1,Pesos!$A:$I,7,FALSE),VLOOKUP($I540&amp;$J540&amp;Q$1,Pesos!$A:$I,9,FALSE)))</f>
        <v>1</v>
      </c>
      <c r="AJ540" s="80">
        <f>IF(R540="","",IF(R540="SIM",VLOOKUP($I540&amp;$J540&amp;R$1,Pesos!$A:$I,7,FALSE),VLOOKUP($I540&amp;$J540&amp;R$1,Pesos!$A:$I,9,FALSE)))</f>
        <v>1</v>
      </c>
      <c r="AK540" s="80">
        <f>IF(S540="","",IF(S540="SIM",VLOOKUP($I540&amp;$J540&amp;S$1,Pesos!$A:$I,7,FALSE),VLOOKUP($I540&amp;$J540&amp;S$1,Pesos!$A:$I,9,FALSE)))</f>
        <v>1</v>
      </c>
      <c r="AL540" s="80">
        <f t="shared" si="84"/>
        <v>4.95</v>
      </c>
      <c r="AM540" s="80">
        <f>IF(T540="","",IF(T540="SIM",VLOOKUP($I540&amp;$J540&amp;T$1,Pesos!$A:$I,7,FALSE),VLOOKUP($I540&amp;$J540&amp;T$1,Pesos!$A:$I,9,FALSE)))</f>
        <v>1</v>
      </c>
      <c r="AN540" s="80">
        <f>IF(U540="","",IF(U540="SIM",VLOOKUP($I540&amp;$J540&amp;U$1,Pesos!$A:$I,7,FALSE),VLOOKUP($I540&amp;$J540&amp;U$1,Pesos!$A:$I,9,FALSE)))</f>
        <v>1</v>
      </c>
      <c r="AO540" s="80">
        <f>IF(V540="","",IF(V540="SIM",VLOOKUP($I540&amp;$J540&amp;V$1,Pesos!$A:$I,7,FALSE),VLOOKUP($I540&amp;$J540&amp;V$1,Pesos!$A:$I,9,FALSE)))</f>
        <v>1</v>
      </c>
      <c r="AP540" s="80">
        <f>IF(W540="","",IF(W540="SIM",VLOOKUP($I540&amp;$J540&amp;W$1,Pesos!$A:$I,7,FALSE),VLOOKUP($I540&amp;$J540&amp;W$1,Pesos!$A:$I,9,FALSE)))</f>
        <v>-0.05</v>
      </c>
      <c r="AQ540" s="80" t="str">
        <f>IF(X540="","",IF(X540="SIM",VLOOKUP($I540&amp;$J540&amp;X$1,Pesos!$A:$I,7,FALSE),VLOOKUP($I540&amp;$J540&amp;X$1,Pesos!$A:$I,9,FALSE)))</f>
        <v/>
      </c>
      <c r="AR540" s="80" t="str">
        <f>IF(Y540="","",IF(Y540="SIM",VLOOKUP($I540&amp;$J540&amp;Y$1,Pesos!$A:$I,7,FALSE),VLOOKUP($I540&amp;$J540&amp;Y$1,Pesos!$A:$I,9,FALSE)))</f>
        <v/>
      </c>
      <c r="AS540" s="81">
        <f>IFERROR(Z540*VLOOKUP(J540,'BD Campos'!$Y$1:$Z$12,2,FALSE),"0")</f>
        <v>7.9</v>
      </c>
    </row>
    <row r="541" spans="1:45" x14ac:dyDescent="0.35">
      <c r="A541" s="68" t="str">
        <f t="shared" si="80"/>
        <v>Fev202510610ReceptivaUTI</v>
      </c>
      <c r="B541" s="114" t="str">
        <f t="shared" si="81"/>
        <v>Fev2025106105UTIPADRÃO</v>
      </c>
      <c r="C541" s="126">
        <v>1</v>
      </c>
      <c r="D541" s="127">
        <v>45699.61416701389</v>
      </c>
      <c r="E541" s="128" t="s">
        <v>338</v>
      </c>
      <c r="F541" s="129">
        <v>10610</v>
      </c>
      <c r="G541" s="130" t="s">
        <v>298</v>
      </c>
      <c r="H541" s="131">
        <v>5</v>
      </c>
      <c r="I541" s="130" t="s">
        <v>6</v>
      </c>
      <c r="J541" s="130" t="s">
        <v>98</v>
      </c>
      <c r="K541" s="130" t="s">
        <v>131</v>
      </c>
      <c r="L541" s="132"/>
      <c r="M541" s="133">
        <v>1.2384259259259258E-3</v>
      </c>
      <c r="N541" s="134" t="s">
        <v>79</v>
      </c>
      <c r="O541" s="134" t="s">
        <v>79</v>
      </c>
      <c r="P541" s="134" t="s">
        <v>79</v>
      </c>
      <c r="Q541" s="134" t="s">
        <v>79</v>
      </c>
      <c r="R541" s="134" t="s">
        <v>79</v>
      </c>
      <c r="S541" s="134" t="s">
        <v>79</v>
      </c>
      <c r="T541" s="134" t="s">
        <v>79</v>
      </c>
      <c r="U541" s="134" t="s">
        <v>79</v>
      </c>
      <c r="V541" s="134" t="s">
        <v>79</v>
      </c>
      <c r="W541" s="134" t="s">
        <v>79</v>
      </c>
      <c r="X541" s="134" t="s">
        <v>79</v>
      </c>
      <c r="Y541" s="134" t="s">
        <v>79</v>
      </c>
      <c r="Z541" s="135">
        <f t="shared" si="79"/>
        <v>10</v>
      </c>
      <c r="AA541" s="136"/>
      <c r="AB541" s="136"/>
      <c r="AC541" s="129" t="s">
        <v>47</v>
      </c>
      <c r="AE541" s="79" t="str">
        <f t="shared" si="83"/>
        <v>Fev10610</v>
      </c>
      <c r="AF541" s="80">
        <f>IF(N541="","",IF(N541="SIM",VLOOKUP($I541&amp;$J541&amp;N$1,Pesos!$A:$I,7,FALSE),VLOOKUP($I541&amp;$J541&amp;N$1,Pesos!$A:$I,9,FALSE)))</f>
        <v>0.8</v>
      </c>
      <c r="AG541" s="80">
        <f>IF(O541="","",IF(O541="SIM",VLOOKUP($I541&amp;$J541&amp;O$1,Pesos!$A:$I,7,FALSE),VLOOKUP($I541&amp;$J541&amp;O$1,Pesos!$A:$I,9,FALSE)))</f>
        <v>0.8</v>
      </c>
      <c r="AH541" s="80">
        <f>IF(P541="","",IF(P541="SIM",VLOOKUP($I541&amp;$J541&amp;P$1,Pesos!$A:$I,7,FALSE),VLOOKUP($I541&amp;$J541&amp;P$1,Pesos!$A:$I,9,FALSE)))</f>
        <v>1.2</v>
      </c>
      <c r="AI541" s="80">
        <f>IF(Q541="","",IF(Q541="SIM",VLOOKUP($I541&amp;$J541&amp;Q$1,Pesos!$A:$I,7,FALSE),VLOOKUP($I541&amp;$J541&amp;Q$1,Pesos!$A:$I,9,FALSE)))</f>
        <v>0.8</v>
      </c>
      <c r="AJ541" s="80">
        <f>IF(R541="","",IF(R541="SIM",VLOOKUP($I541&amp;$J541&amp;R$1,Pesos!$A:$I,7,FALSE),VLOOKUP($I541&amp;$J541&amp;R$1,Pesos!$A:$I,9,FALSE)))</f>
        <v>0.8</v>
      </c>
      <c r="AK541" s="80">
        <f>IF(S541="","",IF(S541="SIM",VLOOKUP($I541&amp;$J541&amp;S$1,Pesos!$A:$I,7,FALSE),VLOOKUP($I541&amp;$J541&amp;S$1,Pesos!$A:$I,9,FALSE)))</f>
        <v>0.8</v>
      </c>
      <c r="AL541" s="80">
        <f t="shared" si="84"/>
        <v>5.1999999999999993</v>
      </c>
      <c r="AM541" s="80">
        <f>IF(T541="","",IF(T541="SIM",VLOOKUP($I541&amp;$J541&amp;T$1,Pesos!$A:$I,7,FALSE),VLOOKUP($I541&amp;$J541&amp;T$1,Pesos!$A:$I,9,FALSE)))</f>
        <v>0.8</v>
      </c>
      <c r="AN541" s="80">
        <f>IF(U541="","",IF(U541="SIM",VLOOKUP($I541&amp;$J541&amp;U$1,Pesos!$A:$I,7,FALSE),VLOOKUP($I541&amp;$J541&amp;U$1,Pesos!$A:$I,9,FALSE)))</f>
        <v>0.8</v>
      </c>
      <c r="AO541" s="80">
        <f>IF(V541="","",IF(V541="SIM",VLOOKUP($I541&amp;$J541&amp;V$1,Pesos!$A:$I,7,FALSE),VLOOKUP($I541&amp;$J541&amp;V$1,Pesos!$A:$I,9,FALSE)))</f>
        <v>0.8</v>
      </c>
      <c r="AP541" s="80">
        <f>IF(W541="","",IF(W541="SIM",VLOOKUP($I541&amp;$J541&amp;W$1,Pesos!$A:$I,7,FALSE),VLOOKUP($I541&amp;$J541&amp;W$1,Pesos!$A:$I,9,FALSE)))</f>
        <v>0.8</v>
      </c>
      <c r="AQ541" s="80">
        <f>IF(X541="","",IF(X541="SIM",VLOOKUP($I541&amp;$J541&amp;X$1,Pesos!$A:$I,7,FALSE),VLOOKUP($I541&amp;$J541&amp;X$1,Pesos!$A:$I,9,FALSE)))</f>
        <v>0.8</v>
      </c>
      <c r="AR541" s="80">
        <f>IF(Y541="","",IF(Y541="SIM",VLOOKUP($I541&amp;$J541&amp;Y$1,Pesos!$A:$I,7,FALSE),VLOOKUP($I541&amp;$J541&amp;Y$1,Pesos!$A:$I,9,FALSE)))</f>
        <v>0.8</v>
      </c>
      <c r="AS541" s="81">
        <f>IFERROR(Z541*VLOOKUP(J541,'BD Campos'!$Y$1:$Z$12,2,FALSE),"0")</f>
        <v>10</v>
      </c>
    </row>
    <row r="542" spans="1:45" x14ac:dyDescent="0.35">
      <c r="A542" s="68" t="str">
        <f t="shared" si="80"/>
        <v>Fev202510628ReceptivaUTI (RJ)</v>
      </c>
      <c r="B542" s="114" t="str">
        <f t="shared" si="81"/>
        <v>Fev2025106285UTI (RJ)PADRÃO</v>
      </c>
      <c r="C542" s="126">
        <v>1</v>
      </c>
      <c r="D542" s="127">
        <v>45699.616064699076</v>
      </c>
      <c r="E542" s="128" t="s">
        <v>338</v>
      </c>
      <c r="F542" s="129">
        <v>10628</v>
      </c>
      <c r="G542" s="130" t="s">
        <v>271</v>
      </c>
      <c r="H542" s="131">
        <v>5</v>
      </c>
      <c r="I542" s="130" t="s">
        <v>6</v>
      </c>
      <c r="J542" s="130" t="s">
        <v>98</v>
      </c>
      <c r="K542" s="130" t="s">
        <v>278</v>
      </c>
      <c r="L542" s="132"/>
      <c r="M542" s="133">
        <v>9.6064814814814808E-4</v>
      </c>
      <c r="N542" s="134" t="s">
        <v>79</v>
      </c>
      <c r="O542" s="134" t="s">
        <v>79</v>
      </c>
      <c r="P542" s="134" t="s">
        <v>79</v>
      </c>
      <c r="Q542" s="134" t="s">
        <v>79</v>
      </c>
      <c r="R542" s="134" t="s">
        <v>79</v>
      </c>
      <c r="S542" s="134" t="s">
        <v>79</v>
      </c>
      <c r="T542" s="134" t="s">
        <v>79</v>
      </c>
      <c r="U542" s="134" t="s">
        <v>79</v>
      </c>
      <c r="V542" s="134" t="s">
        <v>79</v>
      </c>
      <c r="W542" s="134" t="s">
        <v>79</v>
      </c>
      <c r="X542" s="134" t="s">
        <v>79</v>
      </c>
      <c r="Y542" s="134" t="s">
        <v>79</v>
      </c>
      <c r="Z542" s="135">
        <f t="shared" si="79"/>
        <v>10</v>
      </c>
      <c r="AA542" s="136"/>
      <c r="AB542" s="136"/>
      <c r="AC542" s="129" t="s">
        <v>47</v>
      </c>
      <c r="AE542" s="79" t="str">
        <f t="shared" si="83"/>
        <v>Fev10628</v>
      </c>
      <c r="AF542" s="80">
        <f>IF(N542="","",IF(N542="SIM",VLOOKUP($I542&amp;$J542&amp;N$1,Pesos!$A:$I,7,FALSE),VLOOKUP($I542&amp;$J542&amp;N$1,Pesos!$A:$I,9,FALSE)))</f>
        <v>0.8</v>
      </c>
      <c r="AG542" s="80">
        <f>IF(O542="","",IF(O542="SIM",VLOOKUP($I542&amp;$J542&amp;O$1,Pesos!$A:$I,7,FALSE),VLOOKUP($I542&amp;$J542&amp;O$1,Pesos!$A:$I,9,FALSE)))</f>
        <v>0.8</v>
      </c>
      <c r="AH542" s="80">
        <f>IF(P542="","",IF(P542="SIM",VLOOKUP($I542&amp;$J542&amp;P$1,Pesos!$A:$I,7,FALSE),VLOOKUP($I542&amp;$J542&amp;P$1,Pesos!$A:$I,9,FALSE)))</f>
        <v>1.2</v>
      </c>
      <c r="AI542" s="80">
        <f>IF(Q542="","",IF(Q542="SIM",VLOOKUP($I542&amp;$J542&amp;Q$1,Pesos!$A:$I,7,FALSE),VLOOKUP($I542&amp;$J542&amp;Q$1,Pesos!$A:$I,9,FALSE)))</f>
        <v>0.8</v>
      </c>
      <c r="AJ542" s="80">
        <f>IF(R542="","",IF(R542="SIM",VLOOKUP($I542&amp;$J542&amp;R$1,Pesos!$A:$I,7,FALSE),VLOOKUP($I542&amp;$J542&amp;R$1,Pesos!$A:$I,9,FALSE)))</f>
        <v>0.8</v>
      </c>
      <c r="AK542" s="80">
        <f>IF(S542="","",IF(S542="SIM",VLOOKUP($I542&amp;$J542&amp;S$1,Pesos!$A:$I,7,FALSE),VLOOKUP($I542&amp;$J542&amp;S$1,Pesos!$A:$I,9,FALSE)))</f>
        <v>0.8</v>
      </c>
      <c r="AL542" s="80">
        <f t="shared" si="84"/>
        <v>5.1999999999999993</v>
      </c>
      <c r="AM542" s="80">
        <f>IF(T542="","",IF(T542="SIM",VLOOKUP($I542&amp;$J542&amp;T$1,Pesos!$A:$I,7,FALSE),VLOOKUP($I542&amp;$J542&amp;T$1,Pesos!$A:$I,9,FALSE)))</f>
        <v>0.8</v>
      </c>
      <c r="AN542" s="80">
        <f>IF(U542="","",IF(U542="SIM",VLOOKUP($I542&amp;$J542&amp;U$1,Pesos!$A:$I,7,FALSE),VLOOKUP($I542&amp;$J542&amp;U$1,Pesos!$A:$I,9,FALSE)))</f>
        <v>0.8</v>
      </c>
      <c r="AO542" s="80">
        <f>IF(V542="","",IF(V542="SIM",VLOOKUP($I542&amp;$J542&amp;V$1,Pesos!$A:$I,7,FALSE),VLOOKUP($I542&amp;$J542&amp;V$1,Pesos!$A:$I,9,FALSE)))</f>
        <v>0.8</v>
      </c>
      <c r="AP542" s="80">
        <f>IF(W542="","",IF(W542="SIM",VLOOKUP($I542&amp;$J542&amp;W$1,Pesos!$A:$I,7,FALSE),VLOOKUP($I542&amp;$J542&amp;W$1,Pesos!$A:$I,9,FALSE)))</f>
        <v>0.8</v>
      </c>
      <c r="AQ542" s="80">
        <f>IF(X542="","",IF(X542="SIM",VLOOKUP($I542&amp;$J542&amp;X$1,Pesos!$A:$I,7,FALSE),VLOOKUP($I542&amp;$J542&amp;X$1,Pesos!$A:$I,9,FALSE)))</f>
        <v>0.8</v>
      </c>
      <c r="AR542" s="80">
        <f>IF(Y542="","",IF(Y542="SIM",VLOOKUP($I542&amp;$J542&amp;Y$1,Pesos!$A:$I,7,FALSE),VLOOKUP($I542&amp;$J542&amp;Y$1,Pesos!$A:$I,9,FALSE)))</f>
        <v>0.8</v>
      </c>
      <c r="AS542" s="81">
        <f>IFERROR(Z542*VLOOKUP(J542,'BD Campos'!$Y$1:$Z$12,2,FALSE),"0")</f>
        <v>10</v>
      </c>
    </row>
    <row r="543" spans="1:45" x14ac:dyDescent="0.35">
      <c r="A543" s="68" t="str">
        <f t="shared" si="80"/>
        <v>Fev20251804MotoristaLOGÍSTICA</v>
      </c>
      <c r="B543" s="114" t="str">
        <f t="shared" si="81"/>
        <v>Fev202518041LOGÍSTICAPADRÃO</v>
      </c>
      <c r="C543" s="126">
        <v>1</v>
      </c>
      <c r="D543" s="127">
        <v>45699.626930324077</v>
      </c>
      <c r="E543" s="128" t="s">
        <v>338</v>
      </c>
      <c r="F543" s="129">
        <v>1804</v>
      </c>
      <c r="G543" s="130" t="s">
        <v>201</v>
      </c>
      <c r="H543" s="131">
        <v>1</v>
      </c>
      <c r="I543" s="130" t="s">
        <v>202</v>
      </c>
      <c r="J543" s="130" t="s">
        <v>122</v>
      </c>
      <c r="K543" s="130" t="s">
        <v>184</v>
      </c>
      <c r="L543" s="132"/>
      <c r="M543" s="133">
        <v>1.261574074074074E-3</v>
      </c>
      <c r="N543" s="134" t="s">
        <v>79</v>
      </c>
      <c r="O543" s="134" t="s">
        <v>79</v>
      </c>
      <c r="P543" s="134" t="s">
        <v>79</v>
      </c>
      <c r="Q543" s="134" t="s">
        <v>79</v>
      </c>
      <c r="R543" s="134" t="s">
        <v>79</v>
      </c>
      <c r="S543" s="134" t="s">
        <v>79</v>
      </c>
      <c r="T543" s="134" t="s">
        <v>79</v>
      </c>
      <c r="U543" s="134" t="s">
        <v>79</v>
      </c>
      <c r="V543" s="134"/>
      <c r="W543" s="134"/>
      <c r="X543" s="134"/>
      <c r="Y543" s="134"/>
      <c r="Z543" s="135">
        <f t="shared" si="79"/>
        <v>10</v>
      </c>
      <c r="AA543" s="136"/>
      <c r="AB543" s="136"/>
      <c r="AC543" s="129" t="s">
        <v>47</v>
      </c>
      <c r="AE543" s="79" t="str">
        <f t="shared" ref="AE543:AE557" si="85">E543&amp;F543</f>
        <v>Fev1804</v>
      </c>
      <c r="AF543" s="80">
        <f>IF(N543="","",IF(N543="SIM",VLOOKUP($I543&amp;$J543&amp;N$1,Pesos!$A:$I,7,FALSE),VLOOKUP($I543&amp;$J543&amp;N$1,Pesos!$A:$I,9,FALSE)))</f>
        <v>1.2</v>
      </c>
      <c r="AG543" s="80">
        <f>IF(O543="","",IF(O543="SIM",VLOOKUP($I543&amp;$J543&amp;O$1,Pesos!$A:$I,7,FALSE),VLOOKUP($I543&amp;$J543&amp;O$1,Pesos!$A:$I,9,FALSE)))</f>
        <v>1</v>
      </c>
      <c r="AH543" s="80">
        <f>IF(P543="","",IF(P543="SIM",VLOOKUP($I543&amp;$J543&amp;P$1,Pesos!$A:$I,7,FALSE),VLOOKUP($I543&amp;$J543&amp;P$1,Pesos!$A:$I,9,FALSE)))</f>
        <v>1</v>
      </c>
      <c r="AI543" s="80">
        <f>IF(Q543="","",IF(Q543="SIM",VLOOKUP($I543&amp;$J543&amp;Q$1,Pesos!$A:$I,7,FALSE),VLOOKUP($I543&amp;$J543&amp;Q$1,Pesos!$A:$I,9,FALSE)))</f>
        <v>1</v>
      </c>
      <c r="AJ543" s="80">
        <f>IF(R543="","",IF(R543="SIM",VLOOKUP($I543&amp;$J543&amp;R$1,Pesos!$A:$I,7,FALSE),VLOOKUP($I543&amp;$J543&amp;R$1,Pesos!$A:$I,9,FALSE)))</f>
        <v>1.4000000000000001</v>
      </c>
      <c r="AK543" s="80">
        <f>IF(S543="","",IF(S543="SIM",VLOOKUP($I543&amp;$J543&amp;S$1,Pesos!$A:$I,7,FALSE),VLOOKUP($I543&amp;$J543&amp;S$1,Pesos!$A:$I,9,FALSE)))</f>
        <v>0.89999999999999991</v>
      </c>
      <c r="AL543" s="80">
        <f t="shared" si="84"/>
        <v>6.5</v>
      </c>
      <c r="AM543" s="80">
        <f>IF(T543="","",IF(T543="SIM",VLOOKUP($I543&amp;$J543&amp;T$1,Pesos!$A:$I,7,FALSE),VLOOKUP($I543&amp;$J543&amp;T$1,Pesos!$A:$I,9,FALSE)))</f>
        <v>1.7000000000000002</v>
      </c>
      <c r="AN543" s="80">
        <f>IF(U543="","",IF(U543="SIM",VLOOKUP($I543&amp;$J543&amp;U$1,Pesos!$A:$I,7,FALSE),VLOOKUP($I543&amp;$J543&amp;U$1,Pesos!$A:$I,9,FALSE)))</f>
        <v>1.7999999999999998</v>
      </c>
      <c r="AO543" s="80" t="str">
        <f>IF(V543="","",IF(V543="SIM",VLOOKUP($I543&amp;$J543&amp;V$1,Pesos!$A:$I,7,FALSE),VLOOKUP($I543&amp;$J543&amp;V$1,Pesos!$A:$I,9,FALSE)))</f>
        <v/>
      </c>
      <c r="AP543" s="80" t="str">
        <f>IF(W543="","",IF(W543="SIM",VLOOKUP($I543&amp;$J543&amp;W$1,Pesos!$A:$I,7,FALSE),VLOOKUP($I543&amp;$J543&amp;W$1,Pesos!$A:$I,9,FALSE)))</f>
        <v/>
      </c>
      <c r="AQ543" s="80" t="str">
        <f>IF(X543="","",IF(X543="SIM",VLOOKUP($I543&amp;$J543&amp;X$1,Pesos!$A:$I,7,FALSE),VLOOKUP($I543&amp;$J543&amp;X$1,Pesos!$A:$I,9,FALSE)))</f>
        <v/>
      </c>
      <c r="AR543" s="80" t="str">
        <f>IF(Y543="","",IF(Y543="SIM",VLOOKUP($I543&amp;$J543&amp;Y$1,Pesos!$A:$I,7,FALSE),VLOOKUP($I543&amp;$J543&amp;Y$1,Pesos!$A:$I,9,FALSE)))</f>
        <v/>
      </c>
      <c r="AS543" s="81">
        <f>IFERROR(Z543*VLOOKUP(J543,'BD Campos'!$Y$1:$Z$12,2,FALSE),"0")</f>
        <v>10</v>
      </c>
    </row>
    <row r="544" spans="1:45" x14ac:dyDescent="0.35">
      <c r="A544" s="68" t="str">
        <f t="shared" si="80"/>
        <v>Fev202510699MotoristaLOGÍSTICA</v>
      </c>
      <c r="B544" s="114" t="str">
        <f t="shared" si="81"/>
        <v>Fev2025106991LOGÍSTICAPADRÃO</v>
      </c>
      <c r="C544" s="126">
        <v>1</v>
      </c>
      <c r="D544" s="127">
        <v>45699.632773495374</v>
      </c>
      <c r="E544" s="128" t="s">
        <v>338</v>
      </c>
      <c r="F544" s="129">
        <v>10699</v>
      </c>
      <c r="G544" s="130" t="s">
        <v>211</v>
      </c>
      <c r="H544" s="131">
        <v>1</v>
      </c>
      <c r="I544" s="130" t="s">
        <v>1373</v>
      </c>
      <c r="J544" s="130" t="s">
        <v>122</v>
      </c>
      <c r="K544" s="130" t="s">
        <v>184</v>
      </c>
      <c r="L544" s="132"/>
      <c r="M544" s="133">
        <v>1.2152777777777778E-3</v>
      </c>
      <c r="N544" s="134" t="s">
        <v>79</v>
      </c>
      <c r="O544" s="134" t="s">
        <v>79</v>
      </c>
      <c r="P544" s="134" t="s">
        <v>79</v>
      </c>
      <c r="Q544" s="134" t="s">
        <v>83</v>
      </c>
      <c r="R544" s="134" t="s">
        <v>79</v>
      </c>
      <c r="S544" s="134" t="s">
        <v>79</v>
      </c>
      <c r="T544" s="134" t="s">
        <v>79</v>
      </c>
      <c r="U544" s="134" t="s">
        <v>79</v>
      </c>
      <c r="V544" s="134"/>
      <c r="W544" s="134"/>
      <c r="X544" s="134"/>
      <c r="Y544" s="134"/>
      <c r="Z544" s="135">
        <f t="shared" si="79"/>
        <v>8.8450000000000006</v>
      </c>
      <c r="AA544" s="136"/>
      <c r="AB544" s="136"/>
      <c r="AC544" s="129" t="s">
        <v>47</v>
      </c>
      <c r="AE544" s="79" t="str">
        <f t="shared" si="85"/>
        <v>Fev10699</v>
      </c>
      <c r="AF544" s="80">
        <f>IF(N544="","",IF(N544="SIM",VLOOKUP($I544&amp;$J544&amp;N$1,Pesos!$A:$I,7,FALSE),VLOOKUP($I544&amp;$J544&amp;N$1,Pesos!$A:$I,9,FALSE)))</f>
        <v>1.1000000000000001</v>
      </c>
      <c r="AG544" s="80">
        <f>IF(O544="","",IF(O544="SIM",VLOOKUP($I544&amp;$J544&amp;O$1,Pesos!$A:$I,7,FALSE),VLOOKUP($I544&amp;$J544&amp;O$1,Pesos!$A:$I,9,FALSE)))</f>
        <v>1.1000000000000001</v>
      </c>
      <c r="AH544" s="80">
        <f>IF(P544="","",IF(P544="SIM",VLOOKUP($I544&amp;$J544&amp;P$1,Pesos!$A:$I,7,FALSE),VLOOKUP($I544&amp;$J544&amp;P$1,Pesos!$A:$I,9,FALSE)))</f>
        <v>1.1000000000000001</v>
      </c>
      <c r="AI544" s="80">
        <f>IF(Q544="","",IF(Q544="SIM",VLOOKUP($I544&amp;$J544&amp;Q$1,Pesos!$A:$I,7,FALSE),VLOOKUP($I544&amp;$J544&amp;Q$1,Pesos!$A:$I,9,FALSE)))</f>
        <v>-5.5000000000000007E-2</v>
      </c>
      <c r="AJ544" s="80">
        <f>IF(R544="","",IF(R544="SIM",VLOOKUP($I544&amp;$J544&amp;R$1,Pesos!$A:$I,7,FALSE),VLOOKUP($I544&amp;$J544&amp;R$1,Pesos!$A:$I,9,FALSE)))</f>
        <v>1.1000000000000001</v>
      </c>
      <c r="AK544" s="80">
        <f>IF(S544="","",IF(S544="SIM",VLOOKUP($I544&amp;$J544&amp;S$1,Pesos!$A:$I,7,FALSE),VLOOKUP($I544&amp;$J544&amp;S$1,Pesos!$A:$I,9,FALSE)))</f>
        <v>1.5</v>
      </c>
      <c r="AL544" s="80">
        <f t="shared" si="84"/>
        <v>5.8450000000000006</v>
      </c>
      <c r="AM544" s="80">
        <f>IF(T544="","",IF(T544="SIM",VLOOKUP($I544&amp;$J544&amp;T$1,Pesos!$A:$I,7,FALSE),VLOOKUP($I544&amp;$J544&amp;T$1,Pesos!$A:$I,9,FALSE)))</f>
        <v>1.5</v>
      </c>
      <c r="AN544" s="80">
        <f>IF(U544="","",IF(U544="SIM",VLOOKUP($I544&amp;$J544&amp;U$1,Pesos!$A:$I,7,FALSE),VLOOKUP($I544&amp;$J544&amp;U$1,Pesos!$A:$I,9,FALSE)))</f>
        <v>1.5</v>
      </c>
      <c r="AO544" s="80" t="str">
        <f>IF(V544="","",IF(V544="SIM",VLOOKUP($I544&amp;$J544&amp;V$1,Pesos!$A:$I,7,FALSE),VLOOKUP($I544&amp;$J544&amp;V$1,Pesos!$A:$I,9,FALSE)))</f>
        <v/>
      </c>
      <c r="AP544" s="80" t="str">
        <f>IF(W544="","",IF(W544="SIM",VLOOKUP($I544&amp;$J544&amp;W$1,Pesos!$A:$I,7,FALSE),VLOOKUP($I544&amp;$J544&amp;W$1,Pesos!$A:$I,9,FALSE)))</f>
        <v/>
      </c>
      <c r="AQ544" s="80" t="str">
        <f>IF(X544="","",IF(X544="SIM",VLOOKUP($I544&amp;$J544&amp;X$1,Pesos!$A:$I,7,FALSE),VLOOKUP($I544&amp;$J544&amp;X$1,Pesos!$A:$I,9,FALSE)))</f>
        <v/>
      </c>
      <c r="AR544" s="80" t="str">
        <f>IF(Y544="","",IF(Y544="SIM",VLOOKUP($I544&amp;$J544&amp;Y$1,Pesos!$A:$I,7,FALSE),VLOOKUP($I544&amp;$J544&amp;Y$1,Pesos!$A:$I,9,FALSE)))</f>
        <v/>
      </c>
      <c r="AS544" s="81">
        <f>IFERROR(Z544*VLOOKUP(J544,'BD Campos'!$Y$1:$Z$12,2,FALSE),"0")</f>
        <v>8.8450000000000006</v>
      </c>
    </row>
    <row r="545" spans="1:45" x14ac:dyDescent="0.35">
      <c r="A545" s="68" t="str">
        <f t="shared" si="80"/>
        <v>Fev202510895MotoristaLOGÍSTICA</v>
      </c>
      <c r="B545" s="114" t="str">
        <f t="shared" si="81"/>
        <v>Fev2025108951LOGÍSTICAPADRÃO</v>
      </c>
      <c r="C545" s="126">
        <v>1</v>
      </c>
      <c r="D545" s="127">
        <v>45699.637402430555</v>
      </c>
      <c r="E545" s="128" t="s">
        <v>338</v>
      </c>
      <c r="F545" s="129">
        <v>10895</v>
      </c>
      <c r="G545" s="130" t="s">
        <v>217</v>
      </c>
      <c r="H545" s="131">
        <v>1</v>
      </c>
      <c r="I545" s="130" t="s">
        <v>202</v>
      </c>
      <c r="J545" s="130" t="s">
        <v>122</v>
      </c>
      <c r="K545" s="130" t="s">
        <v>184</v>
      </c>
      <c r="L545" s="132"/>
      <c r="M545" s="133">
        <v>1.4004629629629629E-3</v>
      </c>
      <c r="N545" s="134" t="s">
        <v>79</v>
      </c>
      <c r="O545" s="134" t="s">
        <v>79</v>
      </c>
      <c r="P545" s="134" t="s">
        <v>79</v>
      </c>
      <c r="Q545" s="134" t="s">
        <v>79</v>
      </c>
      <c r="R545" s="134" t="s">
        <v>79</v>
      </c>
      <c r="S545" s="134" t="s">
        <v>79</v>
      </c>
      <c r="T545" s="134" t="s">
        <v>79</v>
      </c>
      <c r="U545" s="134" t="s">
        <v>79</v>
      </c>
      <c r="V545" s="134"/>
      <c r="W545" s="134"/>
      <c r="X545" s="134"/>
      <c r="Y545" s="134"/>
      <c r="Z545" s="135">
        <f t="shared" si="79"/>
        <v>10</v>
      </c>
      <c r="AA545" s="136"/>
      <c r="AB545" s="136"/>
      <c r="AC545" s="129" t="s">
        <v>47</v>
      </c>
      <c r="AE545" s="79" t="str">
        <f t="shared" si="85"/>
        <v>Fev10895</v>
      </c>
      <c r="AF545" s="80">
        <f>IF(N545="","",IF(N545="SIM",VLOOKUP($I545&amp;$J545&amp;N$1,Pesos!$A:$I,7,FALSE),VLOOKUP($I545&amp;$J545&amp;N$1,Pesos!$A:$I,9,FALSE)))</f>
        <v>1.2</v>
      </c>
      <c r="AG545" s="80">
        <f>IF(O545="","",IF(O545="SIM",VLOOKUP($I545&amp;$J545&amp;O$1,Pesos!$A:$I,7,FALSE),VLOOKUP($I545&amp;$J545&amp;O$1,Pesos!$A:$I,9,FALSE)))</f>
        <v>1</v>
      </c>
      <c r="AH545" s="80">
        <f>IF(P545="","",IF(P545="SIM",VLOOKUP($I545&amp;$J545&amp;P$1,Pesos!$A:$I,7,FALSE),VLOOKUP($I545&amp;$J545&amp;P$1,Pesos!$A:$I,9,FALSE)))</f>
        <v>1</v>
      </c>
      <c r="AI545" s="80">
        <f>IF(Q545="","",IF(Q545="SIM",VLOOKUP($I545&amp;$J545&amp;Q$1,Pesos!$A:$I,7,FALSE),VLOOKUP($I545&amp;$J545&amp;Q$1,Pesos!$A:$I,9,FALSE)))</f>
        <v>1</v>
      </c>
      <c r="AJ545" s="80">
        <f>IF(R545="","",IF(R545="SIM",VLOOKUP($I545&amp;$J545&amp;R$1,Pesos!$A:$I,7,FALSE),VLOOKUP($I545&amp;$J545&amp;R$1,Pesos!$A:$I,9,FALSE)))</f>
        <v>1.4000000000000001</v>
      </c>
      <c r="AK545" s="80">
        <f>IF(S545="","",IF(S545="SIM",VLOOKUP($I545&amp;$J545&amp;S$1,Pesos!$A:$I,7,FALSE),VLOOKUP($I545&amp;$J545&amp;S$1,Pesos!$A:$I,9,FALSE)))</f>
        <v>0.89999999999999991</v>
      </c>
      <c r="AL545" s="80">
        <f t="shared" si="84"/>
        <v>6.5</v>
      </c>
      <c r="AM545" s="80">
        <f>IF(T545="","",IF(T545="SIM",VLOOKUP($I545&amp;$J545&amp;T$1,Pesos!$A:$I,7,FALSE),VLOOKUP($I545&amp;$J545&amp;T$1,Pesos!$A:$I,9,FALSE)))</f>
        <v>1.7000000000000002</v>
      </c>
      <c r="AN545" s="80">
        <f>IF(U545="","",IF(U545="SIM",VLOOKUP($I545&amp;$J545&amp;U$1,Pesos!$A:$I,7,FALSE),VLOOKUP($I545&amp;$J545&amp;U$1,Pesos!$A:$I,9,FALSE)))</f>
        <v>1.7999999999999998</v>
      </c>
      <c r="AO545" s="80" t="str">
        <f>IF(V545="","",IF(V545="SIM",VLOOKUP($I545&amp;$J545&amp;V$1,Pesos!$A:$I,7,FALSE),VLOOKUP($I545&amp;$J545&amp;V$1,Pesos!$A:$I,9,FALSE)))</f>
        <v/>
      </c>
      <c r="AP545" s="80" t="str">
        <f>IF(W545="","",IF(W545="SIM",VLOOKUP($I545&amp;$J545&amp;W$1,Pesos!$A:$I,7,FALSE),VLOOKUP($I545&amp;$J545&amp;W$1,Pesos!$A:$I,9,FALSE)))</f>
        <v/>
      </c>
      <c r="AQ545" s="80" t="str">
        <f>IF(X545="","",IF(X545="SIM",VLOOKUP($I545&amp;$J545&amp;X$1,Pesos!$A:$I,7,FALSE),VLOOKUP($I545&amp;$J545&amp;X$1,Pesos!$A:$I,9,FALSE)))</f>
        <v/>
      </c>
      <c r="AR545" s="80" t="str">
        <f>IF(Y545="","",IF(Y545="SIM",VLOOKUP($I545&amp;$J545&amp;Y$1,Pesos!$A:$I,7,FALSE),VLOOKUP($I545&amp;$J545&amp;Y$1,Pesos!$A:$I,9,FALSE)))</f>
        <v/>
      </c>
      <c r="AS545" s="81">
        <f>IFERROR(Z545*VLOOKUP(J545,'BD Campos'!$Y$1:$Z$12,2,FALSE),"0")</f>
        <v>10</v>
      </c>
    </row>
    <row r="546" spans="1:45" x14ac:dyDescent="0.35">
      <c r="A546" s="68" t="str">
        <f t="shared" si="80"/>
        <v>Fev202510663ClienteLOGÍSTICA</v>
      </c>
      <c r="B546" s="114" t="str">
        <f t="shared" si="81"/>
        <v>Fev2025106631LOGÍSTICAPADRÃO</v>
      </c>
      <c r="C546" s="126">
        <v>1</v>
      </c>
      <c r="D546" s="127">
        <v>45699.643798495374</v>
      </c>
      <c r="E546" s="128" t="s">
        <v>338</v>
      </c>
      <c r="F546" s="129">
        <v>10663</v>
      </c>
      <c r="G546" s="130" t="s">
        <v>218</v>
      </c>
      <c r="H546" s="131">
        <v>1</v>
      </c>
      <c r="I546" s="130" t="s">
        <v>206</v>
      </c>
      <c r="J546" s="130" t="s">
        <v>124</v>
      </c>
      <c r="K546" s="130" t="s">
        <v>184</v>
      </c>
      <c r="L546" s="132"/>
      <c r="M546" s="133">
        <v>1.4004629629629629E-3</v>
      </c>
      <c r="N546" s="134" t="s">
        <v>79</v>
      </c>
      <c r="O546" s="134" t="s">
        <v>79</v>
      </c>
      <c r="P546" s="134" t="s">
        <v>79</v>
      </c>
      <c r="Q546" s="134" t="s">
        <v>79</v>
      </c>
      <c r="R546" s="134" t="s">
        <v>79</v>
      </c>
      <c r="S546" s="134" t="s">
        <v>79</v>
      </c>
      <c r="T546" s="134" t="s">
        <v>79</v>
      </c>
      <c r="U546" s="134" t="s">
        <v>79</v>
      </c>
      <c r="V546" s="134" t="s">
        <v>79</v>
      </c>
      <c r="W546" s="134"/>
      <c r="X546" s="134"/>
      <c r="Y546" s="134"/>
      <c r="Z546" s="135">
        <f t="shared" si="79"/>
        <v>10</v>
      </c>
      <c r="AA546" s="136"/>
      <c r="AB546" s="136"/>
      <c r="AC546" s="129" t="s">
        <v>47</v>
      </c>
      <c r="AE546" s="79" t="str">
        <f t="shared" si="85"/>
        <v>Fev10663</v>
      </c>
      <c r="AF546" s="80">
        <f>IF(N546="","",IF(N546="SIM",VLOOKUP($I546&amp;$J546&amp;N$1,Pesos!$A:$I,7,FALSE),VLOOKUP($I546&amp;$J546&amp;N$1,Pesos!$A:$I,9,FALSE)))</f>
        <v>1.1000000000000001</v>
      </c>
      <c r="AG546" s="80">
        <f>IF(O546="","",IF(O546="SIM",VLOOKUP($I546&amp;$J546&amp;O$1,Pesos!$A:$I,7,FALSE),VLOOKUP($I546&amp;$J546&amp;O$1,Pesos!$A:$I,9,FALSE)))</f>
        <v>1</v>
      </c>
      <c r="AH546" s="80">
        <f>IF(P546="","",IF(P546="SIM",VLOOKUP($I546&amp;$J546&amp;P$1,Pesos!$A:$I,7,FALSE),VLOOKUP($I546&amp;$J546&amp;P$1,Pesos!$A:$I,9,FALSE)))</f>
        <v>1</v>
      </c>
      <c r="AI546" s="80">
        <f>IF(Q546="","",IF(Q546="SIM",VLOOKUP($I546&amp;$J546&amp;Q$1,Pesos!$A:$I,7,FALSE),VLOOKUP($I546&amp;$J546&amp;Q$1,Pesos!$A:$I,9,FALSE)))</f>
        <v>1.1000000000000001</v>
      </c>
      <c r="AJ546" s="80">
        <f>IF(R546="","",IF(R546="SIM",VLOOKUP($I546&amp;$J546&amp;R$1,Pesos!$A:$I,7,FALSE),VLOOKUP($I546&amp;$J546&amp;R$1,Pesos!$A:$I,9,FALSE)))</f>
        <v>1.1000000000000001</v>
      </c>
      <c r="AK546" s="80">
        <f>IF(S546="","",IF(S546="SIM",VLOOKUP($I546&amp;$J546&amp;S$1,Pesos!$A:$I,7,FALSE),VLOOKUP($I546&amp;$J546&amp;S$1,Pesos!$A:$I,9,FALSE)))</f>
        <v>1.1000000000000001</v>
      </c>
      <c r="AL546" s="80">
        <f t="shared" si="84"/>
        <v>6.4</v>
      </c>
      <c r="AM546" s="80">
        <f>IF(T546="","",IF(T546="SIM",VLOOKUP($I546&amp;$J546&amp;T$1,Pesos!$A:$I,7,FALSE),VLOOKUP($I546&amp;$J546&amp;T$1,Pesos!$A:$I,9,FALSE)))</f>
        <v>1.2</v>
      </c>
      <c r="AN546" s="80">
        <f>IF(U546="","",IF(U546="SIM",VLOOKUP($I546&amp;$J546&amp;U$1,Pesos!$A:$I,7,FALSE),VLOOKUP($I546&amp;$J546&amp;U$1,Pesos!$A:$I,9,FALSE)))</f>
        <v>1.2</v>
      </c>
      <c r="AO546" s="80">
        <f>IF(V546="","",IF(V546="SIM",VLOOKUP($I546&amp;$J546&amp;V$1,Pesos!$A:$I,7,FALSE),VLOOKUP($I546&amp;$J546&amp;V$1,Pesos!$A:$I,9,FALSE)))</f>
        <v>1.2</v>
      </c>
      <c r="AP546" s="80" t="str">
        <f>IF(W546="","",IF(W546="SIM",VLOOKUP($I546&amp;$J546&amp;W$1,Pesos!$A:$I,7,FALSE),VLOOKUP($I546&amp;$J546&amp;W$1,Pesos!$A:$I,9,FALSE)))</f>
        <v/>
      </c>
      <c r="AQ546" s="80" t="str">
        <f>IF(X546="","",IF(X546="SIM",VLOOKUP($I546&amp;$J546&amp;X$1,Pesos!$A:$I,7,FALSE),VLOOKUP($I546&amp;$J546&amp;X$1,Pesos!$A:$I,9,FALSE)))</f>
        <v/>
      </c>
      <c r="AR546" s="80" t="str">
        <f>IF(Y546="","",IF(Y546="SIM",VLOOKUP($I546&amp;$J546&amp;Y$1,Pesos!$A:$I,7,FALSE),VLOOKUP($I546&amp;$J546&amp;Y$1,Pesos!$A:$I,9,FALSE)))</f>
        <v/>
      </c>
      <c r="AS546" s="81">
        <f>IFERROR(Z546*VLOOKUP(J546,'BD Campos'!$Y$1:$Z$12,2,FALSE),"0")</f>
        <v>10</v>
      </c>
    </row>
    <row r="547" spans="1:45" x14ac:dyDescent="0.35">
      <c r="A547" s="68" t="str">
        <f t="shared" si="80"/>
        <v>Fev202510663Cliente 2LOGÍSTICA</v>
      </c>
      <c r="B547" s="114" t="str">
        <f t="shared" si="81"/>
        <v>Fev2025106632LOGÍSTICAPADRÃO</v>
      </c>
      <c r="C547" s="126">
        <v>1</v>
      </c>
      <c r="D547" s="127">
        <v>45699.64563958333</v>
      </c>
      <c r="E547" s="128" t="s">
        <v>338</v>
      </c>
      <c r="F547" s="129">
        <v>10663</v>
      </c>
      <c r="G547" s="130" t="s">
        <v>218</v>
      </c>
      <c r="H547" s="131">
        <v>2</v>
      </c>
      <c r="I547" s="130" t="s">
        <v>206</v>
      </c>
      <c r="J547" s="130" t="s">
        <v>185</v>
      </c>
      <c r="K547" s="130" t="s">
        <v>184</v>
      </c>
      <c r="L547" s="132"/>
      <c r="M547" s="133">
        <v>1.2037037037037038E-3</v>
      </c>
      <c r="N547" s="134" t="s">
        <v>79</v>
      </c>
      <c r="O547" s="134" t="s">
        <v>79</v>
      </c>
      <c r="P547" s="134" t="s">
        <v>79</v>
      </c>
      <c r="Q547" s="134" t="s">
        <v>79</v>
      </c>
      <c r="R547" s="134" t="s">
        <v>79</v>
      </c>
      <c r="S547" s="134" t="s">
        <v>79</v>
      </c>
      <c r="T547" s="134" t="s">
        <v>79</v>
      </c>
      <c r="U547" s="134" t="s">
        <v>79</v>
      </c>
      <c r="V547" s="134" t="s">
        <v>79</v>
      </c>
      <c r="W547" s="134"/>
      <c r="X547" s="134"/>
      <c r="Y547" s="134"/>
      <c r="Z547" s="135">
        <f t="shared" si="79"/>
        <v>10</v>
      </c>
      <c r="AA547" s="136"/>
      <c r="AB547" s="136"/>
      <c r="AC547" s="129" t="s">
        <v>47</v>
      </c>
      <c r="AE547" s="79" t="str">
        <f t="shared" si="85"/>
        <v>Fev10663</v>
      </c>
      <c r="AF547" s="80">
        <f>IF(N547="","",IF(N547="SIM",VLOOKUP($I547&amp;$J547&amp;N$1,Pesos!$A:$I,7,FALSE),VLOOKUP($I547&amp;$J547&amp;N$1,Pesos!$A:$I,9,FALSE)))</f>
        <v>1.1000000000000001</v>
      </c>
      <c r="AG547" s="80">
        <f>IF(O547="","",IF(O547="SIM",VLOOKUP($I547&amp;$J547&amp;O$1,Pesos!$A:$I,7,FALSE),VLOOKUP($I547&amp;$J547&amp;O$1,Pesos!$A:$I,9,FALSE)))</f>
        <v>1</v>
      </c>
      <c r="AH547" s="80">
        <f>IF(P547="","",IF(P547="SIM",VLOOKUP($I547&amp;$J547&amp;P$1,Pesos!$A:$I,7,FALSE),VLOOKUP($I547&amp;$J547&amp;P$1,Pesos!$A:$I,9,FALSE)))</f>
        <v>1</v>
      </c>
      <c r="AI547" s="80">
        <f>IF(Q547="","",IF(Q547="SIM",VLOOKUP($I547&amp;$J547&amp;Q$1,Pesos!$A:$I,7,FALSE),VLOOKUP($I547&amp;$J547&amp;Q$1,Pesos!$A:$I,9,FALSE)))</f>
        <v>1.1000000000000001</v>
      </c>
      <c r="AJ547" s="80">
        <f>IF(R547="","",IF(R547="SIM",VLOOKUP($I547&amp;$J547&amp;R$1,Pesos!$A:$I,7,FALSE),VLOOKUP($I547&amp;$J547&amp;R$1,Pesos!$A:$I,9,FALSE)))</f>
        <v>1.1000000000000001</v>
      </c>
      <c r="AK547" s="80">
        <f>IF(S547="","",IF(S547="SIM",VLOOKUP($I547&amp;$J547&amp;S$1,Pesos!$A:$I,7,FALSE),VLOOKUP($I547&amp;$J547&amp;S$1,Pesos!$A:$I,9,FALSE)))</f>
        <v>1.1000000000000001</v>
      </c>
      <c r="AL547" s="80">
        <f t="shared" si="84"/>
        <v>6.4</v>
      </c>
      <c r="AM547" s="80">
        <f>IF(T547="","",IF(T547="SIM",VLOOKUP($I547&amp;$J547&amp;T$1,Pesos!$A:$I,7,FALSE),VLOOKUP($I547&amp;$J547&amp;T$1,Pesos!$A:$I,9,FALSE)))</f>
        <v>1.2</v>
      </c>
      <c r="AN547" s="80">
        <f>IF(U547="","",IF(U547="SIM",VLOOKUP($I547&amp;$J547&amp;U$1,Pesos!$A:$I,7,FALSE),VLOOKUP($I547&amp;$J547&amp;U$1,Pesos!$A:$I,9,FALSE)))</f>
        <v>1.2</v>
      </c>
      <c r="AO547" s="80">
        <f>IF(V547="","",IF(V547="SIM",VLOOKUP($I547&amp;$J547&amp;V$1,Pesos!$A:$I,7,FALSE),VLOOKUP($I547&amp;$J547&amp;V$1,Pesos!$A:$I,9,FALSE)))</f>
        <v>1.2</v>
      </c>
      <c r="AP547" s="80" t="str">
        <f>IF(W547="","",IF(W547="SIM",VLOOKUP($I547&amp;$J547&amp;W$1,Pesos!$A:$I,7,FALSE),VLOOKUP($I547&amp;$J547&amp;W$1,Pesos!$A:$I,9,FALSE)))</f>
        <v/>
      </c>
      <c r="AQ547" s="80" t="str">
        <f>IF(X547="","",IF(X547="SIM",VLOOKUP($I547&amp;$J547&amp;X$1,Pesos!$A:$I,7,FALSE),VLOOKUP($I547&amp;$J547&amp;X$1,Pesos!$A:$I,9,FALSE)))</f>
        <v/>
      </c>
      <c r="AR547" s="80" t="str">
        <f>IF(Y547="","",IF(Y547="SIM",VLOOKUP($I547&amp;$J547&amp;Y$1,Pesos!$A:$I,7,FALSE),VLOOKUP($I547&amp;$J547&amp;Y$1,Pesos!$A:$I,9,FALSE)))</f>
        <v/>
      </c>
      <c r="AS547" s="81">
        <f>IFERROR(Z547*VLOOKUP(J547,'BD Campos'!$Y$1:$Z$12,2,FALSE),"0")</f>
        <v>10</v>
      </c>
    </row>
    <row r="548" spans="1:45" x14ac:dyDescent="0.35">
      <c r="A548" s="68" t="str">
        <f t="shared" si="80"/>
        <v>Fev202511056MotoristaLOGÍSTICA</v>
      </c>
      <c r="B548" s="114" t="str">
        <f t="shared" si="81"/>
        <v>Fev2025110561LOGÍSTICAPADRÃO</v>
      </c>
      <c r="C548" s="126">
        <v>1</v>
      </c>
      <c r="D548" s="127">
        <v>45699.649483333335</v>
      </c>
      <c r="E548" s="128" t="s">
        <v>338</v>
      </c>
      <c r="F548" s="129">
        <v>11056</v>
      </c>
      <c r="G548" s="130" t="s">
        <v>373</v>
      </c>
      <c r="H548" s="131">
        <v>1</v>
      </c>
      <c r="I548" s="130" t="s">
        <v>206</v>
      </c>
      <c r="J548" s="130" t="s">
        <v>122</v>
      </c>
      <c r="K548" s="130" t="s">
        <v>184</v>
      </c>
      <c r="L548" s="132"/>
      <c r="M548" s="133">
        <v>1.4351851851851854E-3</v>
      </c>
      <c r="N548" s="134" t="s">
        <v>79</v>
      </c>
      <c r="O548" s="134" t="s">
        <v>79</v>
      </c>
      <c r="P548" s="134" t="s">
        <v>79</v>
      </c>
      <c r="Q548" s="134" t="s">
        <v>79</v>
      </c>
      <c r="R548" s="134" t="s">
        <v>79</v>
      </c>
      <c r="S548" s="134" t="s">
        <v>79</v>
      </c>
      <c r="T548" s="134" t="s">
        <v>79</v>
      </c>
      <c r="U548" s="134" t="s">
        <v>79</v>
      </c>
      <c r="V548" s="134" t="s">
        <v>83</v>
      </c>
      <c r="W548" s="134" t="s">
        <v>79</v>
      </c>
      <c r="X548" s="134"/>
      <c r="Y548" s="134"/>
      <c r="Z548" s="135">
        <f t="shared" si="79"/>
        <v>8.740000000000002</v>
      </c>
      <c r="AA548" s="136"/>
      <c r="AB548" s="136"/>
      <c r="AC548" s="129" t="s">
        <v>47</v>
      </c>
      <c r="AE548" s="79" t="str">
        <f t="shared" si="85"/>
        <v>Fev11056</v>
      </c>
      <c r="AF548" s="80">
        <f>IF(N548="","",IF(N548="SIM",VLOOKUP($I548&amp;$J548&amp;N$1,Pesos!$A:$I,7,FALSE),VLOOKUP($I548&amp;$J548&amp;N$1,Pesos!$A:$I,9,FALSE)))</f>
        <v>0.8</v>
      </c>
      <c r="AG548" s="80">
        <f>IF(O548="","",IF(O548="SIM",VLOOKUP($I548&amp;$J548&amp;O$1,Pesos!$A:$I,7,FALSE),VLOOKUP($I548&amp;$J548&amp;O$1,Pesos!$A:$I,9,FALSE)))</f>
        <v>0.8</v>
      </c>
      <c r="AH548" s="80">
        <f>IF(P548="","",IF(P548="SIM",VLOOKUP($I548&amp;$J548&amp;P$1,Pesos!$A:$I,7,FALSE),VLOOKUP($I548&amp;$J548&amp;P$1,Pesos!$A:$I,9,FALSE)))</f>
        <v>0.8</v>
      </c>
      <c r="AI548" s="80">
        <f>IF(Q548="","",IF(Q548="SIM",VLOOKUP($I548&amp;$J548&amp;Q$1,Pesos!$A:$I,7,FALSE),VLOOKUP($I548&amp;$J548&amp;Q$1,Pesos!$A:$I,9,FALSE)))</f>
        <v>1</v>
      </c>
      <c r="AJ548" s="80">
        <f>IF(R548="","",IF(R548="SIM",VLOOKUP($I548&amp;$J548&amp;R$1,Pesos!$A:$I,7,FALSE),VLOOKUP($I548&amp;$J548&amp;R$1,Pesos!$A:$I,9,FALSE)))</f>
        <v>1</v>
      </c>
      <c r="AK548" s="80">
        <f>IF(S548="","",IF(S548="SIM",VLOOKUP($I548&amp;$J548&amp;S$1,Pesos!$A:$I,7,FALSE),VLOOKUP($I548&amp;$J548&amp;S$1,Pesos!$A:$I,9,FALSE)))</f>
        <v>1</v>
      </c>
      <c r="AL548" s="80">
        <f t="shared" si="84"/>
        <v>5.4</v>
      </c>
      <c r="AM548" s="80">
        <f>IF(T548="","",IF(T548="SIM",VLOOKUP($I548&amp;$J548&amp;T$1,Pesos!$A:$I,7,FALSE),VLOOKUP($I548&amp;$J548&amp;T$1,Pesos!$A:$I,9,FALSE)))</f>
        <v>1.2</v>
      </c>
      <c r="AN548" s="80">
        <f>IF(U548="","",IF(U548="SIM",VLOOKUP($I548&amp;$J548&amp;U$1,Pesos!$A:$I,7,FALSE),VLOOKUP($I548&amp;$J548&amp;U$1,Pesos!$A:$I,9,FALSE)))</f>
        <v>1.2</v>
      </c>
      <c r="AO548" s="80">
        <f>IF(V548="","",IF(V548="SIM",VLOOKUP($I548&amp;$J548&amp;V$1,Pesos!$A:$I,7,FALSE),VLOOKUP($I548&amp;$J548&amp;V$1,Pesos!$A:$I,9,FALSE)))</f>
        <v>-0.06</v>
      </c>
      <c r="AP548" s="80">
        <f>IF(W548="","",IF(W548="SIM",VLOOKUP($I548&amp;$J548&amp;W$1,Pesos!$A:$I,7,FALSE),VLOOKUP($I548&amp;$J548&amp;W$1,Pesos!$A:$I,9,FALSE)))</f>
        <v>1</v>
      </c>
      <c r="AQ548" s="80" t="str">
        <f>IF(X548="","",IF(X548="SIM",VLOOKUP($I548&amp;$J548&amp;X$1,Pesos!$A:$I,7,FALSE),VLOOKUP($I548&amp;$J548&amp;X$1,Pesos!$A:$I,9,FALSE)))</f>
        <v/>
      </c>
      <c r="AR548" s="80" t="str">
        <f>IF(Y548="","",IF(Y548="SIM",VLOOKUP($I548&amp;$J548&amp;Y$1,Pesos!$A:$I,7,FALSE),VLOOKUP($I548&amp;$J548&amp;Y$1,Pesos!$A:$I,9,FALSE)))</f>
        <v/>
      </c>
      <c r="AS548" s="81">
        <f>IFERROR(Z548*VLOOKUP(J548,'BD Campos'!$Y$1:$Z$12,2,FALSE),"0")</f>
        <v>8.740000000000002</v>
      </c>
    </row>
    <row r="549" spans="1:45" x14ac:dyDescent="0.35">
      <c r="A549" s="68" t="str">
        <f t="shared" si="80"/>
        <v>Fev202511056Motorista 2LOGÍSTICA</v>
      </c>
      <c r="B549" s="114" t="str">
        <f t="shared" si="81"/>
        <v>Fev2025110562LOGÍSTICAPADRÃO</v>
      </c>
      <c r="C549" s="126">
        <v>1</v>
      </c>
      <c r="D549" s="127">
        <v>45699.65237152778</v>
      </c>
      <c r="E549" s="128" t="s">
        <v>338</v>
      </c>
      <c r="F549" s="129">
        <v>11056</v>
      </c>
      <c r="G549" s="130" t="s">
        <v>373</v>
      </c>
      <c r="H549" s="131">
        <v>2</v>
      </c>
      <c r="I549" s="130" t="s">
        <v>206</v>
      </c>
      <c r="J549" s="130" t="s">
        <v>204</v>
      </c>
      <c r="K549" s="130" t="s">
        <v>184</v>
      </c>
      <c r="L549" s="132"/>
      <c r="M549" s="133">
        <v>1.1921296296296296E-3</v>
      </c>
      <c r="N549" s="134" t="s">
        <v>79</v>
      </c>
      <c r="O549" s="134" t="s">
        <v>79</v>
      </c>
      <c r="P549" s="134" t="s">
        <v>79</v>
      </c>
      <c r="Q549" s="134" t="s">
        <v>79</v>
      </c>
      <c r="R549" s="134" t="s">
        <v>79</v>
      </c>
      <c r="S549" s="134" t="s">
        <v>79</v>
      </c>
      <c r="T549" s="134" t="s">
        <v>79</v>
      </c>
      <c r="U549" s="134" t="s">
        <v>79</v>
      </c>
      <c r="V549" s="134" t="s">
        <v>79</v>
      </c>
      <c r="W549" s="134" t="s">
        <v>79</v>
      </c>
      <c r="X549" s="134"/>
      <c r="Y549" s="134"/>
      <c r="Z549" s="135">
        <f t="shared" si="79"/>
        <v>10</v>
      </c>
      <c r="AA549" s="136"/>
      <c r="AB549" s="136"/>
      <c r="AC549" s="129" t="s">
        <v>47</v>
      </c>
      <c r="AE549" s="79" t="str">
        <f t="shared" si="85"/>
        <v>Fev11056</v>
      </c>
      <c r="AF549" s="80">
        <f>IF(N549="","",IF(N549="SIM",VLOOKUP($I549&amp;$J549&amp;N$1,Pesos!$A:$I,7,FALSE),VLOOKUP($I549&amp;$J549&amp;N$1,Pesos!$A:$I,9,FALSE)))</f>
        <v>0.8</v>
      </c>
      <c r="AG549" s="80">
        <f>IF(O549="","",IF(O549="SIM",VLOOKUP($I549&amp;$J549&amp;O$1,Pesos!$A:$I,7,FALSE),VLOOKUP($I549&amp;$J549&amp;O$1,Pesos!$A:$I,9,FALSE)))</f>
        <v>0.8</v>
      </c>
      <c r="AH549" s="80">
        <f>IF(P549="","",IF(P549="SIM",VLOOKUP($I549&amp;$J549&amp;P$1,Pesos!$A:$I,7,FALSE),VLOOKUP($I549&amp;$J549&amp;P$1,Pesos!$A:$I,9,FALSE)))</f>
        <v>0.8</v>
      </c>
      <c r="AI549" s="80">
        <f>IF(Q549="","",IF(Q549="SIM",VLOOKUP($I549&amp;$J549&amp;Q$1,Pesos!$A:$I,7,FALSE),VLOOKUP($I549&amp;$J549&amp;Q$1,Pesos!$A:$I,9,FALSE)))</f>
        <v>1</v>
      </c>
      <c r="AJ549" s="80">
        <f>IF(R549="","",IF(R549="SIM",VLOOKUP($I549&amp;$J549&amp;R$1,Pesos!$A:$I,7,FALSE),VLOOKUP($I549&amp;$J549&amp;R$1,Pesos!$A:$I,9,FALSE)))</f>
        <v>1</v>
      </c>
      <c r="AK549" s="80">
        <f>IF(S549="","",IF(S549="SIM",VLOOKUP($I549&amp;$J549&amp;S$1,Pesos!$A:$I,7,FALSE),VLOOKUP($I549&amp;$J549&amp;S$1,Pesos!$A:$I,9,FALSE)))</f>
        <v>1</v>
      </c>
      <c r="AL549" s="80">
        <f t="shared" si="84"/>
        <v>5.4</v>
      </c>
      <c r="AM549" s="80">
        <f>IF(T549="","",IF(T549="SIM",VLOOKUP($I549&amp;$J549&amp;T$1,Pesos!$A:$I,7,FALSE),VLOOKUP($I549&amp;$J549&amp;T$1,Pesos!$A:$I,9,FALSE)))</f>
        <v>1.2</v>
      </c>
      <c r="AN549" s="80">
        <f>IF(U549="","",IF(U549="SIM",VLOOKUP($I549&amp;$J549&amp;U$1,Pesos!$A:$I,7,FALSE),VLOOKUP($I549&amp;$J549&amp;U$1,Pesos!$A:$I,9,FALSE)))</f>
        <v>1.2</v>
      </c>
      <c r="AO549" s="80">
        <f>IF(V549="","",IF(V549="SIM",VLOOKUP($I549&amp;$J549&amp;V$1,Pesos!$A:$I,7,FALSE),VLOOKUP($I549&amp;$J549&amp;V$1,Pesos!$A:$I,9,FALSE)))</f>
        <v>1.2</v>
      </c>
      <c r="AP549" s="80">
        <f>IF(W549="","",IF(W549="SIM",VLOOKUP($I549&amp;$J549&amp;W$1,Pesos!$A:$I,7,FALSE),VLOOKUP($I549&amp;$J549&amp;W$1,Pesos!$A:$I,9,FALSE)))</f>
        <v>1</v>
      </c>
      <c r="AQ549" s="80" t="str">
        <f>IF(X549="","",IF(X549="SIM",VLOOKUP($I549&amp;$J549&amp;X$1,Pesos!$A:$I,7,FALSE),VLOOKUP($I549&amp;$J549&amp;X$1,Pesos!$A:$I,9,FALSE)))</f>
        <v/>
      </c>
      <c r="AR549" s="80" t="str">
        <f>IF(Y549="","",IF(Y549="SIM",VLOOKUP($I549&amp;$J549&amp;Y$1,Pesos!$A:$I,7,FALSE),VLOOKUP($I549&amp;$J549&amp;Y$1,Pesos!$A:$I,9,FALSE)))</f>
        <v/>
      </c>
      <c r="AS549" s="81">
        <f>IFERROR(Z549*VLOOKUP(J549,'BD Campos'!$Y$1:$Z$12,2,FALSE),"0")</f>
        <v>10</v>
      </c>
    </row>
    <row r="550" spans="1:45" x14ac:dyDescent="0.35">
      <c r="A550" s="68" t="str">
        <f t="shared" si="80"/>
        <v>Fev202511074ClienteLOGÍSTICA</v>
      </c>
      <c r="B550" s="114" t="str">
        <f t="shared" si="81"/>
        <v>Fev2025110741LOGÍSTICAPADRÃO</v>
      </c>
      <c r="C550" s="126">
        <v>1</v>
      </c>
      <c r="D550" s="127">
        <v>45699.683145833333</v>
      </c>
      <c r="E550" s="128" t="s">
        <v>338</v>
      </c>
      <c r="F550" s="129">
        <v>11074</v>
      </c>
      <c r="G550" s="130" t="s">
        <v>400</v>
      </c>
      <c r="H550" s="131">
        <v>1</v>
      </c>
      <c r="I550" s="130" t="s">
        <v>206</v>
      </c>
      <c r="J550" s="130" t="s">
        <v>124</v>
      </c>
      <c r="K550" s="130" t="s">
        <v>184</v>
      </c>
      <c r="L550" s="132"/>
      <c r="M550" s="133">
        <v>1.3888888888888889E-3</v>
      </c>
      <c r="N550" s="134" t="s">
        <v>79</v>
      </c>
      <c r="O550" s="134" t="s">
        <v>79</v>
      </c>
      <c r="P550" s="134" t="s">
        <v>79</v>
      </c>
      <c r="Q550" s="134" t="s">
        <v>79</v>
      </c>
      <c r="R550" s="134" t="s">
        <v>79</v>
      </c>
      <c r="S550" s="134" t="s">
        <v>83</v>
      </c>
      <c r="T550" s="134" t="s">
        <v>79</v>
      </c>
      <c r="U550" s="134" t="s">
        <v>83</v>
      </c>
      <c r="V550" s="134" t="s">
        <v>83</v>
      </c>
      <c r="W550" s="134"/>
      <c r="X550" s="134"/>
      <c r="Y550" s="134"/>
      <c r="Z550" s="135">
        <f t="shared" si="79"/>
        <v>6.325000000000002</v>
      </c>
      <c r="AA550" s="136"/>
      <c r="AB550" s="136"/>
      <c r="AC550" s="129" t="s">
        <v>47</v>
      </c>
      <c r="AE550" s="79" t="str">
        <f t="shared" si="85"/>
        <v>Fev11074</v>
      </c>
      <c r="AF550" s="80">
        <f>IF(N550="","",IF(N550="SIM",VLOOKUP($I550&amp;$J550&amp;N$1,Pesos!$A:$I,7,FALSE),VLOOKUP($I550&amp;$J550&amp;N$1,Pesos!$A:$I,9,FALSE)))</f>
        <v>1.1000000000000001</v>
      </c>
      <c r="AG550" s="80">
        <f>IF(O550="","",IF(O550="SIM",VLOOKUP($I550&amp;$J550&amp;O$1,Pesos!$A:$I,7,FALSE),VLOOKUP($I550&amp;$J550&amp;O$1,Pesos!$A:$I,9,FALSE)))</f>
        <v>1</v>
      </c>
      <c r="AH550" s="80">
        <f>IF(P550="","",IF(P550="SIM",VLOOKUP($I550&amp;$J550&amp;P$1,Pesos!$A:$I,7,FALSE),VLOOKUP($I550&amp;$J550&amp;P$1,Pesos!$A:$I,9,FALSE)))</f>
        <v>1</v>
      </c>
      <c r="AI550" s="80">
        <f>IF(Q550="","",IF(Q550="SIM",VLOOKUP($I550&amp;$J550&amp;Q$1,Pesos!$A:$I,7,FALSE),VLOOKUP($I550&amp;$J550&amp;Q$1,Pesos!$A:$I,9,FALSE)))</f>
        <v>1.1000000000000001</v>
      </c>
      <c r="AJ550" s="80">
        <f>IF(R550="","",IF(R550="SIM",VLOOKUP($I550&amp;$J550&amp;R$1,Pesos!$A:$I,7,FALSE),VLOOKUP($I550&amp;$J550&amp;R$1,Pesos!$A:$I,9,FALSE)))</f>
        <v>1.1000000000000001</v>
      </c>
      <c r="AK550" s="80">
        <f>IF(S550="","",IF(S550="SIM",VLOOKUP($I550&amp;$J550&amp;S$1,Pesos!$A:$I,7,FALSE),VLOOKUP($I550&amp;$J550&amp;S$1,Pesos!$A:$I,9,FALSE)))</f>
        <v>-5.5000000000000007E-2</v>
      </c>
      <c r="AL550" s="80">
        <f t="shared" si="84"/>
        <v>5.245000000000001</v>
      </c>
      <c r="AM550" s="80">
        <f>IF(T550="","",IF(T550="SIM",VLOOKUP($I550&amp;$J550&amp;T$1,Pesos!$A:$I,7,FALSE),VLOOKUP($I550&amp;$J550&amp;T$1,Pesos!$A:$I,9,FALSE)))</f>
        <v>1.2</v>
      </c>
      <c r="AN550" s="80">
        <f>IF(U550="","",IF(U550="SIM",VLOOKUP($I550&amp;$J550&amp;U$1,Pesos!$A:$I,7,FALSE),VLOOKUP($I550&amp;$J550&amp;U$1,Pesos!$A:$I,9,FALSE)))</f>
        <v>-0.06</v>
      </c>
      <c r="AO550" s="80">
        <f>IF(V550="","",IF(V550="SIM",VLOOKUP($I550&amp;$J550&amp;V$1,Pesos!$A:$I,7,FALSE),VLOOKUP($I550&amp;$J550&amp;V$1,Pesos!$A:$I,9,FALSE)))</f>
        <v>-0.06</v>
      </c>
      <c r="AP550" s="80" t="str">
        <f>IF(W550="","",IF(W550="SIM",VLOOKUP($I550&amp;$J550&amp;W$1,Pesos!$A:$I,7,FALSE),VLOOKUP($I550&amp;$J550&amp;W$1,Pesos!$A:$I,9,FALSE)))</f>
        <v/>
      </c>
      <c r="AQ550" s="80" t="str">
        <f>IF(X550="","",IF(X550="SIM",VLOOKUP($I550&amp;$J550&amp;X$1,Pesos!$A:$I,7,FALSE),VLOOKUP($I550&amp;$J550&amp;X$1,Pesos!$A:$I,9,FALSE)))</f>
        <v/>
      </c>
      <c r="AR550" s="80" t="str">
        <f>IF(Y550="","",IF(Y550="SIM",VLOOKUP($I550&amp;$J550&amp;Y$1,Pesos!$A:$I,7,FALSE),VLOOKUP($I550&amp;$J550&amp;Y$1,Pesos!$A:$I,9,FALSE)))</f>
        <v/>
      </c>
      <c r="AS550" s="81">
        <f>IFERROR(Z550*VLOOKUP(J550,'BD Campos'!$Y$1:$Z$12,2,FALSE),"0")</f>
        <v>6.325000000000002</v>
      </c>
    </row>
    <row r="551" spans="1:45" x14ac:dyDescent="0.35">
      <c r="A551" s="68" t="str">
        <f t="shared" si="80"/>
        <v>Fev202511074MotoristaLOGÍSTICA</v>
      </c>
      <c r="B551" s="114" t="str">
        <f t="shared" si="81"/>
        <v>Fev2025110742LOGÍSTICAPADRÃO</v>
      </c>
      <c r="C551" s="126">
        <v>1</v>
      </c>
      <c r="D551" s="127">
        <v>45699.689341319441</v>
      </c>
      <c r="E551" s="128" t="s">
        <v>338</v>
      </c>
      <c r="F551" s="129">
        <v>11074</v>
      </c>
      <c r="G551" s="130" t="s">
        <v>400</v>
      </c>
      <c r="H551" s="131">
        <v>2</v>
      </c>
      <c r="I551" s="130" t="s">
        <v>206</v>
      </c>
      <c r="J551" s="130" t="s">
        <v>122</v>
      </c>
      <c r="K551" s="130" t="s">
        <v>184</v>
      </c>
      <c r="L551" s="132"/>
      <c r="M551" s="133">
        <v>1.3888888888888889E-3</v>
      </c>
      <c r="N551" s="134" t="s">
        <v>79</v>
      </c>
      <c r="O551" s="134" t="s">
        <v>79</v>
      </c>
      <c r="P551" s="134" t="s">
        <v>79</v>
      </c>
      <c r="Q551" s="134" t="s">
        <v>79</v>
      </c>
      <c r="R551" s="134" t="s">
        <v>79</v>
      </c>
      <c r="S551" s="134" t="s">
        <v>79</v>
      </c>
      <c r="T551" s="134" t="s">
        <v>79</v>
      </c>
      <c r="U551" s="134" t="s">
        <v>79</v>
      </c>
      <c r="V551" s="134" t="s">
        <v>79</v>
      </c>
      <c r="W551" s="134" t="s">
        <v>79</v>
      </c>
      <c r="X551" s="134"/>
      <c r="Y551" s="134"/>
      <c r="Z551" s="135">
        <f t="shared" si="79"/>
        <v>10</v>
      </c>
      <c r="AA551" s="136"/>
      <c r="AB551" s="136"/>
      <c r="AC551" s="129" t="s">
        <v>47</v>
      </c>
      <c r="AE551" s="79" t="str">
        <f t="shared" si="85"/>
        <v>Fev11074</v>
      </c>
      <c r="AF551" s="80">
        <f>IF(N551="","",IF(N551="SIM",VLOOKUP($I551&amp;$J551&amp;N$1,Pesos!$A:$I,7,FALSE),VLOOKUP($I551&amp;$J551&amp;N$1,Pesos!$A:$I,9,FALSE)))</f>
        <v>0.8</v>
      </c>
      <c r="AG551" s="80">
        <f>IF(O551="","",IF(O551="SIM",VLOOKUP($I551&amp;$J551&amp;O$1,Pesos!$A:$I,7,FALSE),VLOOKUP($I551&amp;$J551&amp;O$1,Pesos!$A:$I,9,FALSE)))</f>
        <v>0.8</v>
      </c>
      <c r="AH551" s="80">
        <f>IF(P551="","",IF(P551="SIM",VLOOKUP($I551&amp;$J551&amp;P$1,Pesos!$A:$I,7,FALSE),VLOOKUP($I551&amp;$J551&amp;P$1,Pesos!$A:$I,9,FALSE)))</f>
        <v>0.8</v>
      </c>
      <c r="AI551" s="80">
        <f>IF(Q551="","",IF(Q551="SIM",VLOOKUP($I551&amp;$J551&amp;Q$1,Pesos!$A:$I,7,FALSE),VLOOKUP($I551&amp;$J551&amp;Q$1,Pesos!$A:$I,9,FALSE)))</f>
        <v>1</v>
      </c>
      <c r="AJ551" s="80">
        <f>IF(R551="","",IF(R551="SIM",VLOOKUP($I551&amp;$J551&amp;R$1,Pesos!$A:$I,7,FALSE),VLOOKUP($I551&amp;$J551&amp;R$1,Pesos!$A:$I,9,FALSE)))</f>
        <v>1</v>
      </c>
      <c r="AK551" s="80">
        <f>IF(S551="","",IF(S551="SIM",VLOOKUP($I551&amp;$J551&amp;S$1,Pesos!$A:$I,7,FALSE),VLOOKUP($I551&amp;$J551&amp;S$1,Pesos!$A:$I,9,FALSE)))</f>
        <v>1</v>
      </c>
      <c r="AL551" s="80">
        <f t="shared" si="84"/>
        <v>5.4</v>
      </c>
      <c r="AM551" s="80">
        <f>IF(T551="","",IF(T551="SIM",VLOOKUP($I551&amp;$J551&amp;T$1,Pesos!$A:$I,7,FALSE),VLOOKUP($I551&amp;$J551&amp;T$1,Pesos!$A:$I,9,FALSE)))</f>
        <v>1.2</v>
      </c>
      <c r="AN551" s="80">
        <f>IF(U551="","",IF(U551="SIM",VLOOKUP($I551&amp;$J551&amp;U$1,Pesos!$A:$I,7,FALSE),VLOOKUP($I551&amp;$J551&amp;U$1,Pesos!$A:$I,9,FALSE)))</f>
        <v>1.2</v>
      </c>
      <c r="AO551" s="80">
        <f>IF(V551="","",IF(V551="SIM",VLOOKUP($I551&amp;$J551&amp;V$1,Pesos!$A:$I,7,FALSE),VLOOKUP($I551&amp;$J551&amp;V$1,Pesos!$A:$I,9,FALSE)))</f>
        <v>1.2</v>
      </c>
      <c r="AP551" s="80">
        <f>IF(W551="","",IF(W551="SIM",VLOOKUP($I551&amp;$J551&amp;W$1,Pesos!$A:$I,7,FALSE),VLOOKUP($I551&amp;$J551&amp;W$1,Pesos!$A:$I,9,FALSE)))</f>
        <v>1</v>
      </c>
      <c r="AQ551" s="80" t="str">
        <f>IF(X551="","",IF(X551="SIM",VLOOKUP($I551&amp;$J551&amp;X$1,Pesos!$A:$I,7,FALSE),VLOOKUP($I551&amp;$J551&amp;X$1,Pesos!$A:$I,9,FALSE)))</f>
        <v/>
      </c>
      <c r="AR551" s="80" t="str">
        <f>IF(Y551="","",IF(Y551="SIM",VLOOKUP($I551&amp;$J551&amp;Y$1,Pesos!$A:$I,7,FALSE),VLOOKUP($I551&amp;$J551&amp;Y$1,Pesos!$A:$I,9,FALSE)))</f>
        <v/>
      </c>
      <c r="AS551" s="81">
        <f>IFERROR(Z551*VLOOKUP(J551,'BD Campos'!$Y$1:$Z$12,2,FALSE),"0")</f>
        <v>10</v>
      </c>
    </row>
    <row r="552" spans="1:45" x14ac:dyDescent="0.35">
      <c r="A552" s="68" t="str">
        <f t="shared" si="80"/>
        <v>Fev20254184MotoristaLOGÍSTICA</v>
      </c>
      <c r="B552" s="114" t="str">
        <f t="shared" si="81"/>
        <v>Fev202541841LOGÍSTICAPADRÃO</v>
      </c>
      <c r="C552" s="126">
        <v>1</v>
      </c>
      <c r="D552" s="127">
        <v>45699.692574884262</v>
      </c>
      <c r="E552" s="128" t="s">
        <v>338</v>
      </c>
      <c r="F552" s="129">
        <v>4184</v>
      </c>
      <c r="G552" s="130" t="s">
        <v>225</v>
      </c>
      <c r="H552" s="131">
        <v>1</v>
      </c>
      <c r="I552" s="130" t="s">
        <v>203</v>
      </c>
      <c r="J552" s="130" t="s">
        <v>122</v>
      </c>
      <c r="K552" s="130" t="s">
        <v>184</v>
      </c>
      <c r="L552" s="132"/>
      <c r="M552" s="133">
        <v>1.2847222222222223E-3</v>
      </c>
      <c r="N552" s="134" t="s">
        <v>79</v>
      </c>
      <c r="O552" s="134" t="s">
        <v>79</v>
      </c>
      <c r="P552" s="134" t="s">
        <v>79</v>
      </c>
      <c r="Q552" s="134" t="s">
        <v>79</v>
      </c>
      <c r="R552" s="134" t="s">
        <v>79</v>
      </c>
      <c r="S552" s="134" t="s">
        <v>79</v>
      </c>
      <c r="T552" s="134" t="s">
        <v>79</v>
      </c>
      <c r="U552" s="134" t="s">
        <v>79</v>
      </c>
      <c r="V552" s="134" t="s">
        <v>79</v>
      </c>
      <c r="W552" s="134"/>
      <c r="X552" s="134"/>
      <c r="Y552" s="134"/>
      <c r="Z552" s="135">
        <f t="shared" si="79"/>
        <v>10</v>
      </c>
      <c r="AA552" s="136"/>
      <c r="AB552" s="136"/>
      <c r="AC552" s="129" t="s">
        <v>47</v>
      </c>
      <c r="AE552" s="79" t="str">
        <f t="shared" si="85"/>
        <v>Fev4184</v>
      </c>
      <c r="AF552" s="80">
        <f>IF(N552="","",IF(N552="SIM",VLOOKUP($I552&amp;$J552&amp;N$1,Pesos!$A:$I,7,FALSE),VLOOKUP($I552&amp;$J552&amp;N$1,Pesos!$A:$I,9,FALSE)))</f>
        <v>1</v>
      </c>
      <c r="AG552" s="80">
        <f>IF(O552="","",IF(O552="SIM",VLOOKUP($I552&amp;$J552&amp;O$1,Pesos!$A:$I,7,FALSE),VLOOKUP($I552&amp;$J552&amp;O$1,Pesos!$A:$I,9,FALSE)))</f>
        <v>1</v>
      </c>
      <c r="AH552" s="80">
        <f>IF(P552="","",IF(P552="SIM",VLOOKUP($I552&amp;$J552&amp;P$1,Pesos!$A:$I,7,FALSE),VLOOKUP($I552&amp;$J552&amp;P$1,Pesos!$A:$I,9,FALSE)))</f>
        <v>1</v>
      </c>
      <c r="AI552" s="80">
        <f>IF(Q552="","",IF(Q552="SIM",VLOOKUP($I552&amp;$J552&amp;Q$1,Pesos!$A:$I,7,FALSE),VLOOKUP($I552&amp;$J552&amp;Q$1,Pesos!$A:$I,9,FALSE)))</f>
        <v>1</v>
      </c>
      <c r="AJ552" s="80">
        <f>IF(R552="","",IF(R552="SIM",VLOOKUP($I552&amp;$J552&amp;R$1,Pesos!$A:$I,7,FALSE),VLOOKUP($I552&amp;$J552&amp;R$1,Pesos!$A:$I,9,FALSE)))</f>
        <v>1</v>
      </c>
      <c r="AK552" s="80">
        <f>IF(S552="","",IF(S552="SIM",VLOOKUP($I552&amp;$J552&amp;S$1,Pesos!$A:$I,7,FALSE),VLOOKUP($I552&amp;$J552&amp;S$1,Pesos!$A:$I,9,FALSE)))</f>
        <v>1</v>
      </c>
      <c r="AL552" s="80">
        <f t="shared" si="84"/>
        <v>6</v>
      </c>
      <c r="AM552" s="80">
        <f>IF(T552="","",IF(T552="SIM",VLOOKUP($I552&amp;$J552&amp;T$1,Pesos!$A:$I,7,FALSE),VLOOKUP($I552&amp;$J552&amp;T$1,Pesos!$A:$I,9,FALSE)))</f>
        <v>1</v>
      </c>
      <c r="AN552" s="80">
        <f>IF(U552="","",IF(U552="SIM",VLOOKUP($I552&amp;$J552&amp;U$1,Pesos!$A:$I,7,FALSE),VLOOKUP($I552&amp;$J552&amp;U$1,Pesos!$A:$I,9,FALSE)))</f>
        <v>1</v>
      </c>
      <c r="AO552" s="80">
        <f>IF(V552="","",IF(V552="SIM",VLOOKUP($I552&amp;$J552&amp;V$1,Pesos!$A:$I,7,FALSE),VLOOKUP($I552&amp;$J552&amp;V$1,Pesos!$A:$I,9,FALSE)))</f>
        <v>2</v>
      </c>
      <c r="AP552" s="80" t="str">
        <f>IF(W552="","",IF(W552="SIM",VLOOKUP($I552&amp;$J552&amp;W$1,Pesos!$A:$I,7,FALSE),VLOOKUP($I552&amp;$J552&amp;W$1,Pesos!$A:$I,9,FALSE)))</f>
        <v/>
      </c>
      <c r="AQ552" s="80" t="str">
        <f>IF(X552="","",IF(X552="SIM",VLOOKUP($I552&amp;$J552&amp;X$1,Pesos!$A:$I,7,FALSE),VLOOKUP($I552&amp;$J552&amp;X$1,Pesos!$A:$I,9,FALSE)))</f>
        <v/>
      </c>
      <c r="AR552" s="80" t="str">
        <f>IF(Y552="","",IF(Y552="SIM",VLOOKUP($I552&amp;$J552&amp;Y$1,Pesos!$A:$I,7,FALSE),VLOOKUP($I552&amp;$J552&amp;Y$1,Pesos!$A:$I,9,FALSE)))</f>
        <v/>
      </c>
      <c r="AS552" s="81">
        <f>IFERROR(Z552*VLOOKUP(J552,'BD Campos'!$Y$1:$Z$12,2,FALSE),"0")</f>
        <v>10</v>
      </c>
    </row>
    <row r="553" spans="1:45" x14ac:dyDescent="0.35">
      <c r="A553" s="68" t="str">
        <f t="shared" si="80"/>
        <v>Fev20254184ClienteLOGÍSTICA</v>
      </c>
      <c r="B553" s="114" t="str">
        <f t="shared" si="81"/>
        <v>Fev202541842LOGÍSTICAPADRÃO</v>
      </c>
      <c r="C553" s="126">
        <v>1</v>
      </c>
      <c r="D553" s="127">
        <v>45699.694250115739</v>
      </c>
      <c r="E553" s="128" t="s">
        <v>338</v>
      </c>
      <c r="F553" s="129">
        <v>4184</v>
      </c>
      <c r="G553" s="130" t="s">
        <v>225</v>
      </c>
      <c r="H553" s="131">
        <v>2</v>
      </c>
      <c r="I553" s="130" t="s">
        <v>206</v>
      </c>
      <c r="J553" s="130" t="s">
        <v>124</v>
      </c>
      <c r="K553" s="130" t="s">
        <v>184</v>
      </c>
      <c r="L553" s="132"/>
      <c r="M553" s="133">
        <v>1.3078703703703705E-3</v>
      </c>
      <c r="N553" s="134" t="s">
        <v>79</v>
      </c>
      <c r="O553" s="134" t="s">
        <v>79</v>
      </c>
      <c r="P553" s="134" t="s">
        <v>79</v>
      </c>
      <c r="Q553" s="134" t="s">
        <v>79</v>
      </c>
      <c r="R553" s="134" t="s">
        <v>79</v>
      </c>
      <c r="S553" s="134" t="s">
        <v>79</v>
      </c>
      <c r="T553" s="134" t="s">
        <v>79</v>
      </c>
      <c r="U553" s="134" t="s">
        <v>79</v>
      </c>
      <c r="V553" s="134" t="s">
        <v>79</v>
      </c>
      <c r="W553" s="134"/>
      <c r="X553" s="134"/>
      <c r="Y553" s="134"/>
      <c r="Z553" s="135">
        <f t="shared" si="79"/>
        <v>10</v>
      </c>
      <c r="AA553" s="136"/>
      <c r="AB553" s="136"/>
      <c r="AC553" s="129" t="s">
        <v>47</v>
      </c>
      <c r="AE553" s="79" t="str">
        <f t="shared" si="85"/>
        <v>Fev4184</v>
      </c>
      <c r="AF553" s="80">
        <f>IF(N553="","",IF(N553="SIM",VLOOKUP($I553&amp;$J553&amp;N$1,Pesos!$A:$I,7,FALSE),VLOOKUP($I553&amp;$J553&amp;N$1,Pesos!$A:$I,9,FALSE)))</f>
        <v>1.1000000000000001</v>
      </c>
      <c r="AG553" s="80">
        <f>IF(O553="","",IF(O553="SIM",VLOOKUP($I553&amp;$J553&amp;O$1,Pesos!$A:$I,7,FALSE),VLOOKUP($I553&amp;$J553&amp;O$1,Pesos!$A:$I,9,FALSE)))</f>
        <v>1</v>
      </c>
      <c r="AH553" s="80">
        <f>IF(P553="","",IF(P553="SIM",VLOOKUP($I553&amp;$J553&amp;P$1,Pesos!$A:$I,7,FALSE),VLOOKUP($I553&amp;$J553&amp;P$1,Pesos!$A:$I,9,FALSE)))</f>
        <v>1</v>
      </c>
      <c r="AI553" s="80">
        <f>IF(Q553="","",IF(Q553="SIM",VLOOKUP($I553&amp;$J553&amp;Q$1,Pesos!$A:$I,7,FALSE),VLOOKUP($I553&amp;$J553&amp;Q$1,Pesos!$A:$I,9,FALSE)))</f>
        <v>1.1000000000000001</v>
      </c>
      <c r="AJ553" s="80">
        <f>IF(R553="","",IF(R553="SIM",VLOOKUP($I553&amp;$J553&amp;R$1,Pesos!$A:$I,7,FALSE),VLOOKUP($I553&amp;$J553&amp;R$1,Pesos!$A:$I,9,FALSE)))</f>
        <v>1.1000000000000001</v>
      </c>
      <c r="AK553" s="80">
        <f>IF(S553="","",IF(S553="SIM",VLOOKUP($I553&amp;$J553&amp;S$1,Pesos!$A:$I,7,FALSE),VLOOKUP($I553&amp;$J553&amp;S$1,Pesos!$A:$I,9,FALSE)))</f>
        <v>1.1000000000000001</v>
      </c>
      <c r="AL553" s="80">
        <f t="shared" si="84"/>
        <v>6.4</v>
      </c>
      <c r="AM553" s="80">
        <f>IF(T553="","",IF(T553="SIM",VLOOKUP($I553&amp;$J553&amp;T$1,Pesos!$A:$I,7,FALSE),VLOOKUP($I553&amp;$J553&amp;T$1,Pesos!$A:$I,9,FALSE)))</f>
        <v>1.2</v>
      </c>
      <c r="AN553" s="80">
        <f>IF(U553="","",IF(U553="SIM",VLOOKUP($I553&amp;$J553&amp;U$1,Pesos!$A:$I,7,FALSE),VLOOKUP($I553&amp;$J553&amp;U$1,Pesos!$A:$I,9,FALSE)))</f>
        <v>1.2</v>
      </c>
      <c r="AO553" s="80">
        <f>IF(V553="","",IF(V553="SIM",VLOOKUP($I553&amp;$J553&amp;V$1,Pesos!$A:$I,7,FALSE),VLOOKUP($I553&amp;$J553&amp;V$1,Pesos!$A:$I,9,FALSE)))</f>
        <v>1.2</v>
      </c>
      <c r="AP553" s="80" t="str">
        <f>IF(W553="","",IF(W553="SIM",VLOOKUP($I553&amp;$J553&amp;W$1,Pesos!$A:$I,7,FALSE),VLOOKUP($I553&amp;$J553&amp;W$1,Pesos!$A:$I,9,FALSE)))</f>
        <v/>
      </c>
      <c r="AQ553" s="80" t="str">
        <f>IF(X553="","",IF(X553="SIM",VLOOKUP($I553&amp;$J553&amp;X$1,Pesos!$A:$I,7,FALSE),VLOOKUP($I553&amp;$J553&amp;X$1,Pesos!$A:$I,9,FALSE)))</f>
        <v/>
      </c>
      <c r="AR553" s="80" t="str">
        <f>IF(Y553="","",IF(Y553="SIM",VLOOKUP($I553&amp;$J553&amp;Y$1,Pesos!$A:$I,7,FALSE),VLOOKUP($I553&amp;$J553&amp;Y$1,Pesos!$A:$I,9,FALSE)))</f>
        <v/>
      </c>
      <c r="AS553" s="81">
        <f>IFERROR(Z553*VLOOKUP(J553,'BD Campos'!$Y$1:$Z$12,2,FALSE),"0")</f>
        <v>10</v>
      </c>
    </row>
    <row r="554" spans="1:45" x14ac:dyDescent="0.35">
      <c r="A554" s="68" t="str">
        <f t="shared" si="80"/>
        <v>Fev202511081ClienteLOGÍSTICA</v>
      </c>
      <c r="B554" s="114" t="str">
        <f t="shared" si="81"/>
        <v>Fev2025110811LOGÍSTICAPADRÃO</v>
      </c>
      <c r="C554" s="126">
        <v>1</v>
      </c>
      <c r="D554" s="127">
        <v>45699.702555439813</v>
      </c>
      <c r="E554" s="128" t="s">
        <v>338</v>
      </c>
      <c r="F554" s="129">
        <v>11081</v>
      </c>
      <c r="G554" s="130" t="s">
        <v>407</v>
      </c>
      <c r="H554" s="131">
        <v>1</v>
      </c>
      <c r="I554" s="130" t="s">
        <v>206</v>
      </c>
      <c r="J554" s="130" t="s">
        <v>124</v>
      </c>
      <c r="K554" s="130" t="s">
        <v>184</v>
      </c>
      <c r="L554" s="132"/>
      <c r="M554" s="133">
        <v>1.0300925925925926E-3</v>
      </c>
      <c r="N554" s="134" t="s">
        <v>79</v>
      </c>
      <c r="O554" s="134" t="s">
        <v>79</v>
      </c>
      <c r="P554" s="134" t="s">
        <v>79</v>
      </c>
      <c r="Q554" s="134" t="s">
        <v>79</v>
      </c>
      <c r="R554" s="134" t="s">
        <v>79</v>
      </c>
      <c r="S554" s="134" t="s">
        <v>79</v>
      </c>
      <c r="T554" s="134" t="s">
        <v>83</v>
      </c>
      <c r="U554" s="134" t="s">
        <v>79</v>
      </c>
      <c r="V554" s="134" t="s">
        <v>79</v>
      </c>
      <c r="W554" s="134"/>
      <c r="X554" s="134"/>
      <c r="Y554" s="134"/>
      <c r="Z554" s="135">
        <f t="shared" si="79"/>
        <v>8.74</v>
      </c>
      <c r="AA554" s="136"/>
      <c r="AB554" s="136"/>
      <c r="AC554" s="129" t="s">
        <v>47</v>
      </c>
      <c r="AE554" s="79" t="str">
        <f t="shared" si="85"/>
        <v>Fev11081</v>
      </c>
      <c r="AF554" s="80">
        <f>IF(N554="","",IF(N554="SIM",VLOOKUP($I554&amp;$J554&amp;N$1,Pesos!$A:$I,7,FALSE),VLOOKUP($I554&amp;$J554&amp;N$1,Pesos!$A:$I,9,FALSE)))</f>
        <v>1.1000000000000001</v>
      </c>
      <c r="AG554" s="80">
        <f>IF(O554="","",IF(O554="SIM",VLOOKUP($I554&amp;$J554&amp;O$1,Pesos!$A:$I,7,FALSE),VLOOKUP($I554&amp;$J554&amp;O$1,Pesos!$A:$I,9,FALSE)))</f>
        <v>1</v>
      </c>
      <c r="AH554" s="80">
        <f>IF(P554="","",IF(P554="SIM",VLOOKUP($I554&amp;$J554&amp;P$1,Pesos!$A:$I,7,FALSE),VLOOKUP($I554&amp;$J554&amp;P$1,Pesos!$A:$I,9,FALSE)))</f>
        <v>1</v>
      </c>
      <c r="AI554" s="80">
        <f>IF(Q554="","",IF(Q554="SIM",VLOOKUP($I554&amp;$J554&amp;Q$1,Pesos!$A:$I,7,FALSE),VLOOKUP($I554&amp;$J554&amp;Q$1,Pesos!$A:$I,9,FALSE)))</f>
        <v>1.1000000000000001</v>
      </c>
      <c r="AJ554" s="80">
        <f>IF(R554="","",IF(R554="SIM",VLOOKUP($I554&amp;$J554&amp;R$1,Pesos!$A:$I,7,FALSE),VLOOKUP($I554&amp;$J554&amp;R$1,Pesos!$A:$I,9,FALSE)))</f>
        <v>1.1000000000000001</v>
      </c>
      <c r="AK554" s="80">
        <f>IF(S554="","",IF(S554="SIM",VLOOKUP($I554&amp;$J554&amp;S$1,Pesos!$A:$I,7,FALSE),VLOOKUP($I554&amp;$J554&amp;S$1,Pesos!$A:$I,9,FALSE)))</f>
        <v>1.1000000000000001</v>
      </c>
      <c r="AL554" s="80">
        <f t="shared" si="84"/>
        <v>6.4</v>
      </c>
      <c r="AM554" s="80">
        <f>IF(T554="","",IF(T554="SIM",VLOOKUP($I554&amp;$J554&amp;T$1,Pesos!$A:$I,7,FALSE),VLOOKUP($I554&amp;$J554&amp;T$1,Pesos!$A:$I,9,FALSE)))</f>
        <v>-0.06</v>
      </c>
      <c r="AN554" s="80">
        <f>IF(U554="","",IF(U554="SIM",VLOOKUP($I554&amp;$J554&amp;U$1,Pesos!$A:$I,7,FALSE),VLOOKUP($I554&amp;$J554&amp;U$1,Pesos!$A:$I,9,FALSE)))</f>
        <v>1.2</v>
      </c>
      <c r="AO554" s="80">
        <f>IF(V554="","",IF(V554="SIM",VLOOKUP($I554&amp;$J554&amp;V$1,Pesos!$A:$I,7,FALSE),VLOOKUP($I554&amp;$J554&amp;V$1,Pesos!$A:$I,9,FALSE)))</f>
        <v>1.2</v>
      </c>
      <c r="AP554" s="80" t="str">
        <f>IF(W554="","",IF(W554="SIM",VLOOKUP($I554&amp;$J554&amp;W$1,Pesos!$A:$I,7,FALSE),VLOOKUP($I554&amp;$J554&amp;W$1,Pesos!$A:$I,9,FALSE)))</f>
        <v/>
      </c>
      <c r="AQ554" s="80" t="str">
        <f>IF(X554="","",IF(X554="SIM",VLOOKUP($I554&amp;$J554&amp;X$1,Pesos!$A:$I,7,FALSE),VLOOKUP($I554&amp;$J554&amp;X$1,Pesos!$A:$I,9,FALSE)))</f>
        <v/>
      </c>
      <c r="AR554" s="80" t="str">
        <f>IF(Y554="","",IF(Y554="SIM",VLOOKUP($I554&amp;$J554&amp;Y$1,Pesos!$A:$I,7,FALSE),VLOOKUP($I554&amp;$J554&amp;Y$1,Pesos!$A:$I,9,FALSE)))</f>
        <v/>
      </c>
      <c r="AS554" s="81">
        <f>IFERROR(Z554*VLOOKUP(J554,'BD Campos'!$Y$1:$Z$12,2,FALSE),"0")</f>
        <v>8.74</v>
      </c>
    </row>
    <row r="555" spans="1:45" x14ac:dyDescent="0.35">
      <c r="A555" s="68" t="str">
        <f t="shared" si="80"/>
        <v>Fev202511081MotoristaLOGÍSTICA</v>
      </c>
      <c r="B555" s="114" t="str">
        <f t="shared" si="81"/>
        <v>Fev2025110812LOGÍSTICAPADRÃO</v>
      </c>
      <c r="C555" s="126">
        <v>1</v>
      </c>
      <c r="D555" s="127">
        <v>45699.712484953707</v>
      </c>
      <c r="E555" s="128" t="s">
        <v>338</v>
      </c>
      <c r="F555" s="129">
        <v>11081</v>
      </c>
      <c r="G555" s="130" t="s">
        <v>407</v>
      </c>
      <c r="H555" s="131">
        <v>2</v>
      </c>
      <c r="I555" s="130" t="s">
        <v>206</v>
      </c>
      <c r="J555" s="130" t="s">
        <v>122</v>
      </c>
      <c r="K555" s="130" t="s">
        <v>184</v>
      </c>
      <c r="L555" s="132"/>
      <c r="M555" s="133">
        <v>1.4583333333333334E-3</v>
      </c>
      <c r="N555" s="134" t="s">
        <v>79</v>
      </c>
      <c r="O555" s="134" t="s">
        <v>79</v>
      </c>
      <c r="P555" s="134" t="s">
        <v>79</v>
      </c>
      <c r="Q555" s="134" t="s">
        <v>79</v>
      </c>
      <c r="R555" s="134" t="s">
        <v>79</v>
      </c>
      <c r="S555" s="134" t="s">
        <v>79</v>
      </c>
      <c r="T555" s="134" t="s">
        <v>79</v>
      </c>
      <c r="U555" s="134" t="s">
        <v>79</v>
      </c>
      <c r="V555" s="134" t="s">
        <v>79</v>
      </c>
      <c r="W555" s="134" t="s">
        <v>79</v>
      </c>
      <c r="X555" s="134"/>
      <c r="Y555" s="134"/>
      <c r="Z555" s="135">
        <f t="shared" si="79"/>
        <v>10</v>
      </c>
      <c r="AA555" s="136"/>
      <c r="AB555" s="136"/>
      <c r="AC555" s="129" t="s">
        <v>47</v>
      </c>
      <c r="AE555" s="79" t="str">
        <f t="shared" si="85"/>
        <v>Fev11081</v>
      </c>
      <c r="AF555" s="80">
        <f>IF(N555="","",IF(N555="SIM",VLOOKUP($I555&amp;$J555&amp;N$1,Pesos!$A:$I,7,FALSE),VLOOKUP($I555&amp;$J555&amp;N$1,Pesos!$A:$I,9,FALSE)))</f>
        <v>0.8</v>
      </c>
      <c r="AG555" s="80">
        <f>IF(O555="","",IF(O555="SIM",VLOOKUP($I555&amp;$J555&amp;O$1,Pesos!$A:$I,7,FALSE),VLOOKUP($I555&amp;$J555&amp;O$1,Pesos!$A:$I,9,FALSE)))</f>
        <v>0.8</v>
      </c>
      <c r="AH555" s="80">
        <f>IF(P555="","",IF(P555="SIM",VLOOKUP($I555&amp;$J555&amp;P$1,Pesos!$A:$I,7,FALSE),VLOOKUP($I555&amp;$J555&amp;P$1,Pesos!$A:$I,9,FALSE)))</f>
        <v>0.8</v>
      </c>
      <c r="AI555" s="80">
        <f>IF(Q555="","",IF(Q555="SIM",VLOOKUP($I555&amp;$J555&amp;Q$1,Pesos!$A:$I,7,FALSE),VLOOKUP($I555&amp;$J555&amp;Q$1,Pesos!$A:$I,9,FALSE)))</f>
        <v>1</v>
      </c>
      <c r="AJ555" s="80">
        <f>IF(R555="","",IF(R555="SIM",VLOOKUP($I555&amp;$J555&amp;R$1,Pesos!$A:$I,7,FALSE),VLOOKUP($I555&amp;$J555&amp;R$1,Pesos!$A:$I,9,FALSE)))</f>
        <v>1</v>
      </c>
      <c r="AK555" s="80">
        <f>IF(S555="","",IF(S555="SIM",VLOOKUP($I555&amp;$J555&amp;S$1,Pesos!$A:$I,7,FALSE),VLOOKUP($I555&amp;$J555&amp;S$1,Pesos!$A:$I,9,FALSE)))</f>
        <v>1</v>
      </c>
      <c r="AL555" s="80">
        <f t="shared" si="84"/>
        <v>5.4</v>
      </c>
      <c r="AM555" s="80">
        <f>IF(T555="","",IF(T555="SIM",VLOOKUP($I555&amp;$J555&amp;T$1,Pesos!$A:$I,7,FALSE),VLOOKUP($I555&amp;$J555&amp;T$1,Pesos!$A:$I,9,FALSE)))</f>
        <v>1.2</v>
      </c>
      <c r="AN555" s="80">
        <f>IF(U555="","",IF(U555="SIM",VLOOKUP($I555&amp;$J555&amp;U$1,Pesos!$A:$I,7,FALSE),VLOOKUP($I555&amp;$J555&amp;U$1,Pesos!$A:$I,9,FALSE)))</f>
        <v>1.2</v>
      </c>
      <c r="AO555" s="80">
        <f>IF(V555="","",IF(V555="SIM",VLOOKUP($I555&amp;$J555&amp;V$1,Pesos!$A:$I,7,FALSE),VLOOKUP($I555&amp;$J555&amp;V$1,Pesos!$A:$I,9,FALSE)))</f>
        <v>1.2</v>
      </c>
      <c r="AP555" s="80">
        <f>IF(W555="","",IF(W555="SIM",VLOOKUP($I555&amp;$J555&amp;W$1,Pesos!$A:$I,7,FALSE),VLOOKUP($I555&amp;$J555&amp;W$1,Pesos!$A:$I,9,FALSE)))</f>
        <v>1</v>
      </c>
      <c r="AQ555" s="80" t="str">
        <f>IF(X555="","",IF(X555="SIM",VLOOKUP($I555&amp;$J555&amp;X$1,Pesos!$A:$I,7,FALSE),VLOOKUP($I555&amp;$J555&amp;X$1,Pesos!$A:$I,9,FALSE)))</f>
        <v/>
      </c>
      <c r="AR555" s="80" t="str">
        <f>IF(Y555="","",IF(Y555="SIM",VLOOKUP($I555&amp;$J555&amp;Y$1,Pesos!$A:$I,7,FALSE),VLOOKUP($I555&amp;$J555&amp;Y$1,Pesos!$A:$I,9,FALSE)))</f>
        <v/>
      </c>
      <c r="AS555" s="81">
        <f>IFERROR(Z555*VLOOKUP(J555,'BD Campos'!$Y$1:$Z$12,2,FALSE),"0")</f>
        <v>10</v>
      </c>
    </row>
    <row r="556" spans="1:45" x14ac:dyDescent="0.35">
      <c r="A556" s="68" t="str">
        <f t="shared" si="80"/>
        <v>Fev202511144ClienteLOGÍSTICA</v>
      </c>
      <c r="B556" s="114" t="str">
        <f t="shared" si="81"/>
        <v>Fev2025111441LOGÍSTICAPADRÃO</v>
      </c>
      <c r="C556" s="126">
        <v>1</v>
      </c>
      <c r="D556" s="127">
        <v>45699.722853703701</v>
      </c>
      <c r="E556" s="128" t="s">
        <v>338</v>
      </c>
      <c r="F556" s="129">
        <v>11144</v>
      </c>
      <c r="G556" s="130" t="s">
        <v>455</v>
      </c>
      <c r="H556" s="131">
        <v>1</v>
      </c>
      <c r="I556" s="130" t="s">
        <v>206</v>
      </c>
      <c r="J556" s="130" t="s">
        <v>124</v>
      </c>
      <c r="K556" s="130" t="s">
        <v>184</v>
      </c>
      <c r="L556" s="132"/>
      <c r="M556" s="133">
        <v>1.3657407407407409E-3</v>
      </c>
      <c r="N556" s="134" t="s">
        <v>79</v>
      </c>
      <c r="O556" s="134" t="s">
        <v>79</v>
      </c>
      <c r="P556" s="134" t="s">
        <v>79</v>
      </c>
      <c r="Q556" s="134" t="s">
        <v>79</v>
      </c>
      <c r="R556" s="134" t="s">
        <v>79</v>
      </c>
      <c r="S556" s="134" t="s">
        <v>79</v>
      </c>
      <c r="T556" s="134" t="s">
        <v>79</v>
      </c>
      <c r="U556" s="134" t="s">
        <v>83</v>
      </c>
      <c r="V556" s="134" t="s">
        <v>79</v>
      </c>
      <c r="W556" s="134"/>
      <c r="X556" s="134"/>
      <c r="Y556" s="134"/>
      <c r="Z556" s="135">
        <f t="shared" si="79"/>
        <v>8.74</v>
      </c>
      <c r="AA556" s="136"/>
      <c r="AB556" s="136"/>
      <c r="AC556" s="129" t="s">
        <v>47</v>
      </c>
      <c r="AE556" s="79" t="str">
        <f t="shared" si="85"/>
        <v>Fev11144</v>
      </c>
      <c r="AF556" s="80">
        <f>IF(N556="","",IF(N556="SIM",VLOOKUP($I556&amp;$J556&amp;N$1,Pesos!$A:$I,7,FALSE),VLOOKUP($I556&amp;$J556&amp;N$1,Pesos!$A:$I,9,FALSE)))</f>
        <v>1.1000000000000001</v>
      </c>
      <c r="AG556" s="80">
        <f>IF(O556="","",IF(O556="SIM",VLOOKUP($I556&amp;$J556&amp;O$1,Pesos!$A:$I,7,FALSE),VLOOKUP($I556&amp;$J556&amp;O$1,Pesos!$A:$I,9,FALSE)))</f>
        <v>1</v>
      </c>
      <c r="AH556" s="80">
        <f>IF(P556="","",IF(P556="SIM",VLOOKUP($I556&amp;$J556&amp;P$1,Pesos!$A:$I,7,FALSE),VLOOKUP($I556&amp;$J556&amp;P$1,Pesos!$A:$I,9,FALSE)))</f>
        <v>1</v>
      </c>
      <c r="AI556" s="80">
        <f>IF(Q556="","",IF(Q556="SIM",VLOOKUP($I556&amp;$J556&amp;Q$1,Pesos!$A:$I,7,FALSE),VLOOKUP($I556&amp;$J556&amp;Q$1,Pesos!$A:$I,9,FALSE)))</f>
        <v>1.1000000000000001</v>
      </c>
      <c r="AJ556" s="80">
        <f>IF(R556="","",IF(R556="SIM",VLOOKUP($I556&amp;$J556&amp;R$1,Pesos!$A:$I,7,FALSE),VLOOKUP($I556&amp;$J556&amp;R$1,Pesos!$A:$I,9,FALSE)))</f>
        <v>1.1000000000000001</v>
      </c>
      <c r="AK556" s="80">
        <f>IF(S556="","",IF(S556="SIM",VLOOKUP($I556&amp;$J556&amp;S$1,Pesos!$A:$I,7,FALSE),VLOOKUP($I556&amp;$J556&amp;S$1,Pesos!$A:$I,9,FALSE)))</f>
        <v>1.1000000000000001</v>
      </c>
      <c r="AL556" s="80">
        <f t="shared" si="84"/>
        <v>6.4</v>
      </c>
      <c r="AM556" s="80">
        <f>IF(T556="","",IF(T556="SIM",VLOOKUP($I556&amp;$J556&amp;T$1,Pesos!$A:$I,7,FALSE),VLOOKUP($I556&amp;$J556&amp;T$1,Pesos!$A:$I,9,FALSE)))</f>
        <v>1.2</v>
      </c>
      <c r="AN556" s="80">
        <f>IF(U556="","",IF(U556="SIM",VLOOKUP($I556&amp;$J556&amp;U$1,Pesos!$A:$I,7,FALSE),VLOOKUP($I556&amp;$J556&amp;U$1,Pesos!$A:$I,9,FALSE)))</f>
        <v>-0.06</v>
      </c>
      <c r="AO556" s="80">
        <f>IF(V556="","",IF(V556="SIM",VLOOKUP($I556&amp;$J556&amp;V$1,Pesos!$A:$I,7,FALSE),VLOOKUP($I556&amp;$J556&amp;V$1,Pesos!$A:$I,9,FALSE)))</f>
        <v>1.2</v>
      </c>
      <c r="AP556" s="80" t="str">
        <f>IF(W556="","",IF(W556="SIM",VLOOKUP($I556&amp;$J556&amp;W$1,Pesos!$A:$I,7,FALSE),VLOOKUP($I556&amp;$J556&amp;W$1,Pesos!$A:$I,9,FALSE)))</f>
        <v/>
      </c>
      <c r="AQ556" s="80" t="str">
        <f>IF(X556="","",IF(X556="SIM",VLOOKUP($I556&amp;$J556&amp;X$1,Pesos!$A:$I,7,FALSE),VLOOKUP($I556&amp;$J556&amp;X$1,Pesos!$A:$I,9,FALSE)))</f>
        <v/>
      </c>
      <c r="AR556" s="80" t="str">
        <f>IF(Y556="","",IF(Y556="SIM",VLOOKUP($I556&amp;$J556&amp;Y$1,Pesos!$A:$I,7,FALSE),VLOOKUP($I556&amp;$J556&amp;Y$1,Pesos!$A:$I,9,FALSE)))</f>
        <v/>
      </c>
      <c r="AS556" s="81">
        <f>IFERROR(Z556*VLOOKUP(J556,'BD Campos'!$Y$1:$Z$12,2,FALSE),"0")</f>
        <v>8.74</v>
      </c>
    </row>
    <row r="557" spans="1:45" x14ac:dyDescent="0.35">
      <c r="A557" s="68" t="str">
        <f t="shared" si="80"/>
        <v>Fev202511144Cliente 2LOGÍSTICA</v>
      </c>
      <c r="B557" s="114" t="str">
        <f t="shared" si="81"/>
        <v>Fev2025111442LOGÍSTICAPADRÃO</v>
      </c>
      <c r="C557" s="137">
        <v>1</v>
      </c>
      <c r="D557" s="138">
        <v>45699.725647569445</v>
      </c>
      <c r="E557" s="139" t="s">
        <v>338</v>
      </c>
      <c r="F557" s="140">
        <v>11144</v>
      </c>
      <c r="G557" s="141" t="s">
        <v>455</v>
      </c>
      <c r="H557" s="142">
        <v>2</v>
      </c>
      <c r="I557" s="141" t="s">
        <v>206</v>
      </c>
      <c r="J557" s="141" t="s">
        <v>185</v>
      </c>
      <c r="K557" s="141" t="s">
        <v>184</v>
      </c>
      <c r="L557" s="143"/>
      <c r="M557" s="144">
        <v>1.7476851851851852E-3</v>
      </c>
      <c r="N557" s="145" t="s">
        <v>79</v>
      </c>
      <c r="O557" s="145" t="s">
        <v>79</v>
      </c>
      <c r="P557" s="145" t="s">
        <v>79</v>
      </c>
      <c r="Q557" s="145" t="s">
        <v>79</v>
      </c>
      <c r="R557" s="145" t="s">
        <v>79</v>
      </c>
      <c r="S557" s="145" t="s">
        <v>79</v>
      </c>
      <c r="T557" s="145" t="s">
        <v>79</v>
      </c>
      <c r="U557" s="145" t="s">
        <v>79</v>
      </c>
      <c r="V557" s="145" t="s">
        <v>79</v>
      </c>
      <c r="W557" s="145"/>
      <c r="X557" s="145"/>
      <c r="Y557" s="145"/>
      <c r="Z557" s="146">
        <f t="shared" si="79"/>
        <v>10</v>
      </c>
      <c r="AA557" s="147"/>
      <c r="AB557" s="147"/>
      <c r="AC557" s="140" t="s">
        <v>47</v>
      </c>
      <c r="AE557" s="79" t="str">
        <f t="shared" si="85"/>
        <v>Fev11144</v>
      </c>
      <c r="AF557" s="80">
        <f>IF(N557="","",IF(N557="SIM",VLOOKUP($I557&amp;$J557&amp;N$1,Pesos!$A:$I,7,FALSE),VLOOKUP($I557&amp;$J557&amp;N$1,Pesos!$A:$I,9,FALSE)))</f>
        <v>1.1000000000000001</v>
      </c>
      <c r="AG557" s="80">
        <f>IF(O557="","",IF(O557="SIM",VLOOKUP($I557&amp;$J557&amp;O$1,Pesos!$A:$I,7,FALSE),VLOOKUP($I557&amp;$J557&amp;O$1,Pesos!$A:$I,9,FALSE)))</f>
        <v>1</v>
      </c>
      <c r="AH557" s="80">
        <f>IF(P557="","",IF(P557="SIM",VLOOKUP($I557&amp;$J557&amp;P$1,Pesos!$A:$I,7,FALSE),VLOOKUP($I557&amp;$J557&amp;P$1,Pesos!$A:$I,9,FALSE)))</f>
        <v>1</v>
      </c>
      <c r="AI557" s="80">
        <f>IF(Q557="","",IF(Q557="SIM",VLOOKUP($I557&amp;$J557&amp;Q$1,Pesos!$A:$I,7,FALSE),VLOOKUP($I557&amp;$J557&amp;Q$1,Pesos!$A:$I,9,FALSE)))</f>
        <v>1.1000000000000001</v>
      </c>
      <c r="AJ557" s="80">
        <f>IF(R557="","",IF(R557="SIM",VLOOKUP($I557&amp;$J557&amp;R$1,Pesos!$A:$I,7,FALSE),VLOOKUP($I557&amp;$J557&amp;R$1,Pesos!$A:$I,9,FALSE)))</f>
        <v>1.1000000000000001</v>
      </c>
      <c r="AK557" s="80">
        <f>IF(S557="","",IF(S557="SIM",VLOOKUP($I557&amp;$J557&amp;S$1,Pesos!$A:$I,7,FALSE),VLOOKUP($I557&amp;$J557&amp;S$1,Pesos!$A:$I,9,FALSE)))</f>
        <v>1.1000000000000001</v>
      </c>
      <c r="AL557" s="80">
        <f t="shared" si="84"/>
        <v>6.4</v>
      </c>
      <c r="AM557" s="80">
        <f>IF(T557="","",IF(T557="SIM",VLOOKUP($I557&amp;$J557&amp;T$1,Pesos!$A:$I,7,FALSE),VLOOKUP($I557&amp;$J557&amp;T$1,Pesos!$A:$I,9,FALSE)))</f>
        <v>1.2</v>
      </c>
      <c r="AN557" s="80">
        <f>IF(U557="","",IF(U557="SIM",VLOOKUP($I557&amp;$J557&amp;U$1,Pesos!$A:$I,7,FALSE),VLOOKUP($I557&amp;$J557&amp;U$1,Pesos!$A:$I,9,FALSE)))</f>
        <v>1.2</v>
      </c>
      <c r="AO557" s="80">
        <f>IF(V557="","",IF(V557="SIM",VLOOKUP($I557&amp;$J557&amp;V$1,Pesos!$A:$I,7,FALSE),VLOOKUP($I557&amp;$J557&amp;V$1,Pesos!$A:$I,9,FALSE)))</f>
        <v>1.2</v>
      </c>
      <c r="AP557" s="80" t="str">
        <f>IF(W557="","",IF(W557="SIM",VLOOKUP($I557&amp;$J557&amp;W$1,Pesos!$A:$I,7,FALSE),VLOOKUP($I557&amp;$J557&amp;W$1,Pesos!$A:$I,9,FALSE)))</f>
        <v/>
      </c>
      <c r="AQ557" s="80" t="str">
        <f>IF(X557="","",IF(X557="SIM",VLOOKUP($I557&amp;$J557&amp;X$1,Pesos!$A:$I,7,FALSE),VLOOKUP($I557&amp;$J557&amp;X$1,Pesos!$A:$I,9,FALSE)))</f>
        <v/>
      </c>
      <c r="AR557" s="80" t="str">
        <f>IF(Y557="","",IF(Y557="SIM",VLOOKUP($I557&amp;$J557&amp;Y$1,Pesos!$A:$I,7,FALSE),VLOOKUP($I557&amp;$J557&amp;Y$1,Pesos!$A:$I,9,FALSE)))</f>
        <v/>
      </c>
      <c r="AS557" s="81">
        <f>IFERROR(Z557*VLOOKUP(J557,'BD Campos'!$Y$1:$Z$12,2,FALSE),"0")</f>
        <v>10</v>
      </c>
    </row>
    <row r="558" spans="1:45" x14ac:dyDescent="0.35">
      <c r="A558" s="68" t="str">
        <f t="shared" si="80"/>
        <v>Fev202510904MotoristaLOGÍSTICA</v>
      </c>
      <c r="B558" s="114" t="str">
        <f t="shared" si="81"/>
        <v>Fev2025109041LOGÍSTICAPADRÃO</v>
      </c>
      <c r="C558" s="70">
        <v>1</v>
      </c>
      <c r="D558" s="71">
        <v>45700.347529513892</v>
      </c>
      <c r="E558" s="112" t="s">
        <v>338</v>
      </c>
      <c r="F558" s="72">
        <v>10904</v>
      </c>
      <c r="G558" s="69" t="s">
        <v>258</v>
      </c>
      <c r="H558" s="73">
        <v>1</v>
      </c>
      <c r="I558" s="69" t="s">
        <v>206</v>
      </c>
      <c r="J558" s="69" t="s">
        <v>122</v>
      </c>
      <c r="K558" s="69" t="s">
        <v>184</v>
      </c>
      <c r="L558" s="74"/>
      <c r="M558" s="75">
        <v>1.0879629629629629E-3</v>
      </c>
      <c r="N558" s="76" t="s">
        <v>79</v>
      </c>
      <c r="O558" s="76" t="s">
        <v>79</v>
      </c>
      <c r="P558" s="76" t="s">
        <v>79</v>
      </c>
      <c r="Q558" s="76" t="s">
        <v>79</v>
      </c>
      <c r="R558" s="76" t="s">
        <v>79</v>
      </c>
      <c r="S558" s="76" t="s">
        <v>79</v>
      </c>
      <c r="T558" s="76" t="s">
        <v>79</v>
      </c>
      <c r="U558" s="76" t="s">
        <v>79</v>
      </c>
      <c r="V558" s="76" t="s">
        <v>79</v>
      </c>
      <c r="W558" s="76" t="s">
        <v>79</v>
      </c>
      <c r="X558" s="76"/>
      <c r="Y558" s="76"/>
      <c r="Z558" s="77">
        <f t="shared" si="79"/>
        <v>10</v>
      </c>
      <c r="AA558" s="78"/>
      <c r="AB558" s="78"/>
      <c r="AC558" s="72" t="s">
        <v>47</v>
      </c>
      <c r="AE558" s="79" t="str">
        <f t="shared" ref="AE558:AE567" si="86">E558&amp;F558</f>
        <v>Fev10904</v>
      </c>
      <c r="AF558" s="80">
        <f>IF(N558="","",IF(N558="SIM",VLOOKUP($I558&amp;$J558&amp;N$1,Pesos!$A:$I,7,FALSE),VLOOKUP($I558&amp;$J558&amp;N$1,Pesos!$A:$I,9,FALSE)))</f>
        <v>0.8</v>
      </c>
      <c r="AG558" s="80">
        <f>IF(O558="","",IF(O558="SIM",VLOOKUP($I558&amp;$J558&amp;O$1,Pesos!$A:$I,7,FALSE),VLOOKUP($I558&amp;$J558&amp;O$1,Pesos!$A:$I,9,FALSE)))</f>
        <v>0.8</v>
      </c>
      <c r="AH558" s="80">
        <f>IF(P558="","",IF(P558="SIM",VLOOKUP($I558&amp;$J558&amp;P$1,Pesos!$A:$I,7,FALSE),VLOOKUP($I558&amp;$J558&amp;P$1,Pesos!$A:$I,9,FALSE)))</f>
        <v>0.8</v>
      </c>
      <c r="AI558" s="80">
        <f>IF(Q558="","",IF(Q558="SIM",VLOOKUP($I558&amp;$J558&amp;Q$1,Pesos!$A:$I,7,FALSE),VLOOKUP($I558&amp;$J558&amp;Q$1,Pesos!$A:$I,9,FALSE)))</f>
        <v>1</v>
      </c>
      <c r="AJ558" s="80">
        <f>IF(R558="","",IF(R558="SIM",VLOOKUP($I558&amp;$J558&amp;R$1,Pesos!$A:$I,7,FALSE),VLOOKUP($I558&amp;$J558&amp;R$1,Pesos!$A:$I,9,FALSE)))</f>
        <v>1</v>
      </c>
      <c r="AK558" s="80">
        <f>IF(S558="","",IF(S558="SIM",VLOOKUP($I558&amp;$J558&amp;S$1,Pesos!$A:$I,7,FALSE),VLOOKUP($I558&amp;$J558&amp;S$1,Pesos!$A:$I,9,FALSE)))</f>
        <v>1</v>
      </c>
      <c r="AL558" s="80">
        <f t="shared" si="84"/>
        <v>5.4</v>
      </c>
      <c r="AM558" s="80">
        <f>IF(T558="","",IF(T558="SIM",VLOOKUP($I558&amp;$J558&amp;T$1,Pesos!$A:$I,7,FALSE),VLOOKUP($I558&amp;$J558&amp;T$1,Pesos!$A:$I,9,FALSE)))</f>
        <v>1.2</v>
      </c>
      <c r="AN558" s="80">
        <f>IF(U558="","",IF(U558="SIM",VLOOKUP($I558&amp;$J558&amp;U$1,Pesos!$A:$I,7,FALSE),VLOOKUP($I558&amp;$J558&amp;U$1,Pesos!$A:$I,9,FALSE)))</f>
        <v>1.2</v>
      </c>
      <c r="AO558" s="80">
        <f>IF(V558="","",IF(V558="SIM",VLOOKUP($I558&amp;$J558&amp;V$1,Pesos!$A:$I,7,FALSE),VLOOKUP($I558&amp;$J558&amp;V$1,Pesos!$A:$I,9,FALSE)))</f>
        <v>1.2</v>
      </c>
      <c r="AP558" s="80">
        <f>IF(W558="","",IF(W558="SIM",VLOOKUP($I558&amp;$J558&amp;W$1,Pesos!$A:$I,7,FALSE),VLOOKUP($I558&amp;$J558&amp;W$1,Pesos!$A:$I,9,FALSE)))</f>
        <v>1</v>
      </c>
      <c r="AQ558" s="80" t="str">
        <f>IF(X558="","",IF(X558="SIM",VLOOKUP($I558&amp;$J558&amp;X$1,Pesos!$A:$I,7,FALSE),VLOOKUP($I558&amp;$J558&amp;X$1,Pesos!$A:$I,9,FALSE)))</f>
        <v/>
      </c>
      <c r="AR558" s="80" t="str">
        <f>IF(Y558="","",IF(Y558="SIM",VLOOKUP($I558&amp;$J558&amp;Y$1,Pesos!$A:$I,7,FALSE),VLOOKUP($I558&amp;$J558&amp;Y$1,Pesos!$A:$I,9,FALSE)))</f>
        <v/>
      </c>
      <c r="AS558" s="81">
        <f>IFERROR(Z558*VLOOKUP(J558,'BD Campos'!$Y$1:$Z$12,2,FALSE),"0")</f>
        <v>10</v>
      </c>
    </row>
    <row r="559" spans="1:45" x14ac:dyDescent="0.35">
      <c r="A559" s="68" t="str">
        <f t="shared" si="80"/>
        <v>Fev202510904ClienteLOGÍSTICA</v>
      </c>
      <c r="B559" s="114" t="str">
        <f t="shared" si="81"/>
        <v>Fev2025109042LOGÍSTICAPADRÃO</v>
      </c>
      <c r="C559" s="70">
        <v>1</v>
      </c>
      <c r="D559" s="71">
        <v>45700.35328171296</v>
      </c>
      <c r="E559" s="112" t="s">
        <v>338</v>
      </c>
      <c r="F559" s="72">
        <v>10904</v>
      </c>
      <c r="G559" s="69" t="s">
        <v>258</v>
      </c>
      <c r="H559" s="73">
        <v>2</v>
      </c>
      <c r="I559" s="69" t="s">
        <v>206</v>
      </c>
      <c r="J559" s="69" t="s">
        <v>124</v>
      </c>
      <c r="K559" s="69" t="s">
        <v>184</v>
      </c>
      <c r="L559" s="74"/>
      <c r="M559" s="75">
        <v>1.1458333333333333E-3</v>
      </c>
      <c r="N559" s="76" t="s">
        <v>79</v>
      </c>
      <c r="O559" s="76" t="s">
        <v>79</v>
      </c>
      <c r="P559" s="76" t="s">
        <v>79</v>
      </c>
      <c r="Q559" s="76" t="s">
        <v>79</v>
      </c>
      <c r="R559" s="76" t="s">
        <v>79</v>
      </c>
      <c r="S559" s="76" t="s">
        <v>79</v>
      </c>
      <c r="T559" s="76" t="s">
        <v>79</v>
      </c>
      <c r="U559" s="76" t="s">
        <v>79</v>
      </c>
      <c r="V559" s="76" t="s">
        <v>79</v>
      </c>
      <c r="W559" s="76"/>
      <c r="X559" s="76"/>
      <c r="Y559" s="76"/>
      <c r="Z559" s="77">
        <f t="shared" si="79"/>
        <v>10</v>
      </c>
      <c r="AA559" s="78"/>
      <c r="AB559" s="78"/>
      <c r="AC559" s="72" t="s">
        <v>47</v>
      </c>
      <c r="AE559" s="79" t="str">
        <f t="shared" si="86"/>
        <v>Fev10904</v>
      </c>
      <c r="AF559" s="80">
        <f>IF(N559="","",IF(N559="SIM",VLOOKUP($I559&amp;$J559&amp;N$1,Pesos!$A:$I,7,FALSE),VLOOKUP($I559&amp;$J559&amp;N$1,Pesos!$A:$I,9,FALSE)))</f>
        <v>1.1000000000000001</v>
      </c>
      <c r="AG559" s="80">
        <f>IF(O559="","",IF(O559="SIM",VLOOKUP($I559&amp;$J559&amp;O$1,Pesos!$A:$I,7,FALSE),VLOOKUP($I559&amp;$J559&amp;O$1,Pesos!$A:$I,9,FALSE)))</f>
        <v>1</v>
      </c>
      <c r="AH559" s="80">
        <f>IF(P559="","",IF(P559="SIM",VLOOKUP($I559&amp;$J559&amp;P$1,Pesos!$A:$I,7,FALSE),VLOOKUP($I559&amp;$J559&amp;P$1,Pesos!$A:$I,9,FALSE)))</f>
        <v>1</v>
      </c>
      <c r="AI559" s="80">
        <f>IF(Q559="","",IF(Q559="SIM",VLOOKUP($I559&amp;$J559&amp;Q$1,Pesos!$A:$I,7,FALSE),VLOOKUP($I559&amp;$J559&amp;Q$1,Pesos!$A:$I,9,FALSE)))</f>
        <v>1.1000000000000001</v>
      </c>
      <c r="AJ559" s="80">
        <f>IF(R559="","",IF(R559="SIM",VLOOKUP($I559&amp;$J559&amp;R$1,Pesos!$A:$I,7,FALSE),VLOOKUP($I559&amp;$J559&amp;R$1,Pesos!$A:$I,9,FALSE)))</f>
        <v>1.1000000000000001</v>
      </c>
      <c r="AK559" s="80">
        <f>IF(S559="","",IF(S559="SIM",VLOOKUP($I559&amp;$J559&amp;S$1,Pesos!$A:$I,7,FALSE),VLOOKUP($I559&amp;$J559&amp;S$1,Pesos!$A:$I,9,FALSE)))</f>
        <v>1.1000000000000001</v>
      </c>
      <c r="AL559" s="80">
        <f t="shared" si="84"/>
        <v>6.4</v>
      </c>
      <c r="AM559" s="80">
        <f>IF(T559="","",IF(T559="SIM",VLOOKUP($I559&amp;$J559&amp;T$1,Pesos!$A:$I,7,FALSE),VLOOKUP($I559&amp;$J559&amp;T$1,Pesos!$A:$I,9,FALSE)))</f>
        <v>1.2</v>
      </c>
      <c r="AN559" s="80">
        <f>IF(U559="","",IF(U559="SIM",VLOOKUP($I559&amp;$J559&amp;U$1,Pesos!$A:$I,7,FALSE),VLOOKUP($I559&amp;$J559&amp;U$1,Pesos!$A:$I,9,FALSE)))</f>
        <v>1.2</v>
      </c>
      <c r="AO559" s="80">
        <f>IF(V559="","",IF(V559="SIM",VLOOKUP($I559&amp;$J559&amp;V$1,Pesos!$A:$I,7,FALSE),VLOOKUP($I559&amp;$J559&amp;V$1,Pesos!$A:$I,9,FALSE)))</f>
        <v>1.2</v>
      </c>
      <c r="AP559" s="80" t="str">
        <f>IF(W559="","",IF(W559="SIM",VLOOKUP($I559&amp;$J559&amp;W$1,Pesos!$A:$I,7,FALSE),VLOOKUP($I559&amp;$J559&amp;W$1,Pesos!$A:$I,9,FALSE)))</f>
        <v/>
      </c>
      <c r="AQ559" s="80" t="str">
        <f>IF(X559="","",IF(X559="SIM",VLOOKUP($I559&amp;$J559&amp;X$1,Pesos!$A:$I,7,FALSE),VLOOKUP($I559&amp;$J559&amp;X$1,Pesos!$A:$I,9,FALSE)))</f>
        <v/>
      </c>
      <c r="AR559" s="80" t="str">
        <f>IF(Y559="","",IF(Y559="SIM",VLOOKUP($I559&amp;$J559&amp;Y$1,Pesos!$A:$I,7,FALSE),VLOOKUP($I559&amp;$J559&amp;Y$1,Pesos!$A:$I,9,FALSE)))</f>
        <v/>
      </c>
      <c r="AS559" s="81">
        <f>IFERROR(Z559*VLOOKUP(J559,'BD Campos'!$Y$1:$Z$12,2,FALSE),"0")</f>
        <v>10</v>
      </c>
    </row>
    <row r="560" spans="1:45" x14ac:dyDescent="0.35">
      <c r="A560" s="68" t="str">
        <f t="shared" si="80"/>
        <v>Fev202511208ClienteLOGÍSTICA</v>
      </c>
      <c r="B560" s="114" t="str">
        <f t="shared" si="81"/>
        <v>Fev2025112081LOGÍSTICAPADRÃO</v>
      </c>
      <c r="C560" s="70">
        <v>1</v>
      </c>
      <c r="D560" s="71">
        <v>45700.358761342592</v>
      </c>
      <c r="E560" s="112" t="s">
        <v>338</v>
      </c>
      <c r="F560" s="72">
        <v>11208</v>
      </c>
      <c r="G560" s="69" t="s">
        <v>1381</v>
      </c>
      <c r="H560" s="73">
        <v>1</v>
      </c>
      <c r="I560" s="69" t="s">
        <v>206</v>
      </c>
      <c r="J560" s="69" t="s">
        <v>124</v>
      </c>
      <c r="K560" s="69" t="s">
        <v>184</v>
      </c>
      <c r="L560" s="74"/>
      <c r="M560" s="75">
        <v>8.1018518518518516E-4</v>
      </c>
      <c r="N560" s="76" t="s">
        <v>79</v>
      </c>
      <c r="O560" s="76" t="s">
        <v>79</v>
      </c>
      <c r="P560" s="76" t="s">
        <v>79</v>
      </c>
      <c r="Q560" s="76" t="s">
        <v>79</v>
      </c>
      <c r="R560" s="76" t="s">
        <v>79</v>
      </c>
      <c r="S560" s="76" t="s">
        <v>79</v>
      </c>
      <c r="T560" s="76" t="s">
        <v>79</v>
      </c>
      <c r="U560" s="76" t="s">
        <v>79</v>
      </c>
      <c r="V560" s="76" t="s">
        <v>79</v>
      </c>
      <c r="W560" s="76"/>
      <c r="X560" s="76"/>
      <c r="Y560" s="76"/>
      <c r="Z560" s="77">
        <f t="shared" si="79"/>
        <v>10</v>
      </c>
      <c r="AA560" s="78"/>
      <c r="AB560" s="78"/>
      <c r="AC560" s="72" t="s">
        <v>47</v>
      </c>
      <c r="AE560" s="79" t="str">
        <f t="shared" si="86"/>
        <v>Fev11208</v>
      </c>
      <c r="AF560" s="80">
        <f>IF(N560="","",IF(N560="SIM",VLOOKUP($I560&amp;$J560&amp;N$1,Pesos!$A:$I,7,FALSE),VLOOKUP($I560&amp;$J560&amp;N$1,Pesos!$A:$I,9,FALSE)))</f>
        <v>1.1000000000000001</v>
      </c>
      <c r="AG560" s="80">
        <f>IF(O560="","",IF(O560="SIM",VLOOKUP($I560&amp;$J560&amp;O$1,Pesos!$A:$I,7,FALSE),VLOOKUP($I560&amp;$J560&amp;O$1,Pesos!$A:$I,9,FALSE)))</f>
        <v>1</v>
      </c>
      <c r="AH560" s="80">
        <f>IF(P560="","",IF(P560="SIM",VLOOKUP($I560&amp;$J560&amp;P$1,Pesos!$A:$I,7,FALSE),VLOOKUP($I560&amp;$J560&amp;P$1,Pesos!$A:$I,9,FALSE)))</f>
        <v>1</v>
      </c>
      <c r="AI560" s="80">
        <f>IF(Q560="","",IF(Q560="SIM",VLOOKUP($I560&amp;$J560&amp;Q$1,Pesos!$A:$I,7,FALSE),VLOOKUP($I560&amp;$J560&amp;Q$1,Pesos!$A:$I,9,FALSE)))</f>
        <v>1.1000000000000001</v>
      </c>
      <c r="AJ560" s="80">
        <f>IF(R560="","",IF(R560="SIM",VLOOKUP($I560&amp;$J560&amp;R$1,Pesos!$A:$I,7,FALSE),VLOOKUP($I560&amp;$J560&amp;R$1,Pesos!$A:$I,9,FALSE)))</f>
        <v>1.1000000000000001</v>
      </c>
      <c r="AK560" s="80">
        <f>IF(S560="","",IF(S560="SIM",VLOOKUP($I560&amp;$J560&amp;S$1,Pesos!$A:$I,7,FALSE),VLOOKUP($I560&amp;$J560&amp;S$1,Pesos!$A:$I,9,FALSE)))</f>
        <v>1.1000000000000001</v>
      </c>
      <c r="AL560" s="80">
        <f t="shared" si="84"/>
        <v>6.4</v>
      </c>
      <c r="AM560" s="80">
        <f>IF(T560="","",IF(T560="SIM",VLOOKUP($I560&amp;$J560&amp;T$1,Pesos!$A:$I,7,FALSE),VLOOKUP($I560&amp;$J560&amp;T$1,Pesos!$A:$I,9,FALSE)))</f>
        <v>1.2</v>
      </c>
      <c r="AN560" s="80">
        <f>IF(U560="","",IF(U560="SIM",VLOOKUP($I560&amp;$J560&amp;U$1,Pesos!$A:$I,7,FALSE),VLOOKUP($I560&amp;$J560&amp;U$1,Pesos!$A:$I,9,FALSE)))</f>
        <v>1.2</v>
      </c>
      <c r="AO560" s="80">
        <f>IF(V560="","",IF(V560="SIM",VLOOKUP($I560&amp;$J560&amp;V$1,Pesos!$A:$I,7,FALSE),VLOOKUP($I560&amp;$J560&amp;V$1,Pesos!$A:$I,9,FALSE)))</f>
        <v>1.2</v>
      </c>
      <c r="AP560" s="80" t="str">
        <f>IF(W560="","",IF(W560="SIM",VLOOKUP($I560&amp;$J560&amp;W$1,Pesos!$A:$I,7,FALSE),VLOOKUP($I560&amp;$J560&amp;W$1,Pesos!$A:$I,9,FALSE)))</f>
        <v/>
      </c>
      <c r="AQ560" s="80" t="str">
        <f>IF(X560="","",IF(X560="SIM",VLOOKUP($I560&amp;$J560&amp;X$1,Pesos!$A:$I,7,FALSE),VLOOKUP($I560&amp;$J560&amp;X$1,Pesos!$A:$I,9,FALSE)))</f>
        <v/>
      </c>
      <c r="AR560" s="80" t="str">
        <f>IF(Y560="","",IF(Y560="SIM",VLOOKUP($I560&amp;$J560&amp;Y$1,Pesos!$A:$I,7,FALSE),VLOOKUP($I560&amp;$J560&amp;Y$1,Pesos!$A:$I,9,FALSE)))</f>
        <v/>
      </c>
      <c r="AS560" s="81">
        <f>IFERROR(Z560*VLOOKUP(J560,'BD Campos'!$Y$1:$Z$12,2,FALSE),"0")</f>
        <v>10</v>
      </c>
    </row>
    <row r="561" spans="1:45" x14ac:dyDescent="0.35">
      <c r="A561" s="68" t="str">
        <f t="shared" si="80"/>
        <v>Fev202511208Cliente 2LOGÍSTICA</v>
      </c>
      <c r="B561" s="114" t="str">
        <f t="shared" si="81"/>
        <v>Fev2025112082LOGÍSTICAPADRÃO</v>
      </c>
      <c r="C561" s="70">
        <v>1</v>
      </c>
      <c r="D561" s="71">
        <v>45700.360807754631</v>
      </c>
      <c r="E561" s="112" t="s">
        <v>338</v>
      </c>
      <c r="F561" s="72">
        <v>11208</v>
      </c>
      <c r="G561" s="69" t="s">
        <v>1381</v>
      </c>
      <c r="H561" s="73">
        <v>2</v>
      </c>
      <c r="I561" s="69" t="s">
        <v>206</v>
      </c>
      <c r="J561" s="69" t="s">
        <v>185</v>
      </c>
      <c r="K561" s="69" t="s">
        <v>184</v>
      </c>
      <c r="L561" s="74"/>
      <c r="M561" s="75">
        <v>1.2384259259259258E-3</v>
      </c>
      <c r="N561" s="76" t="s">
        <v>79</v>
      </c>
      <c r="O561" s="76" t="s">
        <v>79</v>
      </c>
      <c r="P561" s="76" t="s">
        <v>79</v>
      </c>
      <c r="Q561" s="76" t="s">
        <v>79</v>
      </c>
      <c r="R561" s="76" t="s">
        <v>79</v>
      </c>
      <c r="S561" s="76" t="s">
        <v>79</v>
      </c>
      <c r="T561" s="76" t="s">
        <v>79</v>
      </c>
      <c r="U561" s="76" t="s">
        <v>79</v>
      </c>
      <c r="V561" s="76" t="s">
        <v>79</v>
      </c>
      <c r="W561" s="76"/>
      <c r="X561" s="76"/>
      <c r="Y561" s="76"/>
      <c r="Z561" s="77">
        <f t="shared" si="79"/>
        <v>10</v>
      </c>
      <c r="AA561" s="78"/>
      <c r="AB561" s="78"/>
      <c r="AC561" s="72" t="s">
        <v>47</v>
      </c>
      <c r="AE561" s="79" t="str">
        <f t="shared" si="86"/>
        <v>Fev11208</v>
      </c>
      <c r="AF561" s="80">
        <f>IF(N561="","",IF(N561="SIM",VLOOKUP($I561&amp;$J561&amp;N$1,Pesos!$A:$I,7,FALSE),VLOOKUP($I561&amp;$J561&amp;N$1,Pesos!$A:$I,9,FALSE)))</f>
        <v>1.1000000000000001</v>
      </c>
      <c r="AG561" s="80">
        <f>IF(O561="","",IF(O561="SIM",VLOOKUP($I561&amp;$J561&amp;O$1,Pesos!$A:$I,7,FALSE),VLOOKUP($I561&amp;$J561&amp;O$1,Pesos!$A:$I,9,FALSE)))</f>
        <v>1</v>
      </c>
      <c r="AH561" s="80">
        <f>IF(P561="","",IF(P561="SIM",VLOOKUP($I561&amp;$J561&amp;P$1,Pesos!$A:$I,7,FALSE),VLOOKUP($I561&amp;$J561&amp;P$1,Pesos!$A:$I,9,FALSE)))</f>
        <v>1</v>
      </c>
      <c r="AI561" s="80">
        <f>IF(Q561="","",IF(Q561="SIM",VLOOKUP($I561&amp;$J561&amp;Q$1,Pesos!$A:$I,7,FALSE),VLOOKUP($I561&amp;$J561&amp;Q$1,Pesos!$A:$I,9,FALSE)))</f>
        <v>1.1000000000000001</v>
      </c>
      <c r="AJ561" s="80">
        <f>IF(R561="","",IF(R561="SIM",VLOOKUP($I561&amp;$J561&amp;R$1,Pesos!$A:$I,7,FALSE),VLOOKUP($I561&amp;$J561&amp;R$1,Pesos!$A:$I,9,FALSE)))</f>
        <v>1.1000000000000001</v>
      </c>
      <c r="AK561" s="80">
        <f>IF(S561="","",IF(S561="SIM",VLOOKUP($I561&amp;$J561&amp;S$1,Pesos!$A:$I,7,FALSE),VLOOKUP($I561&amp;$J561&amp;S$1,Pesos!$A:$I,9,FALSE)))</f>
        <v>1.1000000000000001</v>
      </c>
      <c r="AL561" s="80">
        <f t="shared" si="84"/>
        <v>6.4</v>
      </c>
      <c r="AM561" s="80">
        <f>IF(T561="","",IF(T561="SIM",VLOOKUP($I561&amp;$J561&amp;T$1,Pesos!$A:$I,7,FALSE),VLOOKUP($I561&amp;$J561&amp;T$1,Pesos!$A:$I,9,FALSE)))</f>
        <v>1.2</v>
      </c>
      <c r="AN561" s="80">
        <f>IF(U561="","",IF(U561="SIM",VLOOKUP($I561&amp;$J561&amp;U$1,Pesos!$A:$I,7,FALSE),VLOOKUP($I561&amp;$J561&amp;U$1,Pesos!$A:$I,9,FALSE)))</f>
        <v>1.2</v>
      </c>
      <c r="AO561" s="80">
        <f>IF(V561="","",IF(V561="SIM",VLOOKUP($I561&amp;$J561&amp;V$1,Pesos!$A:$I,7,FALSE),VLOOKUP($I561&amp;$J561&amp;V$1,Pesos!$A:$I,9,FALSE)))</f>
        <v>1.2</v>
      </c>
      <c r="AP561" s="80" t="str">
        <f>IF(W561="","",IF(W561="SIM",VLOOKUP($I561&amp;$J561&amp;W$1,Pesos!$A:$I,7,FALSE),VLOOKUP($I561&amp;$J561&amp;W$1,Pesos!$A:$I,9,FALSE)))</f>
        <v/>
      </c>
      <c r="AQ561" s="80" t="str">
        <f>IF(X561="","",IF(X561="SIM",VLOOKUP($I561&amp;$J561&amp;X$1,Pesos!$A:$I,7,FALSE),VLOOKUP($I561&amp;$J561&amp;X$1,Pesos!$A:$I,9,FALSE)))</f>
        <v/>
      </c>
      <c r="AR561" s="80" t="str">
        <f>IF(Y561="","",IF(Y561="SIM",VLOOKUP($I561&amp;$J561&amp;Y$1,Pesos!$A:$I,7,FALSE),VLOOKUP($I561&amp;$J561&amp;Y$1,Pesos!$A:$I,9,FALSE)))</f>
        <v/>
      </c>
      <c r="AS561" s="81">
        <f>IFERROR(Z561*VLOOKUP(J561,'BD Campos'!$Y$1:$Z$12,2,FALSE),"0")</f>
        <v>10</v>
      </c>
    </row>
    <row r="562" spans="1:45" x14ac:dyDescent="0.35">
      <c r="A562" s="68" t="str">
        <f t="shared" si="80"/>
        <v>Fev202511205MotoristaLOGÍSTICA</v>
      </c>
      <c r="B562" s="114" t="str">
        <f t="shared" si="81"/>
        <v>Fev2025112051LOGÍSTICAPADRÃO</v>
      </c>
      <c r="C562" s="70">
        <v>1</v>
      </c>
      <c r="D562" s="71">
        <v>45700.362933912038</v>
      </c>
      <c r="E562" s="112" t="s">
        <v>338</v>
      </c>
      <c r="F562" s="72">
        <v>11205</v>
      </c>
      <c r="G562" s="69" t="s">
        <v>1387</v>
      </c>
      <c r="H562" s="73">
        <v>1</v>
      </c>
      <c r="I562" s="69" t="s">
        <v>206</v>
      </c>
      <c r="J562" s="69" t="s">
        <v>122</v>
      </c>
      <c r="K562" s="69" t="s">
        <v>184</v>
      </c>
      <c r="L562" s="74"/>
      <c r="M562" s="75">
        <v>1.5162037037037036E-3</v>
      </c>
      <c r="N562" s="76" t="s">
        <v>79</v>
      </c>
      <c r="O562" s="76" t="s">
        <v>79</v>
      </c>
      <c r="P562" s="76" t="s">
        <v>79</v>
      </c>
      <c r="Q562" s="76" t="s">
        <v>79</v>
      </c>
      <c r="R562" s="76" t="s">
        <v>79</v>
      </c>
      <c r="S562" s="76" t="s">
        <v>79</v>
      </c>
      <c r="T562" s="76" t="s">
        <v>79</v>
      </c>
      <c r="U562" s="76" t="s">
        <v>79</v>
      </c>
      <c r="V562" s="76" t="s">
        <v>79</v>
      </c>
      <c r="W562" s="76" t="s">
        <v>79</v>
      </c>
      <c r="X562" s="76"/>
      <c r="Y562" s="76"/>
      <c r="Z562" s="77">
        <f t="shared" si="79"/>
        <v>10</v>
      </c>
      <c r="AA562" s="78"/>
      <c r="AB562" s="78"/>
      <c r="AC562" s="72" t="s">
        <v>47</v>
      </c>
      <c r="AE562" s="79" t="str">
        <f t="shared" si="86"/>
        <v>Fev11205</v>
      </c>
      <c r="AF562" s="80">
        <f>IF(N562="","",IF(N562="SIM",VLOOKUP($I562&amp;$J562&amp;N$1,Pesos!$A:$I,7,FALSE),VLOOKUP($I562&amp;$J562&amp;N$1,Pesos!$A:$I,9,FALSE)))</f>
        <v>0.8</v>
      </c>
      <c r="AG562" s="80">
        <f>IF(O562="","",IF(O562="SIM",VLOOKUP($I562&amp;$J562&amp;O$1,Pesos!$A:$I,7,FALSE),VLOOKUP($I562&amp;$J562&amp;O$1,Pesos!$A:$I,9,FALSE)))</f>
        <v>0.8</v>
      </c>
      <c r="AH562" s="80">
        <f>IF(P562="","",IF(P562="SIM",VLOOKUP($I562&amp;$J562&amp;P$1,Pesos!$A:$I,7,FALSE),VLOOKUP($I562&amp;$J562&amp;P$1,Pesos!$A:$I,9,FALSE)))</f>
        <v>0.8</v>
      </c>
      <c r="AI562" s="80">
        <f>IF(Q562="","",IF(Q562="SIM",VLOOKUP($I562&amp;$J562&amp;Q$1,Pesos!$A:$I,7,FALSE),VLOOKUP($I562&amp;$J562&amp;Q$1,Pesos!$A:$I,9,FALSE)))</f>
        <v>1</v>
      </c>
      <c r="AJ562" s="80">
        <f>IF(R562="","",IF(R562="SIM",VLOOKUP($I562&amp;$J562&amp;R$1,Pesos!$A:$I,7,FALSE),VLOOKUP($I562&amp;$J562&amp;R$1,Pesos!$A:$I,9,FALSE)))</f>
        <v>1</v>
      </c>
      <c r="AK562" s="80">
        <f>IF(S562="","",IF(S562="SIM",VLOOKUP($I562&amp;$J562&amp;S$1,Pesos!$A:$I,7,FALSE),VLOOKUP($I562&amp;$J562&amp;S$1,Pesos!$A:$I,9,FALSE)))</f>
        <v>1</v>
      </c>
      <c r="AL562" s="80">
        <f t="shared" si="84"/>
        <v>5.4</v>
      </c>
      <c r="AM562" s="80">
        <f>IF(T562="","",IF(T562="SIM",VLOOKUP($I562&amp;$J562&amp;T$1,Pesos!$A:$I,7,FALSE),VLOOKUP($I562&amp;$J562&amp;T$1,Pesos!$A:$I,9,FALSE)))</f>
        <v>1.2</v>
      </c>
      <c r="AN562" s="80">
        <f>IF(U562="","",IF(U562="SIM",VLOOKUP($I562&amp;$J562&amp;U$1,Pesos!$A:$I,7,FALSE),VLOOKUP($I562&amp;$J562&amp;U$1,Pesos!$A:$I,9,FALSE)))</f>
        <v>1.2</v>
      </c>
      <c r="AO562" s="80">
        <f>IF(V562="","",IF(V562="SIM",VLOOKUP($I562&amp;$J562&amp;V$1,Pesos!$A:$I,7,FALSE),VLOOKUP($I562&amp;$J562&amp;V$1,Pesos!$A:$I,9,FALSE)))</f>
        <v>1.2</v>
      </c>
      <c r="AP562" s="80">
        <f>IF(W562="","",IF(W562="SIM",VLOOKUP($I562&amp;$J562&amp;W$1,Pesos!$A:$I,7,FALSE),VLOOKUP($I562&amp;$J562&amp;W$1,Pesos!$A:$I,9,FALSE)))</f>
        <v>1</v>
      </c>
      <c r="AQ562" s="80" t="str">
        <f>IF(X562="","",IF(X562="SIM",VLOOKUP($I562&amp;$J562&amp;X$1,Pesos!$A:$I,7,FALSE),VLOOKUP($I562&amp;$J562&amp;X$1,Pesos!$A:$I,9,FALSE)))</f>
        <v/>
      </c>
      <c r="AR562" s="80" t="str">
        <f>IF(Y562="","",IF(Y562="SIM",VLOOKUP($I562&amp;$J562&amp;Y$1,Pesos!$A:$I,7,FALSE),VLOOKUP($I562&amp;$J562&amp;Y$1,Pesos!$A:$I,9,FALSE)))</f>
        <v/>
      </c>
      <c r="AS562" s="81">
        <f>IFERROR(Z562*VLOOKUP(J562,'BD Campos'!$Y$1:$Z$12,2,FALSE),"0")</f>
        <v>10</v>
      </c>
    </row>
    <row r="563" spans="1:45" x14ac:dyDescent="0.35">
      <c r="A563" s="68" t="str">
        <f t="shared" si="80"/>
        <v>Fev202511205Motorista 2LOGÍSTICA</v>
      </c>
      <c r="B563" s="114" t="str">
        <f t="shared" si="81"/>
        <v>Fev2025112052LOGÍSTICAPADRÃO</v>
      </c>
      <c r="C563" s="70">
        <v>1</v>
      </c>
      <c r="D563" s="71">
        <v>45700.365439930552</v>
      </c>
      <c r="E563" s="112" t="s">
        <v>338</v>
      </c>
      <c r="F563" s="72">
        <v>11205</v>
      </c>
      <c r="G563" s="69" t="s">
        <v>1387</v>
      </c>
      <c r="H563" s="73">
        <v>2</v>
      </c>
      <c r="I563" s="69" t="s">
        <v>206</v>
      </c>
      <c r="J563" s="69" t="s">
        <v>204</v>
      </c>
      <c r="K563" s="69" t="s">
        <v>184</v>
      </c>
      <c r="L563" s="74"/>
      <c r="M563" s="75">
        <v>1.6087962962962963E-3</v>
      </c>
      <c r="N563" s="76" t="s">
        <v>79</v>
      </c>
      <c r="O563" s="76" t="s">
        <v>79</v>
      </c>
      <c r="P563" s="76" t="s">
        <v>79</v>
      </c>
      <c r="Q563" s="76" t="s">
        <v>79</v>
      </c>
      <c r="R563" s="76" t="s">
        <v>79</v>
      </c>
      <c r="S563" s="76" t="s">
        <v>79</v>
      </c>
      <c r="T563" s="76" t="s">
        <v>79</v>
      </c>
      <c r="U563" s="76" t="s">
        <v>79</v>
      </c>
      <c r="V563" s="76" t="s">
        <v>79</v>
      </c>
      <c r="W563" s="76" t="s">
        <v>79</v>
      </c>
      <c r="X563" s="76"/>
      <c r="Y563" s="76"/>
      <c r="Z563" s="77">
        <f t="shared" si="79"/>
        <v>10</v>
      </c>
      <c r="AA563" s="78"/>
      <c r="AB563" s="78"/>
      <c r="AC563" s="72" t="s">
        <v>47</v>
      </c>
      <c r="AE563" s="79" t="str">
        <f t="shared" si="86"/>
        <v>Fev11205</v>
      </c>
      <c r="AF563" s="80">
        <f>IF(N563="","",IF(N563="SIM",VLOOKUP($I563&amp;$J563&amp;N$1,Pesos!$A:$I,7,FALSE),VLOOKUP($I563&amp;$J563&amp;N$1,Pesos!$A:$I,9,FALSE)))</f>
        <v>0.8</v>
      </c>
      <c r="AG563" s="80">
        <f>IF(O563="","",IF(O563="SIM",VLOOKUP($I563&amp;$J563&amp;O$1,Pesos!$A:$I,7,FALSE),VLOOKUP($I563&amp;$J563&amp;O$1,Pesos!$A:$I,9,FALSE)))</f>
        <v>0.8</v>
      </c>
      <c r="AH563" s="80">
        <f>IF(P563="","",IF(P563="SIM",VLOOKUP($I563&amp;$J563&amp;P$1,Pesos!$A:$I,7,FALSE),VLOOKUP($I563&amp;$J563&amp;P$1,Pesos!$A:$I,9,FALSE)))</f>
        <v>0.8</v>
      </c>
      <c r="AI563" s="80">
        <f>IF(Q563="","",IF(Q563="SIM",VLOOKUP($I563&amp;$J563&amp;Q$1,Pesos!$A:$I,7,FALSE),VLOOKUP($I563&amp;$J563&amp;Q$1,Pesos!$A:$I,9,FALSE)))</f>
        <v>1</v>
      </c>
      <c r="AJ563" s="80">
        <f>IF(R563="","",IF(R563="SIM",VLOOKUP($I563&amp;$J563&amp;R$1,Pesos!$A:$I,7,FALSE),VLOOKUP($I563&amp;$J563&amp;R$1,Pesos!$A:$I,9,FALSE)))</f>
        <v>1</v>
      </c>
      <c r="AK563" s="80">
        <f>IF(S563="","",IF(S563="SIM",VLOOKUP($I563&amp;$J563&amp;S$1,Pesos!$A:$I,7,FALSE),VLOOKUP($I563&amp;$J563&amp;S$1,Pesos!$A:$I,9,FALSE)))</f>
        <v>1</v>
      </c>
      <c r="AL563" s="80">
        <f t="shared" si="84"/>
        <v>5.4</v>
      </c>
      <c r="AM563" s="80">
        <f>IF(T563="","",IF(T563="SIM",VLOOKUP($I563&amp;$J563&amp;T$1,Pesos!$A:$I,7,FALSE),VLOOKUP($I563&amp;$J563&amp;T$1,Pesos!$A:$I,9,FALSE)))</f>
        <v>1.2</v>
      </c>
      <c r="AN563" s="80">
        <f>IF(U563="","",IF(U563="SIM",VLOOKUP($I563&amp;$J563&amp;U$1,Pesos!$A:$I,7,FALSE),VLOOKUP($I563&amp;$J563&amp;U$1,Pesos!$A:$I,9,FALSE)))</f>
        <v>1.2</v>
      </c>
      <c r="AO563" s="80">
        <f>IF(V563="","",IF(V563="SIM",VLOOKUP($I563&amp;$J563&amp;V$1,Pesos!$A:$I,7,FALSE),VLOOKUP($I563&amp;$J563&amp;V$1,Pesos!$A:$I,9,FALSE)))</f>
        <v>1.2</v>
      </c>
      <c r="AP563" s="80">
        <f>IF(W563="","",IF(W563="SIM",VLOOKUP($I563&amp;$J563&amp;W$1,Pesos!$A:$I,7,FALSE),VLOOKUP($I563&amp;$J563&amp;W$1,Pesos!$A:$I,9,FALSE)))</f>
        <v>1</v>
      </c>
      <c r="AQ563" s="80" t="str">
        <f>IF(X563="","",IF(X563="SIM",VLOOKUP($I563&amp;$J563&amp;X$1,Pesos!$A:$I,7,FALSE),VLOOKUP($I563&amp;$J563&amp;X$1,Pesos!$A:$I,9,FALSE)))</f>
        <v/>
      </c>
      <c r="AR563" s="80" t="str">
        <f>IF(Y563="","",IF(Y563="SIM",VLOOKUP($I563&amp;$J563&amp;Y$1,Pesos!$A:$I,7,FALSE),VLOOKUP($I563&amp;$J563&amp;Y$1,Pesos!$A:$I,9,FALSE)))</f>
        <v/>
      </c>
      <c r="AS563" s="81">
        <f>IFERROR(Z563*VLOOKUP(J563,'BD Campos'!$Y$1:$Z$12,2,FALSE),"0")</f>
        <v>10</v>
      </c>
    </row>
    <row r="564" spans="1:45" x14ac:dyDescent="0.35">
      <c r="A564" s="68" t="str">
        <f t="shared" si="80"/>
        <v>Fev202511218MotoristaLOGÍSTICA</v>
      </c>
      <c r="B564" s="114" t="str">
        <f t="shared" si="81"/>
        <v>Fev2025112181LOGÍSTICAPADRÃO</v>
      </c>
      <c r="C564" s="70">
        <v>1</v>
      </c>
      <c r="D564" s="71">
        <v>45700.373224189818</v>
      </c>
      <c r="E564" s="112" t="s">
        <v>338</v>
      </c>
      <c r="F564" s="72">
        <v>11218</v>
      </c>
      <c r="G564" s="69" t="s">
        <v>1401</v>
      </c>
      <c r="H564" s="73">
        <v>1</v>
      </c>
      <c r="I564" s="69" t="s">
        <v>1369</v>
      </c>
      <c r="J564" s="69" t="s">
        <v>122</v>
      </c>
      <c r="K564" s="69" t="s">
        <v>184</v>
      </c>
      <c r="L564" s="74"/>
      <c r="M564" s="75">
        <v>1.5046296296296294E-3</v>
      </c>
      <c r="N564" s="76" t="s">
        <v>79</v>
      </c>
      <c r="O564" s="76" t="s">
        <v>79</v>
      </c>
      <c r="P564" s="76" t="s">
        <v>79</v>
      </c>
      <c r="Q564" s="76" t="s">
        <v>79</v>
      </c>
      <c r="R564" s="76" t="s">
        <v>79</v>
      </c>
      <c r="S564" s="76" t="s">
        <v>79</v>
      </c>
      <c r="T564" s="76" t="s">
        <v>79</v>
      </c>
      <c r="U564" s="76" t="s">
        <v>83</v>
      </c>
      <c r="V564" s="76"/>
      <c r="W564" s="76"/>
      <c r="X564" s="76"/>
      <c r="Y564" s="76"/>
      <c r="Z564" s="77">
        <f t="shared" si="79"/>
        <v>8.4250000000000007</v>
      </c>
      <c r="AA564" s="78"/>
      <c r="AB564" s="78"/>
      <c r="AC564" s="72" t="s">
        <v>47</v>
      </c>
      <c r="AE564" s="79" t="str">
        <f t="shared" si="86"/>
        <v>Fev11218</v>
      </c>
      <c r="AF564" s="80">
        <f>IF(N564="","",IF(N564="SIM",VLOOKUP($I564&amp;$J564&amp;N$1,Pesos!$A:$I,7,FALSE),VLOOKUP($I564&amp;$J564&amp;N$1,Pesos!$A:$I,9,FALSE)))</f>
        <v>1.1000000000000001</v>
      </c>
      <c r="AG564" s="80">
        <f>IF(O564="","",IF(O564="SIM",VLOOKUP($I564&amp;$J564&amp;O$1,Pesos!$A:$I,7,FALSE),VLOOKUP($I564&amp;$J564&amp;O$1,Pesos!$A:$I,9,FALSE)))</f>
        <v>1.1000000000000001</v>
      </c>
      <c r="AH564" s="80">
        <f>IF(P564="","",IF(P564="SIM",VLOOKUP($I564&amp;$J564&amp;P$1,Pesos!$A:$I,7,FALSE),VLOOKUP($I564&amp;$J564&amp;P$1,Pesos!$A:$I,9,FALSE)))</f>
        <v>1.1000000000000001</v>
      </c>
      <c r="AI564" s="80">
        <f>IF(Q564="","",IF(Q564="SIM",VLOOKUP($I564&amp;$J564&amp;Q$1,Pesos!$A:$I,7,FALSE),VLOOKUP($I564&amp;$J564&amp;Q$1,Pesos!$A:$I,9,FALSE)))</f>
        <v>1.1000000000000001</v>
      </c>
      <c r="AJ564" s="80">
        <f>IF(R564="","",IF(R564="SIM",VLOOKUP($I564&amp;$J564&amp;R$1,Pesos!$A:$I,7,FALSE),VLOOKUP($I564&amp;$J564&amp;R$1,Pesos!$A:$I,9,FALSE)))</f>
        <v>1.1000000000000001</v>
      </c>
      <c r="AK564" s="80">
        <f>IF(S564="","",IF(S564="SIM",VLOOKUP($I564&amp;$J564&amp;S$1,Pesos!$A:$I,7,FALSE),VLOOKUP($I564&amp;$J564&amp;S$1,Pesos!$A:$I,9,FALSE)))</f>
        <v>1.5</v>
      </c>
      <c r="AL564" s="80">
        <f t="shared" si="84"/>
        <v>7</v>
      </c>
      <c r="AM564" s="80">
        <f>IF(T564="","",IF(T564="SIM",VLOOKUP($I564&amp;$J564&amp;T$1,Pesos!$A:$I,7,FALSE),VLOOKUP($I564&amp;$J564&amp;T$1,Pesos!$A:$I,9,FALSE)))</f>
        <v>1.5</v>
      </c>
      <c r="AN564" s="80">
        <f>IF(U564="","",IF(U564="SIM",VLOOKUP($I564&amp;$J564&amp;U$1,Pesos!$A:$I,7,FALSE),VLOOKUP($I564&amp;$J564&amp;U$1,Pesos!$A:$I,9,FALSE)))</f>
        <v>-7.5000000000000011E-2</v>
      </c>
      <c r="AO564" s="80" t="str">
        <f>IF(V564="","",IF(V564="SIM",VLOOKUP($I564&amp;$J564&amp;V$1,Pesos!$A:$I,7,FALSE),VLOOKUP($I564&amp;$J564&amp;V$1,Pesos!$A:$I,9,FALSE)))</f>
        <v/>
      </c>
      <c r="AP564" s="80" t="str">
        <f>IF(W564="","",IF(W564="SIM",VLOOKUP($I564&amp;$J564&amp;W$1,Pesos!$A:$I,7,FALSE),VLOOKUP($I564&amp;$J564&amp;W$1,Pesos!$A:$I,9,FALSE)))</f>
        <v/>
      </c>
      <c r="AQ564" s="80" t="str">
        <f>IF(X564="","",IF(X564="SIM",VLOOKUP($I564&amp;$J564&amp;X$1,Pesos!$A:$I,7,FALSE),VLOOKUP($I564&amp;$J564&amp;X$1,Pesos!$A:$I,9,FALSE)))</f>
        <v/>
      </c>
      <c r="AR564" s="80" t="str">
        <f>IF(Y564="","",IF(Y564="SIM",VLOOKUP($I564&amp;$J564&amp;Y$1,Pesos!$A:$I,7,FALSE),VLOOKUP($I564&amp;$J564&amp;Y$1,Pesos!$A:$I,9,FALSE)))</f>
        <v/>
      </c>
      <c r="AS564" s="81">
        <f>IFERROR(Z564*VLOOKUP(J564,'BD Campos'!$Y$1:$Z$12,2,FALSE),"0")</f>
        <v>8.4250000000000007</v>
      </c>
    </row>
    <row r="565" spans="1:45" x14ac:dyDescent="0.35">
      <c r="A565" s="68" t="str">
        <f t="shared" si="80"/>
        <v>Fev202511238ClienteLOGÍSTICA</v>
      </c>
      <c r="B565" s="114" t="str">
        <f t="shared" si="81"/>
        <v>Fev2025112381LOGÍSTICAPADRÃO</v>
      </c>
      <c r="C565" s="70">
        <v>1</v>
      </c>
      <c r="D565" s="71">
        <v>45700.375712384259</v>
      </c>
      <c r="E565" s="112" t="s">
        <v>338</v>
      </c>
      <c r="F565" s="72">
        <v>11238</v>
      </c>
      <c r="G565" s="69" t="s">
        <v>1576</v>
      </c>
      <c r="H565" s="73">
        <v>1</v>
      </c>
      <c r="I565" s="69" t="s">
        <v>206</v>
      </c>
      <c r="J565" s="69" t="s">
        <v>124</v>
      </c>
      <c r="K565" s="69" t="s">
        <v>184</v>
      </c>
      <c r="L565" s="74"/>
      <c r="M565" s="75">
        <v>1.0763888888888889E-3</v>
      </c>
      <c r="N565" s="76" t="s">
        <v>79</v>
      </c>
      <c r="O565" s="76" t="s">
        <v>79</v>
      </c>
      <c r="P565" s="76" t="s">
        <v>79</v>
      </c>
      <c r="Q565" s="76" t="s">
        <v>79</v>
      </c>
      <c r="R565" s="76" t="s">
        <v>79</v>
      </c>
      <c r="S565" s="76" t="s">
        <v>79</v>
      </c>
      <c r="T565" s="76" t="s">
        <v>83</v>
      </c>
      <c r="U565" s="76" t="s">
        <v>83</v>
      </c>
      <c r="V565" s="76" t="s">
        <v>79</v>
      </c>
      <c r="W565" s="76"/>
      <c r="X565" s="76"/>
      <c r="Y565" s="76"/>
      <c r="Z565" s="77">
        <f t="shared" si="79"/>
        <v>7.4800000000000013</v>
      </c>
      <c r="AA565" s="78"/>
      <c r="AB565" s="78"/>
      <c r="AC565" s="72" t="s">
        <v>47</v>
      </c>
      <c r="AE565" s="79" t="str">
        <f t="shared" si="86"/>
        <v>Fev11238</v>
      </c>
      <c r="AF565" s="80">
        <f>IF(N565="","",IF(N565="SIM",VLOOKUP($I565&amp;$J565&amp;N$1,Pesos!$A:$I,7,FALSE),VLOOKUP($I565&amp;$J565&amp;N$1,Pesos!$A:$I,9,FALSE)))</f>
        <v>1.1000000000000001</v>
      </c>
      <c r="AG565" s="80">
        <f>IF(O565="","",IF(O565="SIM",VLOOKUP($I565&amp;$J565&amp;O$1,Pesos!$A:$I,7,FALSE),VLOOKUP($I565&amp;$J565&amp;O$1,Pesos!$A:$I,9,FALSE)))</f>
        <v>1</v>
      </c>
      <c r="AH565" s="80">
        <f>IF(P565="","",IF(P565="SIM",VLOOKUP($I565&amp;$J565&amp;P$1,Pesos!$A:$I,7,FALSE),VLOOKUP($I565&amp;$J565&amp;P$1,Pesos!$A:$I,9,FALSE)))</f>
        <v>1</v>
      </c>
      <c r="AI565" s="80">
        <f>IF(Q565="","",IF(Q565="SIM",VLOOKUP($I565&amp;$J565&amp;Q$1,Pesos!$A:$I,7,FALSE),VLOOKUP($I565&amp;$J565&amp;Q$1,Pesos!$A:$I,9,FALSE)))</f>
        <v>1.1000000000000001</v>
      </c>
      <c r="AJ565" s="80">
        <f>IF(R565="","",IF(R565="SIM",VLOOKUP($I565&amp;$J565&amp;R$1,Pesos!$A:$I,7,FALSE),VLOOKUP($I565&amp;$J565&amp;R$1,Pesos!$A:$I,9,FALSE)))</f>
        <v>1.1000000000000001</v>
      </c>
      <c r="AK565" s="80">
        <f>IF(S565="","",IF(S565="SIM",VLOOKUP($I565&amp;$J565&amp;S$1,Pesos!$A:$I,7,FALSE),VLOOKUP($I565&amp;$J565&amp;S$1,Pesos!$A:$I,9,FALSE)))</f>
        <v>1.1000000000000001</v>
      </c>
      <c r="AL565" s="80">
        <f t="shared" si="84"/>
        <v>6.4</v>
      </c>
      <c r="AM565" s="80">
        <f>IF(T565="","",IF(T565="SIM",VLOOKUP($I565&amp;$J565&amp;T$1,Pesos!$A:$I,7,FALSE),VLOOKUP($I565&amp;$J565&amp;T$1,Pesos!$A:$I,9,FALSE)))</f>
        <v>-0.06</v>
      </c>
      <c r="AN565" s="80">
        <f>IF(U565="","",IF(U565="SIM",VLOOKUP($I565&amp;$J565&amp;U$1,Pesos!$A:$I,7,FALSE),VLOOKUP($I565&amp;$J565&amp;U$1,Pesos!$A:$I,9,FALSE)))</f>
        <v>-0.06</v>
      </c>
      <c r="AO565" s="80">
        <f>IF(V565="","",IF(V565="SIM",VLOOKUP($I565&amp;$J565&amp;V$1,Pesos!$A:$I,7,FALSE),VLOOKUP($I565&amp;$J565&amp;V$1,Pesos!$A:$I,9,FALSE)))</f>
        <v>1.2</v>
      </c>
      <c r="AP565" s="80" t="str">
        <f>IF(W565="","",IF(W565="SIM",VLOOKUP($I565&amp;$J565&amp;W$1,Pesos!$A:$I,7,FALSE),VLOOKUP($I565&amp;$J565&amp;W$1,Pesos!$A:$I,9,FALSE)))</f>
        <v/>
      </c>
      <c r="AQ565" s="80" t="str">
        <f>IF(X565="","",IF(X565="SIM",VLOOKUP($I565&amp;$J565&amp;X$1,Pesos!$A:$I,7,FALSE),VLOOKUP($I565&amp;$J565&amp;X$1,Pesos!$A:$I,9,FALSE)))</f>
        <v/>
      </c>
      <c r="AR565" s="80" t="str">
        <f>IF(Y565="","",IF(Y565="SIM",VLOOKUP($I565&amp;$J565&amp;Y$1,Pesos!$A:$I,7,FALSE),VLOOKUP($I565&amp;$J565&amp;Y$1,Pesos!$A:$I,9,FALSE)))</f>
        <v/>
      </c>
      <c r="AS565" s="81">
        <f>IFERROR(Z565*VLOOKUP(J565,'BD Campos'!$Y$1:$Z$12,2,FALSE),"0")</f>
        <v>7.4800000000000013</v>
      </c>
    </row>
    <row r="566" spans="1:45" x14ac:dyDescent="0.35">
      <c r="A566" s="68" t="str">
        <f t="shared" si="80"/>
        <v>Fev202511238Cliente 2LOGÍSTICA</v>
      </c>
      <c r="B566" s="114" t="str">
        <f t="shared" si="81"/>
        <v>Fev2025112382LOGÍSTICAPADRÃO</v>
      </c>
      <c r="C566" s="70">
        <v>1</v>
      </c>
      <c r="D566" s="71">
        <v>45700.380632638888</v>
      </c>
      <c r="E566" s="112" t="s">
        <v>338</v>
      </c>
      <c r="F566" s="72">
        <v>11238</v>
      </c>
      <c r="G566" s="69" t="s">
        <v>1576</v>
      </c>
      <c r="H566" s="73">
        <v>2</v>
      </c>
      <c r="I566" s="69" t="s">
        <v>206</v>
      </c>
      <c r="J566" s="69" t="s">
        <v>185</v>
      </c>
      <c r="K566" s="69" t="s">
        <v>184</v>
      </c>
      <c r="L566" s="74"/>
      <c r="M566" s="75">
        <v>1.4004629629629629E-3</v>
      </c>
      <c r="N566" s="76" t="s">
        <v>79</v>
      </c>
      <c r="O566" s="76" t="s">
        <v>79</v>
      </c>
      <c r="P566" s="76" t="s">
        <v>79</v>
      </c>
      <c r="Q566" s="76" t="s">
        <v>79</v>
      </c>
      <c r="R566" s="76" t="s">
        <v>83</v>
      </c>
      <c r="S566" s="76" t="s">
        <v>79</v>
      </c>
      <c r="T566" s="76" t="s">
        <v>79</v>
      </c>
      <c r="U566" s="76" t="s">
        <v>79</v>
      </c>
      <c r="V566" s="76" t="s">
        <v>79</v>
      </c>
      <c r="W566" s="76"/>
      <c r="X566" s="76"/>
      <c r="Y566" s="76"/>
      <c r="Z566" s="77">
        <f t="shared" si="79"/>
        <v>8.8450000000000006</v>
      </c>
      <c r="AA566" s="78"/>
      <c r="AB566" s="78"/>
      <c r="AC566" s="72" t="s">
        <v>47</v>
      </c>
      <c r="AE566" s="79" t="str">
        <f t="shared" si="86"/>
        <v>Fev11238</v>
      </c>
      <c r="AF566" s="80">
        <f>IF(N566="","",IF(N566="SIM",VLOOKUP($I566&amp;$J566&amp;N$1,Pesos!$A:$I,7,FALSE),VLOOKUP($I566&amp;$J566&amp;N$1,Pesos!$A:$I,9,FALSE)))</f>
        <v>1.1000000000000001</v>
      </c>
      <c r="AG566" s="80">
        <f>IF(O566="","",IF(O566="SIM",VLOOKUP($I566&amp;$J566&amp;O$1,Pesos!$A:$I,7,FALSE),VLOOKUP($I566&amp;$J566&amp;O$1,Pesos!$A:$I,9,FALSE)))</f>
        <v>1</v>
      </c>
      <c r="AH566" s="80">
        <f>IF(P566="","",IF(P566="SIM",VLOOKUP($I566&amp;$J566&amp;P$1,Pesos!$A:$I,7,FALSE),VLOOKUP($I566&amp;$J566&amp;P$1,Pesos!$A:$I,9,FALSE)))</f>
        <v>1</v>
      </c>
      <c r="AI566" s="80">
        <f>IF(Q566="","",IF(Q566="SIM",VLOOKUP($I566&amp;$J566&amp;Q$1,Pesos!$A:$I,7,FALSE),VLOOKUP($I566&amp;$J566&amp;Q$1,Pesos!$A:$I,9,FALSE)))</f>
        <v>1.1000000000000001</v>
      </c>
      <c r="AJ566" s="80">
        <f>IF(R566="","",IF(R566="SIM",VLOOKUP($I566&amp;$J566&amp;R$1,Pesos!$A:$I,7,FALSE),VLOOKUP($I566&amp;$J566&amp;R$1,Pesos!$A:$I,9,FALSE)))</f>
        <v>-5.5000000000000007E-2</v>
      </c>
      <c r="AK566" s="80">
        <f>IF(S566="","",IF(S566="SIM",VLOOKUP($I566&amp;$J566&amp;S$1,Pesos!$A:$I,7,FALSE),VLOOKUP($I566&amp;$J566&amp;S$1,Pesos!$A:$I,9,FALSE)))</f>
        <v>1.1000000000000001</v>
      </c>
      <c r="AL566" s="80">
        <f t="shared" si="84"/>
        <v>5.245000000000001</v>
      </c>
      <c r="AM566" s="80">
        <f>IF(T566="","",IF(T566="SIM",VLOOKUP($I566&amp;$J566&amp;T$1,Pesos!$A:$I,7,FALSE),VLOOKUP($I566&amp;$J566&amp;T$1,Pesos!$A:$I,9,FALSE)))</f>
        <v>1.2</v>
      </c>
      <c r="AN566" s="80">
        <f>IF(U566="","",IF(U566="SIM",VLOOKUP($I566&amp;$J566&amp;U$1,Pesos!$A:$I,7,FALSE),VLOOKUP($I566&amp;$J566&amp;U$1,Pesos!$A:$I,9,FALSE)))</f>
        <v>1.2</v>
      </c>
      <c r="AO566" s="80">
        <f>IF(V566="","",IF(V566="SIM",VLOOKUP($I566&amp;$J566&amp;V$1,Pesos!$A:$I,7,FALSE),VLOOKUP($I566&amp;$J566&amp;V$1,Pesos!$A:$I,9,FALSE)))</f>
        <v>1.2</v>
      </c>
      <c r="AP566" s="80" t="str">
        <f>IF(W566="","",IF(W566="SIM",VLOOKUP($I566&amp;$J566&amp;W$1,Pesos!$A:$I,7,FALSE),VLOOKUP($I566&amp;$J566&amp;W$1,Pesos!$A:$I,9,FALSE)))</f>
        <v/>
      </c>
      <c r="AQ566" s="80" t="str">
        <f>IF(X566="","",IF(X566="SIM",VLOOKUP($I566&amp;$J566&amp;X$1,Pesos!$A:$I,7,FALSE),VLOOKUP($I566&amp;$J566&amp;X$1,Pesos!$A:$I,9,FALSE)))</f>
        <v/>
      </c>
      <c r="AR566" s="80" t="str">
        <f>IF(Y566="","",IF(Y566="SIM",VLOOKUP($I566&amp;$J566&amp;Y$1,Pesos!$A:$I,7,FALSE),VLOOKUP($I566&amp;$J566&amp;Y$1,Pesos!$A:$I,9,FALSE)))</f>
        <v/>
      </c>
      <c r="AS566" s="81">
        <f>IFERROR(Z566*VLOOKUP(J566,'BD Campos'!$Y$1:$Z$12,2,FALSE),"0")</f>
        <v>8.8450000000000006</v>
      </c>
    </row>
    <row r="567" spans="1:45" x14ac:dyDescent="0.35">
      <c r="A567" s="68" t="str">
        <f t="shared" si="80"/>
        <v>Fev20251804Motorista 2LOGÍSTICA</v>
      </c>
      <c r="B567" s="114" t="str">
        <f t="shared" si="81"/>
        <v>Fev202518042LOGÍSTICAPADRÃO</v>
      </c>
      <c r="C567" s="70">
        <v>1</v>
      </c>
      <c r="D567" s="71">
        <v>45700.381568634257</v>
      </c>
      <c r="E567" s="112" t="s">
        <v>338</v>
      </c>
      <c r="F567" s="72">
        <v>1804</v>
      </c>
      <c r="G567" s="69" t="s">
        <v>201</v>
      </c>
      <c r="H567" s="73">
        <v>2</v>
      </c>
      <c r="I567" s="69" t="s">
        <v>202</v>
      </c>
      <c r="J567" s="69" t="s">
        <v>204</v>
      </c>
      <c r="K567" s="69" t="s">
        <v>184</v>
      </c>
      <c r="L567" s="74"/>
      <c r="M567" s="75">
        <v>1.7824074074074072E-3</v>
      </c>
      <c r="N567" s="76" t="s">
        <v>79</v>
      </c>
      <c r="O567" s="76" t="s">
        <v>79</v>
      </c>
      <c r="P567" s="76" t="s">
        <v>79</v>
      </c>
      <c r="Q567" s="76" t="s">
        <v>79</v>
      </c>
      <c r="R567" s="76" t="s">
        <v>79</v>
      </c>
      <c r="S567" s="76" t="s">
        <v>79</v>
      </c>
      <c r="T567" s="76" t="s">
        <v>79</v>
      </c>
      <c r="U567" s="76" t="s">
        <v>79</v>
      </c>
      <c r="V567" s="76"/>
      <c r="W567" s="76"/>
      <c r="X567" s="76"/>
      <c r="Y567" s="76"/>
      <c r="Z567" s="77">
        <f t="shared" si="79"/>
        <v>10</v>
      </c>
      <c r="AA567" s="78"/>
      <c r="AB567" s="78"/>
      <c r="AC567" s="72" t="s">
        <v>47</v>
      </c>
      <c r="AE567" s="79" t="str">
        <f t="shared" si="86"/>
        <v>Fev1804</v>
      </c>
      <c r="AF567" s="80">
        <f>IF(N567="","",IF(N567="SIM",VLOOKUP($I567&amp;$J567&amp;N$1,Pesos!$A:$I,7,FALSE),VLOOKUP($I567&amp;$J567&amp;N$1,Pesos!$A:$I,9,FALSE)))</f>
        <v>1.2</v>
      </c>
      <c r="AG567" s="80">
        <f>IF(O567="","",IF(O567="SIM",VLOOKUP($I567&amp;$J567&amp;O$1,Pesos!$A:$I,7,FALSE),VLOOKUP($I567&amp;$J567&amp;O$1,Pesos!$A:$I,9,FALSE)))</f>
        <v>1</v>
      </c>
      <c r="AH567" s="80">
        <f>IF(P567="","",IF(P567="SIM",VLOOKUP($I567&amp;$J567&amp;P$1,Pesos!$A:$I,7,FALSE),VLOOKUP($I567&amp;$J567&amp;P$1,Pesos!$A:$I,9,FALSE)))</f>
        <v>1</v>
      </c>
      <c r="AI567" s="80">
        <f>IF(Q567="","",IF(Q567="SIM",VLOOKUP($I567&amp;$J567&amp;Q$1,Pesos!$A:$I,7,FALSE),VLOOKUP($I567&amp;$J567&amp;Q$1,Pesos!$A:$I,9,FALSE)))</f>
        <v>1</v>
      </c>
      <c r="AJ567" s="80">
        <f>IF(R567="","",IF(R567="SIM",VLOOKUP($I567&amp;$J567&amp;R$1,Pesos!$A:$I,7,FALSE),VLOOKUP($I567&amp;$J567&amp;R$1,Pesos!$A:$I,9,FALSE)))</f>
        <v>1.4000000000000001</v>
      </c>
      <c r="AK567" s="80">
        <f>IF(S567="","",IF(S567="SIM",VLOOKUP($I567&amp;$J567&amp;S$1,Pesos!$A:$I,7,FALSE),VLOOKUP($I567&amp;$J567&amp;S$1,Pesos!$A:$I,9,FALSE)))</f>
        <v>0.89999999999999991</v>
      </c>
      <c r="AL567" s="80">
        <f t="shared" si="84"/>
        <v>6.5</v>
      </c>
      <c r="AM567" s="80">
        <f>IF(T567="","",IF(T567="SIM",VLOOKUP($I567&amp;$J567&amp;T$1,Pesos!$A:$I,7,FALSE),VLOOKUP($I567&amp;$J567&amp;T$1,Pesos!$A:$I,9,FALSE)))</f>
        <v>1.7000000000000002</v>
      </c>
      <c r="AN567" s="80">
        <f>IF(U567="","",IF(U567="SIM",VLOOKUP($I567&amp;$J567&amp;U$1,Pesos!$A:$I,7,FALSE),VLOOKUP($I567&amp;$J567&amp;U$1,Pesos!$A:$I,9,FALSE)))</f>
        <v>1.7999999999999998</v>
      </c>
      <c r="AO567" s="80" t="str">
        <f>IF(V567="","",IF(V567="SIM",VLOOKUP($I567&amp;$J567&amp;V$1,Pesos!$A:$I,7,FALSE),VLOOKUP($I567&amp;$J567&amp;V$1,Pesos!$A:$I,9,FALSE)))</f>
        <v/>
      </c>
      <c r="AP567" s="80" t="str">
        <f>IF(W567="","",IF(W567="SIM",VLOOKUP($I567&amp;$J567&amp;W$1,Pesos!$A:$I,7,FALSE),VLOOKUP($I567&amp;$J567&amp;W$1,Pesos!$A:$I,9,FALSE)))</f>
        <v/>
      </c>
      <c r="AQ567" s="80" t="str">
        <f>IF(X567="","",IF(X567="SIM",VLOOKUP($I567&amp;$J567&amp;X$1,Pesos!$A:$I,7,FALSE),VLOOKUP($I567&amp;$J567&amp;X$1,Pesos!$A:$I,9,FALSE)))</f>
        <v/>
      </c>
      <c r="AR567" s="80" t="str">
        <f>IF(Y567="","",IF(Y567="SIM",VLOOKUP($I567&amp;$J567&amp;Y$1,Pesos!$A:$I,7,FALSE),VLOOKUP($I567&amp;$J567&amp;Y$1,Pesos!$A:$I,9,FALSE)))</f>
        <v/>
      </c>
      <c r="AS567" s="81">
        <f>IFERROR(Z567*VLOOKUP(J567,'BD Campos'!$Y$1:$Z$12,2,FALSE),"0")</f>
        <v>10</v>
      </c>
    </row>
    <row r="568" spans="1:45" x14ac:dyDescent="0.35">
      <c r="A568" s="68" t="str">
        <f t="shared" si="80"/>
        <v>Fev202510895Motorista 2LOGÍSTICA</v>
      </c>
      <c r="B568" s="114" t="str">
        <f t="shared" si="81"/>
        <v>Fev2025108952LOGÍSTICAPADRÃO</v>
      </c>
      <c r="C568" s="70">
        <v>1</v>
      </c>
      <c r="D568" s="71">
        <v>45700.382585069441</v>
      </c>
      <c r="E568" s="112" t="s">
        <v>338</v>
      </c>
      <c r="F568" s="72">
        <v>10895</v>
      </c>
      <c r="G568" s="69" t="s">
        <v>217</v>
      </c>
      <c r="H568" s="73">
        <v>2</v>
      </c>
      <c r="I568" s="69" t="s">
        <v>202</v>
      </c>
      <c r="J568" s="69" t="s">
        <v>204</v>
      </c>
      <c r="K568" s="69" t="s">
        <v>184</v>
      </c>
      <c r="L568" s="74"/>
      <c r="M568" s="75">
        <v>1.736111111111111E-3</v>
      </c>
      <c r="N568" s="76" t="s">
        <v>79</v>
      </c>
      <c r="O568" s="76" t="s">
        <v>79</v>
      </c>
      <c r="P568" s="76" t="s">
        <v>79</v>
      </c>
      <c r="Q568" s="76" t="s">
        <v>79</v>
      </c>
      <c r="R568" s="76" t="s">
        <v>79</v>
      </c>
      <c r="S568" s="76" t="s">
        <v>79</v>
      </c>
      <c r="T568" s="76" t="s">
        <v>79</v>
      </c>
      <c r="U568" s="76" t="s">
        <v>79</v>
      </c>
      <c r="V568" s="76"/>
      <c r="W568" s="76"/>
      <c r="X568" s="76"/>
      <c r="Y568" s="76"/>
      <c r="Z568" s="77">
        <f t="shared" si="79"/>
        <v>10</v>
      </c>
      <c r="AA568" s="78"/>
      <c r="AB568" s="78"/>
      <c r="AC568" s="72" t="s">
        <v>47</v>
      </c>
      <c r="AE568" s="79" t="str">
        <f>E568&amp;F568</f>
        <v>Fev10895</v>
      </c>
      <c r="AF568" s="80">
        <f>IF(N568="","",IF(N568="SIM",VLOOKUP($I568&amp;$J568&amp;N$1,Pesos!$A:$I,7,FALSE),VLOOKUP($I568&amp;$J568&amp;N$1,Pesos!$A:$I,9,FALSE)))</f>
        <v>1.2</v>
      </c>
      <c r="AG568" s="80">
        <f>IF(O568="","",IF(O568="SIM",VLOOKUP($I568&amp;$J568&amp;O$1,Pesos!$A:$I,7,FALSE),VLOOKUP($I568&amp;$J568&amp;O$1,Pesos!$A:$I,9,FALSE)))</f>
        <v>1</v>
      </c>
      <c r="AH568" s="80">
        <f>IF(P568="","",IF(P568="SIM",VLOOKUP($I568&amp;$J568&amp;P$1,Pesos!$A:$I,7,FALSE),VLOOKUP($I568&amp;$J568&amp;P$1,Pesos!$A:$I,9,FALSE)))</f>
        <v>1</v>
      </c>
      <c r="AI568" s="80">
        <f>IF(Q568="","",IF(Q568="SIM",VLOOKUP($I568&amp;$J568&amp;Q$1,Pesos!$A:$I,7,FALSE),VLOOKUP($I568&amp;$J568&amp;Q$1,Pesos!$A:$I,9,FALSE)))</f>
        <v>1</v>
      </c>
      <c r="AJ568" s="80">
        <f>IF(R568="","",IF(R568="SIM",VLOOKUP($I568&amp;$J568&amp;R$1,Pesos!$A:$I,7,FALSE),VLOOKUP($I568&amp;$J568&amp;R$1,Pesos!$A:$I,9,FALSE)))</f>
        <v>1.4000000000000001</v>
      </c>
      <c r="AK568" s="80">
        <f>IF(S568="","",IF(S568="SIM",VLOOKUP($I568&amp;$J568&amp;S$1,Pesos!$A:$I,7,FALSE),VLOOKUP($I568&amp;$J568&amp;S$1,Pesos!$A:$I,9,FALSE)))</f>
        <v>0.89999999999999991</v>
      </c>
      <c r="AL568" s="80">
        <f t="shared" si="84"/>
        <v>6.5</v>
      </c>
      <c r="AM568" s="80">
        <f>IF(T568="","",IF(T568="SIM",VLOOKUP($I568&amp;$J568&amp;T$1,Pesos!$A:$I,7,FALSE),VLOOKUP($I568&amp;$J568&amp;T$1,Pesos!$A:$I,9,FALSE)))</f>
        <v>1.7000000000000002</v>
      </c>
      <c r="AN568" s="80">
        <f>IF(U568="","",IF(U568="SIM",VLOOKUP($I568&amp;$J568&amp;U$1,Pesos!$A:$I,7,FALSE),VLOOKUP($I568&amp;$J568&amp;U$1,Pesos!$A:$I,9,FALSE)))</f>
        <v>1.7999999999999998</v>
      </c>
      <c r="AO568" s="80" t="str">
        <f>IF(V568="","",IF(V568="SIM",VLOOKUP($I568&amp;$J568&amp;V$1,Pesos!$A:$I,7,FALSE),VLOOKUP($I568&amp;$J568&amp;V$1,Pesos!$A:$I,9,FALSE)))</f>
        <v/>
      </c>
      <c r="AP568" s="80" t="str">
        <f>IF(W568="","",IF(W568="SIM",VLOOKUP($I568&amp;$J568&amp;W$1,Pesos!$A:$I,7,FALSE),VLOOKUP($I568&amp;$J568&amp;W$1,Pesos!$A:$I,9,FALSE)))</f>
        <v/>
      </c>
      <c r="AQ568" s="80" t="str">
        <f>IF(X568="","",IF(X568="SIM",VLOOKUP($I568&amp;$J568&amp;X$1,Pesos!$A:$I,7,FALSE),VLOOKUP($I568&amp;$J568&amp;X$1,Pesos!$A:$I,9,FALSE)))</f>
        <v/>
      </c>
      <c r="AR568" s="80" t="str">
        <f>IF(Y568="","",IF(Y568="SIM",VLOOKUP($I568&amp;$J568&amp;Y$1,Pesos!$A:$I,7,FALSE),VLOOKUP($I568&amp;$J568&amp;Y$1,Pesos!$A:$I,9,FALSE)))</f>
        <v/>
      </c>
      <c r="AS568" s="81">
        <f>IFERROR(Z568*VLOOKUP(J568,'BD Campos'!$Y$1:$Z$12,2,FALSE),"0")</f>
        <v>10</v>
      </c>
    </row>
    <row r="569" spans="1:45" x14ac:dyDescent="0.35">
      <c r="A569" s="68" t="str">
        <f t="shared" si="80"/>
        <v>Fev202511234ClienteLOGÍSTICA</v>
      </c>
      <c r="B569" s="114" t="str">
        <f t="shared" si="81"/>
        <v>Fev2025112341LOGÍSTICAPADRÃO</v>
      </c>
      <c r="C569" s="70">
        <v>1</v>
      </c>
      <c r="D569" s="71">
        <v>45700.386105324076</v>
      </c>
      <c r="E569" s="112" t="s">
        <v>338</v>
      </c>
      <c r="F569" s="72">
        <v>11234</v>
      </c>
      <c r="G569" s="69" t="s">
        <v>1577</v>
      </c>
      <c r="H569" s="73">
        <v>1</v>
      </c>
      <c r="I569" s="69" t="s">
        <v>206</v>
      </c>
      <c r="J569" s="69" t="s">
        <v>124</v>
      </c>
      <c r="K569" s="69" t="s">
        <v>184</v>
      </c>
      <c r="L569" s="74"/>
      <c r="M569" s="75">
        <v>1.0069444444444444E-3</v>
      </c>
      <c r="N569" s="76" t="s">
        <v>79</v>
      </c>
      <c r="O569" s="76" t="s">
        <v>79</v>
      </c>
      <c r="P569" s="76" t="s">
        <v>79</v>
      </c>
      <c r="Q569" s="76" t="s">
        <v>79</v>
      </c>
      <c r="R569" s="76" t="s">
        <v>79</v>
      </c>
      <c r="S569" s="76" t="s">
        <v>79</v>
      </c>
      <c r="T569" s="76" t="s">
        <v>79</v>
      </c>
      <c r="U569" s="76" t="s">
        <v>83</v>
      </c>
      <c r="V569" s="76" t="s">
        <v>79</v>
      </c>
      <c r="W569" s="76"/>
      <c r="X569" s="76"/>
      <c r="Y569" s="76"/>
      <c r="Z569" s="77">
        <f t="shared" si="79"/>
        <v>8.74</v>
      </c>
      <c r="AA569" s="78"/>
      <c r="AB569" s="78"/>
      <c r="AC569" s="72" t="s">
        <v>47</v>
      </c>
      <c r="AE569" s="79" t="str">
        <f t="shared" ref="AE569:AE575" si="87">E569&amp;F569</f>
        <v>Fev11234</v>
      </c>
      <c r="AF569" s="80">
        <f>IF(N569="","",IF(N569="SIM",VLOOKUP($I569&amp;$J569&amp;N$1,Pesos!$A:$I,7,FALSE),VLOOKUP($I569&amp;$J569&amp;N$1,Pesos!$A:$I,9,FALSE)))</f>
        <v>1.1000000000000001</v>
      </c>
      <c r="AG569" s="80">
        <f>IF(O569="","",IF(O569="SIM",VLOOKUP($I569&amp;$J569&amp;O$1,Pesos!$A:$I,7,FALSE),VLOOKUP($I569&amp;$J569&amp;O$1,Pesos!$A:$I,9,FALSE)))</f>
        <v>1</v>
      </c>
      <c r="AH569" s="80">
        <f>IF(P569="","",IF(P569="SIM",VLOOKUP($I569&amp;$J569&amp;P$1,Pesos!$A:$I,7,FALSE),VLOOKUP($I569&amp;$J569&amp;P$1,Pesos!$A:$I,9,FALSE)))</f>
        <v>1</v>
      </c>
      <c r="AI569" s="80">
        <f>IF(Q569="","",IF(Q569="SIM",VLOOKUP($I569&amp;$J569&amp;Q$1,Pesos!$A:$I,7,FALSE),VLOOKUP($I569&amp;$J569&amp;Q$1,Pesos!$A:$I,9,FALSE)))</f>
        <v>1.1000000000000001</v>
      </c>
      <c r="AJ569" s="80">
        <f>IF(R569="","",IF(R569="SIM",VLOOKUP($I569&amp;$J569&amp;R$1,Pesos!$A:$I,7,FALSE),VLOOKUP($I569&amp;$J569&amp;R$1,Pesos!$A:$I,9,FALSE)))</f>
        <v>1.1000000000000001</v>
      </c>
      <c r="AK569" s="80">
        <f>IF(S569="","",IF(S569="SIM",VLOOKUP($I569&amp;$J569&amp;S$1,Pesos!$A:$I,7,FALSE),VLOOKUP($I569&amp;$J569&amp;S$1,Pesos!$A:$I,9,FALSE)))</f>
        <v>1.1000000000000001</v>
      </c>
      <c r="AL569" s="80">
        <f t="shared" si="84"/>
        <v>6.4</v>
      </c>
      <c r="AM569" s="80">
        <f>IF(T569="","",IF(T569="SIM",VLOOKUP($I569&amp;$J569&amp;T$1,Pesos!$A:$I,7,FALSE),VLOOKUP($I569&amp;$J569&amp;T$1,Pesos!$A:$I,9,FALSE)))</f>
        <v>1.2</v>
      </c>
      <c r="AN569" s="80">
        <f>IF(U569="","",IF(U569="SIM",VLOOKUP($I569&amp;$J569&amp;U$1,Pesos!$A:$I,7,FALSE),VLOOKUP($I569&amp;$J569&amp;U$1,Pesos!$A:$I,9,FALSE)))</f>
        <v>-0.06</v>
      </c>
      <c r="AO569" s="80">
        <f>IF(V569="","",IF(V569="SIM",VLOOKUP($I569&amp;$J569&amp;V$1,Pesos!$A:$I,7,FALSE),VLOOKUP($I569&amp;$J569&amp;V$1,Pesos!$A:$I,9,FALSE)))</f>
        <v>1.2</v>
      </c>
      <c r="AP569" s="80" t="str">
        <f>IF(W569="","",IF(W569="SIM",VLOOKUP($I569&amp;$J569&amp;W$1,Pesos!$A:$I,7,FALSE),VLOOKUP($I569&amp;$J569&amp;W$1,Pesos!$A:$I,9,FALSE)))</f>
        <v/>
      </c>
      <c r="AQ569" s="80" t="str">
        <f>IF(X569="","",IF(X569="SIM",VLOOKUP($I569&amp;$J569&amp;X$1,Pesos!$A:$I,7,FALSE),VLOOKUP($I569&amp;$J569&amp;X$1,Pesos!$A:$I,9,FALSE)))</f>
        <v/>
      </c>
      <c r="AR569" s="80" t="str">
        <f>IF(Y569="","",IF(Y569="SIM",VLOOKUP($I569&amp;$J569&amp;Y$1,Pesos!$A:$I,7,FALSE),VLOOKUP($I569&amp;$J569&amp;Y$1,Pesos!$A:$I,9,FALSE)))</f>
        <v/>
      </c>
      <c r="AS569" s="81">
        <f>IFERROR(Z569*VLOOKUP(J569,'BD Campos'!$Y$1:$Z$12,2,FALSE),"0")</f>
        <v>8.74</v>
      </c>
    </row>
    <row r="570" spans="1:45" x14ac:dyDescent="0.35">
      <c r="A570" s="68" t="str">
        <f t="shared" si="80"/>
        <v>Fev202511234ClienteLOGÍSTICA</v>
      </c>
      <c r="B570" s="114" t="str">
        <f t="shared" si="81"/>
        <v>Fev2025112342LOGÍSTICAPADRÃO</v>
      </c>
      <c r="C570" s="70">
        <v>1</v>
      </c>
      <c r="D570" s="71">
        <v>45700.405803703703</v>
      </c>
      <c r="E570" s="112" t="s">
        <v>338</v>
      </c>
      <c r="F570" s="72">
        <v>11234</v>
      </c>
      <c r="G570" s="69" t="s">
        <v>1577</v>
      </c>
      <c r="H570" s="73">
        <v>2</v>
      </c>
      <c r="I570" s="69" t="s">
        <v>206</v>
      </c>
      <c r="J570" s="69" t="s">
        <v>124</v>
      </c>
      <c r="K570" s="69" t="s">
        <v>184</v>
      </c>
      <c r="L570" s="74"/>
      <c r="M570" s="75">
        <v>1.3194444444444443E-3</v>
      </c>
      <c r="N570" s="76" t="s">
        <v>79</v>
      </c>
      <c r="O570" s="76" t="s">
        <v>79</v>
      </c>
      <c r="P570" s="76" t="s">
        <v>79</v>
      </c>
      <c r="Q570" s="76" t="s">
        <v>79</v>
      </c>
      <c r="R570" s="76" t="s">
        <v>79</v>
      </c>
      <c r="S570" s="76" t="s">
        <v>79</v>
      </c>
      <c r="T570" s="76" t="s">
        <v>79</v>
      </c>
      <c r="U570" s="76" t="s">
        <v>83</v>
      </c>
      <c r="V570" s="76" t="s">
        <v>79</v>
      </c>
      <c r="W570" s="76"/>
      <c r="X570" s="76"/>
      <c r="Y570" s="76"/>
      <c r="Z570" s="77">
        <f t="shared" si="79"/>
        <v>8.74</v>
      </c>
      <c r="AA570" s="78"/>
      <c r="AB570" s="78"/>
      <c r="AC570" s="72" t="s">
        <v>47</v>
      </c>
      <c r="AE570" s="79" t="str">
        <f t="shared" si="87"/>
        <v>Fev11234</v>
      </c>
      <c r="AF570" s="80">
        <f>IF(N570="","",IF(N570="SIM",VLOOKUP($I570&amp;$J570&amp;N$1,Pesos!$A:$I,7,FALSE),VLOOKUP($I570&amp;$J570&amp;N$1,Pesos!$A:$I,9,FALSE)))</f>
        <v>1.1000000000000001</v>
      </c>
      <c r="AG570" s="80">
        <f>IF(O570="","",IF(O570="SIM",VLOOKUP($I570&amp;$J570&amp;O$1,Pesos!$A:$I,7,FALSE),VLOOKUP($I570&amp;$J570&amp;O$1,Pesos!$A:$I,9,FALSE)))</f>
        <v>1</v>
      </c>
      <c r="AH570" s="80">
        <f>IF(P570="","",IF(P570="SIM",VLOOKUP($I570&amp;$J570&amp;P$1,Pesos!$A:$I,7,FALSE),VLOOKUP($I570&amp;$J570&amp;P$1,Pesos!$A:$I,9,FALSE)))</f>
        <v>1</v>
      </c>
      <c r="AI570" s="80">
        <f>IF(Q570="","",IF(Q570="SIM",VLOOKUP($I570&amp;$J570&amp;Q$1,Pesos!$A:$I,7,FALSE),VLOOKUP($I570&amp;$J570&amp;Q$1,Pesos!$A:$I,9,FALSE)))</f>
        <v>1.1000000000000001</v>
      </c>
      <c r="AJ570" s="80">
        <f>IF(R570="","",IF(R570="SIM",VLOOKUP($I570&amp;$J570&amp;R$1,Pesos!$A:$I,7,FALSE),VLOOKUP($I570&amp;$J570&amp;R$1,Pesos!$A:$I,9,FALSE)))</f>
        <v>1.1000000000000001</v>
      </c>
      <c r="AK570" s="80">
        <f>IF(S570="","",IF(S570="SIM",VLOOKUP($I570&amp;$J570&amp;S$1,Pesos!$A:$I,7,FALSE),VLOOKUP($I570&amp;$J570&amp;S$1,Pesos!$A:$I,9,FALSE)))</f>
        <v>1.1000000000000001</v>
      </c>
      <c r="AL570" s="80">
        <f t="shared" si="84"/>
        <v>6.4</v>
      </c>
      <c r="AM570" s="80">
        <f>IF(T570="","",IF(T570="SIM",VLOOKUP($I570&amp;$J570&amp;T$1,Pesos!$A:$I,7,FALSE),VLOOKUP($I570&amp;$J570&amp;T$1,Pesos!$A:$I,9,FALSE)))</f>
        <v>1.2</v>
      </c>
      <c r="AN570" s="80">
        <f>IF(U570="","",IF(U570="SIM",VLOOKUP($I570&amp;$J570&amp;U$1,Pesos!$A:$I,7,FALSE),VLOOKUP($I570&amp;$J570&amp;U$1,Pesos!$A:$I,9,FALSE)))</f>
        <v>-0.06</v>
      </c>
      <c r="AO570" s="80">
        <f>IF(V570="","",IF(V570="SIM",VLOOKUP($I570&amp;$J570&amp;V$1,Pesos!$A:$I,7,FALSE),VLOOKUP($I570&amp;$J570&amp;V$1,Pesos!$A:$I,9,FALSE)))</f>
        <v>1.2</v>
      </c>
      <c r="AP570" s="80" t="str">
        <f>IF(W570="","",IF(W570="SIM",VLOOKUP($I570&amp;$J570&amp;W$1,Pesos!$A:$I,7,FALSE),VLOOKUP($I570&amp;$J570&amp;W$1,Pesos!$A:$I,9,FALSE)))</f>
        <v/>
      </c>
      <c r="AQ570" s="80" t="str">
        <f>IF(X570="","",IF(X570="SIM",VLOOKUP($I570&amp;$J570&amp;X$1,Pesos!$A:$I,7,FALSE),VLOOKUP($I570&amp;$J570&amp;X$1,Pesos!$A:$I,9,FALSE)))</f>
        <v/>
      </c>
      <c r="AR570" s="80" t="str">
        <f>IF(Y570="","",IF(Y570="SIM",VLOOKUP($I570&amp;$J570&amp;Y$1,Pesos!$A:$I,7,FALSE),VLOOKUP($I570&amp;$J570&amp;Y$1,Pesos!$A:$I,9,FALSE)))</f>
        <v/>
      </c>
      <c r="AS570" s="81">
        <f>IFERROR(Z570*VLOOKUP(J570,'BD Campos'!$Y$1:$Z$12,2,FALSE),"0")</f>
        <v>8.74</v>
      </c>
    </row>
    <row r="571" spans="1:45" x14ac:dyDescent="0.35">
      <c r="A571" s="68" t="str">
        <f t="shared" si="80"/>
        <v>Fev202511073ClienteLOGÍSTICA</v>
      </c>
      <c r="B571" s="114" t="str">
        <f t="shared" si="81"/>
        <v>Fev2025110731LOGÍSTICAPADRÃO</v>
      </c>
      <c r="C571" s="70">
        <v>1</v>
      </c>
      <c r="D571" s="71">
        <v>45700.40912546296</v>
      </c>
      <c r="E571" s="112" t="s">
        <v>338</v>
      </c>
      <c r="F571" s="72">
        <v>11073</v>
      </c>
      <c r="G571" s="69" t="s">
        <v>402</v>
      </c>
      <c r="H571" s="73">
        <v>1</v>
      </c>
      <c r="I571" s="69" t="s">
        <v>206</v>
      </c>
      <c r="J571" s="69" t="s">
        <v>124</v>
      </c>
      <c r="K571" s="69" t="s">
        <v>184</v>
      </c>
      <c r="L571" s="74"/>
      <c r="M571" s="75">
        <v>1.5277777777777779E-3</v>
      </c>
      <c r="N571" s="76" t="s">
        <v>79</v>
      </c>
      <c r="O571" s="76" t="s">
        <v>79</v>
      </c>
      <c r="P571" s="76" t="s">
        <v>79</v>
      </c>
      <c r="Q571" s="76" t="s">
        <v>79</v>
      </c>
      <c r="R571" s="76" t="s">
        <v>79</v>
      </c>
      <c r="S571" s="76" t="s">
        <v>79</v>
      </c>
      <c r="T571" s="76" t="s">
        <v>79</v>
      </c>
      <c r="U571" s="76" t="s">
        <v>79</v>
      </c>
      <c r="V571" s="76" t="s">
        <v>79</v>
      </c>
      <c r="W571" s="76"/>
      <c r="X571" s="76"/>
      <c r="Y571" s="76"/>
      <c r="Z571" s="77">
        <f t="shared" si="79"/>
        <v>10</v>
      </c>
      <c r="AA571" s="78"/>
      <c r="AB571" s="78"/>
      <c r="AC571" s="72" t="s">
        <v>47</v>
      </c>
      <c r="AE571" s="79" t="str">
        <f t="shared" si="87"/>
        <v>Fev11073</v>
      </c>
      <c r="AF571" s="80">
        <f>IF(N571="","",IF(N571="SIM",VLOOKUP($I571&amp;$J571&amp;N$1,Pesos!$A:$I,7,FALSE),VLOOKUP($I571&amp;$J571&amp;N$1,Pesos!$A:$I,9,FALSE)))</f>
        <v>1.1000000000000001</v>
      </c>
      <c r="AG571" s="80">
        <f>IF(O571="","",IF(O571="SIM",VLOOKUP($I571&amp;$J571&amp;O$1,Pesos!$A:$I,7,FALSE),VLOOKUP($I571&amp;$J571&amp;O$1,Pesos!$A:$I,9,FALSE)))</f>
        <v>1</v>
      </c>
      <c r="AH571" s="80">
        <f>IF(P571="","",IF(P571="SIM",VLOOKUP($I571&amp;$J571&amp;P$1,Pesos!$A:$I,7,FALSE),VLOOKUP($I571&amp;$J571&amp;P$1,Pesos!$A:$I,9,FALSE)))</f>
        <v>1</v>
      </c>
      <c r="AI571" s="80">
        <f>IF(Q571="","",IF(Q571="SIM",VLOOKUP($I571&amp;$J571&amp;Q$1,Pesos!$A:$I,7,FALSE),VLOOKUP($I571&amp;$J571&amp;Q$1,Pesos!$A:$I,9,FALSE)))</f>
        <v>1.1000000000000001</v>
      </c>
      <c r="AJ571" s="80">
        <f>IF(R571="","",IF(R571="SIM",VLOOKUP($I571&amp;$J571&amp;R$1,Pesos!$A:$I,7,FALSE),VLOOKUP($I571&amp;$J571&amp;R$1,Pesos!$A:$I,9,FALSE)))</f>
        <v>1.1000000000000001</v>
      </c>
      <c r="AK571" s="80">
        <f>IF(S571="","",IF(S571="SIM",VLOOKUP($I571&amp;$J571&amp;S$1,Pesos!$A:$I,7,FALSE),VLOOKUP($I571&amp;$J571&amp;S$1,Pesos!$A:$I,9,FALSE)))</f>
        <v>1.1000000000000001</v>
      </c>
      <c r="AL571" s="80">
        <f t="shared" si="84"/>
        <v>6.4</v>
      </c>
      <c r="AM571" s="80">
        <f>IF(T571="","",IF(T571="SIM",VLOOKUP($I571&amp;$J571&amp;T$1,Pesos!$A:$I,7,FALSE),VLOOKUP($I571&amp;$J571&amp;T$1,Pesos!$A:$I,9,FALSE)))</f>
        <v>1.2</v>
      </c>
      <c r="AN571" s="80">
        <f>IF(U571="","",IF(U571="SIM",VLOOKUP($I571&amp;$J571&amp;U$1,Pesos!$A:$I,7,FALSE),VLOOKUP($I571&amp;$J571&amp;U$1,Pesos!$A:$I,9,FALSE)))</f>
        <v>1.2</v>
      </c>
      <c r="AO571" s="80">
        <f>IF(V571="","",IF(V571="SIM",VLOOKUP($I571&amp;$J571&amp;V$1,Pesos!$A:$I,7,FALSE),VLOOKUP($I571&amp;$J571&amp;V$1,Pesos!$A:$I,9,FALSE)))</f>
        <v>1.2</v>
      </c>
      <c r="AP571" s="80" t="str">
        <f>IF(W571="","",IF(W571="SIM",VLOOKUP($I571&amp;$J571&amp;W$1,Pesos!$A:$I,7,FALSE),VLOOKUP($I571&amp;$J571&amp;W$1,Pesos!$A:$I,9,FALSE)))</f>
        <v/>
      </c>
      <c r="AQ571" s="80" t="str">
        <f>IF(X571="","",IF(X571="SIM",VLOOKUP($I571&amp;$J571&amp;X$1,Pesos!$A:$I,7,FALSE),VLOOKUP($I571&amp;$J571&amp;X$1,Pesos!$A:$I,9,FALSE)))</f>
        <v/>
      </c>
      <c r="AR571" s="80" t="str">
        <f>IF(Y571="","",IF(Y571="SIM",VLOOKUP($I571&amp;$J571&amp;Y$1,Pesos!$A:$I,7,FALSE),VLOOKUP($I571&amp;$J571&amp;Y$1,Pesos!$A:$I,9,FALSE)))</f>
        <v/>
      </c>
      <c r="AS571" s="81">
        <f>IFERROR(Z571*VLOOKUP(J571,'BD Campos'!$Y$1:$Z$12,2,FALSE),"0")</f>
        <v>10</v>
      </c>
    </row>
    <row r="572" spans="1:45" x14ac:dyDescent="0.35">
      <c r="A572" s="68" t="str">
        <f t="shared" si="80"/>
        <v>Fev202511073MotoristaLOGÍSTICA</v>
      </c>
      <c r="B572" s="114" t="str">
        <f t="shared" si="81"/>
        <v>Fev2025110732LOGÍSTICAPADRÃO</v>
      </c>
      <c r="C572" s="70">
        <v>1</v>
      </c>
      <c r="D572" s="71">
        <v>45700.410356018518</v>
      </c>
      <c r="E572" s="112" t="s">
        <v>338</v>
      </c>
      <c r="F572" s="72">
        <v>11073</v>
      </c>
      <c r="G572" s="69" t="s">
        <v>402</v>
      </c>
      <c r="H572" s="73">
        <v>2</v>
      </c>
      <c r="I572" s="69" t="s">
        <v>206</v>
      </c>
      <c r="J572" s="69" t="s">
        <v>122</v>
      </c>
      <c r="K572" s="69" t="s">
        <v>184</v>
      </c>
      <c r="L572" s="74"/>
      <c r="M572" s="75">
        <v>1.2152777777777778E-3</v>
      </c>
      <c r="N572" s="76" t="s">
        <v>79</v>
      </c>
      <c r="O572" s="76" t="s">
        <v>79</v>
      </c>
      <c r="P572" s="76" t="s">
        <v>79</v>
      </c>
      <c r="Q572" s="76" t="s">
        <v>79</v>
      </c>
      <c r="R572" s="76" t="s">
        <v>79</v>
      </c>
      <c r="S572" s="76" t="s">
        <v>79</v>
      </c>
      <c r="T572" s="76" t="s">
        <v>79</v>
      </c>
      <c r="U572" s="76" t="s">
        <v>79</v>
      </c>
      <c r="V572" s="76" t="s">
        <v>79</v>
      </c>
      <c r="W572" s="76" t="s">
        <v>79</v>
      </c>
      <c r="X572" s="76"/>
      <c r="Y572" s="76"/>
      <c r="Z572" s="77">
        <f t="shared" si="79"/>
        <v>10</v>
      </c>
      <c r="AA572" s="78"/>
      <c r="AB572" s="78"/>
      <c r="AC572" s="72" t="s">
        <v>47</v>
      </c>
      <c r="AE572" s="79" t="str">
        <f t="shared" si="87"/>
        <v>Fev11073</v>
      </c>
      <c r="AF572" s="80">
        <f>IF(N572="","",IF(N572="SIM",VLOOKUP($I572&amp;$J572&amp;N$1,Pesos!$A:$I,7,FALSE),VLOOKUP($I572&amp;$J572&amp;N$1,Pesos!$A:$I,9,FALSE)))</f>
        <v>0.8</v>
      </c>
      <c r="AG572" s="80">
        <f>IF(O572="","",IF(O572="SIM",VLOOKUP($I572&amp;$J572&amp;O$1,Pesos!$A:$I,7,FALSE),VLOOKUP($I572&amp;$J572&amp;O$1,Pesos!$A:$I,9,FALSE)))</f>
        <v>0.8</v>
      </c>
      <c r="AH572" s="80">
        <f>IF(P572="","",IF(P572="SIM",VLOOKUP($I572&amp;$J572&amp;P$1,Pesos!$A:$I,7,FALSE),VLOOKUP($I572&amp;$J572&amp;P$1,Pesos!$A:$I,9,FALSE)))</f>
        <v>0.8</v>
      </c>
      <c r="AI572" s="80">
        <f>IF(Q572="","",IF(Q572="SIM",VLOOKUP($I572&amp;$J572&amp;Q$1,Pesos!$A:$I,7,FALSE),VLOOKUP($I572&amp;$J572&amp;Q$1,Pesos!$A:$I,9,FALSE)))</f>
        <v>1</v>
      </c>
      <c r="AJ572" s="80">
        <f>IF(R572="","",IF(R572="SIM",VLOOKUP($I572&amp;$J572&amp;R$1,Pesos!$A:$I,7,FALSE),VLOOKUP($I572&amp;$J572&amp;R$1,Pesos!$A:$I,9,FALSE)))</f>
        <v>1</v>
      </c>
      <c r="AK572" s="80">
        <f>IF(S572="","",IF(S572="SIM",VLOOKUP($I572&amp;$J572&amp;S$1,Pesos!$A:$I,7,FALSE),VLOOKUP($I572&amp;$J572&amp;S$1,Pesos!$A:$I,9,FALSE)))</f>
        <v>1</v>
      </c>
      <c r="AL572" s="80">
        <f t="shared" si="84"/>
        <v>5.4</v>
      </c>
      <c r="AM572" s="80">
        <f>IF(T572="","",IF(T572="SIM",VLOOKUP($I572&amp;$J572&amp;T$1,Pesos!$A:$I,7,FALSE),VLOOKUP($I572&amp;$J572&amp;T$1,Pesos!$A:$I,9,FALSE)))</f>
        <v>1.2</v>
      </c>
      <c r="AN572" s="80">
        <f>IF(U572="","",IF(U572="SIM",VLOOKUP($I572&amp;$J572&amp;U$1,Pesos!$A:$I,7,FALSE),VLOOKUP($I572&amp;$J572&amp;U$1,Pesos!$A:$I,9,FALSE)))</f>
        <v>1.2</v>
      </c>
      <c r="AO572" s="80">
        <f>IF(V572="","",IF(V572="SIM",VLOOKUP($I572&amp;$J572&amp;V$1,Pesos!$A:$I,7,FALSE),VLOOKUP($I572&amp;$J572&amp;V$1,Pesos!$A:$I,9,FALSE)))</f>
        <v>1.2</v>
      </c>
      <c r="AP572" s="80">
        <f>IF(W572="","",IF(W572="SIM",VLOOKUP($I572&amp;$J572&amp;W$1,Pesos!$A:$I,7,FALSE),VLOOKUP($I572&amp;$J572&amp;W$1,Pesos!$A:$I,9,FALSE)))</f>
        <v>1</v>
      </c>
      <c r="AQ572" s="80" t="str">
        <f>IF(X572="","",IF(X572="SIM",VLOOKUP($I572&amp;$J572&amp;X$1,Pesos!$A:$I,7,FALSE),VLOOKUP($I572&amp;$J572&amp;X$1,Pesos!$A:$I,9,FALSE)))</f>
        <v/>
      </c>
      <c r="AR572" s="80" t="str">
        <f>IF(Y572="","",IF(Y572="SIM",VLOOKUP($I572&amp;$J572&amp;Y$1,Pesos!$A:$I,7,FALSE),VLOOKUP($I572&amp;$J572&amp;Y$1,Pesos!$A:$I,9,FALSE)))</f>
        <v/>
      </c>
      <c r="AS572" s="81">
        <f>IFERROR(Z572*VLOOKUP(J572,'BD Campos'!$Y$1:$Z$12,2,FALSE),"0")</f>
        <v>10</v>
      </c>
    </row>
    <row r="573" spans="1:45" x14ac:dyDescent="0.35">
      <c r="A573" s="68" t="str">
        <f t="shared" si="80"/>
        <v>Fev202511250MotoristaLOGÍSTICA</v>
      </c>
      <c r="B573" s="114" t="str">
        <f t="shared" si="81"/>
        <v>Fev2025112501LOGÍSTICAPADRÃO</v>
      </c>
      <c r="C573" s="70">
        <v>1</v>
      </c>
      <c r="D573" s="71">
        <v>45700.412341898147</v>
      </c>
      <c r="E573" s="112" t="s">
        <v>338</v>
      </c>
      <c r="F573" s="72">
        <v>11250</v>
      </c>
      <c r="G573" s="69" t="s">
        <v>1677</v>
      </c>
      <c r="H573" s="73">
        <v>1</v>
      </c>
      <c r="I573" s="69" t="s">
        <v>206</v>
      </c>
      <c r="J573" s="69" t="s">
        <v>122</v>
      </c>
      <c r="K573" s="69" t="s">
        <v>184</v>
      </c>
      <c r="L573" s="74"/>
      <c r="M573" s="75">
        <v>1.3078703703703705E-3</v>
      </c>
      <c r="N573" s="76" t="s">
        <v>79</v>
      </c>
      <c r="O573" s="76" t="s">
        <v>79</v>
      </c>
      <c r="P573" s="76" t="s">
        <v>79</v>
      </c>
      <c r="Q573" s="76" t="s">
        <v>79</v>
      </c>
      <c r="R573" s="76" t="s">
        <v>79</v>
      </c>
      <c r="S573" s="76" t="s">
        <v>79</v>
      </c>
      <c r="T573" s="76" t="s">
        <v>79</v>
      </c>
      <c r="U573" s="76" t="s">
        <v>79</v>
      </c>
      <c r="V573" s="76" t="s">
        <v>83</v>
      </c>
      <c r="W573" s="76" t="s">
        <v>79</v>
      </c>
      <c r="X573" s="76"/>
      <c r="Y573" s="76"/>
      <c r="Z573" s="77">
        <f t="shared" si="79"/>
        <v>8.740000000000002</v>
      </c>
      <c r="AA573" s="78"/>
      <c r="AB573" s="78"/>
      <c r="AC573" s="72" t="s">
        <v>47</v>
      </c>
      <c r="AE573" s="79" t="str">
        <f t="shared" si="87"/>
        <v>Fev11250</v>
      </c>
      <c r="AF573" s="80">
        <f>IF(N573="","",IF(N573="SIM",VLOOKUP($I573&amp;$J573&amp;N$1,Pesos!$A:$I,7,FALSE),VLOOKUP($I573&amp;$J573&amp;N$1,Pesos!$A:$I,9,FALSE)))</f>
        <v>0.8</v>
      </c>
      <c r="AG573" s="80">
        <f>IF(O573="","",IF(O573="SIM",VLOOKUP($I573&amp;$J573&amp;O$1,Pesos!$A:$I,7,FALSE),VLOOKUP($I573&amp;$J573&amp;O$1,Pesos!$A:$I,9,FALSE)))</f>
        <v>0.8</v>
      </c>
      <c r="AH573" s="80">
        <f>IF(P573="","",IF(P573="SIM",VLOOKUP($I573&amp;$J573&amp;P$1,Pesos!$A:$I,7,FALSE),VLOOKUP($I573&amp;$J573&amp;P$1,Pesos!$A:$I,9,FALSE)))</f>
        <v>0.8</v>
      </c>
      <c r="AI573" s="80">
        <f>IF(Q573="","",IF(Q573="SIM",VLOOKUP($I573&amp;$J573&amp;Q$1,Pesos!$A:$I,7,FALSE),VLOOKUP($I573&amp;$J573&amp;Q$1,Pesos!$A:$I,9,FALSE)))</f>
        <v>1</v>
      </c>
      <c r="AJ573" s="80">
        <f>IF(R573="","",IF(R573="SIM",VLOOKUP($I573&amp;$J573&amp;R$1,Pesos!$A:$I,7,FALSE),VLOOKUP($I573&amp;$J573&amp;R$1,Pesos!$A:$I,9,FALSE)))</f>
        <v>1</v>
      </c>
      <c r="AK573" s="80">
        <f>IF(S573="","",IF(S573="SIM",VLOOKUP($I573&amp;$J573&amp;S$1,Pesos!$A:$I,7,FALSE),VLOOKUP($I573&amp;$J573&amp;S$1,Pesos!$A:$I,9,FALSE)))</f>
        <v>1</v>
      </c>
      <c r="AL573" s="80">
        <f t="shared" si="84"/>
        <v>5.4</v>
      </c>
      <c r="AM573" s="80">
        <f>IF(T573="","",IF(T573="SIM",VLOOKUP($I573&amp;$J573&amp;T$1,Pesos!$A:$I,7,FALSE),VLOOKUP($I573&amp;$J573&amp;T$1,Pesos!$A:$I,9,FALSE)))</f>
        <v>1.2</v>
      </c>
      <c r="AN573" s="80">
        <f>IF(U573="","",IF(U573="SIM",VLOOKUP($I573&amp;$J573&amp;U$1,Pesos!$A:$I,7,FALSE),VLOOKUP($I573&amp;$J573&amp;U$1,Pesos!$A:$I,9,FALSE)))</f>
        <v>1.2</v>
      </c>
      <c r="AO573" s="80">
        <f>IF(V573="","",IF(V573="SIM",VLOOKUP($I573&amp;$J573&amp;V$1,Pesos!$A:$I,7,FALSE),VLOOKUP($I573&amp;$J573&amp;V$1,Pesos!$A:$I,9,FALSE)))</f>
        <v>-0.06</v>
      </c>
      <c r="AP573" s="80">
        <f>IF(W573="","",IF(W573="SIM",VLOOKUP($I573&amp;$J573&amp;W$1,Pesos!$A:$I,7,FALSE),VLOOKUP($I573&amp;$J573&amp;W$1,Pesos!$A:$I,9,FALSE)))</f>
        <v>1</v>
      </c>
      <c r="AQ573" s="80" t="str">
        <f>IF(X573="","",IF(X573="SIM",VLOOKUP($I573&amp;$J573&amp;X$1,Pesos!$A:$I,7,FALSE),VLOOKUP($I573&amp;$J573&amp;X$1,Pesos!$A:$I,9,FALSE)))</f>
        <v/>
      </c>
      <c r="AR573" s="80" t="str">
        <f>IF(Y573="","",IF(Y573="SIM",VLOOKUP($I573&amp;$J573&amp;Y$1,Pesos!$A:$I,7,FALSE),VLOOKUP($I573&amp;$J573&amp;Y$1,Pesos!$A:$I,9,FALSE)))</f>
        <v/>
      </c>
      <c r="AS573" s="81">
        <f>IFERROR(Z573*VLOOKUP(J573,'BD Campos'!$Y$1:$Z$12,2,FALSE),"0")</f>
        <v>8.740000000000002</v>
      </c>
    </row>
    <row r="574" spans="1:45" x14ac:dyDescent="0.35">
      <c r="A574" s="68" t="str">
        <f t="shared" si="80"/>
        <v>Fev202511250Motorista 2LOGÍSTICA</v>
      </c>
      <c r="B574" s="114" t="str">
        <f t="shared" si="81"/>
        <v>Fev2025112502LOGÍSTICAPADRÃO</v>
      </c>
      <c r="C574" s="70">
        <v>1</v>
      </c>
      <c r="D574" s="71">
        <v>45700.418159953704</v>
      </c>
      <c r="E574" s="112" t="s">
        <v>338</v>
      </c>
      <c r="F574" s="72">
        <v>11250</v>
      </c>
      <c r="G574" s="69" t="s">
        <v>1677</v>
      </c>
      <c r="H574" s="73">
        <v>2</v>
      </c>
      <c r="I574" s="69" t="s">
        <v>206</v>
      </c>
      <c r="J574" s="69" t="s">
        <v>204</v>
      </c>
      <c r="K574" s="69" t="s">
        <v>184</v>
      </c>
      <c r="L574" s="74"/>
      <c r="M574" s="75">
        <v>1.7708333333333332E-3</v>
      </c>
      <c r="N574" s="76" t="s">
        <v>79</v>
      </c>
      <c r="O574" s="76" t="s">
        <v>79</v>
      </c>
      <c r="P574" s="76" t="s">
        <v>79</v>
      </c>
      <c r="Q574" s="76" t="s">
        <v>79</v>
      </c>
      <c r="R574" s="76" t="s">
        <v>79</v>
      </c>
      <c r="S574" s="76" t="s">
        <v>79</v>
      </c>
      <c r="T574" s="76" t="s">
        <v>79</v>
      </c>
      <c r="U574" s="76" t="s">
        <v>79</v>
      </c>
      <c r="V574" s="76" t="s">
        <v>79</v>
      </c>
      <c r="W574" s="76" t="s">
        <v>79</v>
      </c>
      <c r="X574" s="76"/>
      <c r="Y574" s="76"/>
      <c r="Z574" s="77">
        <f t="shared" si="79"/>
        <v>10</v>
      </c>
      <c r="AA574" s="78"/>
      <c r="AB574" s="78"/>
      <c r="AC574" s="72" t="s">
        <v>47</v>
      </c>
      <c r="AE574" s="79" t="str">
        <f t="shared" si="87"/>
        <v>Fev11250</v>
      </c>
      <c r="AF574" s="80">
        <f>IF(N574="","",IF(N574="SIM",VLOOKUP($I574&amp;$J574&amp;N$1,Pesos!$A:$I,7,FALSE),VLOOKUP($I574&amp;$J574&amp;N$1,Pesos!$A:$I,9,FALSE)))</f>
        <v>0.8</v>
      </c>
      <c r="AG574" s="80">
        <f>IF(O574="","",IF(O574="SIM",VLOOKUP($I574&amp;$J574&amp;O$1,Pesos!$A:$I,7,FALSE),VLOOKUP($I574&amp;$J574&amp;O$1,Pesos!$A:$I,9,FALSE)))</f>
        <v>0.8</v>
      </c>
      <c r="AH574" s="80">
        <f>IF(P574="","",IF(P574="SIM",VLOOKUP($I574&amp;$J574&amp;P$1,Pesos!$A:$I,7,FALSE),VLOOKUP($I574&amp;$J574&amp;P$1,Pesos!$A:$I,9,FALSE)))</f>
        <v>0.8</v>
      </c>
      <c r="AI574" s="80">
        <f>IF(Q574="","",IF(Q574="SIM",VLOOKUP($I574&amp;$J574&amp;Q$1,Pesos!$A:$I,7,FALSE),VLOOKUP($I574&amp;$J574&amp;Q$1,Pesos!$A:$I,9,FALSE)))</f>
        <v>1</v>
      </c>
      <c r="AJ574" s="80">
        <f>IF(R574="","",IF(R574="SIM",VLOOKUP($I574&amp;$J574&amp;R$1,Pesos!$A:$I,7,FALSE),VLOOKUP($I574&amp;$J574&amp;R$1,Pesos!$A:$I,9,FALSE)))</f>
        <v>1</v>
      </c>
      <c r="AK574" s="80">
        <f>IF(S574="","",IF(S574="SIM",VLOOKUP($I574&amp;$J574&amp;S$1,Pesos!$A:$I,7,FALSE),VLOOKUP($I574&amp;$J574&amp;S$1,Pesos!$A:$I,9,FALSE)))</f>
        <v>1</v>
      </c>
      <c r="AL574" s="80">
        <f t="shared" si="84"/>
        <v>5.4</v>
      </c>
      <c r="AM574" s="80">
        <f>IF(T574="","",IF(T574="SIM",VLOOKUP($I574&amp;$J574&amp;T$1,Pesos!$A:$I,7,FALSE),VLOOKUP($I574&amp;$J574&amp;T$1,Pesos!$A:$I,9,FALSE)))</f>
        <v>1.2</v>
      </c>
      <c r="AN574" s="80">
        <f>IF(U574="","",IF(U574="SIM",VLOOKUP($I574&amp;$J574&amp;U$1,Pesos!$A:$I,7,FALSE),VLOOKUP($I574&amp;$J574&amp;U$1,Pesos!$A:$I,9,FALSE)))</f>
        <v>1.2</v>
      </c>
      <c r="AO574" s="80">
        <f>IF(V574="","",IF(V574="SIM",VLOOKUP($I574&amp;$J574&amp;V$1,Pesos!$A:$I,7,FALSE),VLOOKUP($I574&amp;$J574&amp;V$1,Pesos!$A:$I,9,FALSE)))</f>
        <v>1.2</v>
      </c>
      <c r="AP574" s="80">
        <f>IF(W574="","",IF(W574="SIM",VLOOKUP($I574&amp;$J574&amp;W$1,Pesos!$A:$I,7,FALSE),VLOOKUP($I574&amp;$J574&amp;W$1,Pesos!$A:$I,9,FALSE)))</f>
        <v>1</v>
      </c>
      <c r="AQ574" s="80" t="str">
        <f>IF(X574="","",IF(X574="SIM",VLOOKUP($I574&amp;$J574&amp;X$1,Pesos!$A:$I,7,FALSE),VLOOKUP($I574&amp;$J574&amp;X$1,Pesos!$A:$I,9,FALSE)))</f>
        <v/>
      </c>
      <c r="AR574" s="80" t="str">
        <f>IF(Y574="","",IF(Y574="SIM",VLOOKUP($I574&amp;$J574&amp;Y$1,Pesos!$A:$I,7,FALSE),VLOOKUP($I574&amp;$J574&amp;Y$1,Pesos!$A:$I,9,FALSE)))</f>
        <v/>
      </c>
      <c r="AS574" s="81">
        <f>IFERROR(Z574*VLOOKUP(J574,'BD Campos'!$Y$1:$Z$12,2,FALSE),"0")</f>
        <v>10</v>
      </c>
    </row>
    <row r="575" spans="1:45" x14ac:dyDescent="0.35">
      <c r="A575" s="68" t="str">
        <f t="shared" si="80"/>
        <v>Fev202511210MotoristaLOGÍSTICA</v>
      </c>
      <c r="B575" s="114" t="str">
        <f t="shared" si="81"/>
        <v>Fev2025112101LOGÍSTICAPADRÃO</v>
      </c>
      <c r="C575" s="70">
        <v>1</v>
      </c>
      <c r="D575" s="71">
        <v>45700.421780324075</v>
      </c>
      <c r="E575" s="112" t="s">
        <v>338</v>
      </c>
      <c r="F575" s="72">
        <v>11210</v>
      </c>
      <c r="G575" s="69" t="s">
        <v>1679</v>
      </c>
      <c r="H575" s="73">
        <v>1</v>
      </c>
      <c r="I575" s="69" t="s">
        <v>1369</v>
      </c>
      <c r="J575" s="69" t="s">
        <v>122</v>
      </c>
      <c r="K575" s="69" t="s">
        <v>184</v>
      </c>
      <c r="L575" s="74"/>
      <c r="M575" s="75">
        <v>2.1064814814814813E-3</v>
      </c>
      <c r="N575" s="76" t="s">
        <v>79</v>
      </c>
      <c r="O575" s="76" t="s">
        <v>79</v>
      </c>
      <c r="P575" s="76" t="s">
        <v>79</v>
      </c>
      <c r="Q575" s="76" t="s">
        <v>79</v>
      </c>
      <c r="R575" s="76" t="s">
        <v>79</v>
      </c>
      <c r="S575" s="76" t="s">
        <v>79</v>
      </c>
      <c r="T575" s="76" t="s">
        <v>79</v>
      </c>
      <c r="U575" s="76" t="s">
        <v>83</v>
      </c>
      <c r="V575" s="76"/>
      <c r="W575" s="76"/>
      <c r="X575" s="76"/>
      <c r="Y575" s="76"/>
      <c r="Z575" s="77">
        <f t="shared" si="79"/>
        <v>8.4250000000000007</v>
      </c>
      <c r="AA575" s="78"/>
      <c r="AB575" s="78"/>
      <c r="AC575" s="72" t="s">
        <v>47</v>
      </c>
      <c r="AE575" s="79" t="str">
        <f t="shared" si="87"/>
        <v>Fev11210</v>
      </c>
      <c r="AF575" s="80">
        <f>IF(N575="","",IF(N575="SIM",VLOOKUP($I575&amp;$J575&amp;N$1,Pesos!$A:$I,7,FALSE),VLOOKUP($I575&amp;$J575&amp;N$1,Pesos!$A:$I,9,FALSE)))</f>
        <v>1.1000000000000001</v>
      </c>
      <c r="AG575" s="80">
        <f>IF(O575="","",IF(O575="SIM",VLOOKUP($I575&amp;$J575&amp;O$1,Pesos!$A:$I,7,FALSE),VLOOKUP($I575&amp;$J575&amp;O$1,Pesos!$A:$I,9,FALSE)))</f>
        <v>1.1000000000000001</v>
      </c>
      <c r="AH575" s="80">
        <f>IF(P575="","",IF(P575="SIM",VLOOKUP($I575&amp;$J575&amp;P$1,Pesos!$A:$I,7,FALSE),VLOOKUP($I575&amp;$J575&amp;P$1,Pesos!$A:$I,9,FALSE)))</f>
        <v>1.1000000000000001</v>
      </c>
      <c r="AI575" s="80">
        <f>IF(Q575="","",IF(Q575="SIM",VLOOKUP($I575&amp;$J575&amp;Q$1,Pesos!$A:$I,7,FALSE),VLOOKUP($I575&amp;$J575&amp;Q$1,Pesos!$A:$I,9,FALSE)))</f>
        <v>1.1000000000000001</v>
      </c>
      <c r="AJ575" s="80">
        <f>IF(R575="","",IF(R575="SIM",VLOOKUP($I575&amp;$J575&amp;R$1,Pesos!$A:$I,7,FALSE),VLOOKUP($I575&amp;$J575&amp;R$1,Pesos!$A:$I,9,FALSE)))</f>
        <v>1.1000000000000001</v>
      </c>
      <c r="AK575" s="80">
        <f>IF(S575="","",IF(S575="SIM",VLOOKUP($I575&amp;$J575&amp;S$1,Pesos!$A:$I,7,FALSE),VLOOKUP($I575&amp;$J575&amp;S$1,Pesos!$A:$I,9,FALSE)))</f>
        <v>1.5</v>
      </c>
      <c r="AL575" s="80">
        <f t="shared" si="84"/>
        <v>7</v>
      </c>
      <c r="AM575" s="80">
        <f>IF(T575="","",IF(T575="SIM",VLOOKUP($I575&amp;$J575&amp;T$1,Pesos!$A:$I,7,FALSE),VLOOKUP($I575&amp;$J575&amp;T$1,Pesos!$A:$I,9,FALSE)))</f>
        <v>1.5</v>
      </c>
      <c r="AN575" s="80">
        <f>IF(U575="","",IF(U575="SIM",VLOOKUP($I575&amp;$J575&amp;U$1,Pesos!$A:$I,7,FALSE),VLOOKUP($I575&amp;$J575&amp;U$1,Pesos!$A:$I,9,FALSE)))</f>
        <v>-7.5000000000000011E-2</v>
      </c>
      <c r="AO575" s="80" t="str">
        <f>IF(V575="","",IF(V575="SIM",VLOOKUP($I575&amp;$J575&amp;V$1,Pesos!$A:$I,7,FALSE),VLOOKUP($I575&amp;$J575&amp;V$1,Pesos!$A:$I,9,FALSE)))</f>
        <v/>
      </c>
      <c r="AP575" s="80" t="str">
        <f>IF(W575="","",IF(W575="SIM",VLOOKUP($I575&amp;$J575&amp;W$1,Pesos!$A:$I,7,FALSE),VLOOKUP($I575&amp;$J575&amp;W$1,Pesos!$A:$I,9,FALSE)))</f>
        <v/>
      </c>
      <c r="AQ575" s="80" t="str">
        <f>IF(X575="","",IF(X575="SIM",VLOOKUP($I575&amp;$J575&amp;X$1,Pesos!$A:$I,7,FALSE),VLOOKUP($I575&amp;$J575&amp;X$1,Pesos!$A:$I,9,FALSE)))</f>
        <v/>
      </c>
      <c r="AR575" s="80" t="str">
        <f>IF(Y575="","",IF(Y575="SIM",VLOOKUP($I575&amp;$J575&amp;Y$1,Pesos!$A:$I,7,FALSE),VLOOKUP($I575&amp;$J575&amp;Y$1,Pesos!$A:$I,9,FALSE)))</f>
        <v/>
      </c>
      <c r="AS575" s="81">
        <f>IFERROR(Z575*VLOOKUP(J575,'BD Campos'!$Y$1:$Z$12,2,FALSE),"0")</f>
        <v>8.4250000000000007</v>
      </c>
    </row>
    <row r="576" spans="1:45" x14ac:dyDescent="0.35">
      <c r="A576" s="68" t="str">
        <f t="shared" si="80"/>
        <v>Fev202511049ClienteLOGÍSTICA</v>
      </c>
      <c r="B576" s="114" t="str">
        <f t="shared" si="81"/>
        <v>Fev2025110491LOGÍSTICAPADRÃO</v>
      </c>
      <c r="C576" s="70">
        <v>1</v>
      </c>
      <c r="D576" s="71">
        <v>45700.437113425927</v>
      </c>
      <c r="E576" s="112" t="s">
        <v>338</v>
      </c>
      <c r="F576" s="72">
        <v>11049</v>
      </c>
      <c r="G576" s="69" t="s">
        <v>384</v>
      </c>
      <c r="H576" s="73">
        <v>1</v>
      </c>
      <c r="I576" s="69" t="s">
        <v>385</v>
      </c>
      <c r="J576" s="69" t="s">
        <v>124</v>
      </c>
      <c r="K576" s="69" t="s">
        <v>184</v>
      </c>
      <c r="L576" s="74"/>
      <c r="M576" s="75">
        <v>1.4120370370370369E-3</v>
      </c>
      <c r="N576" s="76" t="s">
        <v>79</v>
      </c>
      <c r="O576" s="76" t="s">
        <v>79</v>
      </c>
      <c r="P576" s="76" t="s">
        <v>79</v>
      </c>
      <c r="Q576" s="76" t="s">
        <v>79</v>
      </c>
      <c r="R576" s="76" t="s">
        <v>79</v>
      </c>
      <c r="S576" s="76" t="s">
        <v>79</v>
      </c>
      <c r="T576" s="76" t="s">
        <v>79</v>
      </c>
      <c r="U576" s="76" t="s">
        <v>79</v>
      </c>
      <c r="V576" s="76" t="s">
        <v>79</v>
      </c>
      <c r="W576" s="76" t="s">
        <v>79</v>
      </c>
      <c r="X576" s="76" t="s">
        <v>83</v>
      </c>
      <c r="Y576" s="76"/>
      <c r="Z576" s="77">
        <f t="shared" si="79"/>
        <v>8.9499999999999993</v>
      </c>
      <c r="AA576" s="78"/>
      <c r="AB576" s="78"/>
      <c r="AC576" s="72" t="s">
        <v>47</v>
      </c>
      <c r="AE576" s="79" t="str">
        <f t="shared" ref="AE576:AE591" si="88">E576&amp;F576</f>
        <v>Fev11049</v>
      </c>
      <c r="AF576" s="80">
        <f>IF(N576="","",IF(N576="SIM",VLOOKUP($I576&amp;$J576&amp;N$1,Pesos!$A:$I,7,FALSE),VLOOKUP($I576&amp;$J576&amp;N$1,Pesos!$A:$I,9,FALSE)))</f>
        <v>0.8</v>
      </c>
      <c r="AG576" s="80">
        <f>IF(O576="","",IF(O576="SIM",VLOOKUP($I576&amp;$J576&amp;O$1,Pesos!$A:$I,7,FALSE),VLOOKUP($I576&amp;$J576&amp;O$1,Pesos!$A:$I,9,FALSE)))</f>
        <v>0.8</v>
      </c>
      <c r="AH576" s="80">
        <f>IF(P576="","",IF(P576="SIM",VLOOKUP($I576&amp;$J576&amp;P$1,Pesos!$A:$I,7,FALSE),VLOOKUP($I576&amp;$J576&amp;P$1,Pesos!$A:$I,9,FALSE)))</f>
        <v>1.1000000000000001</v>
      </c>
      <c r="AI576" s="80">
        <f>IF(Q576="","",IF(Q576="SIM",VLOOKUP($I576&amp;$J576&amp;Q$1,Pesos!$A:$I,7,FALSE),VLOOKUP($I576&amp;$J576&amp;Q$1,Pesos!$A:$I,9,FALSE)))</f>
        <v>0.8</v>
      </c>
      <c r="AJ576" s="80">
        <f>IF(R576="","",IF(R576="SIM",VLOOKUP($I576&amp;$J576&amp;R$1,Pesos!$A:$I,7,FALSE),VLOOKUP($I576&amp;$J576&amp;R$1,Pesos!$A:$I,9,FALSE)))</f>
        <v>0.8</v>
      </c>
      <c r="AK576" s="80">
        <f>IF(S576="","",IF(S576="SIM",VLOOKUP($I576&amp;$J576&amp;S$1,Pesos!$A:$I,7,FALSE),VLOOKUP($I576&amp;$J576&amp;S$1,Pesos!$A:$I,9,FALSE)))</f>
        <v>0.8</v>
      </c>
      <c r="AL576" s="80">
        <f t="shared" si="84"/>
        <v>5.0999999999999996</v>
      </c>
      <c r="AM576" s="80">
        <f>IF(T576="","",IF(T576="SIM",VLOOKUP($I576&amp;$J576&amp;T$1,Pesos!$A:$I,7,FALSE),VLOOKUP($I576&amp;$J576&amp;T$1,Pesos!$A:$I,9,FALSE)))</f>
        <v>0.89999999999999991</v>
      </c>
      <c r="AN576" s="80">
        <f>IF(U576="","",IF(U576="SIM",VLOOKUP($I576&amp;$J576&amp;U$1,Pesos!$A:$I,7,FALSE),VLOOKUP($I576&amp;$J576&amp;U$1,Pesos!$A:$I,9,FALSE)))</f>
        <v>1</v>
      </c>
      <c r="AO576" s="80">
        <f>IF(V576="","",IF(V576="SIM",VLOOKUP($I576&amp;$J576&amp;V$1,Pesos!$A:$I,7,FALSE),VLOOKUP($I576&amp;$J576&amp;V$1,Pesos!$A:$I,9,FALSE)))</f>
        <v>1</v>
      </c>
      <c r="AP576" s="80">
        <f>IF(W576="","",IF(W576="SIM",VLOOKUP($I576&amp;$J576&amp;W$1,Pesos!$A:$I,7,FALSE),VLOOKUP($I576&amp;$J576&amp;W$1,Pesos!$A:$I,9,FALSE)))</f>
        <v>1</v>
      </c>
      <c r="AQ576" s="80">
        <f>IF(X576="","",IF(X576="SIM",VLOOKUP($I576&amp;$J576&amp;X$1,Pesos!$A:$I,7,FALSE),VLOOKUP($I576&amp;$J576&amp;X$1,Pesos!$A:$I,9,FALSE)))</f>
        <v>-0.05</v>
      </c>
      <c r="AR576" s="80" t="str">
        <f>IF(Y576="","",IF(Y576="SIM",VLOOKUP($I576&amp;$J576&amp;Y$1,Pesos!$A:$I,7,FALSE),VLOOKUP($I576&amp;$J576&amp;Y$1,Pesos!$A:$I,9,FALSE)))</f>
        <v/>
      </c>
      <c r="AS576" s="81">
        <f>IFERROR(Z576*VLOOKUP(J576,'BD Campos'!$Y$1:$Z$12,2,FALSE),"0")</f>
        <v>8.9499999999999993</v>
      </c>
    </row>
    <row r="577" spans="1:45" x14ac:dyDescent="0.35">
      <c r="A577" s="68" t="str">
        <f t="shared" ref="A577:A640" si="89">E577&amp;YEAR(D577)&amp;F577&amp;J577&amp;K577&amp;""</f>
        <v>Fev202511049Cliente 2LOGÍSTICA</v>
      </c>
      <c r="B577" s="114" t="str">
        <f t="shared" ref="B577:B640" si="90">E577&amp;YEAR(D577)&amp;F577&amp;H577&amp;K577&amp;AC577</f>
        <v>Fev2025110492LOGÍSTICAPADRÃO</v>
      </c>
      <c r="C577" s="70">
        <v>1</v>
      </c>
      <c r="D577" s="71">
        <v>45700.44084398148</v>
      </c>
      <c r="E577" s="112" t="s">
        <v>338</v>
      </c>
      <c r="F577" s="72">
        <v>11049</v>
      </c>
      <c r="G577" s="69" t="s">
        <v>384</v>
      </c>
      <c r="H577" s="73">
        <v>2</v>
      </c>
      <c r="I577" s="69" t="s">
        <v>187</v>
      </c>
      <c r="J577" s="69" t="s">
        <v>185</v>
      </c>
      <c r="K577" s="69" t="s">
        <v>184</v>
      </c>
      <c r="L577" s="74"/>
      <c r="M577" s="75">
        <v>1.3773148148148147E-3</v>
      </c>
      <c r="N577" s="76" t="s">
        <v>79</v>
      </c>
      <c r="O577" s="76" t="s">
        <v>79</v>
      </c>
      <c r="P577" s="76" t="s">
        <v>79</v>
      </c>
      <c r="Q577" s="76" t="s">
        <v>79</v>
      </c>
      <c r="R577" s="76" t="s">
        <v>79</v>
      </c>
      <c r="S577" s="76" t="s">
        <v>79</v>
      </c>
      <c r="T577" s="76" t="s">
        <v>79</v>
      </c>
      <c r="U577" s="76" t="s">
        <v>79</v>
      </c>
      <c r="V577" s="76" t="s">
        <v>79</v>
      </c>
      <c r="W577" s="76" t="s">
        <v>79</v>
      </c>
      <c r="X577" s="76"/>
      <c r="Y577" s="76"/>
      <c r="Z577" s="77">
        <f t="shared" si="79"/>
        <v>10</v>
      </c>
      <c r="AA577" s="78"/>
      <c r="AB577" s="78"/>
      <c r="AC577" s="72" t="s">
        <v>47</v>
      </c>
      <c r="AE577" s="79" t="str">
        <f t="shared" si="88"/>
        <v>Fev11049</v>
      </c>
      <c r="AF577" s="80">
        <f>IF(N577="","",IF(N577="SIM",VLOOKUP($I577&amp;$J577&amp;N$1,Pesos!$A:$I,7,FALSE),VLOOKUP($I577&amp;$J577&amp;N$1,Pesos!$A:$I,9,FALSE)))</f>
        <v>1</v>
      </c>
      <c r="AG577" s="80">
        <f>IF(O577="","",IF(O577="SIM",VLOOKUP($I577&amp;$J577&amp;O$1,Pesos!$A:$I,7,FALSE),VLOOKUP($I577&amp;$J577&amp;O$1,Pesos!$A:$I,9,FALSE)))</f>
        <v>1</v>
      </c>
      <c r="AH577" s="80">
        <f>IF(P577="","",IF(P577="SIM",VLOOKUP($I577&amp;$J577&amp;P$1,Pesos!$A:$I,7,FALSE),VLOOKUP($I577&amp;$J577&amp;P$1,Pesos!$A:$I,9,FALSE)))</f>
        <v>1</v>
      </c>
      <c r="AI577" s="80">
        <f>IF(Q577="","",IF(Q577="SIM",VLOOKUP($I577&amp;$J577&amp;Q$1,Pesos!$A:$I,7,FALSE),VLOOKUP($I577&amp;$J577&amp;Q$1,Pesos!$A:$I,9,FALSE)))</f>
        <v>1</v>
      </c>
      <c r="AJ577" s="80">
        <f>IF(R577="","",IF(R577="SIM",VLOOKUP($I577&amp;$J577&amp;R$1,Pesos!$A:$I,7,FALSE),VLOOKUP($I577&amp;$J577&amp;R$1,Pesos!$A:$I,9,FALSE)))</f>
        <v>1</v>
      </c>
      <c r="AK577" s="80">
        <f>IF(S577="","",IF(S577="SIM",VLOOKUP($I577&amp;$J577&amp;S$1,Pesos!$A:$I,7,FALSE),VLOOKUP($I577&amp;$J577&amp;S$1,Pesos!$A:$I,9,FALSE)))</f>
        <v>1</v>
      </c>
      <c r="AL577" s="80">
        <f t="shared" si="84"/>
        <v>6</v>
      </c>
      <c r="AM577" s="80">
        <f>IF(T577="","",IF(T577="SIM",VLOOKUP($I577&amp;$J577&amp;T$1,Pesos!$A:$I,7,FALSE),VLOOKUP($I577&amp;$J577&amp;T$1,Pesos!$A:$I,9,FALSE)))</f>
        <v>1</v>
      </c>
      <c r="AN577" s="80">
        <f>IF(U577="","",IF(U577="SIM",VLOOKUP($I577&amp;$J577&amp;U$1,Pesos!$A:$I,7,FALSE),VLOOKUP($I577&amp;$J577&amp;U$1,Pesos!$A:$I,9,FALSE)))</f>
        <v>1</v>
      </c>
      <c r="AO577" s="80">
        <f>IF(V577="","",IF(V577="SIM",VLOOKUP($I577&amp;$J577&amp;V$1,Pesos!$A:$I,7,FALSE),VLOOKUP($I577&amp;$J577&amp;V$1,Pesos!$A:$I,9,FALSE)))</f>
        <v>1</v>
      </c>
      <c r="AP577" s="80">
        <f>IF(W577="","",IF(W577="SIM",VLOOKUP($I577&amp;$J577&amp;W$1,Pesos!$A:$I,7,FALSE),VLOOKUP($I577&amp;$J577&amp;W$1,Pesos!$A:$I,9,FALSE)))</f>
        <v>1</v>
      </c>
      <c r="AQ577" s="80" t="str">
        <f>IF(X577="","",IF(X577="SIM",VLOOKUP($I577&amp;$J577&amp;X$1,Pesos!$A:$I,7,FALSE),VLOOKUP($I577&amp;$J577&amp;X$1,Pesos!$A:$I,9,FALSE)))</f>
        <v/>
      </c>
      <c r="AR577" s="80" t="str">
        <f>IF(Y577="","",IF(Y577="SIM",VLOOKUP($I577&amp;$J577&amp;Y$1,Pesos!$A:$I,7,FALSE),VLOOKUP($I577&amp;$J577&amp;Y$1,Pesos!$A:$I,9,FALSE)))</f>
        <v/>
      </c>
      <c r="AS577" s="81">
        <f>IFERROR(Z577*VLOOKUP(J577,'BD Campos'!$Y$1:$Z$12,2,FALSE),"0")</f>
        <v>10</v>
      </c>
    </row>
    <row r="578" spans="1:45" x14ac:dyDescent="0.35">
      <c r="A578" s="68" t="str">
        <f t="shared" si="89"/>
        <v>Fev202511231ClienteLOGÍSTICA</v>
      </c>
      <c r="B578" s="114" t="str">
        <f t="shared" si="90"/>
        <v>Fev2025112311LOGÍSTICAPADRÃO</v>
      </c>
      <c r="C578" s="70">
        <v>1</v>
      </c>
      <c r="D578" s="71">
        <v>45700.447992592592</v>
      </c>
      <c r="E578" s="112" t="s">
        <v>338</v>
      </c>
      <c r="F578" s="72">
        <v>11231</v>
      </c>
      <c r="G578" s="69" t="s">
        <v>1573</v>
      </c>
      <c r="H578" s="73">
        <v>1</v>
      </c>
      <c r="I578" s="69" t="s">
        <v>183</v>
      </c>
      <c r="J578" s="69" t="s">
        <v>124</v>
      </c>
      <c r="K578" s="69" t="s">
        <v>184</v>
      </c>
      <c r="L578" s="74"/>
      <c r="M578" s="75">
        <v>1.0300925925925926E-3</v>
      </c>
      <c r="N578" s="76" t="s">
        <v>79</v>
      </c>
      <c r="O578" s="76" t="s">
        <v>79</v>
      </c>
      <c r="P578" s="76" t="s">
        <v>79</v>
      </c>
      <c r="Q578" s="76" t="s">
        <v>79</v>
      </c>
      <c r="R578" s="76" t="s">
        <v>79</v>
      </c>
      <c r="S578" s="76" t="s">
        <v>79</v>
      </c>
      <c r="T578" s="76" t="s">
        <v>79</v>
      </c>
      <c r="U578" s="76" t="s">
        <v>79</v>
      </c>
      <c r="V578" s="76" t="s">
        <v>79</v>
      </c>
      <c r="W578" s="76" t="s">
        <v>79</v>
      </c>
      <c r="X578" s="76" t="s">
        <v>79</v>
      </c>
      <c r="Y578" s="76" t="s">
        <v>79</v>
      </c>
      <c r="Z578" s="77">
        <f t="shared" si="79"/>
        <v>10</v>
      </c>
      <c r="AA578" s="78"/>
      <c r="AB578" s="78"/>
      <c r="AC578" s="72" t="s">
        <v>47</v>
      </c>
      <c r="AE578" s="79" t="str">
        <f t="shared" si="88"/>
        <v>Fev11231</v>
      </c>
      <c r="AF578" s="80">
        <f>IF(N578="","",IF(N578="SIM",VLOOKUP($I578&amp;$J578&amp;N$1,Pesos!$A:$I,7,FALSE),VLOOKUP($I578&amp;$J578&amp;N$1,Pesos!$A:$I,9,FALSE)))</f>
        <v>0.8</v>
      </c>
      <c r="AG578" s="80">
        <f>IF(O578="","",IF(O578="SIM",VLOOKUP($I578&amp;$J578&amp;O$1,Pesos!$A:$I,7,FALSE),VLOOKUP($I578&amp;$J578&amp;O$1,Pesos!$A:$I,9,FALSE)))</f>
        <v>0.8</v>
      </c>
      <c r="AH578" s="80">
        <f>IF(P578="","",IF(P578="SIM",VLOOKUP($I578&amp;$J578&amp;P$1,Pesos!$A:$I,7,FALSE),VLOOKUP($I578&amp;$J578&amp;P$1,Pesos!$A:$I,9,FALSE)))</f>
        <v>0.8</v>
      </c>
      <c r="AI578" s="80">
        <f>IF(Q578="","",IF(Q578="SIM",VLOOKUP($I578&amp;$J578&amp;Q$1,Pesos!$A:$I,7,FALSE),VLOOKUP($I578&amp;$J578&amp;Q$1,Pesos!$A:$I,9,FALSE)))</f>
        <v>0.8</v>
      </c>
      <c r="AJ578" s="80">
        <f>IF(R578="","",IF(R578="SIM",VLOOKUP($I578&amp;$J578&amp;R$1,Pesos!$A:$I,7,FALSE),VLOOKUP($I578&amp;$J578&amp;R$1,Pesos!$A:$I,9,FALSE)))</f>
        <v>0.8</v>
      </c>
      <c r="AK578" s="80">
        <f>IF(S578="","",IF(S578="SIM",VLOOKUP($I578&amp;$J578&amp;S$1,Pesos!$A:$I,7,FALSE),VLOOKUP($I578&amp;$J578&amp;S$1,Pesos!$A:$I,9,FALSE)))</f>
        <v>0.5</v>
      </c>
      <c r="AL578" s="80">
        <f t="shared" si="84"/>
        <v>4.5</v>
      </c>
      <c r="AM578" s="80">
        <f>IF(T578="","",IF(T578="SIM",VLOOKUP($I578&amp;$J578&amp;T$1,Pesos!$A:$I,7,FALSE),VLOOKUP($I578&amp;$J578&amp;T$1,Pesos!$A:$I,9,FALSE)))</f>
        <v>0.5</v>
      </c>
      <c r="AN578" s="80">
        <f>IF(U578="","",IF(U578="SIM",VLOOKUP($I578&amp;$J578&amp;U$1,Pesos!$A:$I,7,FALSE),VLOOKUP($I578&amp;$J578&amp;U$1,Pesos!$A:$I,9,FALSE)))</f>
        <v>1</v>
      </c>
      <c r="AO578" s="80">
        <f>IF(V578="","",IF(V578="SIM",VLOOKUP($I578&amp;$J578&amp;V$1,Pesos!$A:$I,7,FALSE),VLOOKUP($I578&amp;$J578&amp;V$1,Pesos!$A:$I,9,FALSE)))</f>
        <v>1</v>
      </c>
      <c r="AP578" s="80">
        <f>IF(W578="","",IF(W578="SIM",VLOOKUP($I578&amp;$J578&amp;W$1,Pesos!$A:$I,7,FALSE),VLOOKUP($I578&amp;$J578&amp;W$1,Pesos!$A:$I,9,FALSE)))</f>
        <v>1</v>
      </c>
      <c r="AQ578" s="80">
        <f>IF(X578="","",IF(X578="SIM",VLOOKUP($I578&amp;$J578&amp;X$1,Pesos!$A:$I,7,FALSE),VLOOKUP($I578&amp;$J578&amp;X$1,Pesos!$A:$I,9,FALSE)))</f>
        <v>1</v>
      </c>
      <c r="AR578" s="80">
        <f>IF(Y578="","",IF(Y578="SIM",VLOOKUP($I578&amp;$J578&amp;Y$1,Pesos!$A:$I,7,FALSE),VLOOKUP($I578&amp;$J578&amp;Y$1,Pesos!$A:$I,9,FALSE)))</f>
        <v>1</v>
      </c>
      <c r="AS578" s="81">
        <f>IFERROR(Z578*VLOOKUP(J578,'BD Campos'!$Y$1:$Z$12,2,FALSE),"0")</f>
        <v>10</v>
      </c>
    </row>
    <row r="579" spans="1:45" x14ac:dyDescent="0.35">
      <c r="A579" s="68" t="str">
        <f t="shared" si="89"/>
        <v>Fev202511231Cliente 2LOGÍSTICA</v>
      </c>
      <c r="B579" s="114" t="str">
        <f t="shared" si="90"/>
        <v>Fev2025112312LOGÍSTICAPADRÃO</v>
      </c>
      <c r="C579" s="70">
        <v>1</v>
      </c>
      <c r="D579" s="71">
        <v>45700.451433680559</v>
      </c>
      <c r="E579" s="112" t="s">
        <v>338</v>
      </c>
      <c r="F579" s="72">
        <v>11231</v>
      </c>
      <c r="G579" s="69" t="s">
        <v>1573</v>
      </c>
      <c r="H579" s="73">
        <v>2</v>
      </c>
      <c r="I579" s="69" t="s">
        <v>183</v>
      </c>
      <c r="J579" s="69" t="s">
        <v>185</v>
      </c>
      <c r="K579" s="69" t="s">
        <v>184</v>
      </c>
      <c r="L579" s="74"/>
      <c r="M579" s="75">
        <v>1.2152777777777778E-3</v>
      </c>
      <c r="N579" s="76" t="s">
        <v>79</v>
      </c>
      <c r="O579" s="76" t="s">
        <v>79</v>
      </c>
      <c r="P579" s="76" t="s">
        <v>79</v>
      </c>
      <c r="Q579" s="76" t="s">
        <v>79</v>
      </c>
      <c r="R579" s="76" t="s">
        <v>79</v>
      </c>
      <c r="S579" s="76" t="s">
        <v>79</v>
      </c>
      <c r="T579" s="76" t="s">
        <v>79</v>
      </c>
      <c r="U579" s="76" t="s">
        <v>79</v>
      </c>
      <c r="V579" s="76" t="s">
        <v>79</v>
      </c>
      <c r="W579" s="76" t="s">
        <v>79</v>
      </c>
      <c r="X579" s="76" t="s">
        <v>79</v>
      </c>
      <c r="Y579" s="76" t="s">
        <v>79</v>
      </c>
      <c r="Z579" s="77">
        <f t="shared" si="79"/>
        <v>10</v>
      </c>
      <c r="AA579" s="78"/>
      <c r="AB579" s="78"/>
      <c r="AC579" s="72" t="s">
        <v>47</v>
      </c>
      <c r="AE579" s="79" t="str">
        <f t="shared" si="88"/>
        <v>Fev11231</v>
      </c>
      <c r="AF579" s="80">
        <f>IF(N579="","",IF(N579="SIM",VLOOKUP($I579&amp;$J579&amp;N$1,Pesos!$A:$I,7,FALSE),VLOOKUP($I579&amp;$J579&amp;N$1,Pesos!$A:$I,9,FALSE)))</f>
        <v>0.8</v>
      </c>
      <c r="AG579" s="80">
        <f>IF(O579="","",IF(O579="SIM",VLOOKUP($I579&amp;$J579&amp;O$1,Pesos!$A:$I,7,FALSE),VLOOKUP($I579&amp;$J579&amp;O$1,Pesos!$A:$I,9,FALSE)))</f>
        <v>0.8</v>
      </c>
      <c r="AH579" s="80">
        <f>IF(P579="","",IF(P579="SIM",VLOOKUP($I579&amp;$J579&amp;P$1,Pesos!$A:$I,7,FALSE),VLOOKUP($I579&amp;$J579&amp;P$1,Pesos!$A:$I,9,FALSE)))</f>
        <v>0.8</v>
      </c>
      <c r="AI579" s="80">
        <f>IF(Q579="","",IF(Q579="SIM",VLOOKUP($I579&amp;$J579&amp;Q$1,Pesos!$A:$I,7,FALSE),VLOOKUP($I579&amp;$J579&amp;Q$1,Pesos!$A:$I,9,FALSE)))</f>
        <v>0.8</v>
      </c>
      <c r="AJ579" s="80">
        <f>IF(R579="","",IF(R579="SIM",VLOOKUP($I579&amp;$J579&amp;R$1,Pesos!$A:$I,7,FALSE),VLOOKUP($I579&amp;$J579&amp;R$1,Pesos!$A:$I,9,FALSE)))</f>
        <v>0.8</v>
      </c>
      <c r="AK579" s="80">
        <f>IF(S579="","",IF(S579="SIM",VLOOKUP($I579&amp;$J579&amp;S$1,Pesos!$A:$I,7,FALSE),VLOOKUP($I579&amp;$J579&amp;S$1,Pesos!$A:$I,9,FALSE)))</f>
        <v>0.5</v>
      </c>
      <c r="AL579" s="80">
        <f t="shared" si="84"/>
        <v>4.5</v>
      </c>
      <c r="AM579" s="80">
        <f>IF(T579="","",IF(T579="SIM",VLOOKUP($I579&amp;$J579&amp;T$1,Pesos!$A:$I,7,FALSE),VLOOKUP($I579&amp;$J579&amp;T$1,Pesos!$A:$I,9,FALSE)))</f>
        <v>0.5</v>
      </c>
      <c r="AN579" s="80">
        <f>IF(U579="","",IF(U579="SIM",VLOOKUP($I579&amp;$J579&amp;U$1,Pesos!$A:$I,7,FALSE),VLOOKUP($I579&amp;$J579&amp;U$1,Pesos!$A:$I,9,FALSE)))</f>
        <v>1</v>
      </c>
      <c r="AO579" s="80">
        <f>IF(V579="","",IF(V579="SIM",VLOOKUP($I579&amp;$J579&amp;V$1,Pesos!$A:$I,7,FALSE),VLOOKUP($I579&amp;$J579&amp;V$1,Pesos!$A:$I,9,FALSE)))</f>
        <v>1</v>
      </c>
      <c r="AP579" s="80">
        <f>IF(W579="","",IF(W579="SIM",VLOOKUP($I579&amp;$J579&amp;W$1,Pesos!$A:$I,7,FALSE),VLOOKUP($I579&amp;$J579&amp;W$1,Pesos!$A:$I,9,FALSE)))</f>
        <v>1</v>
      </c>
      <c r="AQ579" s="80">
        <f>IF(X579="","",IF(X579="SIM",VLOOKUP($I579&amp;$J579&amp;X$1,Pesos!$A:$I,7,FALSE),VLOOKUP($I579&amp;$J579&amp;X$1,Pesos!$A:$I,9,FALSE)))</f>
        <v>1</v>
      </c>
      <c r="AR579" s="80">
        <f>IF(Y579="","",IF(Y579="SIM",VLOOKUP($I579&amp;$J579&amp;Y$1,Pesos!$A:$I,7,FALSE),VLOOKUP($I579&amp;$J579&amp;Y$1,Pesos!$A:$I,9,FALSE)))</f>
        <v>1</v>
      </c>
      <c r="AS579" s="81">
        <f>IFERROR(Z579*VLOOKUP(J579,'BD Campos'!$Y$1:$Z$12,2,FALSE),"0")</f>
        <v>10</v>
      </c>
    </row>
    <row r="580" spans="1:45" x14ac:dyDescent="0.35">
      <c r="A580" s="68" t="str">
        <f t="shared" si="89"/>
        <v>Fev202511018ClienteLOGÍSTICA</v>
      </c>
      <c r="B580" s="114" t="str">
        <f t="shared" si="90"/>
        <v>Fev2025110181LOGÍSTICAPADRÃO</v>
      </c>
      <c r="C580" s="70">
        <v>1</v>
      </c>
      <c r="D580" s="71">
        <v>45700.456306712964</v>
      </c>
      <c r="E580" s="112" t="s">
        <v>338</v>
      </c>
      <c r="F580" s="72">
        <v>11018</v>
      </c>
      <c r="G580" s="69" t="s">
        <v>189</v>
      </c>
      <c r="H580" s="73">
        <v>1</v>
      </c>
      <c r="I580" s="69" t="s">
        <v>183</v>
      </c>
      <c r="J580" s="69" t="s">
        <v>124</v>
      </c>
      <c r="K580" s="69" t="s">
        <v>184</v>
      </c>
      <c r="L580" s="74"/>
      <c r="M580" s="75">
        <v>9.3750000000000007E-4</v>
      </c>
      <c r="N580" s="76" t="s">
        <v>79</v>
      </c>
      <c r="O580" s="76" t="s">
        <v>79</v>
      </c>
      <c r="P580" s="76" t="s">
        <v>79</v>
      </c>
      <c r="Q580" s="76" t="s">
        <v>79</v>
      </c>
      <c r="R580" s="76" t="s">
        <v>79</v>
      </c>
      <c r="S580" s="76" t="s">
        <v>79</v>
      </c>
      <c r="T580" s="76" t="s">
        <v>79</v>
      </c>
      <c r="U580" s="76" t="s">
        <v>79</v>
      </c>
      <c r="V580" s="76" t="s">
        <v>79</v>
      </c>
      <c r="W580" s="76" t="s">
        <v>79</v>
      </c>
      <c r="X580" s="76" t="s">
        <v>79</v>
      </c>
      <c r="Y580" s="76" t="s">
        <v>79</v>
      </c>
      <c r="Z580" s="77">
        <f t="shared" si="79"/>
        <v>10</v>
      </c>
      <c r="AA580" s="78"/>
      <c r="AB580" s="78"/>
      <c r="AC580" s="72" t="s">
        <v>47</v>
      </c>
      <c r="AE580" s="79" t="str">
        <f t="shared" si="88"/>
        <v>Fev11018</v>
      </c>
      <c r="AF580" s="80">
        <f>IF(N580="","",IF(N580="SIM",VLOOKUP($I580&amp;$J580&amp;N$1,Pesos!$A:$I,7,FALSE),VLOOKUP($I580&amp;$J580&amp;N$1,Pesos!$A:$I,9,FALSE)))</f>
        <v>0.8</v>
      </c>
      <c r="AG580" s="80">
        <f>IF(O580="","",IF(O580="SIM",VLOOKUP($I580&amp;$J580&amp;O$1,Pesos!$A:$I,7,FALSE),VLOOKUP($I580&amp;$J580&amp;O$1,Pesos!$A:$I,9,FALSE)))</f>
        <v>0.8</v>
      </c>
      <c r="AH580" s="80">
        <f>IF(P580="","",IF(P580="SIM",VLOOKUP($I580&amp;$J580&amp;P$1,Pesos!$A:$I,7,FALSE),VLOOKUP($I580&amp;$J580&amp;P$1,Pesos!$A:$I,9,FALSE)))</f>
        <v>0.8</v>
      </c>
      <c r="AI580" s="80">
        <f>IF(Q580="","",IF(Q580="SIM",VLOOKUP($I580&amp;$J580&amp;Q$1,Pesos!$A:$I,7,FALSE),VLOOKUP($I580&amp;$J580&amp;Q$1,Pesos!$A:$I,9,FALSE)))</f>
        <v>0.8</v>
      </c>
      <c r="AJ580" s="80">
        <f>IF(R580="","",IF(R580="SIM",VLOOKUP($I580&amp;$J580&amp;R$1,Pesos!$A:$I,7,FALSE),VLOOKUP($I580&amp;$J580&amp;R$1,Pesos!$A:$I,9,FALSE)))</f>
        <v>0.8</v>
      </c>
      <c r="AK580" s="80">
        <f>IF(S580="","",IF(S580="SIM",VLOOKUP($I580&amp;$J580&amp;S$1,Pesos!$A:$I,7,FALSE),VLOOKUP($I580&amp;$J580&amp;S$1,Pesos!$A:$I,9,FALSE)))</f>
        <v>0.5</v>
      </c>
      <c r="AL580" s="80">
        <f t="shared" si="84"/>
        <v>4.5</v>
      </c>
      <c r="AM580" s="80">
        <f>IF(T580="","",IF(T580="SIM",VLOOKUP($I580&amp;$J580&amp;T$1,Pesos!$A:$I,7,FALSE),VLOOKUP($I580&amp;$J580&amp;T$1,Pesos!$A:$I,9,FALSE)))</f>
        <v>0.5</v>
      </c>
      <c r="AN580" s="80">
        <f>IF(U580="","",IF(U580="SIM",VLOOKUP($I580&amp;$J580&amp;U$1,Pesos!$A:$I,7,FALSE),VLOOKUP($I580&amp;$J580&amp;U$1,Pesos!$A:$I,9,FALSE)))</f>
        <v>1</v>
      </c>
      <c r="AO580" s="80">
        <f>IF(V580="","",IF(V580="SIM",VLOOKUP($I580&amp;$J580&amp;V$1,Pesos!$A:$I,7,FALSE),VLOOKUP($I580&amp;$J580&amp;V$1,Pesos!$A:$I,9,FALSE)))</f>
        <v>1</v>
      </c>
      <c r="AP580" s="80">
        <f>IF(W580="","",IF(W580="SIM",VLOOKUP($I580&amp;$J580&amp;W$1,Pesos!$A:$I,7,FALSE),VLOOKUP($I580&amp;$J580&amp;W$1,Pesos!$A:$I,9,FALSE)))</f>
        <v>1</v>
      </c>
      <c r="AQ580" s="80">
        <f>IF(X580="","",IF(X580="SIM",VLOOKUP($I580&amp;$J580&amp;X$1,Pesos!$A:$I,7,FALSE),VLOOKUP($I580&amp;$J580&amp;X$1,Pesos!$A:$I,9,FALSE)))</f>
        <v>1</v>
      </c>
      <c r="AR580" s="80">
        <f>IF(Y580="","",IF(Y580="SIM",VLOOKUP($I580&amp;$J580&amp;Y$1,Pesos!$A:$I,7,FALSE),VLOOKUP($I580&amp;$J580&amp;Y$1,Pesos!$A:$I,9,FALSE)))</f>
        <v>1</v>
      </c>
      <c r="AS580" s="81">
        <f>IFERROR(Z580*VLOOKUP(J580,'BD Campos'!$Y$1:$Z$12,2,FALSE),"0")</f>
        <v>10</v>
      </c>
    </row>
    <row r="581" spans="1:45" x14ac:dyDescent="0.35">
      <c r="A581" s="68" t="str">
        <f t="shared" si="89"/>
        <v>Fev202511018Cliente 2LOGÍSTICA</v>
      </c>
      <c r="B581" s="114" t="str">
        <f t="shared" si="90"/>
        <v>Fev2025110182LOGÍSTICAPADRÃO</v>
      </c>
      <c r="C581" s="70">
        <v>1</v>
      </c>
      <c r="D581" s="71">
        <v>45700.458109375002</v>
      </c>
      <c r="E581" s="112" t="s">
        <v>338</v>
      </c>
      <c r="F581" s="72">
        <v>11018</v>
      </c>
      <c r="G581" s="69" t="s">
        <v>189</v>
      </c>
      <c r="H581" s="73">
        <v>2</v>
      </c>
      <c r="I581" s="69" t="s">
        <v>183</v>
      </c>
      <c r="J581" s="69" t="s">
        <v>185</v>
      </c>
      <c r="K581" s="69" t="s">
        <v>184</v>
      </c>
      <c r="L581" s="74"/>
      <c r="M581" s="75">
        <v>9.4907407407407408E-4</v>
      </c>
      <c r="N581" s="76" t="s">
        <v>79</v>
      </c>
      <c r="O581" s="76" t="s">
        <v>79</v>
      </c>
      <c r="P581" s="76" t="s">
        <v>79</v>
      </c>
      <c r="Q581" s="76" t="s">
        <v>79</v>
      </c>
      <c r="R581" s="76" t="s">
        <v>79</v>
      </c>
      <c r="S581" s="76" t="s">
        <v>79</v>
      </c>
      <c r="T581" s="76" t="s">
        <v>79</v>
      </c>
      <c r="U581" s="76" t="s">
        <v>79</v>
      </c>
      <c r="V581" s="76" t="s">
        <v>79</v>
      </c>
      <c r="W581" s="76" t="s">
        <v>79</v>
      </c>
      <c r="X581" s="76" t="s">
        <v>79</v>
      </c>
      <c r="Y581" s="76" t="s">
        <v>79</v>
      </c>
      <c r="Z581" s="77">
        <f t="shared" si="79"/>
        <v>10</v>
      </c>
      <c r="AA581" s="78"/>
      <c r="AB581" s="78"/>
      <c r="AC581" s="72" t="s">
        <v>47</v>
      </c>
      <c r="AE581" s="79" t="str">
        <f t="shared" si="88"/>
        <v>Fev11018</v>
      </c>
      <c r="AF581" s="80">
        <f>IF(N581="","",IF(N581="SIM",VLOOKUP($I581&amp;$J581&amp;N$1,Pesos!$A:$I,7,FALSE),VLOOKUP($I581&amp;$J581&amp;N$1,Pesos!$A:$I,9,FALSE)))</f>
        <v>0.8</v>
      </c>
      <c r="AG581" s="80">
        <f>IF(O581="","",IF(O581="SIM",VLOOKUP($I581&amp;$J581&amp;O$1,Pesos!$A:$I,7,FALSE),VLOOKUP($I581&amp;$J581&amp;O$1,Pesos!$A:$I,9,FALSE)))</f>
        <v>0.8</v>
      </c>
      <c r="AH581" s="80">
        <f>IF(P581="","",IF(P581="SIM",VLOOKUP($I581&amp;$J581&amp;P$1,Pesos!$A:$I,7,FALSE),VLOOKUP($I581&amp;$J581&amp;P$1,Pesos!$A:$I,9,FALSE)))</f>
        <v>0.8</v>
      </c>
      <c r="AI581" s="80">
        <f>IF(Q581="","",IF(Q581="SIM",VLOOKUP($I581&amp;$J581&amp;Q$1,Pesos!$A:$I,7,FALSE),VLOOKUP($I581&amp;$J581&amp;Q$1,Pesos!$A:$I,9,FALSE)))</f>
        <v>0.8</v>
      </c>
      <c r="AJ581" s="80">
        <f>IF(R581="","",IF(R581="SIM",VLOOKUP($I581&amp;$J581&amp;R$1,Pesos!$A:$I,7,FALSE),VLOOKUP($I581&amp;$J581&amp;R$1,Pesos!$A:$I,9,FALSE)))</f>
        <v>0.8</v>
      </c>
      <c r="AK581" s="80">
        <f>IF(S581="","",IF(S581="SIM",VLOOKUP($I581&amp;$J581&amp;S$1,Pesos!$A:$I,7,FALSE),VLOOKUP($I581&amp;$J581&amp;S$1,Pesos!$A:$I,9,FALSE)))</f>
        <v>0.5</v>
      </c>
      <c r="AL581" s="80">
        <f t="shared" si="84"/>
        <v>4.5</v>
      </c>
      <c r="AM581" s="80">
        <f>IF(T581="","",IF(T581="SIM",VLOOKUP($I581&amp;$J581&amp;T$1,Pesos!$A:$I,7,FALSE),VLOOKUP($I581&amp;$J581&amp;T$1,Pesos!$A:$I,9,FALSE)))</f>
        <v>0.5</v>
      </c>
      <c r="AN581" s="80">
        <f>IF(U581="","",IF(U581="SIM",VLOOKUP($I581&amp;$J581&amp;U$1,Pesos!$A:$I,7,FALSE),VLOOKUP($I581&amp;$J581&amp;U$1,Pesos!$A:$I,9,FALSE)))</f>
        <v>1</v>
      </c>
      <c r="AO581" s="80">
        <f>IF(V581="","",IF(V581="SIM",VLOOKUP($I581&amp;$J581&amp;V$1,Pesos!$A:$I,7,FALSE),VLOOKUP($I581&amp;$J581&amp;V$1,Pesos!$A:$I,9,FALSE)))</f>
        <v>1</v>
      </c>
      <c r="AP581" s="80">
        <f>IF(W581="","",IF(W581="SIM",VLOOKUP($I581&amp;$J581&amp;W$1,Pesos!$A:$I,7,FALSE),VLOOKUP($I581&amp;$J581&amp;W$1,Pesos!$A:$I,9,FALSE)))</f>
        <v>1</v>
      </c>
      <c r="AQ581" s="80">
        <f>IF(X581="","",IF(X581="SIM",VLOOKUP($I581&amp;$J581&amp;X$1,Pesos!$A:$I,7,FALSE),VLOOKUP($I581&amp;$J581&amp;X$1,Pesos!$A:$I,9,FALSE)))</f>
        <v>1</v>
      </c>
      <c r="AR581" s="80">
        <f>IF(Y581="","",IF(Y581="SIM",VLOOKUP($I581&amp;$J581&amp;Y$1,Pesos!$A:$I,7,FALSE),VLOOKUP($I581&amp;$J581&amp;Y$1,Pesos!$A:$I,9,FALSE)))</f>
        <v>1</v>
      </c>
      <c r="AS581" s="81">
        <f>IFERROR(Z581*VLOOKUP(J581,'BD Campos'!$Y$1:$Z$12,2,FALSE),"0")</f>
        <v>10</v>
      </c>
    </row>
    <row r="582" spans="1:45" x14ac:dyDescent="0.35">
      <c r="A582" s="68" t="str">
        <f t="shared" si="89"/>
        <v>Fev202510955ClienteLOGÍSTICA</v>
      </c>
      <c r="B582" s="114" t="str">
        <f t="shared" si="90"/>
        <v>Fev2025109551LOGÍSTICAPADRÃO</v>
      </c>
      <c r="C582" s="70">
        <v>1</v>
      </c>
      <c r="D582" s="71">
        <v>45700.460039351849</v>
      </c>
      <c r="E582" s="112" t="s">
        <v>338</v>
      </c>
      <c r="F582" s="72">
        <v>10955</v>
      </c>
      <c r="G582" s="69" t="s">
        <v>190</v>
      </c>
      <c r="H582" s="73">
        <v>1</v>
      </c>
      <c r="I582" s="69" t="s">
        <v>183</v>
      </c>
      <c r="J582" s="69" t="s">
        <v>124</v>
      </c>
      <c r="K582" s="69" t="s">
        <v>184</v>
      </c>
      <c r="L582" s="74"/>
      <c r="M582" s="75">
        <v>1.5046296296296294E-3</v>
      </c>
      <c r="N582" s="76" t="s">
        <v>79</v>
      </c>
      <c r="O582" s="76" t="s">
        <v>79</v>
      </c>
      <c r="P582" s="76" t="s">
        <v>79</v>
      </c>
      <c r="Q582" s="76" t="s">
        <v>79</v>
      </c>
      <c r="R582" s="76" t="s">
        <v>79</v>
      </c>
      <c r="S582" s="76" t="s">
        <v>79</v>
      </c>
      <c r="T582" s="76" t="s">
        <v>79</v>
      </c>
      <c r="U582" s="76" t="s">
        <v>79</v>
      </c>
      <c r="V582" s="76" t="s">
        <v>79</v>
      </c>
      <c r="W582" s="76" t="s">
        <v>79</v>
      </c>
      <c r="X582" s="76" t="s">
        <v>79</v>
      </c>
      <c r="Y582" s="76" t="s">
        <v>79</v>
      </c>
      <c r="Z582" s="77">
        <f t="shared" si="79"/>
        <v>10</v>
      </c>
      <c r="AA582" s="78"/>
      <c r="AB582" s="78"/>
      <c r="AC582" s="72" t="s">
        <v>47</v>
      </c>
      <c r="AE582" s="79" t="str">
        <f t="shared" si="88"/>
        <v>Fev10955</v>
      </c>
      <c r="AF582" s="80">
        <f>IF(N582="","",IF(N582="SIM",VLOOKUP($I582&amp;$J582&amp;N$1,Pesos!$A:$I,7,FALSE),VLOOKUP($I582&amp;$J582&amp;N$1,Pesos!$A:$I,9,FALSE)))</f>
        <v>0.8</v>
      </c>
      <c r="AG582" s="80">
        <f>IF(O582="","",IF(O582="SIM",VLOOKUP($I582&amp;$J582&amp;O$1,Pesos!$A:$I,7,FALSE),VLOOKUP($I582&amp;$J582&amp;O$1,Pesos!$A:$I,9,FALSE)))</f>
        <v>0.8</v>
      </c>
      <c r="AH582" s="80">
        <f>IF(P582="","",IF(P582="SIM",VLOOKUP($I582&amp;$J582&amp;P$1,Pesos!$A:$I,7,FALSE),VLOOKUP($I582&amp;$J582&amp;P$1,Pesos!$A:$I,9,FALSE)))</f>
        <v>0.8</v>
      </c>
      <c r="AI582" s="80">
        <f>IF(Q582="","",IF(Q582="SIM",VLOOKUP($I582&amp;$J582&amp;Q$1,Pesos!$A:$I,7,FALSE),VLOOKUP($I582&amp;$J582&amp;Q$1,Pesos!$A:$I,9,FALSE)))</f>
        <v>0.8</v>
      </c>
      <c r="AJ582" s="80">
        <f>IF(R582="","",IF(R582="SIM",VLOOKUP($I582&amp;$J582&amp;R$1,Pesos!$A:$I,7,FALSE),VLOOKUP($I582&amp;$J582&amp;R$1,Pesos!$A:$I,9,FALSE)))</f>
        <v>0.8</v>
      </c>
      <c r="AK582" s="80">
        <f>IF(S582="","",IF(S582="SIM",VLOOKUP($I582&amp;$J582&amp;S$1,Pesos!$A:$I,7,FALSE),VLOOKUP($I582&amp;$J582&amp;S$1,Pesos!$A:$I,9,FALSE)))</f>
        <v>0.5</v>
      </c>
      <c r="AL582" s="80">
        <f t="shared" si="84"/>
        <v>4.5</v>
      </c>
      <c r="AM582" s="80">
        <f>IF(T582="","",IF(T582="SIM",VLOOKUP($I582&amp;$J582&amp;T$1,Pesos!$A:$I,7,FALSE),VLOOKUP($I582&amp;$J582&amp;T$1,Pesos!$A:$I,9,FALSE)))</f>
        <v>0.5</v>
      </c>
      <c r="AN582" s="80">
        <f>IF(U582="","",IF(U582="SIM",VLOOKUP($I582&amp;$J582&amp;U$1,Pesos!$A:$I,7,FALSE),VLOOKUP($I582&amp;$J582&amp;U$1,Pesos!$A:$I,9,FALSE)))</f>
        <v>1</v>
      </c>
      <c r="AO582" s="80">
        <f>IF(V582="","",IF(V582="SIM",VLOOKUP($I582&amp;$J582&amp;V$1,Pesos!$A:$I,7,FALSE),VLOOKUP($I582&amp;$J582&amp;V$1,Pesos!$A:$I,9,FALSE)))</f>
        <v>1</v>
      </c>
      <c r="AP582" s="80">
        <f>IF(W582="","",IF(W582="SIM",VLOOKUP($I582&amp;$J582&amp;W$1,Pesos!$A:$I,7,FALSE),VLOOKUP($I582&amp;$J582&amp;W$1,Pesos!$A:$I,9,FALSE)))</f>
        <v>1</v>
      </c>
      <c r="AQ582" s="80">
        <f>IF(X582="","",IF(X582="SIM",VLOOKUP($I582&amp;$J582&amp;X$1,Pesos!$A:$I,7,FALSE),VLOOKUP($I582&amp;$J582&amp;X$1,Pesos!$A:$I,9,FALSE)))</f>
        <v>1</v>
      </c>
      <c r="AR582" s="80">
        <f>IF(Y582="","",IF(Y582="SIM",VLOOKUP($I582&amp;$J582&amp;Y$1,Pesos!$A:$I,7,FALSE),VLOOKUP($I582&amp;$J582&amp;Y$1,Pesos!$A:$I,9,FALSE)))</f>
        <v>1</v>
      </c>
      <c r="AS582" s="81">
        <f>IFERROR(Z582*VLOOKUP(J582,'BD Campos'!$Y$1:$Z$12,2,FALSE),"0")</f>
        <v>10</v>
      </c>
    </row>
    <row r="583" spans="1:45" x14ac:dyDescent="0.35">
      <c r="A583" s="68" t="str">
        <f t="shared" si="89"/>
        <v>Fev202510955Cliente 2LOGÍSTICA</v>
      </c>
      <c r="B583" s="114" t="str">
        <f t="shared" si="90"/>
        <v>Fev2025109552LOGÍSTICAPADRÃO</v>
      </c>
      <c r="C583" s="70">
        <v>1</v>
      </c>
      <c r="D583" s="71">
        <v>45700.461037499997</v>
      </c>
      <c r="E583" s="112" t="s">
        <v>338</v>
      </c>
      <c r="F583" s="72">
        <v>10955</v>
      </c>
      <c r="G583" s="69" t="s">
        <v>190</v>
      </c>
      <c r="H583" s="73">
        <v>2</v>
      </c>
      <c r="I583" s="69" t="s">
        <v>183</v>
      </c>
      <c r="J583" s="69" t="s">
        <v>185</v>
      </c>
      <c r="K583" s="69" t="s">
        <v>184</v>
      </c>
      <c r="L583" s="74"/>
      <c r="M583" s="75">
        <v>7.175925925925927E-4</v>
      </c>
      <c r="N583" s="76" t="s">
        <v>79</v>
      </c>
      <c r="O583" s="76" t="s">
        <v>79</v>
      </c>
      <c r="P583" s="76" t="s">
        <v>79</v>
      </c>
      <c r="Q583" s="76" t="s">
        <v>79</v>
      </c>
      <c r="R583" s="76" t="s">
        <v>79</v>
      </c>
      <c r="S583" s="76" t="s">
        <v>79</v>
      </c>
      <c r="T583" s="76" t="s">
        <v>79</v>
      </c>
      <c r="U583" s="76" t="s">
        <v>79</v>
      </c>
      <c r="V583" s="76" t="s">
        <v>79</v>
      </c>
      <c r="W583" s="76" t="s">
        <v>79</v>
      </c>
      <c r="X583" s="76" t="s">
        <v>79</v>
      </c>
      <c r="Y583" s="76" t="s">
        <v>79</v>
      </c>
      <c r="Z583" s="77">
        <f t="shared" si="79"/>
        <v>10</v>
      </c>
      <c r="AA583" s="78"/>
      <c r="AB583" s="78"/>
      <c r="AC583" s="72" t="s">
        <v>47</v>
      </c>
      <c r="AE583" s="79" t="str">
        <f t="shared" si="88"/>
        <v>Fev10955</v>
      </c>
      <c r="AF583" s="80">
        <f>IF(N583="","",IF(N583="SIM",VLOOKUP($I583&amp;$J583&amp;N$1,Pesos!$A:$I,7,FALSE),VLOOKUP($I583&amp;$J583&amp;N$1,Pesos!$A:$I,9,FALSE)))</f>
        <v>0.8</v>
      </c>
      <c r="AG583" s="80">
        <f>IF(O583="","",IF(O583="SIM",VLOOKUP($I583&amp;$J583&amp;O$1,Pesos!$A:$I,7,FALSE),VLOOKUP($I583&amp;$J583&amp;O$1,Pesos!$A:$I,9,FALSE)))</f>
        <v>0.8</v>
      </c>
      <c r="AH583" s="80">
        <f>IF(P583="","",IF(P583="SIM",VLOOKUP($I583&amp;$J583&amp;P$1,Pesos!$A:$I,7,FALSE),VLOOKUP($I583&amp;$J583&amp;P$1,Pesos!$A:$I,9,FALSE)))</f>
        <v>0.8</v>
      </c>
      <c r="AI583" s="80">
        <f>IF(Q583="","",IF(Q583="SIM",VLOOKUP($I583&amp;$J583&amp;Q$1,Pesos!$A:$I,7,FALSE),VLOOKUP($I583&amp;$J583&amp;Q$1,Pesos!$A:$I,9,FALSE)))</f>
        <v>0.8</v>
      </c>
      <c r="AJ583" s="80">
        <f>IF(R583="","",IF(R583="SIM",VLOOKUP($I583&amp;$J583&amp;R$1,Pesos!$A:$I,7,FALSE),VLOOKUP($I583&amp;$J583&amp;R$1,Pesos!$A:$I,9,FALSE)))</f>
        <v>0.8</v>
      </c>
      <c r="AK583" s="80">
        <f>IF(S583="","",IF(S583="SIM",VLOOKUP($I583&amp;$J583&amp;S$1,Pesos!$A:$I,7,FALSE),VLOOKUP($I583&amp;$J583&amp;S$1,Pesos!$A:$I,9,FALSE)))</f>
        <v>0.5</v>
      </c>
      <c r="AL583" s="80">
        <f t="shared" si="84"/>
        <v>4.5</v>
      </c>
      <c r="AM583" s="80">
        <f>IF(T583="","",IF(T583="SIM",VLOOKUP($I583&amp;$J583&amp;T$1,Pesos!$A:$I,7,FALSE),VLOOKUP($I583&amp;$J583&amp;T$1,Pesos!$A:$I,9,FALSE)))</f>
        <v>0.5</v>
      </c>
      <c r="AN583" s="80">
        <f>IF(U583="","",IF(U583="SIM",VLOOKUP($I583&amp;$J583&amp;U$1,Pesos!$A:$I,7,FALSE),VLOOKUP($I583&amp;$J583&amp;U$1,Pesos!$A:$I,9,FALSE)))</f>
        <v>1</v>
      </c>
      <c r="AO583" s="80">
        <f>IF(V583="","",IF(V583="SIM",VLOOKUP($I583&amp;$J583&amp;V$1,Pesos!$A:$I,7,FALSE),VLOOKUP($I583&amp;$J583&amp;V$1,Pesos!$A:$I,9,FALSE)))</f>
        <v>1</v>
      </c>
      <c r="AP583" s="80">
        <f>IF(W583="","",IF(W583="SIM",VLOOKUP($I583&amp;$J583&amp;W$1,Pesos!$A:$I,7,FALSE),VLOOKUP($I583&amp;$J583&amp;W$1,Pesos!$A:$I,9,FALSE)))</f>
        <v>1</v>
      </c>
      <c r="AQ583" s="80">
        <f>IF(X583="","",IF(X583="SIM",VLOOKUP($I583&amp;$J583&amp;X$1,Pesos!$A:$I,7,FALSE),VLOOKUP($I583&amp;$J583&amp;X$1,Pesos!$A:$I,9,FALSE)))</f>
        <v>1</v>
      </c>
      <c r="AR583" s="80">
        <f>IF(Y583="","",IF(Y583="SIM",VLOOKUP($I583&amp;$J583&amp;Y$1,Pesos!$A:$I,7,FALSE),VLOOKUP($I583&amp;$J583&amp;Y$1,Pesos!$A:$I,9,FALSE)))</f>
        <v>1</v>
      </c>
      <c r="AS583" s="81">
        <f>IFERROR(Z583*VLOOKUP(J583,'BD Campos'!$Y$1:$Z$12,2,FALSE),"0")</f>
        <v>10</v>
      </c>
    </row>
    <row r="584" spans="1:45" x14ac:dyDescent="0.35">
      <c r="A584" s="68" t="str">
        <f t="shared" si="89"/>
        <v>Fev202511230ClienteLOGÍSTICA</v>
      </c>
      <c r="B584" s="114" t="str">
        <f t="shared" si="90"/>
        <v>Fev2025112301LOGÍSTICAPADRÃO</v>
      </c>
      <c r="C584" s="70">
        <v>1</v>
      </c>
      <c r="D584" s="71">
        <v>45700.465443518522</v>
      </c>
      <c r="E584" s="112" t="s">
        <v>338</v>
      </c>
      <c r="F584" s="72">
        <v>11230</v>
      </c>
      <c r="G584" s="69" t="s">
        <v>1574</v>
      </c>
      <c r="H584" s="73">
        <v>1</v>
      </c>
      <c r="I584" s="69" t="s">
        <v>183</v>
      </c>
      <c r="J584" s="69" t="s">
        <v>124</v>
      </c>
      <c r="K584" s="69" t="s">
        <v>184</v>
      </c>
      <c r="L584" s="74"/>
      <c r="M584" s="75">
        <v>7.0601851851851847E-4</v>
      </c>
      <c r="N584" s="76" t="s">
        <v>79</v>
      </c>
      <c r="O584" s="76" t="s">
        <v>79</v>
      </c>
      <c r="P584" s="76" t="s">
        <v>79</v>
      </c>
      <c r="Q584" s="76" t="s">
        <v>79</v>
      </c>
      <c r="R584" s="76" t="s">
        <v>79</v>
      </c>
      <c r="S584" s="76" t="s">
        <v>79</v>
      </c>
      <c r="T584" s="76" t="s">
        <v>79</v>
      </c>
      <c r="U584" s="76" t="s">
        <v>79</v>
      </c>
      <c r="V584" s="76" t="s">
        <v>79</v>
      </c>
      <c r="W584" s="76" t="s">
        <v>79</v>
      </c>
      <c r="X584" s="76" t="s">
        <v>79</v>
      </c>
      <c r="Y584" s="76" t="s">
        <v>83</v>
      </c>
      <c r="Z584" s="77">
        <f t="shared" si="79"/>
        <v>8.9499999999999993</v>
      </c>
      <c r="AA584" s="78"/>
      <c r="AB584" s="78"/>
      <c r="AC584" s="72" t="s">
        <v>47</v>
      </c>
      <c r="AE584" s="79" t="str">
        <f t="shared" si="88"/>
        <v>Fev11230</v>
      </c>
      <c r="AF584" s="80">
        <f>IF(N584="","",IF(N584="SIM",VLOOKUP($I584&amp;$J584&amp;N$1,Pesos!$A:$I,7,FALSE),VLOOKUP($I584&amp;$J584&amp;N$1,Pesos!$A:$I,9,FALSE)))</f>
        <v>0.8</v>
      </c>
      <c r="AG584" s="80">
        <f>IF(O584="","",IF(O584="SIM",VLOOKUP($I584&amp;$J584&amp;O$1,Pesos!$A:$I,7,FALSE),VLOOKUP($I584&amp;$J584&amp;O$1,Pesos!$A:$I,9,FALSE)))</f>
        <v>0.8</v>
      </c>
      <c r="AH584" s="80">
        <f>IF(P584="","",IF(P584="SIM",VLOOKUP($I584&amp;$J584&amp;P$1,Pesos!$A:$I,7,FALSE),VLOOKUP($I584&amp;$J584&amp;P$1,Pesos!$A:$I,9,FALSE)))</f>
        <v>0.8</v>
      </c>
      <c r="AI584" s="80">
        <f>IF(Q584="","",IF(Q584="SIM",VLOOKUP($I584&amp;$J584&amp;Q$1,Pesos!$A:$I,7,FALSE),VLOOKUP($I584&amp;$J584&amp;Q$1,Pesos!$A:$I,9,FALSE)))</f>
        <v>0.8</v>
      </c>
      <c r="AJ584" s="80">
        <f>IF(R584="","",IF(R584="SIM",VLOOKUP($I584&amp;$J584&amp;R$1,Pesos!$A:$I,7,FALSE),VLOOKUP($I584&amp;$J584&amp;R$1,Pesos!$A:$I,9,FALSE)))</f>
        <v>0.8</v>
      </c>
      <c r="AK584" s="80">
        <f>IF(S584="","",IF(S584="SIM",VLOOKUP($I584&amp;$J584&amp;S$1,Pesos!$A:$I,7,FALSE),VLOOKUP($I584&amp;$J584&amp;S$1,Pesos!$A:$I,9,FALSE)))</f>
        <v>0.5</v>
      </c>
      <c r="AL584" s="80">
        <f t="shared" si="84"/>
        <v>4.5</v>
      </c>
      <c r="AM584" s="80">
        <f>IF(T584="","",IF(T584="SIM",VLOOKUP($I584&amp;$J584&amp;T$1,Pesos!$A:$I,7,FALSE),VLOOKUP($I584&amp;$J584&amp;T$1,Pesos!$A:$I,9,FALSE)))</f>
        <v>0.5</v>
      </c>
      <c r="AN584" s="80">
        <f>IF(U584="","",IF(U584="SIM",VLOOKUP($I584&amp;$J584&amp;U$1,Pesos!$A:$I,7,FALSE),VLOOKUP($I584&amp;$J584&amp;U$1,Pesos!$A:$I,9,FALSE)))</f>
        <v>1</v>
      </c>
      <c r="AO584" s="80">
        <f>IF(V584="","",IF(V584="SIM",VLOOKUP($I584&amp;$J584&amp;V$1,Pesos!$A:$I,7,FALSE),VLOOKUP($I584&amp;$J584&amp;V$1,Pesos!$A:$I,9,FALSE)))</f>
        <v>1</v>
      </c>
      <c r="AP584" s="80">
        <f>IF(W584="","",IF(W584="SIM",VLOOKUP($I584&amp;$J584&amp;W$1,Pesos!$A:$I,7,FALSE),VLOOKUP($I584&amp;$J584&amp;W$1,Pesos!$A:$I,9,FALSE)))</f>
        <v>1</v>
      </c>
      <c r="AQ584" s="80">
        <f>IF(X584="","",IF(X584="SIM",VLOOKUP($I584&amp;$J584&amp;X$1,Pesos!$A:$I,7,FALSE),VLOOKUP($I584&amp;$J584&amp;X$1,Pesos!$A:$I,9,FALSE)))</f>
        <v>1</v>
      </c>
      <c r="AR584" s="80">
        <f>IF(Y584="","",IF(Y584="SIM",VLOOKUP($I584&amp;$J584&amp;Y$1,Pesos!$A:$I,7,FALSE),VLOOKUP($I584&amp;$J584&amp;Y$1,Pesos!$A:$I,9,FALSE)))</f>
        <v>-0.05</v>
      </c>
      <c r="AS584" s="81">
        <f>IFERROR(Z584*VLOOKUP(J584,'BD Campos'!$Y$1:$Z$12,2,FALSE),"0")</f>
        <v>8.9499999999999993</v>
      </c>
    </row>
    <row r="585" spans="1:45" x14ac:dyDescent="0.35">
      <c r="A585" s="68" t="str">
        <f t="shared" si="89"/>
        <v>Fev202511230Cliente 2LOGÍSTICA</v>
      </c>
      <c r="B585" s="114" t="str">
        <f t="shared" si="90"/>
        <v>Fev2025112302LOGÍSTICAPADRÃO</v>
      </c>
      <c r="C585" s="70">
        <v>1</v>
      </c>
      <c r="D585" s="71">
        <v>45700.467890046297</v>
      </c>
      <c r="E585" s="112" t="s">
        <v>338</v>
      </c>
      <c r="F585" s="72">
        <v>11230</v>
      </c>
      <c r="G585" s="69" t="s">
        <v>1574</v>
      </c>
      <c r="H585" s="73">
        <v>2</v>
      </c>
      <c r="I585" s="69" t="s">
        <v>195</v>
      </c>
      <c r="J585" s="69" t="s">
        <v>185</v>
      </c>
      <c r="K585" s="69" t="s">
        <v>184</v>
      </c>
      <c r="L585" s="74"/>
      <c r="M585" s="75">
        <v>1.261574074074074E-3</v>
      </c>
      <c r="N585" s="76" t="s">
        <v>79</v>
      </c>
      <c r="O585" s="76" t="s">
        <v>79</v>
      </c>
      <c r="P585" s="76" t="s">
        <v>79</v>
      </c>
      <c r="Q585" s="76" t="s">
        <v>79</v>
      </c>
      <c r="R585" s="76" t="s">
        <v>79</v>
      </c>
      <c r="S585" s="76" t="s">
        <v>79</v>
      </c>
      <c r="T585" s="76" t="s">
        <v>79</v>
      </c>
      <c r="U585" s="76" t="s">
        <v>79</v>
      </c>
      <c r="V585" s="76" t="s">
        <v>83</v>
      </c>
      <c r="W585" s="76" t="s">
        <v>79</v>
      </c>
      <c r="X585" s="76" t="s">
        <v>79</v>
      </c>
      <c r="Y585" s="76" t="s">
        <v>83</v>
      </c>
      <c r="Z585" s="77">
        <f t="shared" si="79"/>
        <v>7.9</v>
      </c>
      <c r="AA585" s="78"/>
      <c r="AB585" s="78"/>
      <c r="AC585" s="72" t="s">
        <v>47</v>
      </c>
      <c r="AE585" s="79" t="str">
        <f t="shared" si="88"/>
        <v>Fev11230</v>
      </c>
      <c r="AF585" s="80">
        <f>IF(N585="","",IF(N585="SIM",VLOOKUP($I585&amp;$J585&amp;N$1,Pesos!$A:$I,7,FALSE),VLOOKUP($I585&amp;$J585&amp;N$1,Pesos!$A:$I,9,FALSE)))</f>
        <v>0.8</v>
      </c>
      <c r="AG585" s="80">
        <f>IF(O585="","",IF(O585="SIM",VLOOKUP($I585&amp;$J585&amp;O$1,Pesos!$A:$I,7,FALSE),VLOOKUP($I585&amp;$J585&amp;O$1,Pesos!$A:$I,9,FALSE)))</f>
        <v>0.8</v>
      </c>
      <c r="AH585" s="80">
        <f>IF(P585="","",IF(P585="SIM",VLOOKUP($I585&amp;$J585&amp;P$1,Pesos!$A:$I,7,FALSE),VLOOKUP($I585&amp;$J585&amp;P$1,Pesos!$A:$I,9,FALSE)))</f>
        <v>0.8</v>
      </c>
      <c r="AI585" s="80">
        <f>IF(Q585="","",IF(Q585="SIM",VLOOKUP($I585&amp;$J585&amp;Q$1,Pesos!$A:$I,7,FALSE),VLOOKUP($I585&amp;$J585&amp;Q$1,Pesos!$A:$I,9,FALSE)))</f>
        <v>0.8</v>
      </c>
      <c r="AJ585" s="80">
        <f>IF(R585="","",IF(R585="SIM",VLOOKUP($I585&amp;$J585&amp;R$1,Pesos!$A:$I,7,FALSE),VLOOKUP($I585&amp;$J585&amp;R$1,Pesos!$A:$I,9,FALSE)))</f>
        <v>0.8</v>
      </c>
      <c r="AK585" s="80">
        <f>IF(S585="","",IF(S585="SIM",VLOOKUP($I585&amp;$J585&amp;S$1,Pesos!$A:$I,7,FALSE),VLOOKUP($I585&amp;$J585&amp;S$1,Pesos!$A:$I,9,FALSE)))</f>
        <v>0.5</v>
      </c>
      <c r="AL585" s="80">
        <f t="shared" si="84"/>
        <v>4.5</v>
      </c>
      <c r="AM585" s="80">
        <f>IF(T585="","",IF(T585="SIM",VLOOKUP($I585&amp;$J585&amp;T$1,Pesos!$A:$I,7,FALSE),VLOOKUP($I585&amp;$J585&amp;T$1,Pesos!$A:$I,9,FALSE)))</f>
        <v>0.5</v>
      </c>
      <c r="AN585" s="80">
        <f>IF(U585="","",IF(U585="SIM",VLOOKUP($I585&amp;$J585&amp;U$1,Pesos!$A:$I,7,FALSE),VLOOKUP($I585&amp;$J585&amp;U$1,Pesos!$A:$I,9,FALSE)))</f>
        <v>1</v>
      </c>
      <c r="AO585" s="80">
        <f>IF(V585="","",IF(V585="SIM",VLOOKUP($I585&amp;$J585&amp;V$1,Pesos!$A:$I,7,FALSE),VLOOKUP($I585&amp;$J585&amp;V$1,Pesos!$A:$I,9,FALSE)))</f>
        <v>-0.05</v>
      </c>
      <c r="AP585" s="80">
        <f>IF(W585="","",IF(W585="SIM",VLOOKUP($I585&amp;$J585&amp;W$1,Pesos!$A:$I,7,FALSE),VLOOKUP($I585&amp;$J585&amp;W$1,Pesos!$A:$I,9,FALSE)))</f>
        <v>1</v>
      </c>
      <c r="AQ585" s="80">
        <f>IF(X585="","",IF(X585="SIM",VLOOKUP($I585&amp;$J585&amp;X$1,Pesos!$A:$I,7,FALSE),VLOOKUP($I585&amp;$J585&amp;X$1,Pesos!$A:$I,9,FALSE)))</f>
        <v>1</v>
      </c>
      <c r="AR585" s="80">
        <f>IF(Y585="","",IF(Y585="SIM",VLOOKUP($I585&amp;$J585&amp;Y$1,Pesos!$A:$I,7,FALSE),VLOOKUP($I585&amp;$J585&amp;Y$1,Pesos!$A:$I,9,FALSE)))</f>
        <v>-0.05</v>
      </c>
      <c r="AS585" s="81">
        <f>IFERROR(Z585*VLOOKUP(J585,'BD Campos'!$Y$1:$Z$12,2,FALSE),"0")</f>
        <v>7.9</v>
      </c>
    </row>
    <row r="586" spans="1:45" x14ac:dyDescent="0.35">
      <c r="A586" s="68" t="str">
        <f t="shared" si="89"/>
        <v>Fev202510990ClienteLOGÍSTICA</v>
      </c>
      <c r="B586" s="114" t="str">
        <f t="shared" si="90"/>
        <v>Fev2025109901LOGÍSTICAPADRÃO</v>
      </c>
      <c r="C586" s="70">
        <v>1</v>
      </c>
      <c r="D586" s="71">
        <v>45700.476110300922</v>
      </c>
      <c r="E586" s="112" t="s">
        <v>338</v>
      </c>
      <c r="F586" s="72">
        <v>10990</v>
      </c>
      <c r="G586" s="69" t="s">
        <v>192</v>
      </c>
      <c r="H586" s="73">
        <v>1</v>
      </c>
      <c r="I586" s="69" t="s">
        <v>385</v>
      </c>
      <c r="J586" s="69" t="s">
        <v>124</v>
      </c>
      <c r="K586" s="69" t="s">
        <v>184</v>
      </c>
      <c r="L586" s="74"/>
      <c r="M586" s="75">
        <v>1.0763888888888889E-3</v>
      </c>
      <c r="N586" s="76" t="s">
        <v>79</v>
      </c>
      <c r="O586" s="76" t="s">
        <v>79</v>
      </c>
      <c r="P586" s="76" t="s">
        <v>79</v>
      </c>
      <c r="Q586" s="76" t="s">
        <v>79</v>
      </c>
      <c r="R586" s="76" t="s">
        <v>79</v>
      </c>
      <c r="S586" s="76" t="s">
        <v>79</v>
      </c>
      <c r="T586" s="76" t="s">
        <v>79</v>
      </c>
      <c r="U586" s="76" t="s">
        <v>79</v>
      </c>
      <c r="V586" s="76" t="s">
        <v>79</v>
      </c>
      <c r="W586" s="76" t="s">
        <v>79</v>
      </c>
      <c r="X586" s="76" t="s">
        <v>79</v>
      </c>
      <c r="Y586" s="76"/>
      <c r="Z586" s="77">
        <f t="shared" si="79"/>
        <v>10</v>
      </c>
      <c r="AA586" s="78"/>
      <c r="AB586" s="78"/>
      <c r="AC586" s="72" t="s">
        <v>47</v>
      </c>
      <c r="AE586" s="79" t="str">
        <f t="shared" si="88"/>
        <v>Fev10990</v>
      </c>
      <c r="AF586" s="80">
        <f>IF(N586="","",IF(N586="SIM",VLOOKUP($I586&amp;$J586&amp;N$1,Pesos!$A:$I,7,FALSE),VLOOKUP($I586&amp;$J586&amp;N$1,Pesos!$A:$I,9,FALSE)))</f>
        <v>0.8</v>
      </c>
      <c r="AG586" s="80">
        <f>IF(O586="","",IF(O586="SIM",VLOOKUP($I586&amp;$J586&amp;O$1,Pesos!$A:$I,7,FALSE),VLOOKUP($I586&amp;$J586&amp;O$1,Pesos!$A:$I,9,FALSE)))</f>
        <v>0.8</v>
      </c>
      <c r="AH586" s="80">
        <f>IF(P586="","",IF(P586="SIM",VLOOKUP($I586&amp;$J586&amp;P$1,Pesos!$A:$I,7,FALSE),VLOOKUP($I586&amp;$J586&amp;P$1,Pesos!$A:$I,9,FALSE)))</f>
        <v>1.1000000000000001</v>
      </c>
      <c r="AI586" s="80">
        <f>IF(Q586="","",IF(Q586="SIM",VLOOKUP($I586&amp;$J586&amp;Q$1,Pesos!$A:$I,7,FALSE),VLOOKUP($I586&amp;$J586&amp;Q$1,Pesos!$A:$I,9,FALSE)))</f>
        <v>0.8</v>
      </c>
      <c r="AJ586" s="80">
        <f>IF(R586="","",IF(R586="SIM",VLOOKUP($I586&amp;$J586&amp;R$1,Pesos!$A:$I,7,FALSE),VLOOKUP($I586&amp;$J586&amp;R$1,Pesos!$A:$I,9,FALSE)))</f>
        <v>0.8</v>
      </c>
      <c r="AK586" s="80">
        <f>IF(S586="","",IF(S586="SIM",VLOOKUP($I586&amp;$J586&amp;S$1,Pesos!$A:$I,7,FALSE),VLOOKUP($I586&amp;$J586&amp;S$1,Pesos!$A:$I,9,FALSE)))</f>
        <v>0.8</v>
      </c>
      <c r="AL586" s="80">
        <f t="shared" si="84"/>
        <v>5.0999999999999996</v>
      </c>
      <c r="AM586" s="80">
        <f>IF(T586="","",IF(T586="SIM",VLOOKUP($I586&amp;$J586&amp;T$1,Pesos!$A:$I,7,FALSE),VLOOKUP($I586&amp;$J586&amp;T$1,Pesos!$A:$I,9,FALSE)))</f>
        <v>0.89999999999999991</v>
      </c>
      <c r="AN586" s="80">
        <f>IF(U586="","",IF(U586="SIM",VLOOKUP($I586&amp;$J586&amp;U$1,Pesos!$A:$I,7,FALSE),VLOOKUP($I586&amp;$J586&amp;U$1,Pesos!$A:$I,9,FALSE)))</f>
        <v>1</v>
      </c>
      <c r="AO586" s="80">
        <f>IF(V586="","",IF(V586="SIM",VLOOKUP($I586&amp;$J586&amp;V$1,Pesos!$A:$I,7,FALSE),VLOOKUP($I586&amp;$J586&amp;V$1,Pesos!$A:$I,9,FALSE)))</f>
        <v>1</v>
      </c>
      <c r="AP586" s="80">
        <f>IF(W586="","",IF(W586="SIM",VLOOKUP($I586&amp;$J586&amp;W$1,Pesos!$A:$I,7,FALSE),VLOOKUP($I586&amp;$J586&amp;W$1,Pesos!$A:$I,9,FALSE)))</f>
        <v>1</v>
      </c>
      <c r="AQ586" s="80">
        <f>IF(X586="","",IF(X586="SIM",VLOOKUP($I586&amp;$J586&amp;X$1,Pesos!$A:$I,7,FALSE),VLOOKUP($I586&amp;$J586&amp;X$1,Pesos!$A:$I,9,FALSE)))</f>
        <v>1</v>
      </c>
      <c r="AR586" s="80" t="str">
        <f>IF(Y586="","",IF(Y586="SIM",VLOOKUP($I586&amp;$J586&amp;Y$1,Pesos!$A:$I,7,FALSE),VLOOKUP($I586&amp;$J586&amp;Y$1,Pesos!$A:$I,9,FALSE)))</f>
        <v/>
      </c>
      <c r="AS586" s="81">
        <f>IFERROR(Z586*VLOOKUP(J586,'BD Campos'!$Y$1:$Z$12,2,FALSE),"0")</f>
        <v>10</v>
      </c>
    </row>
    <row r="587" spans="1:45" x14ac:dyDescent="0.35">
      <c r="A587" s="68" t="str">
        <f t="shared" si="89"/>
        <v>Fev202510990Cliente 2LOGÍSTICA</v>
      </c>
      <c r="B587" s="114" t="str">
        <f t="shared" si="90"/>
        <v>Fev2025109902LOGÍSTICAPADRÃO</v>
      </c>
      <c r="C587" s="70">
        <v>1</v>
      </c>
      <c r="D587" s="71">
        <v>45700.477945949075</v>
      </c>
      <c r="E587" s="112" t="s">
        <v>338</v>
      </c>
      <c r="F587" s="72">
        <v>10990</v>
      </c>
      <c r="G587" s="69" t="s">
        <v>192</v>
      </c>
      <c r="H587" s="73">
        <v>2</v>
      </c>
      <c r="I587" s="69" t="s">
        <v>187</v>
      </c>
      <c r="J587" s="69" t="s">
        <v>185</v>
      </c>
      <c r="K587" s="69" t="s">
        <v>184</v>
      </c>
      <c r="L587" s="74"/>
      <c r="M587" s="75">
        <v>1.0416666666666667E-3</v>
      </c>
      <c r="N587" s="76" t="s">
        <v>79</v>
      </c>
      <c r="O587" s="76" t="s">
        <v>79</v>
      </c>
      <c r="P587" s="76" t="s">
        <v>79</v>
      </c>
      <c r="Q587" s="76" t="s">
        <v>79</v>
      </c>
      <c r="R587" s="76" t="s">
        <v>79</v>
      </c>
      <c r="S587" s="76" t="s">
        <v>79</v>
      </c>
      <c r="T587" s="76" t="s">
        <v>79</v>
      </c>
      <c r="U587" s="76" t="s">
        <v>79</v>
      </c>
      <c r="V587" s="76" t="s">
        <v>79</v>
      </c>
      <c r="W587" s="76" t="s">
        <v>79</v>
      </c>
      <c r="X587" s="76"/>
      <c r="Y587" s="76"/>
      <c r="Z587" s="77">
        <f t="shared" si="79"/>
        <v>10</v>
      </c>
      <c r="AA587" s="78"/>
      <c r="AB587" s="78"/>
      <c r="AC587" s="72" t="s">
        <v>47</v>
      </c>
      <c r="AE587" s="79" t="str">
        <f t="shared" si="88"/>
        <v>Fev10990</v>
      </c>
      <c r="AF587" s="80">
        <f>IF(N587="","",IF(N587="SIM",VLOOKUP($I587&amp;$J587&amp;N$1,Pesos!$A:$I,7,FALSE),VLOOKUP($I587&amp;$J587&amp;N$1,Pesos!$A:$I,9,FALSE)))</f>
        <v>1</v>
      </c>
      <c r="AG587" s="80">
        <f>IF(O587="","",IF(O587="SIM",VLOOKUP($I587&amp;$J587&amp;O$1,Pesos!$A:$I,7,FALSE),VLOOKUP($I587&amp;$J587&amp;O$1,Pesos!$A:$I,9,FALSE)))</f>
        <v>1</v>
      </c>
      <c r="AH587" s="80">
        <f>IF(P587="","",IF(P587="SIM",VLOOKUP($I587&amp;$J587&amp;P$1,Pesos!$A:$I,7,FALSE),VLOOKUP($I587&amp;$J587&amp;P$1,Pesos!$A:$I,9,FALSE)))</f>
        <v>1</v>
      </c>
      <c r="AI587" s="80">
        <f>IF(Q587="","",IF(Q587="SIM",VLOOKUP($I587&amp;$J587&amp;Q$1,Pesos!$A:$I,7,FALSE),VLOOKUP($I587&amp;$J587&amp;Q$1,Pesos!$A:$I,9,FALSE)))</f>
        <v>1</v>
      </c>
      <c r="AJ587" s="80">
        <f>IF(R587="","",IF(R587="SIM",VLOOKUP($I587&amp;$J587&amp;R$1,Pesos!$A:$I,7,FALSE),VLOOKUP($I587&amp;$J587&amp;R$1,Pesos!$A:$I,9,FALSE)))</f>
        <v>1</v>
      </c>
      <c r="AK587" s="80">
        <f>IF(S587="","",IF(S587="SIM",VLOOKUP($I587&amp;$J587&amp;S$1,Pesos!$A:$I,7,FALSE),VLOOKUP($I587&amp;$J587&amp;S$1,Pesos!$A:$I,9,FALSE)))</f>
        <v>1</v>
      </c>
      <c r="AL587" s="80">
        <f t="shared" si="84"/>
        <v>6</v>
      </c>
      <c r="AM587" s="80">
        <f>IF(T587="","",IF(T587="SIM",VLOOKUP($I587&amp;$J587&amp;T$1,Pesos!$A:$I,7,FALSE),VLOOKUP($I587&amp;$J587&amp;T$1,Pesos!$A:$I,9,FALSE)))</f>
        <v>1</v>
      </c>
      <c r="AN587" s="80">
        <f>IF(U587="","",IF(U587="SIM",VLOOKUP($I587&amp;$J587&amp;U$1,Pesos!$A:$I,7,FALSE),VLOOKUP($I587&amp;$J587&amp;U$1,Pesos!$A:$I,9,FALSE)))</f>
        <v>1</v>
      </c>
      <c r="AO587" s="80">
        <f>IF(V587="","",IF(V587="SIM",VLOOKUP($I587&amp;$J587&amp;V$1,Pesos!$A:$I,7,FALSE),VLOOKUP($I587&amp;$J587&amp;V$1,Pesos!$A:$I,9,FALSE)))</f>
        <v>1</v>
      </c>
      <c r="AP587" s="80">
        <f>IF(W587="","",IF(W587="SIM",VLOOKUP($I587&amp;$J587&amp;W$1,Pesos!$A:$I,7,FALSE),VLOOKUP($I587&amp;$J587&amp;W$1,Pesos!$A:$I,9,FALSE)))</f>
        <v>1</v>
      </c>
      <c r="AQ587" s="80" t="str">
        <f>IF(X587="","",IF(X587="SIM",VLOOKUP($I587&amp;$J587&amp;X$1,Pesos!$A:$I,7,FALSE),VLOOKUP($I587&amp;$J587&amp;X$1,Pesos!$A:$I,9,FALSE)))</f>
        <v/>
      </c>
      <c r="AR587" s="80" t="str">
        <f>IF(Y587="","",IF(Y587="SIM",VLOOKUP($I587&amp;$J587&amp;Y$1,Pesos!$A:$I,7,FALSE),VLOOKUP($I587&amp;$J587&amp;Y$1,Pesos!$A:$I,9,FALSE)))</f>
        <v/>
      </c>
      <c r="AS587" s="81">
        <f>IFERROR(Z587*VLOOKUP(J587,'BD Campos'!$Y$1:$Z$12,2,FALSE),"0")</f>
        <v>10</v>
      </c>
    </row>
    <row r="588" spans="1:45" x14ac:dyDescent="0.35">
      <c r="A588" s="68" t="str">
        <f t="shared" si="89"/>
        <v>Fev202511244ClienteLOGÍSTICA</v>
      </c>
      <c r="B588" s="114" t="str">
        <f t="shared" si="90"/>
        <v>Fev2025112441LOGÍSTICAPADRÃO</v>
      </c>
      <c r="C588" s="70">
        <v>1</v>
      </c>
      <c r="D588" s="71">
        <v>45700.48071851852</v>
      </c>
      <c r="E588" s="112" t="s">
        <v>338</v>
      </c>
      <c r="F588" s="72">
        <v>11244</v>
      </c>
      <c r="G588" s="69" t="s">
        <v>1575</v>
      </c>
      <c r="H588" s="73">
        <v>1</v>
      </c>
      <c r="I588" s="69" t="s">
        <v>195</v>
      </c>
      <c r="J588" s="69" t="s">
        <v>124</v>
      </c>
      <c r="K588" s="69" t="s">
        <v>184</v>
      </c>
      <c r="L588" s="74"/>
      <c r="M588" s="75">
        <v>7.9861111111111105E-4</v>
      </c>
      <c r="N588" s="76" t="s">
        <v>79</v>
      </c>
      <c r="O588" s="76" t="s">
        <v>79</v>
      </c>
      <c r="P588" s="76" t="s">
        <v>79</v>
      </c>
      <c r="Q588" s="76" t="s">
        <v>79</v>
      </c>
      <c r="R588" s="76" t="s">
        <v>79</v>
      </c>
      <c r="S588" s="76" t="s">
        <v>79</v>
      </c>
      <c r="T588" s="76" t="s">
        <v>79</v>
      </c>
      <c r="U588" s="76" t="s">
        <v>79</v>
      </c>
      <c r="V588" s="76" t="s">
        <v>79</v>
      </c>
      <c r="W588" s="76" t="s">
        <v>79</v>
      </c>
      <c r="X588" s="76" t="s">
        <v>79</v>
      </c>
      <c r="Y588" s="76" t="s">
        <v>83</v>
      </c>
      <c r="Z588" s="77">
        <f t="shared" si="79"/>
        <v>8.9499999999999993</v>
      </c>
      <c r="AA588" s="78"/>
      <c r="AB588" s="78"/>
      <c r="AC588" s="72" t="s">
        <v>47</v>
      </c>
      <c r="AE588" s="79" t="str">
        <f t="shared" si="88"/>
        <v>Fev11244</v>
      </c>
      <c r="AF588" s="80">
        <f>IF(N588="","",IF(N588="SIM",VLOOKUP($I588&amp;$J588&amp;N$1,Pesos!$A:$I,7,FALSE),VLOOKUP($I588&amp;$J588&amp;N$1,Pesos!$A:$I,9,FALSE)))</f>
        <v>0.8</v>
      </c>
      <c r="AG588" s="80">
        <f>IF(O588="","",IF(O588="SIM",VLOOKUP($I588&amp;$J588&amp;O$1,Pesos!$A:$I,7,FALSE),VLOOKUP($I588&amp;$J588&amp;O$1,Pesos!$A:$I,9,FALSE)))</f>
        <v>0.8</v>
      </c>
      <c r="AH588" s="80">
        <f>IF(P588="","",IF(P588="SIM",VLOOKUP($I588&amp;$J588&amp;P$1,Pesos!$A:$I,7,FALSE),VLOOKUP($I588&amp;$J588&amp;P$1,Pesos!$A:$I,9,FALSE)))</f>
        <v>0.8</v>
      </c>
      <c r="AI588" s="80">
        <f>IF(Q588="","",IF(Q588="SIM",VLOOKUP($I588&amp;$J588&amp;Q$1,Pesos!$A:$I,7,FALSE),VLOOKUP($I588&amp;$J588&amp;Q$1,Pesos!$A:$I,9,FALSE)))</f>
        <v>0.8</v>
      </c>
      <c r="AJ588" s="80">
        <f>IF(R588="","",IF(R588="SIM",VLOOKUP($I588&amp;$J588&amp;R$1,Pesos!$A:$I,7,FALSE),VLOOKUP($I588&amp;$J588&amp;R$1,Pesos!$A:$I,9,FALSE)))</f>
        <v>0.8</v>
      </c>
      <c r="AK588" s="80">
        <f>IF(S588="","",IF(S588="SIM",VLOOKUP($I588&amp;$J588&amp;S$1,Pesos!$A:$I,7,FALSE),VLOOKUP($I588&amp;$J588&amp;S$1,Pesos!$A:$I,9,FALSE)))</f>
        <v>0.5</v>
      </c>
      <c r="AL588" s="80">
        <f t="shared" si="84"/>
        <v>4.5</v>
      </c>
      <c r="AM588" s="80">
        <f>IF(T588="","",IF(T588="SIM",VLOOKUP($I588&amp;$J588&amp;T$1,Pesos!$A:$I,7,FALSE),VLOOKUP($I588&amp;$J588&amp;T$1,Pesos!$A:$I,9,FALSE)))</f>
        <v>0.5</v>
      </c>
      <c r="AN588" s="80">
        <f>IF(U588="","",IF(U588="SIM",VLOOKUP($I588&amp;$J588&amp;U$1,Pesos!$A:$I,7,FALSE),VLOOKUP($I588&amp;$J588&amp;U$1,Pesos!$A:$I,9,FALSE)))</f>
        <v>1</v>
      </c>
      <c r="AO588" s="80">
        <f>IF(V588="","",IF(V588="SIM",VLOOKUP($I588&amp;$J588&amp;V$1,Pesos!$A:$I,7,FALSE),VLOOKUP($I588&amp;$J588&amp;V$1,Pesos!$A:$I,9,FALSE)))</f>
        <v>1</v>
      </c>
      <c r="AP588" s="80">
        <f>IF(W588="","",IF(W588="SIM",VLOOKUP($I588&amp;$J588&amp;W$1,Pesos!$A:$I,7,FALSE),VLOOKUP($I588&amp;$J588&amp;W$1,Pesos!$A:$I,9,FALSE)))</f>
        <v>1</v>
      </c>
      <c r="AQ588" s="80">
        <f>IF(X588="","",IF(X588="SIM",VLOOKUP($I588&amp;$J588&amp;X$1,Pesos!$A:$I,7,FALSE),VLOOKUP($I588&amp;$J588&amp;X$1,Pesos!$A:$I,9,FALSE)))</f>
        <v>1</v>
      </c>
      <c r="AR588" s="80">
        <f>IF(Y588="","",IF(Y588="SIM",VLOOKUP($I588&amp;$J588&amp;Y$1,Pesos!$A:$I,7,FALSE),VLOOKUP($I588&amp;$J588&amp;Y$1,Pesos!$A:$I,9,FALSE)))</f>
        <v>-0.05</v>
      </c>
      <c r="AS588" s="81">
        <f>IFERROR(Z588*VLOOKUP(J588,'BD Campos'!$Y$1:$Z$12,2,FALSE),"0")</f>
        <v>8.9499999999999993</v>
      </c>
    </row>
    <row r="589" spans="1:45" x14ac:dyDescent="0.35">
      <c r="A589" s="68" t="str">
        <f t="shared" si="89"/>
        <v>Fev202511244Cliente 2LOGÍSTICA</v>
      </c>
      <c r="B589" s="114" t="str">
        <f t="shared" si="90"/>
        <v>Fev2025112442LOGÍSTICAPADRÃO</v>
      </c>
      <c r="C589" s="70">
        <v>1</v>
      </c>
      <c r="D589" s="71">
        <v>45700.48376516204</v>
      </c>
      <c r="E589" s="112" t="s">
        <v>338</v>
      </c>
      <c r="F589" s="72">
        <v>11244</v>
      </c>
      <c r="G589" s="69" t="s">
        <v>1575</v>
      </c>
      <c r="H589" s="73">
        <v>2</v>
      </c>
      <c r="I589" s="69" t="s">
        <v>183</v>
      </c>
      <c r="J589" s="69" t="s">
        <v>185</v>
      </c>
      <c r="K589" s="69" t="s">
        <v>184</v>
      </c>
      <c r="L589" s="74"/>
      <c r="M589" s="75">
        <v>8.1018518518518516E-4</v>
      </c>
      <c r="N589" s="76" t="s">
        <v>79</v>
      </c>
      <c r="O589" s="76" t="s">
        <v>79</v>
      </c>
      <c r="P589" s="76" t="s">
        <v>79</v>
      </c>
      <c r="Q589" s="76" t="s">
        <v>79</v>
      </c>
      <c r="R589" s="76" t="s">
        <v>79</v>
      </c>
      <c r="S589" s="76" t="s">
        <v>79</v>
      </c>
      <c r="T589" s="76" t="s">
        <v>79</v>
      </c>
      <c r="U589" s="76" t="s">
        <v>79</v>
      </c>
      <c r="V589" s="76" t="s">
        <v>79</v>
      </c>
      <c r="W589" s="76" t="s">
        <v>79</v>
      </c>
      <c r="X589" s="76" t="s">
        <v>79</v>
      </c>
      <c r="Y589" s="76" t="s">
        <v>79</v>
      </c>
      <c r="Z589" s="77">
        <f t="shared" si="79"/>
        <v>10</v>
      </c>
      <c r="AA589" s="78"/>
      <c r="AB589" s="78"/>
      <c r="AC589" s="72" t="s">
        <v>47</v>
      </c>
      <c r="AE589" s="79" t="str">
        <f t="shared" si="88"/>
        <v>Fev11244</v>
      </c>
      <c r="AF589" s="80">
        <f>IF(N589="","",IF(N589="SIM",VLOOKUP($I589&amp;$J589&amp;N$1,Pesos!$A:$I,7,FALSE),VLOOKUP($I589&amp;$J589&amp;N$1,Pesos!$A:$I,9,FALSE)))</f>
        <v>0.8</v>
      </c>
      <c r="AG589" s="80">
        <f>IF(O589="","",IF(O589="SIM",VLOOKUP($I589&amp;$J589&amp;O$1,Pesos!$A:$I,7,FALSE),VLOOKUP($I589&amp;$J589&amp;O$1,Pesos!$A:$I,9,FALSE)))</f>
        <v>0.8</v>
      </c>
      <c r="AH589" s="80">
        <f>IF(P589="","",IF(P589="SIM",VLOOKUP($I589&amp;$J589&amp;P$1,Pesos!$A:$I,7,FALSE),VLOOKUP($I589&amp;$J589&amp;P$1,Pesos!$A:$I,9,FALSE)))</f>
        <v>0.8</v>
      </c>
      <c r="AI589" s="80">
        <f>IF(Q589="","",IF(Q589="SIM",VLOOKUP($I589&amp;$J589&amp;Q$1,Pesos!$A:$I,7,FALSE),VLOOKUP($I589&amp;$J589&amp;Q$1,Pesos!$A:$I,9,FALSE)))</f>
        <v>0.8</v>
      </c>
      <c r="AJ589" s="80">
        <f>IF(R589="","",IF(R589="SIM",VLOOKUP($I589&amp;$J589&amp;R$1,Pesos!$A:$I,7,FALSE),VLOOKUP($I589&amp;$J589&amp;R$1,Pesos!$A:$I,9,FALSE)))</f>
        <v>0.8</v>
      </c>
      <c r="AK589" s="80">
        <f>IF(S589="","",IF(S589="SIM",VLOOKUP($I589&amp;$J589&amp;S$1,Pesos!$A:$I,7,FALSE),VLOOKUP($I589&amp;$J589&amp;S$1,Pesos!$A:$I,9,FALSE)))</f>
        <v>0.5</v>
      </c>
      <c r="AL589" s="80">
        <f t="shared" si="84"/>
        <v>4.5</v>
      </c>
      <c r="AM589" s="80">
        <f>IF(T589="","",IF(T589="SIM",VLOOKUP($I589&amp;$J589&amp;T$1,Pesos!$A:$I,7,FALSE),VLOOKUP($I589&amp;$J589&amp;T$1,Pesos!$A:$I,9,FALSE)))</f>
        <v>0.5</v>
      </c>
      <c r="AN589" s="80">
        <f>IF(U589="","",IF(U589="SIM",VLOOKUP($I589&amp;$J589&amp;U$1,Pesos!$A:$I,7,FALSE),VLOOKUP($I589&amp;$J589&amp;U$1,Pesos!$A:$I,9,FALSE)))</f>
        <v>1</v>
      </c>
      <c r="AO589" s="80">
        <f>IF(V589="","",IF(V589="SIM",VLOOKUP($I589&amp;$J589&amp;V$1,Pesos!$A:$I,7,FALSE),VLOOKUP($I589&amp;$J589&amp;V$1,Pesos!$A:$I,9,FALSE)))</f>
        <v>1</v>
      </c>
      <c r="AP589" s="80">
        <f>IF(W589="","",IF(W589="SIM",VLOOKUP($I589&amp;$J589&amp;W$1,Pesos!$A:$I,7,FALSE),VLOOKUP($I589&amp;$J589&amp;W$1,Pesos!$A:$I,9,FALSE)))</f>
        <v>1</v>
      </c>
      <c r="AQ589" s="80">
        <f>IF(X589="","",IF(X589="SIM",VLOOKUP($I589&amp;$J589&amp;X$1,Pesos!$A:$I,7,FALSE),VLOOKUP($I589&amp;$J589&amp;X$1,Pesos!$A:$I,9,FALSE)))</f>
        <v>1</v>
      </c>
      <c r="AR589" s="80">
        <f>IF(Y589="","",IF(Y589="SIM",VLOOKUP($I589&amp;$J589&amp;Y$1,Pesos!$A:$I,7,FALSE),VLOOKUP($I589&amp;$J589&amp;Y$1,Pesos!$A:$I,9,FALSE)))</f>
        <v>1</v>
      </c>
      <c r="AS589" s="81">
        <f>IFERROR(Z589*VLOOKUP(J589,'BD Campos'!$Y$1:$Z$12,2,FALSE),"0")</f>
        <v>10</v>
      </c>
    </row>
    <row r="590" spans="1:45" x14ac:dyDescent="0.35">
      <c r="A590" s="68" t="str">
        <f t="shared" si="89"/>
        <v>Fev202511021ClienteLOGÍSTICA</v>
      </c>
      <c r="B590" s="114" t="str">
        <f t="shared" si="90"/>
        <v>Fev2025110211LOGÍSTICAPADRÃO</v>
      </c>
      <c r="C590" s="70">
        <v>1</v>
      </c>
      <c r="D590" s="71">
        <v>45700.48821354167</v>
      </c>
      <c r="E590" s="112" t="s">
        <v>338</v>
      </c>
      <c r="F590" s="72">
        <v>11021</v>
      </c>
      <c r="G590" s="69" t="s">
        <v>197</v>
      </c>
      <c r="H590" s="73">
        <v>1</v>
      </c>
      <c r="I590" s="69" t="s">
        <v>183</v>
      </c>
      <c r="J590" s="69" t="s">
        <v>124</v>
      </c>
      <c r="K590" s="69" t="s">
        <v>184</v>
      </c>
      <c r="L590" s="74"/>
      <c r="M590" s="75">
        <v>7.9861111111111105E-4</v>
      </c>
      <c r="N590" s="76" t="s">
        <v>79</v>
      </c>
      <c r="O590" s="76" t="s">
        <v>79</v>
      </c>
      <c r="P590" s="76" t="s">
        <v>79</v>
      </c>
      <c r="Q590" s="76" t="s">
        <v>79</v>
      </c>
      <c r="R590" s="76" t="s">
        <v>79</v>
      </c>
      <c r="S590" s="76" t="s">
        <v>79</v>
      </c>
      <c r="T590" s="76" t="s">
        <v>79</v>
      </c>
      <c r="U590" s="76" t="s">
        <v>79</v>
      </c>
      <c r="V590" s="76" t="s">
        <v>79</v>
      </c>
      <c r="W590" s="76" t="s">
        <v>79</v>
      </c>
      <c r="X590" s="76" t="s">
        <v>79</v>
      </c>
      <c r="Y590" s="76" t="s">
        <v>79</v>
      </c>
      <c r="Z590" s="77">
        <f t="shared" si="79"/>
        <v>10</v>
      </c>
      <c r="AA590" s="78"/>
      <c r="AB590" s="78"/>
      <c r="AC590" s="72" t="s">
        <v>47</v>
      </c>
      <c r="AE590" s="79" t="str">
        <f t="shared" si="88"/>
        <v>Fev11021</v>
      </c>
      <c r="AF590" s="80">
        <f>IF(N590="","",IF(N590="SIM",VLOOKUP($I590&amp;$J590&amp;N$1,Pesos!$A:$I,7,FALSE),VLOOKUP($I590&amp;$J590&amp;N$1,Pesos!$A:$I,9,FALSE)))</f>
        <v>0.8</v>
      </c>
      <c r="AG590" s="80">
        <f>IF(O590="","",IF(O590="SIM",VLOOKUP($I590&amp;$J590&amp;O$1,Pesos!$A:$I,7,FALSE),VLOOKUP($I590&amp;$J590&amp;O$1,Pesos!$A:$I,9,FALSE)))</f>
        <v>0.8</v>
      </c>
      <c r="AH590" s="80">
        <f>IF(P590="","",IF(P590="SIM",VLOOKUP($I590&amp;$J590&amp;P$1,Pesos!$A:$I,7,FALSE),VLOOKUP($I590&amp;$J590&amp;P$1,Pesos!$A:$I,9,FALSE)))</f>
        <v>0.8</v>
      </c>
      <c r="AI590" s="80">
        <f>IF(Q590="","",IF(Q590="SIM",VLOOKUP($I590&amp;$J590&amp;Q$1,Pesos!$A:$I,7,FALSE),VLOOKUP($I590&amp;$J590&amp;Q$1,Pesos!$A:$I,9,FALSE)))</f>
        <v>0.8</v>
      </c>
      <c r="AJ590" s="80">
        <f>IF(R590="","",IF(R590="SIM",VLOOKUP($I590&amp;$J590&amp;R$1,Pesos!$A:$I,7,FALSE),VLOOKUP($I590&amp;$J590&amp;R$1,Pesos!$A:$I,9,FALSE)))</f>
        <v>0.8</v>
      </c>
      <c r="AK590" s="80">
        <f>IF(S590="","",IF(S590="SIM",VLOOKUP($I590&amp;$J590&amp;S$1,Pesos!$A:$I,7,FALSE),VLOOKUP($I590&amp;$J590&amp;S$1,Pesos!$A:$I,9,FALSE)))</f>
        <v>0.5</v>
      </c>
      <c r="AL590" s="80">
        <f t="shared" si="84"/>
        <v>4.5</v>
      </c>
      <c r="AM590" s="80">
        <f>IF(T590="","",IF(T590="SIM",VLOOKUP($I590&amp;$J590&amp;T$1,Pesos!$A:$I,7,FALSE),VLOOKUP($I590&amp;$J590&amp;T$1,Pesos!$A:$I,9,FALSE)))</f>
        <v>0.5</v>
      </c>
      <c r="AN590" s="80">
        <f>IF(U590="","",IF(U590="SIM",VLOOKUP($I590&amp;$J590&amp;U$1,Pesos!$A:$I,7,FALSE),VLOOKUP($I590&amp;$J590&amp;U$1,Pesos!$A:$I,9,FALSE)))</f>
        <v>1</v>
      </c>
      <c r="AO590" s="80">
        <f>IF(V590="","",IF(V590="SIM",VLOOKUP($I590&amp;$J590&amp;V$1,Pesos!$A:$I,7,FALSE),VLOOKUP($I590&amp;$J590&amp;V$1,Pesos!$A:$I,9,FALSE)))</f>
        <v>1</v>
      </c>
      <c r="AP590" s="80">
        <f>IF(W590="","",IF(W590="SIM",VLOOKUP($I590&amp;$J590&amp;W$1,Pesos!$A:$I,7,FALSE),VLOOKUP($I590&amp;$J590&amp;W$1,Pesos!$A:$I,9,FALSE)))</f>
        <v>1</v>
      </c>
      <c r="AQ590" s="80">
        <f>IF(X590="","",IF(X590="SIM",VLOOKUP($I590&amp;$J590&amp;X$1,Pesos!$A:$I,7,FALSE),VLOOKUP($I590&amp;$J590&amp;X$1,Pesos!$A:$I,9,FALSE)))</f>
        <v>1</v>
      </c>
      <c r="AR590" s="80">
        <f>IF(Y590="","",IF(Y590="SIM",VLOOKUP($I590&amp;$J590&amp;Y$1,Pesos!$A:$I,7,FALSE),VLOOKUP($I590&amp;$J590&amp;Y$1,Pesos!$A:$I,9,FALSE)))</f>
        <v>1</v>
      </c>
      <c r="AS590" s="81">
        <f>IFERROR(Z590*VLOOKUP(J590,'BD Campos'!$Y$1:$Z$12,2,FALSE),"0")</f>
        <v>10</v>
      </c>
    </row>
    <row r="591" spans="1:45" x14ac:dyDescent="0.35">
      <c r="A591" s="68" t="str">
        <f t="shared" si="89"/>
        <v>Fev202511021ClienteLOGÍSTICA</v>
      </c>
      <c r="B591" s="114" t="str">
        <f t="shared" si="90"/>
        <v>Fev2025110212LOGÍSTICAPADRÃO</v>
      </c>
      <c r="C591" s="70">
        <v>1</v>
      </c>
      <c r="D591" s="71">
        <v>45700.489815393521</v>
      </c>
      <c r="E591" s="112" t="s">
        <v>338</v>
      </c>
      <c r="F591" s="72">
        <v>11021</v>
      </c>
      <c r="G591" s="69" t="s">
        <v>197</v>
      </c>
      <c r="H591" s="73">
        <v>2</v>
      </c>
      <c r="I591" s="69" t="s">
        <v>183</v>
      </c>
      <c r="J591" s="69" t="s">
        <v>124</v>
      </c>
      <c r="K591" s="69" t="s">
        <v>184</v>
      </c>
      <c r="L591" s="74"/>
      <c r="M591" s="75">
        <v>7.0601851851851847E-4</v>
      </c>
      <c r="N591" s="76" t="s">
        <v>79</v>
      </c>
      <c r="O591" s="76" t="s">
        <v>79</v>
      </c>
      <c r="P591" s="76" t="s">
        <v>79</v>
      </c>
      <c r="Q591" s="76" t="s">
        <v>79</v>
      </c>
      <c r="R591" s="76" t="s">
        <v>79</v>
      </c>
      <c r="S591" s="76" t="s">
        <v>79</v>
      </c>
      <c r="T591" s="76" t="s">
        <v>79</v>
      </c>
      <c r="U591" s="76" t="s">
        <v>79</v>
      </c>
      <c r="V591" s="76" t="s">
        <v>79</v>
      </c>
      <c r="W591" s="76" t="s">
        <v>79</v>
      </c>
      <c r="X591" s="76" t="s">
        <v>79</v>
      </c>
      <c r="Y591" s="76" t="s">
        <v>79</v>
      </c>
      <c r="Z591" s="77">
        <f t="shared" si="79"/>
        <v>10</v>
      </c>
      <c r="AA591" s="78"/>
      <c r="AB591" s="78"/>
      <c r="AC591" s="72" t="s">
        <v>47</v>
      </c>
      <c r="AE591" s="79" t="str">
        <f t="shared" si="88"/>
        <v>Fev11021</v>
      </c>
      <c r="AF591" s="80">
        <f>IF(N591="","",IF(N591="SIM",VLOOKUP($I591&amp;$J591&amp;N$1,Pesos!$A:$I,7,FALSE),VLOOKUP($I591&amp;$J591&amp;N$1,Pesos!$A:$I,9,FALSE)))</f>
        <v>0.8</v>
      </c>
      <c r="AG591" s="80">
        <f>IF(O591="","",IF(O591="SIM",VLOOKUP($I591&amp;$J591&amp;O$1,Pesos!$A:$I,7,FALSE),VLOOKUP($I591&amp;$J591&amp;O$1,Pesos!$A:$I,9,FALSE)))</f>
        <v>0.8</v>
      </c>
      <c r="AH591" s="80">
        <f>IF(P591="","",IF(P591="SIM",VLOOKUP($I591&amp;$J591&amp;P$1,Pesos!$A:$I,7,FALSE),VLOOKUP($I591&amp;$J591&amp;P$1,Pesos!$A:$I,9,FALSE)))</f>
        <v>0.8</v>
      </c>
      <c r="AI591" s="80">
        <f>IF(Q591="","",IF(Q591="SIM",VLOOKUP($I591&amp;$J591&amp;Q$1,Pesos!$A:$I,7,FALSE),VLOOKUP($I591&amp;$J591&amp;Q$1,Pesos!$A:$I,9,FALSE)))</f>
        <v>0.8</v>
      </c>
      <c r="AJ591" s="80">
        <f>IF(R591="","",IF(R591="SIM",VLOOKUP($I591&amp;$J591&amp;R$1,Pesos!$A:$I,7,FALSE),VLOOKUP($I591&amp;$J591&amp;R$1,Pesos!$A:$I,9,FALSE)))</f>
        <v>0.8</v>
      </c>
      <c r="AK591" s="80">
        <f>IF(S591="","",IF(S591="SIM",VLOOKUP($I591&amp;$J591&amp;S$1,Pesos!$A:$I,7,FALSE),VLOOKUP($I591&amp;$J591&amp;S$1,Pesos!$A:$I,9,FALSE)))</f>
        <v>0.5</v>
      </c>
      <c r="AL591" s="80">
        <f t="shared" si="84"/>
        <v>4.5</v>
      </c>
      <c r="AM591" s="80">
        <f>IF(T591="","",IF(T591="SIM",VLOOKUP($I591&amp;$J591&amp;T$1,Pesos!$A:$I,7,FALSE),VLOOKUP($I591&amp;$J591&amp;T$1,Pesos!$A:$I,9,FALSE)))</f>
        <v>0.5</v>
      </c>
      <c r="AN591" s="80">
        <f>IF(U591="","",IF(U591="SIM",VLOOKUP($I591&amp;$J591&amp;U$1,Pesos!$A:$I,7,FALSE),VLOOKUP($I591&amp;$J591&amp;U$1,Pesos!$A:$I,9,FALSE)))</f>
        <v>1</v>
      </c>
      <c r="AO591" s="80">
        <f>IF(V591="","",IF(V591="SIM",VLOOKUP($I591&amp;$J591&amp;V$1,Pesos!$A:$I,7,FALSE),VLOOKUP($I591&amp;$J591&amp;V$1,Pesos!$A:$I,9,FALSE)))</f>
        <v>1</v>
      </c>
      <c r="AP591" s="80">
        <f>IF(W591="","",IF(W591="SIM",VLOOKUP($I591&amp;$J591&amp;W$1,Pesos!$A:$I,7,FALSE),VLOOKUP($I591&amp;$J591&amp;W$1,Pesos!$A:$I,9,FALSE)))</f>
        <v>1</v>
      </c>
      <c r="AQ591" s="80">
        <f>IF(X591="","",IF(X591="SIM",VLOOKUP($I591&amp;$J591&amp;X$1,Pesos!$A:$I,7,FALSE),VLOOKUP($I591&amp;$J591&amp;X$1,Pesos!$A:$I,9,FALSE)))</f>
        <v>1</v>
      </c>
      <c r="AR591" s="80">
        <f>IF(Y591="","",IF(Y591="SIM",VLOOKUP($I591&amp;$J591&amp;Y$1,Pesos!$A:$I,7,FALSE),VLOOKUP($I591&amp;$J591&amp;Y$1,Pesos!$A:$I,9,FALSE)))</f>
        <v>1</v>
      </c>
      <c r="AS591" s="81">
        <f>IFERROR(Z591*VLOOKUP(J591,'BD Campos'!$Y$1:$Z$12,2,FALSE),"0")</f>
        <v>10</v>
      </c>
    </row>
    <row r="592" spans="1:45" x14ac:dyDescent="0.35">
      <c r="A592" s="68" t="str">
        <f t="shared" si="89"/>
        <v>Fev202510825MotoristaTRANSFERÊNCIA</v>
      </c>
      <c r="B592" s="114" t="str">
        <f t="shared" si="90"/>
        <v>Fev2025108251TRANSFERÊNCIAPADRÃO</v>
      </c>
      <c r="C592" s="70">
        <v>1</v>
      </c>
      <c r="D592" s="71">
        <v>45700.494300231483</v>
      </c>
      <c r="E592" s="112" t="s">
        <v>338</v>
      </c>
      <c r="F592" s="72">
        <v>10825</v>
      </c>
      <c r="G592" s="69" t="s">
        <v>150</v>
      </c>
      <c r="H592" s="73">
        <v>1</v>
      </c>
      <c r="I592" s="69" t="s">
        <v>121</v>
      </c>
      <c r="J592" s="69" t="s">
        <v>122</v>
      </c>
      <c r="K592" s="69" t="s">
        <v>106</v>
      </c>
      <c r="L592" s="74">
        <v>31136232</v>
      </c>
      <c r="M592" s="75">
        <v>1.4351851851851854E-3</v>
      </c>
      <c r="N592" s="76" t="s">
        <v>79</v>
      </c>
      <c r="O592" s="76" t="s">
        <v>79</v>
      </c>
      <c r="P592" s="76" t="s">
        <v>79</v>
      </c>
      <c r="Q592" s="76" t="s">
        <v>79</v>
      </c>
      <c r="R592" s="76" t="s">
        <v>79</v>
      </c>
      <c r="S592" s="76" t="s">
        <v>79</v>
      </c>
      <c r="T592" s="76" t="s">
        <v>79</v>
      </c>
      <c r="U592" s="76" t="s">
        <v>79</v>
      </c>
      <c r="V592" s="76" t="s">
        <v>83</v>
      </c>
      <c r="W592" s="76" t="s">
        <v>79</v>
      </c>
      <c r="X592" s="76" t="s">
        <v>79</v>
      </c>
      <c r="Y592" s="76"/>
      <c r="Z592" s="77">
        <f t="shared" si="79"/>
        <v>9.0287500000000005</v>
      </c>
      <c r="AA592" s="78"/>
      <c r="AB592" s="78" t="s">
        <v>1680</v>
      </c>
      <c r="AC592" s="72" t="s">
        <v>47</v>
      </c>
      <c r="AE592" s="79" t="str">
        <f t="shared" ref="AE592:AE599" si="91">E592&amp;F592</f>
        <v>Fev10825</v>
      </c>
      <c r="AF592" s="80">
        <f>IF(N592="","",IF(N592="SIM",VLOOKUP($I592&amp;$J592&amp;N$1,Pesos!$A:$I,7,FALSE),VLOOKUP($I592&amp;$J592&amp;N$1,Pesos!$A:$I,9,FALSE)))</f>
        <v>0.89999999999999991</v>
      </c>
      <c r="AG592" s="80">
        <f>IF(O592="","",IF(O592="SIM",VLOOKUP($I592&amp;$J592&amp;O$1,Pesos!$A:$I,7,FALSE),VLOOKUP($I592&amp;$J592&amp;O$1,Pesos!$A:$I,9,FALSE)))</f>
        <v>0.89999999999999991</v>
      </c>
      <c r="AH592" s="80">
        <f>IF(P592="","",IF(P592="SIM",VLOOKUP($I592&amp;$J592&amp;P$1,Pesos!$A:$I,7,FALSE),VLOOKUP($I592&amp;$J592&amp;P$1,Pesos!$A:$I,9,FALSE)))</f>
        <v>0.89999999999999991</v>
      </c>
      <c r="AI592" s="80">
        <f>IF(Q592="","",IF(Q592="SIM",VLOOKUP($I592&amp;$J592&amp;Q$1,Pesos!$A:$I,7,FALSE),VLOOKUP($I592&amp;$J592&amp;Q$1,Pesos!$A:$I,9,FALSE)))</f>
        <v>0.89999999999999991</v>
      </c>
      <c r="AJ592" s="80">
        <f>IF(R592="","",IF(R592="SIM",VLOOKUP($I592&amp;$J592&amp;R$1,Pesos!$A:$I,7,FALSE),VLOOKUP($I592&amp;$J592&amp;R$1,Pesos!$A:$I,9,FALSE)))</f>
        <v>0.89999999999999991</v>
      </c>
      <c r="AK592" s="80">
        <f>IF(S592="","",IF(S592="SIM",VLOOKUP($I592&amp;$J592&amp;S$1,Pesos!$A:$I,7,FALSE),VLOOKUP($I592&amp;$J592&amp;S$1,Pesos!$A:$I,9,FALSE)))</f>
        <v>0.89999999999999991</v>
      </c>
      <c r="AL592" s="80">
        <f t="shared" si="84"/>
        <v>5.4</v>
      </c>
      <c r="AM592" s="80">
        <f>IF(T592="","",IF(T592="SIM",VLOOKUP($I592&amp;$J592&amp;T$1,Pesos!$A:$I,7,FALSE),VLOOKUP($I592&amp;$J592&amp;T$1,Pesos!$A:$I,9,FALSE)))</f>
        <v>0.89999999999999991</v>
      </c>
      <c r="AN592" s="80">
        <f>IF(U592="","",IF(U592="SIM",VLOOKUP($I592&amp;$J592&amp;U$1,Pesos!$A:$I,7,FALSE),VLOOKUP($I592&amp;$J592&amp;U$1,Pesos!$A:$I,9,FALSE)))</f>
        <v>0.92500000000000004</v>
      </c>
      <c r="AO592" s="80">
        <f>IF(V592="","",IF(V592="SIM",VLOOKUP($I592&amp;$J592&amp;V$1,Pesos!$A:$I,7,FALSE),VLOOKUP($I592&amp;$J592&amp;V$1,Pesos!$A:$I,9,FALSE)))</f>
        <v>-4.6250000000000006E-2</v>
      </c>
      <c r="AP592" s="80">
        <f>IF(W592="","",IF(W592="SIM",VLOOKUP($I592&amp;$J592&amp;W$1,Pesos!$A:$I,7,FALSE),VLOOKUP($I592&amp;$J592&amp;W$1,Pesos!$A:$I,9,FALSE)))</f>
        <v>0.89999999999999991</v>
      </c>
      <c r="AQ592" s="80">
        <f>IF(X592="","",IF(X592="SIM",VLOOKUP($I592&amp;$J592&amp;X$1,Pesos!$A:$I,7,FALSE),VLOOKUP($I592&amp;$J592&amp;X$1,Pesos!$A:$I,9,FALSE)))</f>
        <v>0.95</v>
      </c>
      <c r="AR592" s="80" t="str">
        <f>IF(Y592="","",IF(Y592="SIM",VLOOKUP($I592&amp;$J592&amp;Y$1,Pesos!$A:$I,7,FALSE),VLOOKUP($I592&amp;$J592&amp;Y$1,Pesos!$A:$I,9,FALSE)))</f>
        <v/>
      </c>
      <c r="AS592" s="81">
        <f>IFERROR(Z592*VLOOKUP(J592,'BD Campos'!$Y$1:$Z$12,2,FALSE),"0")</f>
        <v>9.0287500000000005</v>
      </c>
    </row>
    <row r="593" spans="1:45" x14ac:dyDescent="0.35">
      <c r="A593" s="68" t="str">
        <f t="shared" si="89"/>
        <v>Fev202510825ReceptivaTRANSFERÊNCIA</v>
      </c>
      <c r="B593" s="114" t="str">
        <f t="shared" si="90"/>
        <v>Fev2025108255TRANSFERÊNCIAPADRÃO</v>
      </c>
      <c r="C593" s="70">
        <v>1</v>
      </c>
      <c r="D593" s="71">
        <v>45700.497080208334</v>
      </c>
      <c r="E593" s="112" t="s">
        <v>338</v>
      </c>
      <c r="F593" s="72">
        <v>10825</v>
      </c>
      <c r="G593" s="69" t="s">
        <v>150</v>
      </c>
      <c r="H593" s="73">
        <v>5</v>
      </c>
      <c r="I593" s="69" t="s">
        <v>6</v>
      </c>
      <c r="J593" s="69" t="s">
        <v>98</v>
      </c>
      <c r="K593" s="69" t="s">
        <v>106</v>
      </c>
      <c r="L593" s="74"/>
      <c r="M593" s="75">
        <v>1.1805555555555556E-3</v>
      </c>
      <c r="N593" s="76" t="s">
        <v>79</v>
      </c>
      <c r="O593" s="76" t="s">
        <v>79</v>
      </c>
      <c r="P593" s="76" t="s">
        <v>79</v>
      </c>
      <c r="Q593" s="76" t="s">
        <v>79</v>
      </c>
      <c r="R593" s="76" t="s">
        <v>79</v>
      </c>
      <c r="S593" s="76" t="s">
        <v>79</v>
      </c>
      <c r="T593" s="76" t="s">
        <v>79</v>
      </c>
      <c r="U593" s="76" t="s">
        <v>79</v>
      </c>
      <c r="V593" s="76" t="s">
        <v>79</v>
      </c>
      <c r="W593" s="76" t="s">
        <v>79</v>
      </c>
      <c r="X593" s="76" t="s">
        <v>79</v>
      </c>
      <c r="Y593" s="76" t="s">
        <v>79</v>
      </c>
      <c r="Z593" s="77">
        <f t="shared" si="79"/>
        <v>10</v>
      </c>
      <c r="AA593" s="78"/>
      <c r="AB593" s="78"/>
      <c r="AC593" s="72" t="s">
        <v>47</v>
      </c>
      <c r="AE593" s="79" t="str">
        <f t="shared" si="91"/>
        <v>Fev10825</v>
      </c>
      <c r="AF593" s="80">
        <f>IF(N593="","",IF(N593="SIM",VLOOKUP($I593&amp;$J593&amp;N$1,Pesos!$A:$I,7,FALSE),VLOOKUP($I593&amp;$J593&amp;N$1,Pesos!$A:$I,9,FALSE)))</f>
        <v>0.8</v>
      </c>
      <c r="AG593" s="80">
        <f>IF(O593="","",IF(O593="SIM",VLOOKUP($I593&amp;$J593&amp;O$1,Pesos!$A:$I,7,FALSE),VLOOKUP($I593&amp;$J593&amp;O$1,Pesos!$A:$I,9,FALSE)))</f>
        <v>0.8</v>
      </c>
      <c r="AH593" s="80">
        <f>IF(P593="","",IF(P593="SIM",VLOOKUP($I593&amp;$J593&amp;P$1,Pesos!$A:$I,7,FALSE),VLOOKUP($I593&amp;$J593&amp;P$1,Pesos!$A:$I,9,FALSE)))</f>
        <v>1.2</v>
      </c>
      <c r="AI593" s="80">
        <f>IF(Q593="","",IF(Q593="SIM",VLOOKUP($I593&amp;$J593&amp;Q$1,Pesos!$A:$I,7,FALSE),VLOOKUP($I593&amp;$J593&amp;Q$1,Pesos!$A:$I,9,FALSE)))</f>
        <v>0.8</v>
      </c>
      <c r="AJ593" s="80">
        <f>IF(R593="","",IF(R593="SIM",VLOOKUP($I593&amp;$J593&amp;R$1,Pesos!$A:$I,7,FALSE),VLOOKUP($I593&amp;$J593&amp;R$1,Pesos!$A:$I,9,FALSE)))</f>
        <v>0.8</v>
      </c>
      <c r="AK593" s="80">
        <f>IF(S593="","",IF(S593="SIM",VLOOKUP($I593&amp;$J593&amp;S$1,Pesos!$A:$I,7,FALSE),VLOOKUP($I593&amp;$J593&amp;S$1,Pesos!$A:$I,9,FALSE)))</f>
        <v>0.8</v>
      </c>
      <c r="AL593" s="80">
        <f t="shared" ref="AL593:AL656" si="92">SUM(AF593:AK593)</f>
        <v>5.1999999999999993</v>
      </c>
      <c r="AM593" s="80">
        <f>IF(T593="","",IF(T593="SIM",VLOOKUP($I593&amp;$J593&amp;T$1,Pesos!$A:$I,7,FALSE),VLOOKUP($I593&amp;$J593&amp;T$1,Pesos!$A:$I,9,FALSE)))</f>
        <v>0.8</v>
      </c>
      <c r="AN593" s="80">
        <f>IF(U593="","",IF(U593="SIM",VLOOKUP($I593&amp;$J593&amp;U$1,Pesos!$A:$I,7,FALSE),VLOOKUP($I593&amp;$J593&amp;U$1,Pesos!$A:$I,9,FALSE)))</f>
        <v>0.8</v>
      </c>
      <c r="AO593" s="80">
        <f>IF(V593="","",IF(V593="SIM",VLOOKUP($I593&amp;$J593&amp;V$1,Pesos!$A:$I,7,FALSE),VLOOKUP($I593&amp;$J593&amp;V$1,Pesos!$A:$I,9,FALSE)))</f>
        <v>0.8</v>
      </c>
      <c r="AP593" s="80">
        <f>IF(W593="","",IF(W593="SIM",VLOOKUP($I593&amp;$J593&amp;W$1,Pesos!$A:$I,7,FALSE),VLOOKUP($I593&amp;$J593&amp;W$1,Pesos!$A:$I,9,FALSE)))</f>
        <v>0.8</v>
      </c>
      <c r="AQ593" s="80">
        <f>IF(X593="","",IF(X593="SIM",VLOOKUP($I593&amp;$J593&amp;X$1,Pesos!$A:$I,7,FALSE),VLOOKUP($I593&amp;$J593&amp;X$1,Pesos!$A:$I,9,FALSE)))</f>
        <v>0.8</v>
      </c>
      <c r="AR593" s="80">
        <f>IF(Y593="","",IF(Y593="SIM",VLOOKUP($I593&amp;$J593&amp;Y$1,Pesos!$A:$I,7,FALSE),VLOOKUP($I593&amp;$J593&amp;Y$1,Pesos!$A:$I,9,FALSE)))</f>
        <v>0.8</v>
      </c>
      <c r="AS593" s="81">
        <f>IFERROR(Z593*VLOOKUP(J593,'BD Campos'!$Y$1:$Z$12,2,FALSE),"0")</f>
        <v>10</v>
      </c>
    </row>
    <row r="594" spans="1:45" x14ac:dyDescent="0.35">
      <c r="A594" s="68" t="str">
        <f t="shared" si="89"/>
        <v>Fev202510953ReceptivaTRANSFERÊNCIA</v>
      </c>
      <c r="B594" s="114" t="str">
        <f t="shared" si="90"/>
        <v>Fev2025109535TRANSFERÊNCIAPADRÃO</v>
      </c>
      <c r="C594" s="70">
        <v>1</v>
      </c>
      <c r="D594" s="71">
        <v>45700.498203240742</v>
      </c>
      <c r="E594" s="112" t="s">
        <v>338</v>
      </c>
      <c r="F594" s="72">
        <v>10953</v>
      </c>
      <c r="G594" s="69" t="s">
        <v>158</v>
      </c>
      <c r="H594" s="73">
        <v>5</v>
      </c>
      <c r="I594" s="69" t="s">
        <v>6</v>
      </c>
      <c r="J594" s="69" t="s">
        <v>98</v>
      </c>
      <c r="K594" s="69" t="s">
        <v>106</v>
      </c>
      <c r="L594" s="74"/>
      <c r="M594" s="75">
        <v>1.5277777777777779E-3</v>
      </c>
      <c r="N594" s="76"/>
      <c r="O594" s="76"/>
      <c r="P594" s="76"/>
      <c r="Q594" s="76"/>
      <c r="R594" s="76"/>
      <c r="S594" s="76"/>
      <c r="T594" s="76"/>
      <c r="U594" s="76"/>
      <c r="V594" s="76"/>
      <c r="W594" s="76"/>
      <c r="X594" s="76"/>
      <c r="Y594" s="76"/>
      <c r="Z594" s="77">
        <f t="shared" si="79"/>
        <v>0</v>
      </c>
      <c r="AA594" s="78" t="s">
        <v>1630</v>
      </c>
      <c r="AB594" s="78"/>
      <c r="AC594" s="72" t="s">
        <v>47</v>
      </c>
      <c r="AE594" s="79" t="str">
        <f t="shared" si="91"/>
        <v>Fev10953</v>
      </c>
      <c r="AF594" s="80" t="str">
        <f>IF(N594="","",IF(N594="SIM",VLOOKUP($I594&amp;$J594&amp;N$1,Pesos!$A:$I,7,FALSE),VLOOKUP($I594&amp;$J594&amp;N$1,Pesos!$A:$I,9,FALSE)))</f>
        <v/>
      </c>
      <c r="AG594" s="80" t="str">
        <f>IF(O594="","",IF(O594="SIM",VLOOKUP($I594&amp;$J594&amp;O$1,Pesos!$A:$I,7,FALSE),VLOOKUP($I594&amp;$J594&amp;O$1,Pesos!$A:$I,9,FALSE)))</f>
        <v/>
      </c>
      <c r="AH594" s="80" t="str">
        <f>IF(P594="","",IF(P594="SIM",VLOOKUP($I594&amp;$J594&amp;P$1,Pesos!$A:$I,7,FALSE),VLOOKUP($I594&amp;$J594&amp;P$1,Pesos!$A:$I,9,FALSE)))</f>
        <v/>
      </c>
      <c r="AI594" s="80" t="str">
        <f>IF(Q594="","",IF(Q594="SIM",VLOOKUP($I594&amp;$J594&amp;Q$1,Pesos!$A:$I,7,FALSE),VLOOKUP($I594&amp;$J594&amp;Q$1,Pesos!$A:$I,9,FALSE)))</f>
        <v/>
      </c>
      <c r="AJ594" s="80" t="str">
        <f>IF(R594="","",IF(R594="SIM",VLOOKUP($I594&amp;$J594&amp;R$1,Pesos!$A:$I,7,FALSE),VLOOKUP($I594&amp;$J594&amp;R$1,Pesos!$A:$I,9,FALSE)))</f>
        <v/>
      </c>
      <c r="AK594" s="80" t="str">
        <f>IF(S594="","",IF(S594="SIM",VLOOKUP($I594&amp;$J594&amp;S$1,Pesos!$A:$I,7,FALSE),VLOOKUP($I594&amp;$J594&amp;S$1,Pesos!$A:$I,9,FALSE)))</f>
        <v/>
      </c>
      <c r="AL594" s="80">
        <f t="shared" si="92"/>
        <v>0</v>
      </c>
      <c r="AM594" s="80" t="str">
        <f>IF(T594="","",IF(T594="SIM",VLOOKUP($I594&amp;$J594&amp;T$1,Pesos!$A:$I,7,FALSE),VLOOKUP($I594&amp;$J594&amp;T$1,Pesos!$A:$I,9,FALSE)))</f>
        <v/>
      </c>
      <c r="AN594" s="80" t="str">
        <f>IF(U594="","",IF(U594="SIM",VLOOKUP($I594&amp;$J594&amp;U$1,Pesos!$A:$I,7,FALSE),VLOOKUP($I594&amp;$J594&amp;U$1,Pesos!$A:$I,9,FALSE)))</f>
        <v/>
      </c>
      <c r="AO594" s="80" t="str">
        <f>IF(V594="","",IF(V594="SIM",VLOOKUP($I594&amp;$J594&amp;V$1,Pesos!$A:$I,7,FALSE),VLOOKUP($I594&amp;$J594&amp;V$1,Pesos!$A:$I,9,FALSE)))</f>
        <v/>
      </c>
      <c r="AP594" s="80" t="str">
        <f>IF(W594="","",IF(W594="SIM",VLOOKUP($I594&amp;$J594&amp;W$1,Pesos!$A:$I,7,FALSE),VLOOKUP($I594&amp;$J594&amp;W$1,Pesos!$A:$I,9,FALSE)))</f>
        <v/>
      </c>
      <c r="AQ594" s="80" t="str">
        <f>IF(X594="","",IF(X594="SIM",VLOOKUP($I594&amp;$J594&amp;X$1,Pesos!$A:$I,7,FALSE),VLOOKUP($I594&amp;$J594&amp;X$1,Pesos!$A:$I,9,FALSE)))</f>
        <v/>
      </c>
      <c r="AR594" s="80" t="str">
        <f>IF(Y594="","",IF(Y594="SIM",VLOOKUP($I594&amp;$J594&amp;Y$1,Pesos!$A:$I,7,FALSE),VLOOKUP($I594&amp;$J594&amp;Y$1,Pesos!$A:$I,9,FALSE)))</f>
        <v/>
      </c>
      <c r="AS594" s="81">
        <f>IFERROR(Z594*VLOOKUP(J594,'BD Campos'!$Y$1:$Z$12,2,FALSE),"0")</f>
        <v>0</v>
      </c>
    </row>
    <row r="595" spans="1:45" x14ac:dyDescent="0.35">
      <c r="A595" s="68" t="str">
        <f t="shared" si="89"/>
        <v>Fev202510958ReceptivaTRANSFERÊNCIA</v>
      </c>
      <c r="B595" s="114" t="str">
        <f t="shared" si="90"/>
        <v>Fev2025109585TRANSFERÊNCIAPADRÃO</v>
      </c>
      <c r="C595" s="70">
        <v>1</v>
      </c>
      <c r="D595" s="71">
        <v>45700.499707175928</v>
      </c>
      <c r="E595" s="112" t="s">
        <v>338</v>
      </c>
      <c r="F595" s="72">
        <v>10958</v>
      </c>
      <c r="G595" s="69" t="s">
        <v>159</v>
      </c>
      <c r="H595" s="73">
        <v>5</v>
      </c>
      <c r="I595" s="69" t="s">
        <v>6</v>
      </c>
      <c r="J595" s="69" t="s">
        <v>98</v>
      </c>
      <c r="K595" s="69" t="s">
        <v>106</v>
      </c>
      <c r="L595" s="74"/>
      <c r="M595" s="75">
        <v>1.6550925925925926E-3</v>
      </c>
      <c r="N595" s="76" t="s">
        <v>79</v>
      </c>
      <c r="O595" s="76" t="s">
        <v>79</v>
      </c>
      <c r="P595" s="76" t="s">
        <v>79</v>
      </c>
      <c r="Q595" s="76" t="s">
        <v>79</v>
      </c>
      <c r="R595" s="76" t="s">
        <v>79</v>
      </c>
      <c r="S595" s="76" t="s">
        <v>79</v>
      </c>
      <c r="T595" s="76" t="s">
        <v>79</v>
      </c>
      <c r="U595" s="76" t="s">
        <v>79</v>
      </c>
      <c r="V595" s="76" t="s">
        <v>79</v>
      </c>
      <c r="W595" s="76" t="s">
        <v>79</v>
      </c>
      <c r="X595" s="76" t="s">
        <v>79</v>
      </c>
      <c r="Y595" s="76" t="s">
        <v>79</v>
      </c>
      <c r="Z595" s="77">
        <f t="shared" si="79"/>
        <v>10</v>
      </c>
      <c r="AA595" s="78"/>
      <c r="AB595" s="78"/>
      <c r="AC595" s="72" t="s">
        <v>47</v>
      </c>
      <c r="AE595" s="79" t="str">
        <f t="shared" si="91"/>
        <v>Fev10958</v>
      </c>
      <c r="AF595" s="80">
        <f>IF(N595="","",IF(N595="SIM",VLOOKUP($I595&amp;$J595&amp;N$1,Pesos!$A:$I,7,FALSE),VLOOKUP($I595&amp;$J595&amp;N$1,Pesos!$A:$I,9,FALSE)))</f>
        <v>0.8</v>
      </c>
      <c r="AG595" s="80">
        <f>IF(O595="","",IF(O595="SIM",VLOOKUP($I595&amp;$J595&amp;O$1,Pesos!$A:$I,7,FALSE),VLOOKUP($I595&amp;$J595&amp;O$1,Pesos!$A:$I,9,FALSE)))</f>
        <v>0.8</v>
      </c>
      <c r="AH595" s="80">
        <f>IF(P595="","",IF(P595="SIM",VLOOKUP($I595&amp;$J595&amp;P$1,Pesos!$A:$I,7,FALSE),VLOOKUP($I595&amp;$J595&amp;P$1,Pesos!$A:$I,9,FALSE)))</f>
        <v>1.2</v>
      </c>
      <c r="AI595" s="80">
        <f>IF(Q595="","",IF(Q595="SIM",VLOOKUP($I595&amp;$J595&amp;Q$1,Pesos!$A:$I,7,FALSE),VLOOKUP($I595&amp;$J595&amp;Q$1,Pesos!$A:$I,9,FALSE)))</f>
        <v>0.8</v>
      </c>
      <c r="AJ595" s="80">
        <f>IF(R595="","",IF(R595="SIM",VLOOKUP($I595&amp;$J595&amp;R$1,Pesos!$A:$I,7,FALSE),VLOOKUP($I595&amp;$J595&amp;R$1,Pesos!$A:$I,9,FALSE)))</f>
        <v>0.8</v>
      </c>
      <c r="AK595" s="80">
        <f>IF(S595="","",IF(S595="SIM",VLOOKUP($I595&amp;$J595&amp;S$1,Pesos!$A:$I,7,FALSE),VLOOKUP($I595&amp;$J595&amp;S$1,Pesos!$A:$I,9,FALSE)))</f>
        <v>0.8</v>
      </c>
      <c r="AL595" s="80">
        <f t="shared" si="92"/>
        <v>5.1999999999999993</v>
      </c>
      <c r="AM595" s="80">
        <f>IF(T595="","",IF(T595="SIM",VLOOKUP($I595&amp;$J595&amp;T$1,Pesos!$A:$I,7,FALSE),VLOOKUP($I595&amp;$J595&amp;T$1,Pesos!$A:$I,9,FALSE)))</f>
        <v>0.8</v>
      </c>
      <c r="AN595" s="80">
        <f>IF(U595="","",IF(U595="SIM",VLOOKUP($I595&amp;$J595&amp;U$1,Pesos!$A:$I,7,FALSE),VLOOKUP($I595&amp;$J595&amp;U$1,Pesos!$A:$I,9,FALSE)))</f>
        <v>0.8</v>
      </c>
      <c r="AO595" s="80">
        <f>IF(V595="","",IF(V595="SIM",VLOOKUP($I595&amp;$J595&amp;V$1,Pesos!$A:$I,7,FALSE),VLOOKUP($I595&amp;$J595&amp;V$1,Pesos!$A:$I,9,FALSE)))</f>
        <v>0.8</v>
      </c>
      <c r="AP595" s="80">
        <f>IF(W595="","",IF(W595="SIM",VLOOKUP($I595&amp;$J595&amp;W$1,Pesos!$A:$I,7,FALSE),VLOOKUP($I595&amp;$J595&amp;W$1,Pesos!$A:$I,9,FALSE)))</f>
        <v>0.8</v>
      </c>
      <c r="AQ595" s="80">
        <f>IF(X595="","",IF(X595="SIM",VLOOKUP($I595&amp;$J595&amp;X$1,Pesos!$A:$I,7,FALSE),VLOOKUP($I595&amp;$J595&amp;X$1,Pesos!$A:$I,9,FALSE)))</f>
        <v>0.8</v>
      </c>
      <c r="AR595" s="80">
        <f>IF(Y595="","",IF(Y595="SIM",VLOOKUP($I595&amp;$J595&amp;Y$1,Pesos!$A:$I,7,FALSE),VLOOKUP($I595&amp;$J595&amp;Y$1,Pesos!$A:$I,9,FALSE)))</f>
        <v>0.8</v>
      </c>
      <c r="AS595" s="81">
        <f>IFERROR(Z595*VLOOKUP(J595,'BD Campos'!$Y$1:$Z$12,2,FALSE),"0")</f>
        <v>10</v>
      </c>
    </row>
    <row r="596" spans="1:45" x14ac:dyDescent="0.35">
      <c r="A596" s="68" t="str">
        <f t="shared" si="89"/>
        <v>Fev202510676ReceptivaTRANSFERÊNCIA</v>
      </c>
      <c r="B596" s="114" t="str">
        <f t="shared" si="90"/>
        <v>Fev2025106765TRANSFERÊNCIAPADRÃO</v>
      </c>
      <c r="C596" s="70">
        <v>1</v>
      </c>
      <c r="D596" s="71">
        <v>45700.500642708335</v>
      </c>
      <c r="E596" s="112" t="s">
        <v>338</v>
      </c>
      <c r="F596" s="72">
        <v>10676</v>
      </c>
      <c r="G596" s="69" t="s">
        <v>163</v>
      </c>
      <c r="H596" s="73">
        <v>5</v>
      </c>
      <c r="I596" s="69" t="s">
        <v>6</v>
      </c>
      <c r="J596" s="69" t="s">
        <v>98</v>
      </c>
      <c r="K596" s="69" t="s">
        <v>106</v>
      </c>
      <c r="L596" s="74"/>
      <c r="M596" s="75">
        <v>1.5277777777777779E-3</v>
      </c>
      <c r="N596" s="76" t="s">
        <v>79</v>
      </c>
      <c r="O596" s="76" t="s">
        <v>79</v>
      </c>
      <c r="P596" s="76" t="s">
        <v>79</v>
      </c>
      <c r="Q596" s="76" t="s">
        <v>79</v>
      </c>
      <c r="R596" s="76" t="s">
        <v>79</v>
      </c>
      <c r="S596" s="76" t="s">
        <v>79</v>
      </c>
      <c r="T596" s="76" t="s">
        <v>79</v>
      </c>
      <c r="U596" s="76" t="s">
        <v>79</v>
      </c>
      <c r="V596" s="76" t="s">
        <v>79</v>
      </c>
      <c r="W596" s="76" t="s">
        <v>79</v>
      </c>
      <c r="X596" s="76" t="s">
        <v>79</v>
      </c>
      <c r="Y596" s="76" t="s">
        <v>79</v>
      </c>
      <c r="Z596" s="77">
        <f t="shared" si="79"/>
        <v>10</v>
      </c>
      <c r="AA596" s="78"/>
      <c r="AB596" s="78"/>
      <c r="AC596" s="72" t="s">
        <v>47</v>
      </c>
      <c r="AE596" s="79" t="str">
        <f t="shared" si="91"/>
        <v>Fev10676</v>
      </c>
      <c r="AF596" s="80">
        <f>IF(N596="","",IF(N596="SIM",VLOOKUP($I596&amp;$J596&amp;N$1,Pesos!$A:$I,7,FALSE),VLOOKUP($I596&amp;$J596&amp;N$1,Pesos!$A:$I,9,FALSE)))</f>
        <v>0.8</v>
      </c>
      <c r="AG596" s="80">
        <f>IF(O596="","",IF(O596="SIM",VLOOKUP($I596&amp;$J596&amp;O$1,Pesos!$A:$I,7,FALSE),VLOOKUP($I596&amp;$J596&amp;O$1,Pesos!$A:$I,9,FALSE)))</f>
        <v>0.8</v>
      </c>
      <c r="AH596" s="80">
        <f>IF(P596="","",IF(P596="SIM",VLOOKUP($I596&amp;$J596&amp;P$1,Pesos!$A:$I,7,FALSE),VLOOKUP($I596&amp;$J596&amp;P$1,Pesos!$A:$I,9,FALSE)))</f>
        <v>1.2</v>
      </c>
      <c r="AI596" s="80">
        <f>IF(Q596="","",IF(Q596="SIM",VLOOKUP($I596&amp;$J596&amp;Q$1,Pesos!$A:$I,7,FALSE),VLOOKUP($I596&amp;$J596&amp;Q$1,Pesos!$A:$I,9,FALSE)))</f>
        <v>0.8</v>
      </c>
      <c r="AJ596" s="80">
        <f>IF(R596="","",IF(R596="SIM",VLOOKUP($I596&amp;$J596&amp;R$1,Pesos!$A:$I,7,FALSE),VLOOKUP($I596&amp;$J596&amp;R$1,Pesos!$A:$I,9,FALSE)))</f>
        <v>0.8</v>
      </c>
      <c r="AK596" s="80">
        <f>IF(S596="","",IF(S596="SIM",VLOOKUP($I596&amp;$J596&amp;S$1,Pesos!$A:$I,7,FALSE),VLOOKUP($I596&amp;$J596&amp;S$1,Pesos!$A:$I,9,FALSE)))</f>
        <v>0.8</v>
      </c>
      <c r="AL596" s="80">
        <f t="shared" si="92"/>
        <v>5.1999999999999993</v>
      </c>
      <c r="AM596" s="80">
        <f>IF(T596="","",IF(T596="SIM",VLOOKUP($I596&amp;$J596&amp;T$1,Pesos!$A:$I,7,FALSE),VLOOKUP($I596&amp;$J596&amp;T$1,Pesos!$A:$I,9,FALSE)))</f>
        <v>0.8</v>
      </c>
      <c r="AN596" s="80">
        <f>IF(U596="","",IF(U596="SIM",VLOOKUP($I596&amp;$J596&amp;U$1,Pesos!$A:$I,7,FALSE),VLOOKUP($I596&amp;$J596&amp;U$1,Pesos!$A:$I,9,FALSE)))</f>
        <v>0.8</v>
      </c>
      <c r="AO596" s="80">
        <f>IF(V596="","",IF(V596="SIM",VLOOKUP($I596&amp;$J596&amp;V$1,Pesos!$A:$I,7,FALSE),VLOOKUP($I596&amp;$J596&amp;V$1,Pesos!$A:$I,9,FALSE)))</f>
        <v>0.8</v>
      </c>
      <c r="AP596" s="80">
        <f>IF(W596="","",IF(W596="SIM",VLOOKUP($I596&amp;$J596&amp;W$1,Pesos!$A:$I,7,FALSE),VLOOKUP($I596&amp;$J596&amp;W$1,Pesos!$A:$I,9,FALSE)))</f>
        <v>0.8</v>
      </c>
      <c r="AQ596" s="80">
        <f>IF(X596="","",IF(X596="SIM",VLOOKUP($I596&amp;$J596&amp;X$1,Pesos!$A:$I,7,FALSE),VLOOKUP($I596&amp;$J596&amp;X$1,Pesos!$A:$I,9,FALSE)))</f>
        <v>0.8</v>
      </c>
      <c r="AR596" s="80">
        <f>IF(Y596="","",IF(Y596="SIM",VLOOKUP($I596&amp;$J596&amp;Y$1,Pesos!$A:$I,7,FALSE),VLOOKUP($I596&amp;$J596&amp;Y$1,Pesos!$A:$I,9,FALSE)))</f>
        <v>0.8</v>
      </c>
      <c r="AS596" s="81">
        <f>IFERROR(Z596*VLOOKUP(J596,'BD Campos'!$Y$1:$Z$12,2,FALSE),"0")</f>
        <v>10</v>
      </c>
    </row>
    <row r="597" spans="1:45" x14ac:dyDescent="0.35">
      <c r="A597" s="68" t="str">
        <f t="shared" si="89"/>
        <v>Fev202511104ReceptivaTRANSFERÊNCIA</v>
      </c>
      <c r="B597" s="114" t="str">
        <f t="shared" si="90"/>
        <v>Fev2025111045TRANSFERÊNCIAPADRÃO</v>
      </c>
      <c r="C597" s="70">
        <v>1</v>
      </c>
      <c r="D597" s="71">
        <v>45700.502242592593</v>
      </c>
      <c r="E597" s="112" t="s">
        <v>338</v>
      </c>
      <c r="F597" s="72">
        <v>11104</v>
      </c>
      <c r="G597" s="69" t="s">
        <v>415</v>
      </c>
      <c r="H597" s="73">
        <v>5</v>
      </c>
      <c r="I597" s="69" t="s">
        <v>6</v>
      </c>
      <c r="J597" s="69" t="s">
        <v>98</v>
      </c>
      <c r="K597" s="69" t="s">
        <v>106</v>
      </c>
      <c r="L597" s="74"/>
      <c r="M597" s="75">
        <v>1.9791666666666668E-3</v>
      </c>
      <c r="N597" s="76" t="s">
        <v>83</v>
      </c>
      <c r="O597" s="76" t="s">
        <v>79</v>
      </c>
      <c r="P597" s="76" t="s">
        <v>79</v>
      </c>
      <c r="Q597" s="76" t="s">
        <v>79</v>
      </c>
      <c r="R597" s="76" t="s">
        <v>79</v>
      </c>
      <c r="S597" s="76" t="s">
        <v>79</v>
      </c>
      <c r="T597" s="76" t="s">
        <v>79</v>
      </c>
      <c r="U597" s="76" t="s">
        <v>79</v>
      </c>
      <c r="V597" s="76" t="s">
        <v>79</v>
      </c>
      <c r="W597" s="76" t="s">
        <v>79</v>
      </c>
      <c r="X597" s="76" t="s">
        <v>79</v>
      </c>
      <c r="Y597" s="76" t="s">
        <v>79</v>
      </c>
      <c r="Z597" s="77">
        <f t="shared" si="79"/>
        <v>9.16</v>
      </c>
      <c r="AA597" s="78" t="s">
        <v>1616</v>
      </c>
      <c r="AB597" s="78"/>
      <c r="AC597" s="72" t="s">
        <v>47</v>
      </c>
      <c r="AE597" s="79" t="str">
        <f t="shared" si="91"/>
        <v>Fev11104</v>
      </c>
      <c r="AF597" s="80">
        <f>IF(N597="","",IF(N597="SIM",VLOOKUP($I597&amp;$J597&amp;N$1,Pesos!$A:$I,7,FALSE),VLOOKUP($I597&amp;$J597&amp;N$1,Pesos!$A:$I,9,FALSE)))</f>
        <v>-4.0000000000000008E-2</v>
      </c>
      <c r="AG597" s="80">
        <f>IF(O597="","",IF(O597="SIM",VLOOKUP($I597&amp;$J597&amp;O$1,Pesos!$A:$I,7,FALSE),VLOOKUP($I597&amp;$J597&amp;O$1,Pesos!$A:$I,9,FALSE)))</f>
        <v>0.8</v>
      </c>
      <c r="AH597" s="80">
        <f>IF(P597="","",IF(P597="SIM",VLOOKUP($I597&amp;$J597&amp;P$1,Pesos!$A:$I,7,FALSE),VLOOKUP($I597&amp;$J597&amp;P$1,Pesos!$A:$I,9,FALSE)))</f>
        <v>1.2</v>
      </c>
      <c r="AI597" s="80">
        <f>IF(Q597="","",IF(Q597="SIM",VLOOKUP($I597&amp;$J597&amp;Q$1,Pesos!$A:$I,7,FALSE),VLOOKUP($I597&amp;$J597&amp;Q$1,Pesos!$A:$I,9,FALSE)))</f>
        <v>0.8</v>
      </c>
      <c r="AJ597" s="80">
        <f>IF(R597="","",IF(R597="SIM",VLOOKUP($I597&amp;$J597&amp;R$1,Pesos!$A:$I,7,FALSE),VLOOKUP($I597&amp;$J597&amp;R$1,Pesos!$A:$I,9,FALSE)))</f>
        <v>0.8</v>
      </c>
      <c r="AK597" s="80">
        <f>IF(S597="","",IF(S597="SIM",VLOOKUP($I597&amp;$J597&amp;S$1,Pesos!$A:$I,7,FALSE),VLOOKUP($I597&amp;$J597&amp;S$1,Pesos!$A:$I,9,FALSE)))</f>
        <v>0.8</v>
      </c>
      <c r="AL597" s="80">
        <f t="shared" si="92"/>
        <v>4.3599999999999994</v>
      </c>
      <c r="AM597" s="80">
        <f>IF(T597="","",IF(T597="SIM",VLOOKUP($I597&amp;$J597&amp;T$1,Pesos!$A:$I,7,FALSE),VLOOKUP($I597&amp;$J597&amp;T$1,Pesos!$A:$I,9,FALSE)))</f>
        <v>0.8</v>
      </c>
      <c r="AN597" s="80">
        <f>IF(U597="","",IF(U597="SIM",VLOOKUP($I597&amp;$J597&amp;U$1,Pesos!$A:$I,7,FALSE),VLOOKUP($I597&amp;$J597&amp;U$1,Pesos!$A:$I,9,FALSE)))</f>
        <v>0.8</v>
      </c>
      <c r="AO597" s="80">
        <f>IF(V597="","",IF(V597="SIM",VLOOKUP($I597&amp;$J597&amp;V$1,Pesos!$A:$I,7,FALSE),VLOOKUP($I597&amp;$J597&amp;V$1,Pesos!$A:$I,9,FALSE)))</f>
        <v>0.8</v>
      </c>
      <c r="AP597" s="80">
        <f>IF(W597="","",IF(W597="SIM",VLOOKUP($I597&amp;$J597&amp;W$1,Pesos!$A:$I,7,FALSE),VLOOKUP($I597&amp;$J597&amp;W$1,Pesos!$A:$I,9,FALSE)))</f>
        <v>0.8</v>
      </c>
      <c r="AQ597" s="80">
        <f>IF(X597="","",IF(X597="SIM",VLOOKUP($I597&amp;$J597&amp;X$1,Pesos!$A:$I,7,FALSE),VLOOKUP($I597&amp;$J597&amp;X$1,Pesos!$A:$I,9,FALSE)))</f>
        <v>0.8</v>
      </c>
      <c r="AR597" s="80">
        <f>IF(Y597="","",IF(Y597="SIM",VLOOKUP($I597&amp;$J597&amp;Y$1,Pesos!$A:$I,7,FALSE),VLOOKUP($I597&amp;$J597&amp;Y$1,Pesos!$A:$I,9,FALSE)))</f>
        <v>0.8</v>
      </c>
      <c r="AS597" s="81">
        <f>IFERROR(Z597*VLOOKUP(J597,'BD Campos'!$Y$1:$Z$12,2,FALSE),"0")</f>
        <v>9.16</v>
      </c>
    </row>
    <row r="598" spans="1:45" x14ac:dyDescent="0.35">
      <c r="A598" s="68" t="str">
        <f t="shared" si="89"/>
        <v>Fev202511149ReceptivaTRANSFERÊNCIA</v>
      </c>
      <c r="B598" s="114" t="str">
        <f t="shared" si="90"/>
        <v>Fev2025111495TRANSFERÊNCIAPADRÃO</v>
      </c>
      <c r="C598" s="70">
        <v>1</v>
      </c>
      <c r="D598" s="71">
        <v>45700.504545601849</v>
      </c>
      <c r="E598" s="112" t="s">
        <v>338</v>
      </c>
      <c r="F598" s="72">
        <v>11149</v>
      </c>
      <c r="G598" s="69" t="s">
        <v>440</v>
      </c>
      <c r="H598" s="73">
        <v>5</v>
      </c>
      <c r="I598" s="69" t="s">
        <v>6</v>
      </c>
      <c r="J598" s="69" t="s">
        <v>98</v>
      </c>
      <c r="K598" s="69" t="s">
        <v>106</v>
      </c>
      <c r="L598" s="74"/>
      <c r="M598" s="75">
        <v>1.8865740740740742E-3</v>
      </c>
      <c r="N598" s="76" t="s">
        <v>83</v>
      </c>
      <c r="O598" s="76" t="s">
        <v>83</v>
      </c>
      <c r="P598" s="76" t="s">
        <v>79</v>
      </c>
      <c r="Q598" s="76" t="s">
        <v>79</v>
      </c>
      <c r="R598" s="76" t="s">
        <v>79</v>
      </c>
      <c r="S598" s="76" t="s">
        <v>79</v>
      </c>
      <c r="T598" s="76" t="s">
        <v>79</v>
      </c>
      <c r="U598" s="76" t="s">
        <v>79</v>
      </c>
      <c r="V598" s="76" t="s">
        <v>79</v>
      </c>
      <c r="W598" s="76" t="s">
        <v>79</v>
      </c>
      <c r="X598" s="76" t="s">
        <v>79</v>
      </c>
      <c r="Y598" s="76" t="s">
        <v>79</v>
      </c>
      <c r="Z598" s="77">
        <f t="shared" si="79"/>
        <v>8.3199999999999985</v>
      </c>
      <c r="AA598" s="78" t="s">
        <v>1616</v>
      </c>
      <c r="AB598" s="78"/>
      <c r="AC598" s="72" t="s">
        <v>47</v>
      </c>
      <c r="AE598" s="79" t="str">
        <f t="shared" si="91"/>
        <v>Fev11149</v>
      </c>
      <c r="AF598" s="80">
        <f>IF(N598="","",IF(N598="SIM",VLOOKUP($I598&amp;$J598&amp;N$1,Pesos!$A:$I,7,FALSE),VLOOKUP($I598&amp;$J598&amp;N$1,Pesos!$A:$I,9,FALSE)))</f>
        <v>-4.0000000000000008E-2</v>
      </c>
      <c r="AG598" s="80">
        <f>IF(O598="","",IF(O598="SIM",VLOOKUP($I598&amp;$J598&amp;O$1,Pesos!$A:$I,7,FALSE),VLOOKUP($I598&amp;$J598&amp;O$1,Pesos!$A:$I,9,FALSE)))</f>
        <v>-4.0000000000000008E-2</v>
      </c>
      <c r="AH598" s="80">
        <f>IF(P598="","",IF(P598="SIM",VLOOKUP($I598&amp;$J598&amp;P$1,Pesos!$A:$I,7,FALSE),VLOOKUP($I598&amp;$J598&amp;P$1,Pesos!$A:$I,9,FALSE)))</f>
        <v>1.2</v>
      </c>
      <c r="AI598" s="80">
        <f>IF(Q598="","",IF(Q598="SIM",VLOOKUP($I598&amp;$J598&amp;Q$1,Pesos!$A:$I,7,FALSE),VLOOKUP($I598&amp;$J598&amp;Q$1,Pesos!$A:$I,9,FALSE)))</f>
        <v>0.8</v>
      </c>
      <c r="AJ598" s="80">
        <f>IF(R598="","",IF(R598="SIM",VLOOKUP($I598&amp;$J598&amp;R$1,Pesos!$A:$I,7,FALSE),VLOOKUP($I598&amp;$J598&amp;R$1,Pesos!$A:$I,9,FALSE)))</f>
        <v>0.8</v>
      </c>
      <c r="AK598" s="80">
        <f>IF(S598="","",IF(S598="SIM",VLOOKUP($I598&amp;$J598&amp;S$1,Pesos!$A:$I,7,FALSE),VLOOKUP($I598&amp;$J598&amp;S$1,Pesos!$A:$I,9,FALSE)))</f>
        <v>0.8</v>
      </c>
      <c r="AL598" s="80">
        <f t="shared" si="92"/>
        <v>3.5199999999999996</v>
      </c>
      <c r="AM598" s="80">
        <f>IF(T598="","",IF(T598="SIM",VLOOKUP($I598&amp;$J598&amp;T$1,Pesos!$A:$I,7,FALSE),VLOOKUP($I598&amp;$J598&amp;T$1,Pesos!$A:$I,9,FALSE)))</f>
        <v>0.8</v>
      </c>
      <c r="AN598" s="80">
        <f>IF(U598="","",IF(U598="SIM",VLOOKUP($I598&amp;$J598&amp;U$1,Pesos!$A:$I,7,FALSE),VLOOKUP($I598&amp;$J598&amp;U$1,Pesos!$A:$I,9,FALSE)))</f>
        <v>0.8</v>
      </c>
      <c r="AO598" s="80">
        <f>IF(V598="","",IF(V598="SIM",VLOOKUP($I598&amp;$J598&amp;V$1,Pesos!$A:$I,7,FALSE),VLOOKUP($I598&amp;$J598&amp;V$1,Pesos!$A:$I,9,FALSE)))</f>
        <v>0.8</v>
      </c>
      <c r="AP598" s="80">
        <f>IF(W598="","",IF(W598="SIM",VLOOKUP($I598&amp;$J598&amp;W$1,Pesos!$A:$I,7,FALSE),VLOOKUP($I598&amp;$J598&amp;W$1,Pesos!$A:$I,9,FALSE)))</f>
        <v>0.8</v>
      </c>
      <c r="AQ598" s="80">
        <f>IF(X598="","",IF(X598="SIM",VLOOKUP($I598&amp;$J598&amp;X$1,Pesos!$A:$I,7,FALSE),VLOOKUP($I598&amp;$J598&amp;X$1,Pesos!$A:$I,9,FALSE)))</f>
        <v>0.8</v>
      </c>
      <c r="AR598" s="80">
        <f>IF(Y598="","",IF(Y598="SIM",VLOOKUP($I598&amp;$J598&amp;Y$1,Pesos!$A:$I,7,FALSE),VLOOKUP($I598&amp;$J598&amp;Y$1,Pesos!$A:$I,9,FALSE)))</f>
        <v>0.8</v>
      </c>
      <c r="AS598" s="81">
        <f>IFERROR(Z598*VLOOKUP(J598,'BD Campos'!$Y$1:$Z$12,2,FALSE),"0")</f>
        <v>8.3199999999999985</v>
      </c>
    </row>
    <row r="599" spans="1:45" x14ac:dyDescent="0.35">
      <c r="A599" s="68" t="str">
        <f t="shared" si="89"/>
        <v>Fev202511154ReceptivaTRANSFERÊNCIA</v>
      </c>
      <c r="B599" s="114" t="str">
        <f t="shared" si="90"/>
        <v>Fev2025111545TRANSFERÊNCIAPADRÃO</v>
      </c>
      <c r="C599" s="70">
        <v>1</v>
      </c>
      <c r="D599" s="71">
        <v>45700.506395717595</v>
      </c>
      <c r="E599" s="112" t="s">
        <v>338</v>
      </c>
      <c r="F599" s="72">
        <v>11154</v>
      </c>
      <c r="G599" s="69" t="s">
        <v>451</v>
      </c>
      <c r="H599" s="73">
        <v>5</v>
      </c>
      <c r="I599" s="69" t="s">
        <v>6</v>
      </c>
      <c r="J599" s="69" t="s">
        <v>98</v>
      </c>
      <c r="K599" s="69" t="s">
        <v>106</v>
      </c>
      <c r="L599" s="74"/>
      <c r="M599" s="75">
        <v>8.9120370370370362E-4</v>
      </c>
      <c r="N599" s="76" t="s">
        <v>79</v>
      </c>
      <c r="O599" s="76" t="s">
        <v>79</v>
      </c>
      <c r="P599" s="76" t="s">
        <v>79</v>
      </c>
      <c r="Q599" s="76" t="s">
        <v>79</v>
      </c>
      <c r="R599" s="76" t="s">
        <v>79</v>
      </c>
      <c r="S599" s="76" t="s">
        <v>79</v>
      </c>
      <c r="T599" s="76" t="s">
        <v>79</v>
      </c>
      <c r="U599" s="76" t="s">
        <v>79</v>
      </c>
      <c r="V599" s="76" t="s">
        <v>79</v>
      </c>
      <c r="W599" s="76" t="s">
        <v>79</v>
      </c>
      <c r="X599" s="76" t="s">
        <v>79</v>
      </c>
      <c r="Y599" s="76" t="s">
        <v>79</v>
      </c>
      <c r="Z599" s="77">
        <f t="shared" si="79"/>
        <v>10</v>
      </c>
      <c r="AA599" s="78"/>
      <c r="AB599" s="78"/>
      <c r="AC599" s="72" t="s">
        <v>47</v>
      </c>
      <c r="AE599" s="79" t="str">
        <f t="shared" si="91"/>
        <v>Fev11154</v>
      </c>
      <c r="AF599" s="80">
        <f>IF(N599="","",IF(N599="SIM",VLOOKUP($I599&amp;$J599&amp;N$1,Pesos!$A:$I,7,FALSE),VLOOKUP($I599&amp;$J599&amp;N$1,Pesos!$A:$I,9,FALSE)))</f>
        <v>0.8</v>
      </c>
      <c r="AG599" s="80">
        <f>IF(O599="","",IF(O599="SIM",VLOOKUP($I599&amp;$J599&amp;O$1,Pesos!$A:$I,7,FALSE),VLOOKUP($I599&amp;$J599&amp;O$1,Pesos!$A:$I,9,FALSE)))</f>
        <v>0.8</v>
      </c>
      <c r="AH599" s="80">
        <f>IF(P599="","",IF(P599="SIM",VLOOKUP($I599&amp;$J599&amp;P$1,Pesos!$A:$I,7,FALSE),VLOOKUP($I599&amp;$J599&amp;P$1,Pesos!$A:$I,9,FALSE)))</f>
        <v>1.2</v>
      </c>
      <c r="AI599" s="80">
        <f>IF(Q599="","",IF(Q599="SIM",VLOOKUP($I599&amp;$J599&amp;Q$1,Pesos!$A:$I,7,FALSE),VLOOKUP($I599&amp;$J599&amp;Q$1,Pesos!$A:$I,9,FALSE)))</f>
        <v>0.8</v>
      </c>
      <c r="AJ599" s="80">
        <f>IF(R599="","",IF(R599="SIM",VLOOKUP($I599&amp;$J599&amp;R$1,Pesos!$A:$I,7,FALSE),VLOOKUP($I599&amp;$J599&amp;R$1,Pesos!$A:$I,9,FALSE)))</f>
        <v>0.8</v>
      </c>
      <c r="AK599" s="80">
        <f>IF(S599="","",IF(S599="SIM",VLOOKUP($I599&amp;$J599&amp;S$1,Pesos!$A:$I,7,FALSE),VLOOKUP($I599&amp;$J599&amp;S$1,Pesos!$A:$I,9,FALSE)))</f>
        <v>0.8</v>
      </c>
      <c r="AL599" s="80">
        <f t="shared" si="92"/>
        <v>5.1999999999999993</v>
      </c>
      <c r="AM599" s="80">
        <f>IF(T599="","",IF(T599="SIM",VLOOKUP($I599&amp;$J599&amp;T$1,Pesos!$A:$I,7,FALSE),VLOOKUP($I599&amp;$J599&amp;T$1,Pesos!$A:$I,9,FALSE)))</f>
        <v>0.8</v>
      </c>
      <c r="AN599" s="80">
        <f>IF(U599="","",IF(U599="SIM",VLOOKUP($I599&amp;$J599&amp;U$1,Pesos!$A:$I,7,FALSE),VLOOKUP($I599&amp;$J599&amp;U$1,Pesos!$A:$I,9,FALSE)))</f>
        <v>0.8</v>
      </c>
      <c r="AO599" s="80">
        <f>IF(V599="","",IF(V599="SIM",VLOOKUP($I599&amp;$J599&amp;V$1,Pesos!$A:$I,7,FALSE),VLOOKUP($I599&amp;$J599&amp;V$1,Pesos!$A:$I,9,FALSE)))</f>
        <v>0.8</v>
      </c>
      <c r="AP599" s="80">
        <f>IF(W599="","",IF(W599="SIM",VLOOKUP($I599&amp;$J599&amp;W$1,Pesos!$A:$I,7,FALSE),VLOOKUP($I599&amp;$J599&amp;W$1,Pesos!$A:$I,9,FALSE)))</f>
        <v>0.8</v>
      </c>
      <c r="AQ599" s="80">
        <f>IF(X599="","",IF(X599="SIM",VLOOKUP($I599&amp;$J599&amp;X$1,Pesos!$A:$I,7,FALSE),VLOOKUP($I599&amp;$J599&amp;X$1,Pesos!$A:$I,9,FALSE)))</f>
        <v>0.8</v>
      </c>
      <c r="AR599" s="80">
        <f>IF(Y599="","",IF(Y599="SIM",VLOOKUP($I599&amp;$J599&amp;Y$1,Pesos!$A:$I,7,FALSE),VLOOKUP($I599&amp;$J599&amp;Y$1,Pesos!$A:$I,9,FALSE)))</f>
        <v>0.8</v>
      </c>
      <c r="AS599" s="81">
        <f>IFERROR(Z599*VLOOKUP(J599,'BD Campos'!$Y$1:$Z$12,2,FALSE),"0")</f>
        <v>10</v>
      </c>
    </row>
    <row r="600" spans="1:45" x14ac:dyDescent="0.35">
      <c r="A600" s="68" t="str">
        <f t="shared" si="89"/>
        <v>Fev202511171ReceptivaTRANSFERÊNCIA</v>
      </c>
      <c r="B600" s="114" t="str">
        <f t="shared" si="90"/>
        <v>Fev2025111715TRANSFERÊNCIAPADRÃO</v>
      </c>
      <c r="C600" s="70">
        <v>1</v>
      </c>
      <c r="D600" s="71">
        <v>45700.507998379631</v>
      </c>
      <c r="E600" s="112" t="s">
        <v>338</v>
      </c>
      <c r="F600" s="72">
        <v>11171</v>
      </c>
      <c r="G600" s="69" t="s">
        <v>1358</v>
      </c>
      <c r="H600" s="73">
        <v>5</v>
      </c>
      <c r="I600" s="69" t="s">
        <v>6</v>
      </c>
      <c r="J600" s="69" t="s">
        <v>98</v>
      </c>
      <c r="K600" s="69" t="s">
        <v>106</v>
      </c>
      <c r="L600" s="74"/>
      <c r="M600" s="75">
        <v>1.6782407407407406E-3</v>
      </c>
      <c r="N600" s="76" t="s">
        <v>83</v>
      </c>
      <c r="O600" s="76" t="s">
        <v>79</v>
      </c>
      <c r="P600" s="76" t="s">
        <v>79</v>
      </c>
      <c r="Q600" s="76" t="s">
        <v>79</v>
      </c>
      <c r="R600" s="76" t="s">
        <v>79</v>
      </c>
      <c r="S600" s="76" t="s">
        <v>79</v>
      </c>
      <c r="T600" s="76" t="s">
        <v>79</v>
      </c>
      <c r="U600" s="76" t="s">
        <v>79</v>
      </c>
      <c r="V600" s="76" t="s">
        <v>79</v>
      </c>
      <c r="W600" s="76" t="s">
        <v>79</v>
      </c>
      <c r="X600" s="76" t="s">
        <v>79</v>
      </c>
      <c r="Y600" s="76" t="s">
        <v>79</v>
      </c>
      <c r="Z600" s="77">
        <f t="shared" si="79"/>
        <v>9.16</v>
      </c>
      <c r="AA600" s="78" t="s">
        <v>1616</v>
      </c>
      <c r="AB600" s="78"/>
      <c r="AC600" s="72" t="s">
        <v>47</v>
      </c>
      <c r="AE600" s="79" t="str">
        <f>E600&amp;F600</f>
        <v>Fev11171</v>
      </c>
      <c r="AF600" s="80">
        <f>IF(N600="","",IF(N600="SIM",VLOOKUP($I600&amp;$J600&amp;N$1,Pesos!$A:$I,7,FALSE),VLOOKUP($I600&amp;$J600&amp;N$1,Pesos!$A:$I,9,FALSE)))</f>
        <v>-4.0000000000000008E-2</v>
      </c>
      <c r="AG600" s="80">
        <f>IF(O600="","",IF(O600="SIM",VLOOKUP($I600&amp;$J600&amp;O$1,Pesos!$A:$I,7,FALSE),VLOOKUP($I600&amp;$J600&amp;O$1,Pesos!$A:$I,9,FALSE)))</f>
        <v>0.8</v>
      </c>
      <c r="AH600" s="80">
        <f>IF(P600="","",IF(P600="SIM",VLOOKUP($I600&amp;$J600&amp;P$1,Pesos!$A:$I,7,FALSE),VLOOKUP($I600&amp;$J600&amp;P$1,Pesos!$A:$I,9,FALSE)))</f>
        <v>1.2</v>
      </c>
      <c r="AI600" s="80">
        <f>IF(Q600="","",IF(Q600="SIM",VLOOKUP($I600&amp;$J600&amp;Q$1,Pesos!$A:$I,7,FALSE),VLOOKUP($I600&amp;$J600&amp;Q$1,Pesos!$A:$I,9,FALSE)))</f>
        <v>0.8</v>
      </c>
      <c r="AJ600" s="80">
        <f>IF(R600="","",IF(R600="SIM",VLOOKUP($I600&amp;$J600&amp;R$1,Pesos!$A:$I,7,FALSE),VLOOKUP($I600&amp;$J600&amp;R$1,Pesos!$A:$I,9,FALSE)))</f>
        <v>0.8</v>
      </c>
      <c r="AK600" s="80">
        <f>IF(S600="","",IF(S600="SIM",VLOOKUP($I600&amp;$J600&amp;S$1,Pesos!$A:$I,7,FALSE),VLOOKUP($I600&amp;$J600&amp;S$1,Pesos!$A:$I,9,FALSE)))</f>
        <v>0.8</v>
      </c>
      <c r="AL600" s="80">
        <f t="shared" si="92"/>
        <v>4.3599999999999994</v>
      </c>
      <c r="AM600" s="80">
        <f>IF(T600="","",IF(T600="SIM",VLOOKUP($I600&amp;$J600&amp;T$1,Pesos!$A:$I,7,FALSE),VLOOKUP($I600&amp;$J600&amp;T$1,Pesos!$A:$I,9,FALSE)))</f>
        <v>0.8</v>
      </c>
      <c r="AN600" s="80">
        <f>IF(U600="","",IF(U600="SIM",VLOOKUP($I600&amp;$J600&amp;U$1,Pesos!$A:$I,7,FALSE),VLOOKUP($I600&amp;$J600&amp;U$1,Pesos!$A:$I,9,FALSE)))</f>
        <v>0.8</v>
      </c>
      <c r="AO600" s="80">
        <f>IF(V600="","",IF(V600="SIM",VLOOKUP($I600&amp;$J600&amp;V$1,Pesos!$A:$I,7,FALSE),VLOOKUP($I600&amp;$J600&amp;V$1,Pesos!$A:$I,9,FALSE)))</f>
        <v>0.8</v>
      </c>
      <c r="AP600" s="80">
        <f>IF(W600="","",IF(W600="SIM",VLOOKUP($I600&amp;$J600&amp;W$1,Pesos!$A:$I,7,FALSE),VLOOKUP($I600&amp;$J600&amp;W$1,Pesos!$A:$I,9,FALSE)))</f>
        <v>0.8</v>
      </c>
      <c r="AQ600" s="80">
        <f>IF(X600="","",IF(X600="SIM",VLOOKUP($I600&amp;$J600&amp;X$1,Pesos!$A:$I,7,FALSE),VLOOKUP($I600&amp;$J600&amp;X$1,Pesos!$A:$I,9,FALSE)))</f>
        <v>0.8</v>
      </c>
      <c r="AR600" s="80">
        <f>IF(Y600="","",IF(Y600="SIM",VLOOKUP($I600&amp;$J600&amp;Y$1,Pesos!$A:$I,7,FALSE),VLOOKUP($I600&amp;$J600&amp;Y$1,Pesos!$A:$I,9,FALSE)))</f>
        <v>0.8</v>
      </c>
      <c r="AS600" s="81">
        <f>IFERROR(Z600*VLOOKUP(J600,'BD Campos'!$Y$1:$Z$12,2,FALSE),"0")</f>
        <v>9.16</v>
      </c>
    </row>
    <row r="601" spans="1:45" x14ac:dyDescent="0.35">
      <c r="A601" s="68" t="str">
        <f t="shared" si="89"/>
        <v>Fev202511183ReceptivaTRANSFERÊNCIA</v>
      </c>
      <c r="B601" s="114" t="str">
        <f t="shared" si="90"/>
        <v>Fev2025111835TRANSFERÊNCIAPADRÃO</v>
      </c>
      <c r="C601" s="70">
        <v>1</v>
      </c>
      <c r="D601" s="71">
        <v>45700.510947106479</v>
      </c>
      <c r="E601" s="112" t="s">
        <v>338</v>
      </c>
      <c r="F601" s="72">
        <v>11183</v>
      </c>
      <c r="G601" s="69" t="s">
        <v>1359</v>
      </c>
      <c r="H601" s="73">
        <v>5</v>
      </c>
      <c r="I601" s="69" t="s">
        <v>6</v>
      </c>
      <c r="J601" s="69" t="s">
        <v>98</v>
      </c>
      <c r="K601" s="69" t="s">
        <v>106</v>
      </c>
      <c r="L601" s="74"/>
      <c r="M601" s="75">
        <v>1.9560185185185184E-3</v>
      </c>
      <c r="N601" s="76" t="s">
        <v>79</v>
      </c>
      <c r="O601" s="76" t="s">
        <v>79</v>
      </c>
      <c r="P601" s="76" t="s">
        <v>79</v>
      </c>
      <c r="Q601" s="76" t="s">
        <v>79</v>
      </c>
      <c r="R601" s="76" t="s">
        <v>79</v>
      </c>
      <c r="S601" s="76" t="s">
        <v>79</v>
      </c>
      <c r="T601" s="76" t="s">
        <v>79</v>
      </c>
      <c r="U601" s="76" t="s">
        <v>79</v>
      </c>
      <c r="V601" s="76" t="s">
        <v>79</v>
      </c>
      <c r="W601" s="76" t="s">
        <v>79</v>
      </c>
      <c r="X601" s="76" t="s">
        <v>79</v>
      </c>
      <c r="Y601" s="76" t="s">
        <v>79</v>
      </c>
      <c r="Z601" s="77">
        <f t="shared" si="79"/>
        <v>10</v>
      </c>
      <c r="AA601" s="78"/>
      <c r="AB601" s="78"/>
      <c r="AC601" s="72" t="s">
        <v>47</v>
      </c>
      <c r="AE601" s="79" t="str">
        <f>E601&amp;F601</f>
        <v>Fev11183</v>
      </c>
      <c r="AF601" s="80">
        <f>IF(N601="","",IF(N601="SIM",VLOOKUP($I601&amp;$J601&amp;N$1,Pesos!$A:$I,7,FALSE),VLOOKUP($I601&amp;$J601&amp;N$1,Pesos!$A:$I,9,FALSE)))</f>
        <v>0.8</v>
      </c>
      <c r="AG601" s="80">
        <f>IF(O601="","",IF(O601="SIM",VLOOKUP($I601&amp;$J601&amp;O$1,Pesos!$A:$I,7,FALSE),VLOOKUP($I601&amp;$J601&amp;O$1,Pesos!$A:$I,9,FALSE)))</f>
        <v>0.8</v>
      </c>
      <c r="AH601" s="80">
        <f>IF(P601="","",IF(P601="SIM",VLOOKUP($I601&amp;$J601&amp;P$1,Pesos!$A:$I,7,FALSE),VLOOKUP($I601&amp;$J601&amp;P$1,Pesos!$A:$I,9,FALSE)))</f>
        <v>1.2</v>
      </c>
      <c r="AI601" s="80">
        <f>IF(Q601="","",IF(Q601="SIM",VLOOKUP($I601&amp;$J601&amp;Q$1,Pesos!$A:$I,7,FALSE),VLOOKUP($I601&amp;$J601&amp;Q$1,Pesos!$A:$I,9,FALSE)))</f>
        <v>0.8</v>
      </c>
      <c r="AJ601" s="80">
        <f>IF(R601="","",IF(R601="SIM",VLOOKUP($I601&amp;$J601&amp;R$1,Pesos!$A:$I,7,FALSE),VLOOKUP($I601&amp;$J601&amp;R$1,Pesos!$A:$I,9,FALSE)))</f>
        <v>0.8</v>
      </c>
      <c r="AK601" s="80">
        <f>IF(S601="","",IF(S601="SIM",VLOOKUP($I601&amp;$J601&amp;S$1,Pesos!$A:$I,7,FALSE),VLOOKUP($I601&amp;$J601&amp;S$1,Pesos!$A:$I,9,FALSE)))</f>
        <v>0.8</v>
      </c>
      <c r="AL601" s="80">
        <f t="shared" si="92"/>
        <v>5.1999999999999993</v>
      </c>
      <c r="AM601" s="80">
        <f>IF(T601="","",IF(T601="SIM",VLOOKUP($I601&amp;$J601&amp;T$1,Pesos!$A:$I,7,FALSE),VLOOKUP($I601&amp;$J601&amp;T$1,Pesos!$A:$I,9,FALSE)))</f>
        <v>0.8</v>
      </c>
      <c r="AN601" s="80">
        <f>IF(U601="","",IF(U601="SIM",VLOOKUP($I601&amp;$J601&amp;U$1,Pesos!$A:$I,7,FALSE),VLOOKUP($I601&amp;$J601&amp;U$1,Pesos!$A:$I,9,FALSE)))</f>
        <v>0.8</v>
      </c>
      <c r="AO601" s="80">
        <f>IF(V601="","",IF(V601="SIM",VLOOKUP($I601&amp;$J601&amp;V$1,Pesos!$A:$I,7,FALSE),VLOOKUP($I601&amp;$J601&amp;V$1,Pesos!$A:$I,9,FALSE)))</f>
        <v>0.8</v>
      </c>
      <c r="AP601" s="80">
        <f>IF(W601="","",IF(W601="SIM",VLOOKUP($I601&amp;$J601&amp;W$1,Pesos!$A:$I,7,FALSE),VLOOKUP($I601&amp;$J601&amp;W$1,Pesos!$A:$I,9,FALSE)))</f>
        <v>0.8</v>
      </c>
      <c r="AQ601" s="80">
        <f>IF(X601="","",IF(X601="SIM",VLOOKUP($I601&amp;$J601&amp;X$1,Pesos!$A:$I,7,FALSE),VLOOKUP($I601&amp;$J601&amp;X$1,Pesos!$A:$I,9,FALSE)))</f>
        <v>0.8</v>
      </c>
      <c r="AR601" s="80">
        <f>IF(Y601="","",IF(Y601="SIM",VLOOKUP($I601&amp;$J601&amp;Y$1,Pesos!$A:$I,7,FALSE),VLOOKUP($I601&amp;$J601&amp;Y$1,Pesos!$A:$I,9,FALSE)))</f>
        <v>0.8</v>
      </c>
      <c r="AS601" s="81">
        <f>IFERROR(Z601*VLOOKUP(J601,'BD Campos'!$Y$1:$Z$12,2,FALSE),"0")</f>
        <v>10</v>
      </c>
    </row>
    <row r="602" spans="1:45" x14ac:dyDescent="0.35">
      <c r="A602" s="68" t="str">
        <f t="shared" si="89"/>
        <v>Fev202511209ReceptivaTRANSFERÊNCIA</v>
      </c>
      <c r="B602" s="114" t="str">
        <f t="shared" si="90"/>
        <v>Fev2025112095TRANSFERÊNCIAPADRÃO</v>
      </c>
      <c r="C602" s="70">
        <v>1</v>
      </c>
      <c r="D602" s="71">
        <v>45700.512150925926</v>
      </c>
      <c r="E602" s="112" t="s">
        <v>338</v>
      </c>
      <c r="F602" s="72">
        <v>11209</v>
      </c>
      <c r="G602" s="69" t="s">
        <v>1386</v>
      </c>
      <c r="H602" s="73">
        <v>5</v>
      </c>
      <c r="I602" s="69" t="s">
        <v>6</v>
      </c>
      <c r="J602" s="69" t="s">
        <v>98</v>
      </c>
      <c r="K602" s="69" t="s">
        <v>106</v>
      </c>
      <c r="L602" s="74"/>
      <c r="M602" s="75">
        <v>1.7592592592592592E-3</v>
      </c>
      <c r="N602" s="76" t="s">
        <v>79</v>
      </c>
      <c r="O602" s="76" t="s">
        <v>79</v>
      </c>
      <c r="P602" s="76" t="s">
        <v>79</v>
      </c>
      <c r="Q602" s="76" t="s">
        <v>79</v>
      </c>
      <c r="R602" s="76" t="s">
        <v>79</v>
      </c>
      <c r="S602" s="76" t="s">
        <v>79</v>
      </c>
      <c r="T602" s="76" t="s">
        <v>79</v>
      </c>
      <c r="U602" s="76" t="s">
        <v>79</v>
      </c>
      <c r="V602" s="76" t="s">
        <v>79</v>
      </c>
      <c r="W602" s="76" t="s">
        <v>83</v>
      </c>
      <c r="X602" s="76" t="s">
        <v>79</v>
      </c>
      <c r="Y602" s="76" t="s">
        <v>79</v>
      </c>
      <c r="Z602" s="77">
        <f t="shared" si="79"/>
        <v>9.16</v>
      </c>
      <c r="AA602" s="78"/>
      <c r="AB602" s="78"/>
      <c r="AC602" s="72" t="s">
        <v>47</v>
      </c>
      <c r="AE602" s="79" t="str">
        <f>E602&amp;F602</f>
        <v>Fev11209</v>
      </c>
      <c r="AF602" s="80">
        <f>IF(N602="","",IF(N602="SIM",VLOOKUP($I602&amp;$J602&amp;N$1,Pesos!$A:$I,7,FALSE),VLOOKUP($I602&amp;$J602&amp;N$1,Pesos!$A:$I,9,FALSE)))</f>
        <v>0.8</v>
      </c>
      <c r="AG602" s="80">
        <f>IF(O602="","",IF(O602="SIM",VLOOKUP($I602&amp;$J602&amp;O$1,Pesos!$A:$I,7,FALSE),VLOOKUP($I602&amp;$J602&amp;O$1,Pesos!$A:$I,9,FALSE)))</f>
        <v>0.8</v>
      </c>
      <c r="AH602" s="80">
        <f>IF(P602="","",IF(P602="SIM",VLOOKUP($I602&amp;$J602&amp;P$1,Pesos!$A:$I,7,FALSE),VLOOKUP($I602&amp;$J602&amp;P$1,Pesos!$A:$I,9,FALSE)))</f>
        <v>1.2</v>
      </c>
      <c r="AI602" s="80">
        <f>IF(Q602="","",IF(Q602="SIM",VLOOKUP($I602&amp;$J602&amp;Q$1,Pesos!$A:$I,7,FALSE),VLOOKUP($I602&amp;$J602&amp;Q$1,Pesos!$A:$I,9,FALSE)))</f>
        <v>0.8</v>
      </c>
      <c r="AJ602" s="80">
        <f>IF(R602="","",IF(R602="SIM",VLOOKUP($I602&amp;$J602&amp;R$1,Pesos!$A:$I,7,FALSE),VLOOKUP($I602&amp;$J602&amp;R$1,Pesos!$A:$I,9,FALSE)))</f>
        <v>0.8</v>
      </c>
      <c r="AK602" s="80">
        <f>IF(S602="","",IF(S602="SIM",VLOOKUP($I602&amp;$J602&amp;S$1,Pesos!$A:$I,7,FALSE),VLOOKUP($I602&amp;$J602&amp;S$1,Pesos!$A:$I,9,FALSE)))</f>
        <v>0.8</v>
      </c>
      <c r="AL602" s="80">
        <f t="shared" si="92"/>
        <v>5.1999999999999993</v>
      </c>
      <c r="AM602" s="80">
        <f>IF(T602="","",IF(T602="SIM",VLOOKUP($I602&amp;$J602&amp;T$1,Pesos!$A:$I,7,FALSE),VLOOKUP($I602&amp;$J602&amp;T$1,Pesos!$A:$I,9,FALSE)))</f>
        <v>0.8</v>
      </c>
      <c r="AN602" s="80">
        <f>IF(U602="","",IF(U602="SIM",VLOOKUP($I602&amp;$J602&amp;U$1,Pesos!$A:$I,7,FALSE),VLOOKUP($I602&amp;$J602&amp;U$1,Pesos!$A:$I,9,FALSE)))</f>
        <v>0.8</v>
      </c>
      <c r="AO602" s="80">
        <f>IF(V602="","",IF(V602="SIM",VLOOKUP($I602&amp;$J602&amp;V$1,Pesos!$A:$I,7,FALSE),VLOOKUP($I602&amp;$J602&amp;V$1,Pesos!$A:$I,9,FALSE)))</f>
        <v>0.8</v>
      </c>
      <c r="AP602" s="80">
        <f>IF(W602="","",IF(W602="SIM",VLOOKUP($I602&amp;$J602&amp;W$1,Pesos!$A:$I,7,FALSE),VLOOKUP($I602&amp;$J602&amp;W$1,Pesos!$A:$I,9,FALSE)))</f>
        <v>-4.0000000000000008E-2</v>
      </c>
      <c r="AQ602" s="80">
        <f>IF(X602="","",IF(X602="SIM",VLOOKUP($I602&amp;$J602&amp;X$1,Pesos!$A:$I,7,FALSE),VLOOKUP($I602&amp;$J602&amp;X$1,Pesos!$A:$I,9,FALSE)))</f>
        <v>0.8</v>
      </c>
      <c r="AR602" s="80">
        <f>IF(Y602="","",IF(Y602="SIM",VLOOKUP($I602&amp;$J602&amp;Y$1,Pesos!$A:$I,7,FALSE),VLOOKUP($I602&amp;$J602&amp;Y$1,Pesos!$A:$I,9,FALSE)))</f>
        <v>0.8</v>
      </c>
      <c r="AS602" s="81">
        <f>IFERROR(Z602*VLOOKUP(J602,'BD Campos'!$Y$1:$Z$12,2,FALSE),"0")</f>
        <v>9.16</v>
      </c>
    </row>
    <row r="603" spans="1:45" x14ac:dyDescent="0.35">
      <c r="A603" s="68" t="str">
        <f t="shared" si="89"/>
        <v>Fev202511201ReceptivaTRANSFERÊNCIA</v>
      </c>
      <c r="B603" s="114" t="str">
        <f t="shared" si="90"/>
        <v>Fev2025112015TRANSFERÊNCIAPADRÃO</v>
      </c>
      <c r="C603" s="70">
        <v>1</v>
      </c>
      <c r="D603" s="71">
        <v>45700.51397847222</v>
      </c>
      <c r="E603" s="112" t="s">
        <v>338</v>
      </c>
      <c r="F603" s="72">
        <v>11201</v>
      </c>
      <c r="G603" s="69" t="s">
        <v>1385</v>
      </c>
      <c r="H603" s="73">
        <v>5</v>
      </c>
      <c r="I603" s="69" t="s">
        <v>6</v>
      </c>
      <c r="J603" s="69" t="s">
        <v>98</v>
      </c>
      <c r="K603" s="69" t="s">
        <v>106</v>
      </c>
      <c r="L603" s="74"/>
      <c r="M603" s="75">
        <v>1.5624999999999999E-3</v>
      </c>
      <c r="N603" s="76" t="s">
        <v>83</v>
      </c>
      <c r="O603" s="76" t="s">
        <v>79</v>
      </c>
      <c r="P603" s="76" t="s">
        <v>79</v>
      </c>
      <c r="Q603" s="76" t="s">
        <v>79</v>
      </c>
      <c r="R603" s="76" t="s">
        <v>79</v>
      </c>
      <c r="S603" s="76" t="s">
        <v>79</v>
      </c>
      <c r="T603" s="76" t="s">
        <v>79</v>
      </c>
      <c r="U603" s="76" t="s">
        <v>79</v>
      </c>
      <c r="V603" s="76" t="s">
        <v>79</v>
      </c>
      <c r="W603" s="76" t="s">
        <v>79</v>
      </c>
      <c r="X603" s="76" t="s">
        <v>79</v>
      </c>
      <c r="Y603" s="76" t="s">
        <v>79</v>
      </c>
      <c r="Z603" s="77">
        <f t="shared" si="79"/>
        <v>9.16</v>
      </c>
      <c r="AA603" s="78" t="s">
        <v>1616</v>
      </c>
      <c r="AB603" s="78"/>
      <c r="AC603" s="72" t="s">
        <v>47</v>
      </c>
      <c r="AE603" s="79" t="str">
        <f t="shared" ref="AE603:AE615" si="93">E603&amp;F603</f>
        <v>Fev11201</v>
      </c>
      <c r="AF603" s="80">
        <f>IF(N603="","",IF(N603="SIM",VLOOKUP($I603&amp;$J603&amp;N$1,Pesos!$A:$I,7,FALSE),VLOOKUP($I603&amp;$J603&amp;N$1,Pesos!$A:$I,9,FALSE)))</f>
        <v>-4.0000000000000008E-2</v>
      </c>
      <c r="AG603" s="80">
        <f>IF(O603="","",IF(O603="SIM",VLOOKUP($I603&amp;$J603&amp;O$1,Pesos!$A:$I,7,FALSE),VLOOKUP($I603&amp;$J603&amp;O$1,Pesos!$A:$I,9,FALSE)))</f>
        <v>0.8</v>
      </c>
      <c r="AH603" s="80">
        <f>IF(P603="","",IF(P603="SIM",VLOOKUP($I603&amp;$J603&amp;P$1,Pesos!$A:$I,7,FALSE),VLOOKUP($I603&amp;$J603&amp;P$1,Pesos!$A:$I,9,FALSE)))</f>
        <v>1.2</v>
      </c>
      <c r="AI603" s="80">
        <f>IF(Q603="","",IF(Q603="SIM",VLOOKUP($I603&amp;$J603&amp;Q$1,Pesos!$A:$I,7,FALSE),VLOOKUP($I603&amp;$J603&amp;Q$1,Pesos!$A:$I,9,FALSE)))</f>
        <v>0.8</v>
      </c>
      <c r="AJ603" s="80">
        <f>IF(R603="","",IF(R603="SIM",VLOOKUP($I603&amp;$J603&amp;R$1,Pesos!$A:$I,7,FALSE),VLOOKUP($I603&amp;$J603&amp;R$1,Pesos!$A:$I,9,FALSE)))</f>
        <v>0.8</v>
      </c>
      <c r="AK603" s="80">
        <f>IF(S603="","",IF(S603="SIM",VLOOKUP($I603&amp;$J603&amp;S$1,Pesos!$A:$I,7,FALSE),VLOOKUP($I603&amp;$J603&amp;S$1,Pesos!$A:$I,9,FALSE)))</f>
        <v>0.8</v>
      </c>
      <c r="AL603" s="80">
        <f t="shared" si="92"/>
        <v>4.3599999999999994</v>
      </c>
      <c r="AM603" s="80">
        <f>IF(T603="","",IF(T603="SIM",VLOOKUP($I603&amp;$J603&amp;T$1,Pesos!$A:$I,7,FALSE),VLOOKUP($I603&amp;$J603&amp;T$1,Pesos!$A:$I,9,FALSE)))</f>
        <v>0.8</v>
      </c>
      <c r="AN603" s="80">
        <f>IF(U603="","",IF(U603="SIM",VLOOKUP($I603&amp;$J603&amp;U$1,Pesos!$A:$I,7,FALSE),VLOOKUP($I603&amp;$J603&amp;U$1,Pesos!$A:$I,9,FALSE)))</f>
        <v>0.8</v>
      </c>
      <c r="AO603" s="80">
        <f>IF(V603="","",IF(V603="SIM",VLOOKUP($I603&amp;$J603&amp;V$1,Pesos!$A:$I,7,FALSE),VLOOKUP($I603&amp;$J603&amp;V$1,Pesos!$A:$I,9,FALSE)))</f>
        <v>0.8</v>
      </c>
      <c r="AP603" s="80">
        <f>IF(W603="","",IF(W603="SIM",VLOOKUP($I603&amp;$J603&amp;W$1,Pesos!$A:$I,7,FALSE),VLOOKUP($I603&amp;$J603&amp;W$1,Pesos!$A:$I,9,FALSE)))</f>
        <v>0.8</v>
      </c>
      <c r="AQ603" s="80">
        <f>IF(X603="","",IF(X603="SIM",VLOOKUP($I603&amp;$J603&amp;X$1,Pesos!$A:$I,7,FALSE),VLOOKUP($I603&amp;$J603&amp;X$1,Pesos!$A:$I,9,FALSE)))</f>
        <v>0.8</v>
      </c>
      <c r="AR603" s="80">
        <f>IF(Y603="","",IF(Y603="SIM",VLOOKUP($I603&amp;$J603&amp;Y$1,Pesos!$A:$I,7,FALSE),VLOOKUP($I603&amp;$J603&amp;Y$1,Pesos!$A:$I,9,FALSE)))</f>
        <v>0.8</v>
      </c>
      <c r="AS603" s="81">
        <f>IFERROR(Z603*VLOOKUP(J603,'BD Campos'!$Y$1:$Z$12,2,FALSE),"0")</f>
        <v>9.16</v>
      </c>
    </row>
    <row r="604" spans="1:45" x14ac:dyDescent="0.35">
      <c r="A604" s="68" t="str">
        <f t="shared" si="89"/>
        <v>Fev202511216ReceptivaTRANSFERÊNCIA</v>
      </c>
      <c r="B604" s="114" t="str">
        <f t="shared" si="90"/>
        <v>Fev2025112165TRANSFERÊNCIAPADRÃO</v>
      </c>
      <c r="C604" s="70">
        <v>1</v>
      </c>
      <c r="D604" s="71">
        <v>45700.516247569445</v>
      </c>
      <c r="E604" s="112" t="s">
        <v>338</v>
      </c>
      <c r="F604" s="72">
        <v>11216</v>
      </c>
      <c r="G604" s="69" t="s">
        <v>1390</v>
      </c>
      <c r="H604" s="73">
        <v>5</v>
      </c>
      <c r="I604" s="69" t="s">
        <v>6</v>
      </c>
      <c r="J604" s="69" t="s">
        <v>98</v>
      </c>
      <c r="K604" s="69" t="s">
        <v>106</v>
      </c>
      <c r="L604" s="74"/>
      <c r="M604" s="75">
        <v>1.2731481481481483E-3</v>
      </c>
      <c r="N604" s="76" t="s">
        <v>83</v>
      </c>
      <c r="O604" s="76" t="s">
        <v>79</v>
      </c>
      <c r="P604" s="76" t="s">
        <v>79</v>
      </c>
      <c r="Q604" s="76" t="s">
        <v>79</v>
      </c>
      <c r="R604" s="76" t="s">
        <v>79</v>
      </c>
      <c r="S604" s="76" t="s">
        <v>79</v>
      </c>
      <c r="T604" s="76" t="s">
        <v>79</v>
      </c>
      <c r="U604" s="76" t="s">
        <v>79</v>
      </c>
      <c r="V604" s="76" t="s">
        <v>79</v>
      </c>
      <c r="W604" s="76" t="s">
        <v>79</v>
      </c>
      <c r="X604" s="76" t="s">
        <v>79</v>
      </c>
      <c r="Y604" s="76" t="s">
        <v>79</v>
      </c>
      <c r="Z604" s="77">
        <f t="shared" si="79"/>
        <v>9.16</v>
      </c>
      <c r="AA604" s="78" t="s">
        <v>1616</v>
      </c>
      <c r="AB604" s="78"/>
      <c r="AC604" s="72" t="s">
        <v>47</v>
      </c>
      <c r="AE604" s="79" t="str">
        <f t="shared" si="93"/>
        <v>Fev11216</v>
      </c>
      <c r="AF604" s="80">
        <f>IF(N604="","",IF(N604="SIM",VLOOKUP($I604&amp;$J604&amp;N$1,Pesos!$A:$I,7,FALSE),VLOOKUP($I604&amp;$J604&amp;N$1,Pesos!$A:$I,9,FALSE)))</f>
        <v>-4.0000000000000008E-2</v>
      </c>
      <c r="AG604" s="80">
        <f>IF(O604="","",IF(O604="SIM",VLOOKUP($I604&amp;$J604&amp;O$1,Pesos!$A:$I,7,FALSE),VLOOKUP($I604&amp;$J604&amp;O$1,Pesos!$A:$I,9,FALSE)))</f>
        <v>0.8</v>
      </c>
      <c r="AH604" s="80">
        <f>IF(P604="","",IF(P604="SIM",VLOOKUP($I604&amp;$J604&amp;P$1,Pesos!$A:$I,7,FALSE),VLOOKUP($I604&amp;$J604&amp;P$1,Pesos!$A:$I,9,FALSE)))</f>
        <v>1.2</v>
      </c>
      <c r="AI604" s="80">
        <f>IF(Q604="","",IF(Q604="SIM",VLOOKUP($I604&amp;$J604&amp;Q$1,Pesos!$A:$I,7,FALSE),VLOOKUP($I604&amp;$J604&amp;Q$1,Pesos!$A:$I,9,FALSE)))</f>
        <v>0.8</v>
      </c>
      <c r="AJ604" s="80">
        <f>IF(R604="","",IF(R604="SIM",VLOOKUP($I604&amp;$J604&amp;R$1,Pesos!$A:$I,7,FALSE),VLOOKUP($I604&amp;$J604&amp;R$1,Pesos!$A:$I,9,FALSE)))</f>
        <v>0.8</v>
      </c>
      <c r="AK604" s="80">
        <f>IF(S604="","",IF(S604="SIM",VLOOKUP($I604&amp;$J604&amp;S$1,Pesos!$A:$I,7,FALSE),VLOOKUP($I604&amp;$J604&amp;S$1,Pesos!$A:$I,9,FALSE)))</f>
        <v>0.8</v>
      </c>
      <c r="AL604" s="80">
        <f t="shared" si="92"/>
        <v>4.3599999999999994</v>
      </c>
      <c r="AM604" s="80">
        <f>IF(T604="","",IF(T604="SIM",VLOOKUP($I604&amp;$J604&amp;T$1,Pesos!$A:$I,7,FALSE),VLOOKUP($I604&amp;$J604&amp;T$1,Pesos!$A:$I,9,FALSE)))</f>
        <v>0.8</v>
      </c>
      <c r="AN604" s="80">
        <f>IF(U604="","",IF(U604="SIM",VLOOKUP($I604&amp;$J604&amp;U$1,Pesos!$A:$I,7,FALSE),VLOOKUP($I604&amp;$J604&amp;U$1,Pesos!$A:$I,9,FALSE)))</f>
        <v>0.8</v>
      </c>
      <c r="AO604" s="80">
        <f>IF(V604="","",IF(V604="SIM",VLOOKUP($I604&amp;$J604&amp;V$1,Pesos!$A:$I,7,FALSE),VLOOKUP($I604&amp;$J604&amp;V$1,Pesos!$A:$I,9,FALSE)))</f>
        <v>0.8</v>
      </c>
      <c r="AP604" s="80">
        <f>IF(W604="","",IF(W604="SIM",VLOOKUP($I604&amp;$J604&amp;W$1,Pesos!$A:$I,7,FALSE),VLOOKUP($I604&amp;$J604&amp;W$1,Pesos!$A:$I,9,FALSE)))</f>
        <v>0.8</v>
      </c>
      <c r="AQ604" s="80">
        <f>IF(X604="","",IF(X604="SIM",VLOOKUP($I604&amp;$J604&amp;X$1,Pesos!$A:$I,7,FALSE),VLOOKUP($I604&amp;$J604&amp;X$1,Pesos!$A:$I,9,FALSE)))</f>
        <v>0.8</v>
      </c>
      <c r="AR604" s="80">
        <f>IF(Y604="","",IF(Y604="SIM",VLOOKUP($I604&amp;$J604&amp;Y$1,Pesos!$A:$I,7,FALSE),VLOOKUP($I604&amp;$J604&amp;Y$1,Pesos!$A:$I,9,FALSE)))</f>
        <v>0.8</v>
      </c>
      <c r="AS604" s="81">
        <f>IFERROR(Z604*VLOOKUP(J604,'BD Campos'!$Y$1:$Z$12,2,FALSE),"0")</f>
        <v>9.16</v>
      </c>
    </row>
    <row r="605" spans="1:45" x14ac:dyDescent="0.35">
      <c r="A605" s="68" t="str">
        <f t="shared" si="89"/>
        <v>Fev202511207ReceptivaTRANSFERÊNCIA</v>
      </c>
      <c r="B605" s="114" t="str">
        <f t="shared" si="90"/>
        <v>Fev2025112075TRANSFERÊNCIAPADRÃO</v>
      </c>
      <c r="C605" s="70">
        <v>1</v>
      </c>
      <c r="D605" s="71">
        <v>45700.517386921296</v>
      </c>
      <c r="E605" s="112" t="s">
        <v>338</v>
      </c>
      <c r="F605" s="72">
        <v>11207</v>
      </c>
      <c r="G605" s="69" t="s">
        <v>1382</v>
      </c>
      <c r="H605" s="73">
        <v>5</v>
      </c>
      <c r="I605" s="69" t="s">
        <v>6</v>
      </c>
      <c r="J605" s="69" t="s">
        <v>98</v>
      </c>
      <c r="K605" s="69" t="s">
        <v>106</v>
      </c>
      <c r="L605" s="74"/>
      <c r="M605" s="75">
        <v>1.7592592592592592E-3</v>
      </c>
      <c r="N605" s="76" t="s">
        <v>79</v>
      </c>
      <c r="O605" s="76" t="s">
        <v>79</v>
      </c>
      <c r="P605" s="76" t="s">
        <v>79</v>
      </c>
      <c r="Q605" s="76" t="s">
        <v>79</v>
      </c>
      <c r="R605" s="76" t="s">
        <v>79</v>
      </c>
      <c r="S605" s="76" t="s">
        <v>79</v>
      </c>
      <c r="T605" s="76" t="s">
        <v>79</v>
      </c>
      <c r="U605" s="76" t="s">
        <v>79</v>
      </c>
      <c r="V605" s="76" t="s">
        <v>79</v>
      </c>
      <c r="W605" s="76" t="s">
        <v>79</v>
      </c>
      <c r="X605" s="76" t="s">
        <v>79</v>
      </c>
      <c r="Y605" s="76" t="s">
        <v>79</v>
      </c>
      <c r="Z605" s="77">
        <f t="shared" si="79"/>
        <v>10</v>
      </c>
      <c r="AA605" s="78"/>
      <c r="AB605" s="78"/>
      <c r="AC605" s="72" t="s">
        <v>47</v>
      </c>
      <c r="AE605" s="79" t="str">
        <f t="shared" si="93"/>
        <v>Fev11207</v>
      </c>
      <c r="AF605" s="80">
        <f>IF(N605="","",IF(N605="SIM",VLOOKUP($I605&amp;$J605&amp;N$1,Pesos!$A:$I,7,FALSE),VLOOKUP($I605&amp;$J605&amp;N$1,Pesos!$A:$I,9,FALSE)))</f>
        <v>0.8</v>
      </c>
      <c r="AG605" s="80">
        <f>IF(O605="","",IF(O605="SIM",VLOOKUP($I605&amp;$J605&amp;O$1,Pesos!$A:$I,7,FALSE),VLOOKUP($I605&amp;$J605&amp;O$1,Pesos!$A:$I,9,FALSE)))</f>
        <v>0.8</v>
      </c>
      <c r="AH605" s="80">
        <f>IF(P605="","",IF(P605="SIM",VLOOKUP($I605&amp;$J605&amp;P$1,Pesos!$A:$I,7,FALSE),VLOOKUP($I605&amp;$J605&amp;P$1,Pesos!$A:$I,9,FALSE)))</f>
        <v>1.2</v>
      </c>
      <c r="AI605" s="80">
        <f>IF(Q605="","",IF(Q605="SIM",VLOOKUP($I605&amp;$J605&amp;Q$1,Pesos!$A:$I,7,FALSE),VLOOKUP($I605&amp;$J605&amp;Q$1,Pesos!$A:$I,9,FALSE)))</f>
        <v>0.8</v>
      </c>
      <c r="AJ605" s="80">
        <f>IF(R605="","",IF(R605="SIM",VLOOKUP($I605&amp;$J605&amp;R$1,Pesos!$A:$I,7,FALSE),VLOOKUP($I605&amp;$J605&amp;R$1,Pesos!$A:$I,9,FALSE)))</f>
        <v>0.8</v>
      </c>
      <c r="AK605" s="80">
        <f>IF(S605="","",IF(S605="SIM",VLOOKUP($I605&amp;$J605&amp;S$1,Pesos!$A:$I,7,FALSE),VLOOKUP($I605&amp;$J605&amp;S$1,Pesos!$A:$I,9,FALSE)))</f>
        <v>0.8</v>
      </c>
      <c r="AL605" s="80">
        <f t="shared" si="92"/>
        <v>5.1999999999999993</v>
      </c>
      <c r="AM605" s="80">
        <f>IF(T605="","",IF(T605="SIM",VLOOKUP($I605&amp;$J605&amp;T$1,Pesos!$A:$I,7,FALSE),VLOOKUP($I605&amp;$J605&amp;T$1,Pesos!$A:$I,9,FALSE)))</f>
        <v>0.8</v>
      </c>
      <c r="AN605" s="80">
        <f>IF(U605="","",IF(U605="SIM",VLOOKUP($I605&amp;$J605&amp;U$1,Pesos!$A:$I,7,FALSE),VLOOKUP($I605&amp;$J605&amp;U$1,Pesos!$A:$I,9,FALSE)))</f>
        <v>0.8</v>
      </c>
      <c r="AO605" s="80">
        <f>IF(V605="","",IF(V605="SIM",VLOOKUP($I605&amp;$J605&amp;V$1,Pesos!$A:$I,7,FALSE),VLOOKUP($I605&amp;$J605&amp;V$1,Pesos!$A:$I,9,FALSE)))</f>
        <v>0.8</v>
      </c>
      <c r="AP605" s="80">
        <f>IF(W605="","",IF(W605="SIM",VLOOKUP($I605&amp;$J605&amp;W$1,Pesos!$A:$I,7,FALSE),VLOOKUP($I605&amp;$J605&amp;W$1,Pesos!$A:$I,9,FALSE)))</f>
        <v>0.8</v>
      </c>
      <c r="AQ605" s="80">
        <f>IF(X605="","",IF(X605="SIM",VLOOKUP($I605&amp;$J605&amp;X$1,Pesos!$A:$I,7,FALSE),VLOOKUP($I605&amp;$J605&amp;X$1,Pesos!$A:$I,9,FALSE)))</f>
        <v>0.8</v>
      </c>
      <c r="AR605" s="80">
        <f>IF(Y605="","",IF(Y605="SIM",VLOOKUP($I605&amp;$J605&amp;Y$1,Pesos!$A:$I,7,FALSE),VLOOKUP($I605&amp;$J605&amp;Y$1,Pesos!$A:$I,9,FALSE)))</f>
        <v>0.8</v>
      </c>
      <c r="AS605" s="81">
        <f>IFERROR(Z605*VLOOKUP(J605,'BD Campos'!$Y$1:$Z$12,2,FALSE),"0")</f>
        <v>10</v>
      </c>
    </row>
    <row r="606" spans="1:45" x14ac:dyDescent="0.35">
      <c r="A606" s="68" t="str">
        <f t="shared" si="89"/>
        <v>Fev202510953MotoristaTRANSFERÊNCIA</v>
      </c>
      <c r="B606" s="114" t="str">
        <f t="shared" si="90"/>
        <v>Fev2025109531TRANSFERÊNCIAPADRÃO</v>
      </c>
      <c r="C606" s="70">
        <v>1</v>
      </c>
      <c r="D606" s="71">
        <v>45700.594665046294</v>
      </c>
      <c r="E606" s="112" t="s">
        <v>338</v>
      </c>
      <c r="F606" s="72">
        <v>10953</v>
      </c>
      <c r="G606" s="69" t="s">
        <v>158</v>
      </c>
      <c r="H606" s="73">
        <v>1</v>
      </c>
      <c r="I606" s="69" t="s">
        <v>126</v>
      </c>
      <c r="J606" s="69" t="s">
        <v>122</v>
      </c>
      <c r="K606" s="69" t="s">
        <v>106</v>
      </c>
      <c r="L606" s="74">
        <v>31126332</v>
      </c>
      <c r="M606" s="75">
        <v>2.8124999999999995E-3</v>
      </c>
      <c r="N606" s="76" t="s">
        <v>79</v>
      </c>
      <c r="O606" s="76" t="s">
        <v>79</v>
      </c>
      <c r="P606" s="76" t="s">
        <v>79</v>
      </c>
      <c r="Q606" s="76" t="s">
        <v>79</v>
      </c>
      <c r="R606" s="76" t="s">
        <v>79</v>
      </c>
      <c r="S606" s="76" t="s">
        <v>79</v>
      </c>
      <c r="T606" s="76" t="s">
        <v>79</v>
      </c>
      <c r="U606" s="76" t="s">
        <v>79</v>
      </c>
      <c r="V606" s="76" t="s">
        <v>79</v>
      </c>
      <c r="W606" s="76" t="s">
        <v>79</v>
      </c>
      <c r="X606" s="76" t="s">
        <v>79</v>
      </c>
      <c r="Y606" s="76" t="s">
        <v>79</v>
      </c>
      <c r="Z606" s="77">
        <f t="shared" si="79"/>
        <v>10</v>
      </c>
      <c r="AA606" s="78"/>
      <c r="AB606" s="78" t="s">
        <v>1681</v>
      </c>
      <c r="AC606" s="72" t="s">
        <v>47</v>
      </c>
      <c r="AE606" s="79" t="str">
        <f t="shared" si="93"/>
        <v>Fev10953</v>
      </c>
      <c r="AF606" s="80">
        <f>IF(N606="","",IF(N606="SIM",VLOOKUP($I606&amp;$J606&amp;N$1,Pesos!$A:$I,7,FALSE),VLOOKUP($I606&amp;$J606&amp;N$1,Pesos!$A:$I,9,FALSE)))</f>
        <v>0.8</v>
      </c>
      <c r="AG606" s="80">
        <f>IF(O606="","",IF(O606="SIM",VLOOKUP($I606&amp;$J606&amp;O$1,Pesos!$A:$I,7,FALSE),VLOOKUP($I606&amp;$J606&amp;O$1,Pesos!$A:$I,9,FALSE)))</f>
        <v>0.8</v>
      </c>
      <c r="AH606" s="80">
        <f>IF(P606="","",IF(P606="SIM",VLOOKUP($I606&amp;$J606&amp;P$1,Pesos!$A:$I,7,FALSE),VLOOKUP($I606&amp;$J606&amp;P$1,Pesos!$A:$I,9,FALSE)))</f>
        <v>0.8</v>
      </c>
      <c r="AI606" s="80">
        <f>IF(Q606="","",IF(Q606="SIM",VLOOKUP($I606&amp;$J606&amp;Q$1,Pesos!$A:$I,7,FALSE),VLOOKUP($I606&amp;$J606&amp;Q$1,Pesos!$A:$I,9,FALSE)))</f>
        <v>0.8</v>
      </c>
      <c r="AJ606" s="80">
        <f>IF(R606="","",IF(R606="SIM",VLOOKUP($I606&amp;$J606&amp;R$1,Pesos!$A:$I,7,FALSE),VLOOKUP($I606&amp;$J606&amp;R$1,Pesos!$A:$I,9,FALSE)))</f>
        <v>0.8</v>
      </c>
      <c r="AK606" s="80">
        <f>IF(S606="","",IF(S606="SIM",VLOOKUP($I606&amp;$J606&amp;S$1,Pesos!$A:$I,7,FALSE),VLOOKUP($I606&amp;$J606&amp;S$1,Pesos!$A:$I,9,FALSE)))</f>
        <v>0.8</v>
      </c>
      <c r="AL606" s="80">
        <f t="shared" si="92"/>
        <v>4.8</v>
      </c>
      <c r="AM606" s="80">
        <f>IF(T606="","",IF(T606="SIM",VLOOKUP($I606&amp;$J606&amp;T$1,Pesos!$A:$I,7,FALSE),VLOOKUP($I606&amp;$J606&amp;T$1,Pesos!$A:$I,9,FALSE)))</f>
        <v>0.8</v>
      </c>
      <c r="AN606" s="80">
        <f>IF(U606="","",IF(U606="SIM",VLOOKUP($I606&amp;$J606&amp;U$1,Pesos!$A:$I,7,FALSE),VLOOKUP($I606&amp;$J606&amp;U$1,Pesos!$A:$I,9,FALSE)))</f>
        <v>0.8</v>
      </c>
      <c r="AO606" s="80">
        <f>IF(V606="","",IF(V606="SIM",VLOOKUP($I606&amp;$J606&amp;V$1,Pesos!$A:$I,7,FALSE),VLOOKUP($I606&amp;$J606&amp;V$1,Pesos!$A:$I,9,FALSE)))</f>
        <v>0.8</v>
      </c>
      <c r="AP606" s="80">
        <f>IF(W606="","",IF(W606="SIM",VLOOKUP($I606&amp;$J606&amp;W$1,Pesos!$A:$I,7,FALSE),VLOOKUP($I606&amp;$J606&amp;W$1,Pesos!$A:$I,9,FALSE)))</f>
        <v>0.8</v>
      </c>
      <c r="AQ606" s="80">
        <f>IF(X606="","",IF(X606="SIM",VLOOKUP($I606&amp;$J606&amp;X$1,Pesos!$A:$I,7,FALSE),VLOOKUP($I606&amp;$J606&amp;X$1,Pesos!$A:$I,9,FALSE)))</f>
        <v>1</v>
      </c>
      <c r="AR606" s="80">
        <f>IF(Y606="","",IF(Y606="SIM",VLOOKUP($I606&amp;$J606&amp;Y$1,Pesos!$A:$I,7,FALSE),VLOOKUP($I606&amp;$J606&amp;Y$1,Pesos!$A:$I,9,FALSE)))</f>
        <v>1</v>
      </c>
      <c r="AS606" s="81">
        <f>IFERROR(Z606*VLOOKUP(J606,'BD Campos'!$Y$1:$Z$12,2,FALSE),"0")</f>
        <v>10</v>
      </c>
    </row>
    <row r="607" spans="1:45" x14ac:dyDescent="0.35">
      <c r="A607" s="68" t="str">
        <f t="shared" si="89"/>
        <v>Fev202510958MotoristaTRANSFERÊNCIA</v>
      </c>
      <c r="B607" s="114" t="str">
        <f t="shared" si="90"/>
        <v>Fev2025109581TRANSFERÊNCIAPADRÃO</v>
      </c>
      <c r="C607" s="70">
        <v>1</v>
      </c>
      <c r="D607" s="71">
        <v>45700.598775578706</v>
      </c>
      <c r="E607" s="112" t="s">
        <v>338</v>
      </c>
      <c r="F607" s="72">
        <v>10958</v>
      </c>
      <c r="G607" s="69" t="s">
        <v>159</v>
      </c>
      <c r="H607" s="73">
        <v>1</v>
      </c>
      <c r="I607" s="69" t="s">
        <v>126</v>
      </c>
      <c r="J607" s="69" t="s">
        <v>122</v>
      </c>
      <c r="K607" s="69" t="s">
        <v>106</v>
      </c>
      <c r="L607" s="74">
        <v>31138942</v>
      </c>
      <c r="M607" s="75">
        <v>3.3217592592592591E-3</v>
      </c>
      <c r="N607" s="76" t="s">
        <v>79</v>
      </c>
      <c r="O607" s="76" t="s">
        <v>79</v>
      </c>
      <c r="P607" s="76" t="s">
        <v>79</v>
      </c>
      <c r="Q607" s="76" t="s">
        <v>79</v>
      </c>
      <c r="R607" s="76" t="s">
        <v>79</v>
      </c>
      <c r="S607" s="76" t="s">
        <v>79</v>
      </c>
      <c r="T607" s="76" t="s">
        <v>79</v>
      </c>
      <c r="U607" s="76" t="s">
        <v>79</v>
      </c>
      <c r="V607" s="76" t="s">
        <v>79</v>
      </c>
      <c r="W607" s="76" t="s">
        <v>79</v>
      </c>
      <c r="X607" s="76" t="s">
        <v>79</v>
      </c>
      <c r="Y607" s="76" t="s">
        <v>79</v>
      </c>
      <c r="Z607" s="77">
        <f t="shared" si="79"/>
        <v>10</v>
      </c>
      <c r="AA607" s="78"/>
      <c r="AB607" s="78" t="s">
        <v>1682</v>
      </c>
      <c r="AC607" s="72" t="s">
        <v>47</v>
      </c>
      <c r="AE607" s="79" t="str">
        <f t="shared" si="93"/>
        <v>Fev10958</v>
      </c>
      <c r="AF607" s="80">
        <f>IF(N607="","",IF(N607="SIM",VLOOKUP($I607&amp;$J607&amp;N$1,Pesos!$A:$I,7,FALSE),VLOOKUP($I607&amp;$J607&amp;N$1,Pesos!$A:$I,9,FALSE)))</f>
        <v>0.8</v>
      </c>
      <c r="AG607" s="80">
        <f>IF(O607="","",IF(O607="SIM",VLOOKUP($I607&amp;$J607&amp;O$1,Pesos!$A:$I,7,FALSE),VLOOKUP($I607&amp;$J607&amp;O$1,Pesos!$A:$I,9,FALSE)))</f>
        <v>0.8</v>
      </c>
      <c r="AH607" s="80">
        <f>IF(P607="","",IF(P607="SIM",VLOOKUP($I607&amp;$J607&amp;P$1,Pesos!$A:$I,7,FALSE),VLOOKUP($I607&amp;$J607&amp;P$1,Pesos!$A:$I,9,FALSE)))</f>
        <v>0.8</v>
      </c>
      <c r="AI607" s="80">
        <f>IF(Q607="","",IF(Q607="SIM",VLOOKUP($I607&amp;$J607&amp;Q$1,Pesos!$A:$I,7,FALSE),VLOOKUP($I607&amp;$J607&amp;Q$1,Pesos!$A:$I,9,FALSE)))</f>
        <v>0.8</v>
      </c>
      <c r="AJ607" s="80">
        <f>IF(R607="","",IF(R607="SIM",VLOOKUP($I607&amp;$J607&amp;R$1,Pesos!$A:$I,7,FALSE),VLOOKUP($I607&amp;$J607&amp;R$1,Pesos!$A:$I,9,FALSE)))</f>
        <v>0.8</v>
      </c>
      <c r="AK607" s="80">
        <f>IF(S607="","",IF(S607="SIM",VLOOKUP($I607&amp;$J607&amp;S$1,Pesos!$A:$I,7,FALSE),VLOOKUP($I607&amp;$J607&amp;S$1,Pesos!$A:$I,9,FALSE)))</f>
        <v>0.8</v>
      </c>
      <c r="AL607" s="80">
        <f t="shared" si="92"/>
        <v>4.8</v>
      </c>
      <c r="AM607" s="80">
        <f>IF(T607="","",IF(T607="SIM",VLOOKUP($I607&amp;$J607&amp;T$1,Pesos!$A:$I,7,FALSE),VLOOKUP($I607&amp;$J607&amp;T$1,Pesos!$A:$I,9,FALSE)))</f>
        <v>0.8</v>
      </c>
      <c r="AN607" s="80">
        <f>IF(U607="","",IF(U607="SIM",VLOOKUP($I607&amp;$J607&amp;U$1,Pesos!$A:$I,7,FALSE),VLOOKUP($I607&amp;$J607&amp;U$1,Pesos!$A:$I,9,FALSE)))</f>
        <v>0.8</v>
      </c>
      <c r="AO607" s="80">
        <f>IF(V607="","",IF(V607="SIM",VLOOKUP($I607&amp;$J607&amp;V$1,Pesos!$A:$I,7,FALSE),VLOOKUP($I607&amp;$J607&amp;V$1,Pesos!$A:$I,9,FALSE)))</f>
        <v>0.8</v>
      </c>
      <c r="AP607" s="80">
        <f>IF(W607="","",IF(W607="SIM",VLOOKUP($I607&amp;$J607&amp;W$1,Pesos!$A:$I,7,FALSE),VLOOKUP($I607&amp;$J607&amp;W$1,Pesos!$A:$I,9,FALSE)))</f>
        <v>0.8</v>
      </c>
      <c r="AQ607" s="80">
        <f>IF(X607="","",IF(X607="SIM",VLOOKUP($I607&amp;$J607&amp;X$1,Pesos!$A:$I,7,FALSE),VLOOKUP($I607&amp;$J607&amp;X$1,Pesos!$A:$I,9,FALSE)))</f>
        <v>1</v>
      </c>
      <c r="AR607" s="80">
        <f>IF(Y607="","",IF(Y607="SIM",VLOOKUP($I607&amp;$J607&amp;Y$1,Pesos!$A:$I,7,FALSE),VLOOKUP($I607&amp;$J607&amp;Y$1,Pesos!$A:$I,9,FALSE)))</f>
        <v>1</v>
      </c>
      <c r="AS607" s="81">
        <f>IFERROR(Z607*VLOOKUP(J607,'BD Campos'!$Y$1:$Z$12,2,FALSE),"0")</f>
        <v>10</v>
      </c>
    </row>
    <row r="608" spans="1:45" x14ac:dyDescent="0.35">
      <c r="A608" s="68" t="str">
        <f t="shared" si="89"/>
        <v>Fev202511104MotoristaTRANSFERÊNCIA</v>
      </c>
      <c r="B608" s="114" t="str">
        <f t="shared" si="90"/>
        <v>Fev2025111041TRANSFERÊNCIAPADRÃO</v>
      </c>
      <c r="C608" s="70">
        <v>1</v>
      </c>
      <c r="D608" s="71">
        <v>45700.600959374999</v>
      </c>
      <c r="E608" s="112" t="s">
        <v>338</v>
      </c>
      <c r="F608" s="72">
        <v>11104</v>
      </c>
      <c r="G608" s="69" t="s">
        <v>415</v>
      </c>
      <c r="H608" s="73">
        <v>1</v>
      </c>
      <c r="I608" s="69" t="s">
        <v>147</v>
      </c>
      <c r="J608" s="69" t="s">
        <v>122</v>
      </c>
      <c r="K608" s="69" t="s">
        <v>106</v>
      </c>
      <c r="L608" s="74">
        <v>31126424</v>
      </c>
      <c r="M608" s="75">
        <v>1.3078703703703705E-3</v>
      </c>
      <c r="N608" s="76"/>
      <c r="O608" s="76"/>
      <c r="P608" s="76"/>
      <c r="Q608" s="76"/>
      <c r="R608" s="76"/>
      <c r="S608" s="76"/>
      <c r="T608" s="76"/>
      <c r="U608" s="76"/>
      <c r="V608" s="76"/>
      <c r="W608" s="76"/>
      <c r="X608" s="76"/>
      <c r="Y608" s="76"/>
      <c r="Z608" s="77">
        <f t="shared" si="79"/>
        <v>0</v>
      </c>
      <c r="AA608" s="78" t="s">
        <v>1684</v>
      </c>
      <c r="AB608" s="78" t="s">
        <v>1683</v>
      </c>
      <c r="AC608" s="72" t="s">
        <v>47</v>
      </c>
      <c r="AE608" s="79" t="str">
        <f t="shared" si="93"/>
        <v>Fev11104</v>
      </c>
      <c r="AF608" s="80" t="str">
        <f>IF(N608="","",IF(N608="SIM",VLOOKUP($I608&amp;$J608&amp;N$1,Pesos!$A:$I,7,FALSE),VLOOKUP($I608&amp;$J608&amp;N$1,Pesos!$A:$I,9,FALSE)))</f>
        <v/>
      </c>
      <c r="AG608" s="80" t="str">
        <f>IF(O608="","",IF(O608="SIM",VLOOKUP($I608&amp;$J608&amp;O$1,Pesos!$A:$I,7,FALSE),VLOOKUP($I608&amp;$J608&amp;O$1,Pesos!$A:$I,9,FALSE)))</f>
        <v/>
      </c>
      <c r="AH608" s="80" t="str">
        <f>IF(P608="","",IF(P608="SIM",VLOOKUP($I608&amp;$J608&amp;P$1,Pesos!$A:$I,7,FALSE),VLOOKUP($I608&amp;$J608&amp;P$1,Pesos!$A:$I,9,FALSE)))</f>
        <v/>
      </c>
      <c r="AI608" s="80" t="str">
        <f>IF(Q608="","",IF(Q608="SIM",VLOOKUP($I608&amp;$J608&amp;Q$1,Pesos!$A:$I,7,FALSE),VLOOKUP($I608&amp;$J608&amp;Q$1,Pesos!$A:$I,9,FALSE)))</f>
        <v/>
      </c>
      <c r="AJ608" s="80" t="str">
        <f>IF(R608="","",IF(R608="SIM",VLOOKUP($I608&amp;$J608&amp;R$1,Pesos!$A:$I,7,FALSE),VLOOKUP($I608&amp;$J608&amp;R$1,Pesos!$A:$I,9,FALSE)))</f>
        <v/>
      </c>
      <c r="AK608" s="80" t="str">
        <f>IF(S608="","",IF(S608="SIM",VLOOKUP($I608&amp;$J608&amp;S$1,Pesos!$A:$I,7,FALSE),VLOOKUP($I608&amp;$J608&amp;S$1,Pesos!$A:$I,9,FALSE)))</f>
        <v/>
      </c>
      <c r="AL608" s="80">
        <f t="shared" si="92"/>
        <v>0</v>
      </c>
      <c r="AM608" s="80" t="str">
        <f>IF(T608="","",IF(T608="SIM",VLOOKUP($I608&amp;$J608&amp;T$1,Pesos!$A:$I,7,FALSE),VLOOKUP($I608&amp;$J608&amp;T$1,Pesos!$A:$I,9,FALSE)))</f>
        <v/>
      </c>
      <c r="AN608" s="80" t="str">
        <f>IF(U608="","",IF(U608="SIM",VLOOKUP($I608&amp;$J608&amp;U$1,Pesos!$A:$I,7,FALSE),VLOOKUP($I608&amp;$J608&amp;U$1,Pesos!$A:$I,9,FALSE)))</f>
        <v/>
      </c>
      <c r="AO608" s="80" t="str">
        <f>IF(V608="","",IF(V608="SIM",VLOOKUP($I608&amp;$J608&amp;V$1,Pesos!$A:$I,7,FALSE),VLOOKUP($I608&amp;$J608&amp;V$1,Pesos!$A:$I,9,FALSE)))</f>
        <v/>
      </c>
      <c r="AP608" s="80" t="str">
        <f>IF(W608="","",IF(W608="SIM",VLOOKUP($I608&amp;$J608&amp;W$1,Pesos!$A:$I,7,FALSE),VLOOKUP($I608&amp;$J608&amp;W$1,Pesos!$A:$I,9,FALSE)))</f>
        <v/>
      </c>
      <c r="AQ608" s="80" t="str">
        <f>IF(X608="","",IF(X608="SIM",VLOOKUP($I608&amp;$J608&amp;X$1,Pesos!$A:$I,7,FALSE),VLOOKUP($I608&amp;$J608&amp;X$1,Pesos!$A:$I,9,FALSE)))</f>
        <v/>
      </c>
      <c r="AR608" s="80" t="str">
        <f>IF(Y608="","",IF(Y608="SIM",VLOOKUP($I608&amp;$J608&amp;Y$1,Pesos!$A:$I,7,FALSE),VLOOKUP($I608&amp;$J608&amp;Y$1,Pesos!$A:$I,9,FALSE)))</f>
        <v/>
      </c>
      <c r="AS608" s="81">
        <f>IFERROR(Z608*VLOOKUP(J608,'BD Campos'!$Y$1:$Z$12,2,FALSE),"0")</f>
        <v>0</v>
      </c>
    </row>
    <row r="609" spans="1:45" x14ac:dyDescent="0.35">
      <c r="A609" s="68" t="str">
        <f t="shared" si="89"/>
        <v>Fev202511149MotoristaTRANSFERÊNCIA</v>
      </c>
      <c r="B609" s="114" t="str">
        <f t="shared" si="90"/>
        <v>Fev2025111491TRANSFERÊNCIAPADRÃO</v>
      </c>
      <c r="C609" s="70">
        <v>1</v>
      </c>
      <c r="D609" s="71">
        <v>45700.603815740738</v>
      </c>
      <c r="E609" s="112" t="s">
        <v>338</v>
      </c>
      <c r="F609" s="72">
        <v>11149</v>
      </c>
      <c r="G609" s="69" t="s">
        <v>440</v>
      </c>
      <c r="H609" s="73">
        <v>1</v>
      </c>
      <c r="I609" s="69" t="s">
        <v>147</v>
      </c>
      <c r="J609" s="69" t="s">
        <v>122</v>
      </c>
      <c r="K609" s="69" t="s">
        <v>106</v>
      </c>
      <c r="L609" s="74">
        <v>31165627</v>
      </c>
      <c r="M609" s="75">
        <v>1.2152777777777778E-3</v>
      </c>
      <c r="N609" s="76" t="s">
        <v>79</v>
      </c>
      <c r="O609" s="76" t="s">
        <v>79</v>
      </c>
      <c r="P609" s="76" t="s">
        <v>79</v>
      </c>
      <c r="Q609" s="76" t="s">
        <v>79</v>
      </c>
      <c r="R609" s="76" t="s">
        <v>79</v>
      </c>
      <c r="S609" s="76" t="s">
        <v>79</v>
      </c>
      <c r="T609" s="76" t="s">
        <v>79</v>
      </c>
      <c r="U609" s="76" t="s">
        <v>79</v>
      </c>
      <c r="V609" s="76"/>
      <c r="W609" s="76"/>
      <c r="X609" s="76"/>
      <c r="Y609" s="76"/>
      <c r="Z609" s="77">
        <f t="shared" si="79"/>
        <v>10</v>
      </c>
      <c r="AA609" s="78"/>
      <c r="AB609" s="78" t="s">
        <v>1685</v>
      </c>
      <c r="AC609" s="72" t="s">
        <v>47</v>
      </c>
      <c r="AE609" s="79" t="str">
        <f t="shared" si="93"/>
        <v>Fev11149</v>
      </c>
      <c r="AF609" s="80">
        <f>IF(N609="","",IF(N609="SIM",VLOOKUP($I609&amp;$J609&amp;N$1,Pesos!$A:$I,7,FALSE),VLOOKUP($I609&amp;$J609&amp;N$1,Pesos!$A:$I,9,FALSE)))</f>
        <v>1.1000000000000001</v>
      </c>
      <c r="AG609" s="80">
        <f>IF(O609="","",IF(O609="SIM",VLOOKUP($I609&amp;$J609&amp;O$1,Pesos!$A:$I,7,FALSE),VLOOKUP($I609&amp;$J609&amp;O$1,Pesos!$A:$I,9,FALSE)))</f>
        <v>1.1000000000000001</v>
      </c>
      <c r="AH609" s="80">
        <f>IF(P609="","",IF(P609="SIM",VLOOKUP($I609&amp;$J609&amp;P$1,Pesos!$A:$I,7,FALSE),VLOOKUP($I609&amp;$J609&amp;P$1,Pesos!$A:$I,9,FALSE)))</f>
        <v>1.1000000000000001</v>
      </c>
      <c r="AI609" s="80">
        <f>IF(Q609="","",IF(Q609="SIM",VLOOKUP($I609&amp;$J609&amp;Q$1,Pesos!$A:$I,7,FALSE),VLOOKUP($I609&amp;$J609&amp;Q$1,Pesos!$A:$I,9,FALSE)))</f>
        <v>1.1000000000000001</v>
      </c>
      <c r="AJ609" s="80">
        <f>IF(R609="","",IF(R609="SIM",VLOOKUP($I609&amp;$J609&amp;R$1,Pesos!$A:$I,7,FALSE),VLOOKUP($I609&amp;$J609&amp;R$1,Pesos!$A:$I,9,FALSE)))</f>
        <v>1.1000000000000001</v>
      </c>
      <c r="AK609" s="80">
        <f>IF(S609="","",IF(S609="SIM",VLOOKUP($I609&amp;$J609&amp;S$1,Pesos!$A:$I,7,FALSE),VLOOKUP($I609&amp;$J609&amp;S$1,Pesos!$A:$I,9,FALSE)))</f>
        <v>1.6</v>
      </c>
      <c r="AL609" s="80">
        <f t="shared" si="92"/>
        <v>7.1</v>
      </c>
      <c r="AM609" s="80">
        <f>IF(T609="","",IF(T609="SIM",VLOOKUP($I609&amp;$J609&amp;T$1,Pesos!$A:$I,7,FALSE),VLOOKUP($I609&amp;$J609&amp;T$1,Pesos!$A:$I,9,FALSE)))</f>
        <v>1.2</v>
      </c>
      <c r="AN609" s="80">
        <f>IF(U609="","",IF(U609="SIM",VLOOKUP($I609&amp;$J609&amp;U$1,Pesos!$A:$I,7,FALSE),VLOOKUP($I609&amp;$J609&amp;U$1,Pesos!$A:$I,9,FALSE)))</f>
        <v>1.7000000000000002</v>
      </c>
      <c r="AO609" s="80" t="str">
        <f>IF(V609="","",IF(V609="SIM",VLOOKUP($I609&amp;$J609&amp;V$1,Pesos!$A:$I,7,FALSE),VLOOKUP($I609&amp;$J609&amp;V$1,Pesos!$A:$I,9,FALSE)))</f>
        <v/>
      </c>
      <c r="AP609" s="80" t="str">
        <f>IF(W609="","",IF(W609="SIM",VLOOKUP($I609&amp;$J609&amp;W$1,Pesos!$A:$I,7,FALSE),VLOOKUP($I609&amp;$J609&amp;W$1,Pesos!$A:$I,9,FALSE)))</f>
        <v/>
      </c>
      <c r="AQ609" s="80" t="str">
        <f>IF(X609="","",IF(X609="SIM",VLOOKUP($I609&amp;$J609&amp;X$1,Pesos!$A:$I,7,FALSE),VLOOKUP($I609&amp;$J609&amp;X$1,Pesos!$A:$I,9,FALSE)))</f>
        <v/>
      </c>
      <c r="AR609" s="80" t="str">
        <f>IF(Y609="","",IF(Y609="SIM",VLOOKUP($I609&amp;$J609&amp;Y$1,Pesos!$A:$I,7,FALSE),VLOOKUP($I609&amp;$J609&amp;Y$1,Pesos!$A:$I,9,FALSE)))</f>
        <v/>
      </c>
      <c r="AS609" s="81">
        <f>IFERROR(Z609*VLOOKUP(J609,'BD Campos'!$Y$1:$Z$12,2,FALSE),"0")</f>
        <v>10</v>
      </c>
    </row>
    <row r="610" spans="1:45" x14ac:dyDescent="0.35">
      <c r="A610" s="68" t="str">
        <f t="shared" si="89"/>
        <v>Fev202511154MotoristaTRANSFERÊNCIA</v>
      </c>
      <c r="B610" s="114" t="str">
        <f t="shared" si="90"/>
        <v>Fev2025111541TRANSFERÊNCIAPADRÃO</v>
      </c>
      <c r="C610" s="70">
        <v>1</v>
      </c>
      <c r="D610" s="71">
        <v>45700.605853935187</v>
      </c>
      <c r="E610" s="112" t="s">
        <v>338</v>
      </c>
      <c r="F610" s="72">
        <v>11154</v>
      </c>
      <c r="G610" s="69" t="s">
        <v>451</v>
      </c>
      <c r="H610" s="73">
        <v>1</v>
      </c>
      <c r="I610" s="69" t="s">
        <v>123</v>
      </c>
      <c r="J610" s="69" t="s">
        <v>122</v>
      </c>
      <c r="K610" s="69" t="s">
        <v>106</v>
      </c>
      <c r="L610" s="74">
        <v>31077720</v>
      </c>
      <c r="M610" s="75">
        <v>1.1226851851851851E-3</v>
      </c>
      <c r="N610" s="76" t="s">
        <v>79</v>
      </c>
      <c r="O610" s="76" t="s">
        <v>79</v>
      </c>
      <c r="P610" s="76" t="s">
        <v>79</v>
      </c>
      <c r="Q610" s="76" t="s">
        <v>79</v>
      </c>
      <c r="R610" s="76" t="s">
        <v>79</v>
      </c>
      <c r="S610" s="76" t="s">
        <v>79</v>
      </c>
      <c r="T610" s="76" t="s">
        <v>79</v>
      </c>
      <c r="U610" s="76" t="s">
        <v>79</v>
      </c>
      <c r="V610" s="76" t="s">
        <v>79</v>
      </c>
      <c r="W610" s="76" t="s">
        <v>83</v>
      </c>
      <c r="X610" s="76"/>
      <c r="Y610" s="76"/>
      <c r="Z610" s="77">
        <f t="shared" si="79"/>
        <v>8.9499999999999993</v>
      </c>
      <c r="AA610" s="78"/>
      <c r="AB610" s="78" t="s">
        <v>1686</v>
      </c>
      <c r="AC610" s="72" t="s">
        <v>47</v>
      </c>
      <c r="AE610" s="79" t="str">
        <f t="shared" si="93"/>
        <v>Fev11154</v>
      </c>
      <c r="AF610" s="80">
        <f>IF(N610="","",IF(N610="SIM",VLOOKUP($I610&amp;$J610&amp;N$1,Pesos!$A:$I,7,FALSE),VLOOKUP($I610&amp;$J610&amp;N$1,Pesos!$A:$I,9,FALSE)))</f>
        <v>1</v>
      </c>
      <c r="AG610" s="80">
        <f>IF(O610="","",IF(O610="SIM",VLOOKUP($I610&amp;$J610&amp;O$1,Pesos!$A:$I,7,FALSE),VLOOKUP($I610&amp;$J610&amp;O$1,Pesos!$A:$I,9,FALSE)))</f>
        <v>1</v>
      </c>
      <c r="AH610" s="80">
        <f>IF(P610="","",IF(P610="SIM",VLOOKUP($I610&amp;$J610&amp;P$1,Pesos!$A:$I,7,FALSE),VLOOKUP($I610&amp;$J610&amp;P$1,Pesos!$A:$I,9,FALSE)))</f>
        <v>1</v>
      </c>
      <c r="AI610" s="80">
        <f>IF(Q610="","",IF(Q610="SIM",VLOOKUP($I610&amp;$J610&amp;Q$1,Pesos!$A:$I,7,FALSE),VLOOKUP($I610&amp;$J610&amp;Q$1,Pesos!$A:$I,9,FALSE)))</f>
        <v>1</v>
      </c>
      <c r="AJ610" s="80">
        <f>IF(R610="","",IF(R610="SIM",VLOOKUP($I610&amp;$J610&amp;R$1,Pesos!$A:$I,7,FALSE),VLOOKUP($I610&amp;$J610&amp;R$1,Pesos!$A:$I,9,FALSE)))</f>
        <v>1</v>
      </c>
      <c r="AK610" s="80">
        <f>IF(S610="","",IF(S610="SIM",VLOOKUP($I610&amp;$J610&amp;S$1,Pesos!$A:$I,7,FALSE),VLOOKUP($I610&amp;$J610&amp;S$1,Pesos!$A:$I,9,FALSE)))</f>
        <v>1</v>
      </c>
      <c r="AL610" s="80">
        <f t="shared" si="92"/>
        <v>6</v>
      </c>
      <c r="AM610" s="80">
        <f>IF(T610="","",IF(T610="SIM",VLOOKUP($I610&amp;$J610&amp;T$1,Pesos!$A:$I,7,FALSE),VLOOKUP($I610&amp;$J610&amp;T$1,Pesos!$A:$I,9,FALSE)))</f>
        <v>1</v>
      </c>
      <c r="AN610" s="80">
        <f>IF(U610="","",IF(U610="SIM",VLOOKUP($I610&amp;$J610&amp;U$1,Pesos!$A:$I,7,FALSE),VLOOKUP($I610&amp;$J610&amp;U$1,Pesos!$A:$I,9,FALSE)))</f>
        <v>1</v>
      </c>
      <c r="AO610" s="80">
        <f>IF(V610="","",IF(V610="SIM",VLOOKUP($I610&amp;$J610&amp;V$1,Pesos!$A:$I,7,FALSE),VLOOKUP($I610&amp;$J610&amp;V$1,Pesos!$A:$I,9,FALSE)))</f>
        <v>1</v>
      </c>
      <c r="AP610" s="80">
        <f>IF(W610="","",IF(W610="SIM",VLOOKUP($I610&amp;$J610&amp;W$1,Pesos!$A:$I,7,FALSE),VLOOKUP($I610&amp;$J610&amp;W$1,Pesos!$A:$I,9,FALSE)))</f>
        <v>-0.05</v>
      </c>
      <c r="AQ610" s="80" t="str">
        <f>IF(X610="","",IF(X610="SIM",VLOOKUP($I610&amp;$J610&amp;X$1,Pesos!$A:$I,7,FALSE),VLOOKUP($I610&amp;$J610&amp;X$1,Pesos!$A:$I,9,FALSE)))</f>
        <v/>
      </c>
      <c r="AR610" s="80" t="str">
        <f>IF(Y610="","",IF(Y610="SIM",VLOOKUP($I610&amp;$J610&amp;Y$1,Pesos!$A:$I,7,FALSE),VLOOKUP($I610&amp;$J610&amp;Y$1,Pesos!$A:$I,9,FALSE)))</f>
        <v/>
      </c>
      <c r="AS610" s="81">
        <f>IFERROR(Z610*VLOOKUP(J610,'BD Campos'!$Y$1:$Z$12,2,FALSE),"0")</f>
        <v>8.9499999999999993</v>
      </c>
    </row>
    <row r="611" spans="1:45" x14ac:dyDescent="0.35">
      <c r="A611" s="68" t="str">
        <f t="shared" si="89"/>
        <v>Fev202511171MotoristaTRANSFERÊNCIA</v>
      </c>
      <c r="B611" s="114" t="str">
        <f t="shared" si="90"/>
        <v>Fev2025111711TRANSFERÊNCIAPADRÃO</v>
      </c>
      <c r="C611" s="70">
        <v>1</v>
      </c>
      <c r="D611" s="71">
        <v>45700.609052083331</v>
      </c>
      <c r="E611" s="112" t="s">
        <v>338</v>
      </c>
      <c r="F611" s="72">
        <v>11171</v>
      </c>
      <c r="G611" s="69" t="s">
        <v>1358</v>
      </c>
      <c r="H611" s="73">
        <v>1</v>
      </c>
      <c r="I611" s="69" t="s">
        <v>121</v>
      </c>
      <c r="J611" s="69" t="s">
        <v>122</v>
      </c>
      <c r="K611" s="69" t="s">
        <v>106</v>
      </c>
      <c r="L611" s="74">
        <v>31097063</v>
      </c>
      <c r="M611" s="75">
        <v>2.3611111111111111E-3</v>
      </c>
      <c r="N611" s="76" t="s">
        <v>79</v>
      </c>
      <c r="O611" s="76" t="s">
        <v>79</v>
      </c>
      <c r="P611" s="76" t="s">
        <v>79</v>
      </c>
      <c r="Q611" s="76" t="s">
        <v>79</v>
      </c>
      <c r="R611" s="76" t="s">
        <v>79</v>
      </c>
      <c r="S611" s="76" t="s">
        <v>79</v>
      </c>
      <c r="T611" s="76" t="s">
        <v>79</v>
      </c>
      <c r="U611" s="76" t="s">
        <v>79</v>
      </c>
      <c r="V611" s="76" t="s">
        <v>83</v>
      </c>
      <c r="W611" s="76" t="s">
        <v>79</v>
      </c>
      <c r="X611" s="76" t="s">
        <v>79</v>
      </c>
      <c r="Y611" s="76"/>
      <c r="Z611" s="77">
        <f t="shared" si="79"/>
        <v>9.0287500000000005</v>
      </c>
      <c r="AA611" s="78"/>
      <c r="AB611" s="78" t="s">
        <v>1687</v>
      </c>
      <c r="AC611" s="72" t="s">
        <v>47</v>
      </c>
      <c r="AE611" s="79" t="str">
        <f t="shared" si="93"/>
        <v>Fev11171</v>
      </c>
      <c r="AF611" s="80">
        <f>IF(N611="","",IF(N611="SIM",VLOOKUP($I611&amp;$J611&amp;N$1,Pesos!$A:$I,7,FALSE),VLOOKUP($I611&amp;$J611&amp;N$1,Pesos!$A:$I,9,FALSE)))</f>
        <v>0.89999999999999991</v>
      </c>
      <c r="AG611" s="80">
        <f>IF(O611="","",IF(O611="SIM",VLOOKUP($I611&amp;$J611&amp;O$1,Pesos!$A:$I,7,FALSE),VLOOKUP($I611&amp;$J611&amp;O$1,Pesos!$A:$I,9,FALSE)))</f>
        <v>0.89999999999999991</v>
      </c>
      <c r="AH611" s="80">
        <f>IF(P611="","",IF(P611="SIM",VLOOKUP($I611&amp;$J611&amp;P$1,Pesos!$A:$I,7,FALSE),VLOOKUP($I611&amp;$J611&amp;P$1,Pesos!$A:$I,9,FALSE)))</f>
        <v>0.89999999999999991</v>
      </c>
      <c r="AI611" s="80">
        <f>IF(Q611="","",IF(Q611="SIM",VLOOKUP($I611&amp;$J611&amp;Q$1,Pesos!$A:$I,7,FALSE),VLOOKUP($I611&amp;$J611&amp;Q$1,Pesos!$A:$I,9,FALSE)))</f>
        <v>0.89999999999999991</v>
      </c>
      <c r="AJ611" s="80">
        <f>IF(R611="","",IF(R611="SIM",VLOOKUP($I611&amp;$J611&amp;R$1,Pesos!$A:$I,7,FALSE),VLOOKUP($I611&amp;$J611&amp;R$1,Pesos!$A:$I,9,FALSE)))</f>
        <v>0.89999999999999991</v>
      </c>
      <c r="AK611" s="80">
        <f>IF(S611="","",IF(S611="SIM",VLOOKUP($I611&amp;$J611&amp;S$1,Pesos!$A:$I,7,FALSE),VLOOKUP($I611&amp;$J611&amp;S$1,Pesos!$A:$I,9,FALSE)))</f>
        <v>0.89999999999999991</v>
      </c>
      <c r="AL611" s="80">
        <f t="shared" si="92"/>
        <v>5.4</v>
      </c>
      <c r="AM611" s="80">
        <f>IF(T611="","",IF(T611="SIM",VLOOKUP($I611&amp;$J611&amp;T$1,Pesos!$A:$I,7,FALSE),VLOOKUP($I611&amp;$J611&amp;T$1,Pesos!$A:$I,9,FALSE)))</f>
        <v>0.89999999999999991</v>
      </c>
      <c r="AN611" s="80">
        <f>IF(U611="","",IF(U611="SIM",VLOOKUP($I611&amp;$J611&amp;U$1,Pesos!$A:$I,7,FALSE),VLOOKUP($I611&amp;$J611&amp;U$1,Pesos!$A:$I,9,FALSE)))</f>
        <v>0.92500000000000004</v>
      </c>
      <c r="AO611" s="80">
        <f>IF(V611="","",IF(V611="SIM",VLOOKUP($I611&amp;$J611&amp;V$1,Pesos!$A:$I,7,FALSE),VLOOKUP($I611&amp;$J611&amp;V$1,Pesos!$A:$I,9,FALSE)))</f>
        <v>-4.6250000000000006E-2</v>
      </c>
      <c r="AP611" s="80">
        <f>IF(W611="","",IF(W611="SIM",VLOOKUP($I611&amp;$J611&amp;W$1,Pesos!$A:$I,7,FALSE),VLOOKUP($I611&amp;$J611&amp;W$1,Pesos!$A:$I,9,FALSE)))</f>
        <v>0.89999999999999991</v>
      </c>
      <c r="AQ611" s="80">
        <f>IF(X611="","",IF(X611="SIM",VLOOKUP($I611&amp;$J611&amp;X$1,Pesos!$A:$I,7,FALSE),VLOOKUP($I611&amp;$J611&amp;X$1,Pesos!$A:$I,9,FALSE)))</f>
        <v>0.95</v>
      </c>
      <c r="AR611" s="80" t="str">
        <f>IF(Y611="","",IF(Y611="SIM",VLOOKUP($I611&amp;$J611&amp;Y$1,Pesos!$A:$I,7,FALSE),VLOOKUP($I611&amp;$J611&amp;Y$1,Pesos!$A:$I,9,FALSE)))</f>
        <v/>
      </c>
      <c r="AS611" s="81">
        <f>IFERROR(Z611*VLOOKUP(J611,'BD Campos'!$Y$1:$Z$12,2,FALSE),"0")</f>
        <v>9.0287500000000005</v>
      </c>
    </row>
    <row r="612" spans="1:45" x14ac:dyDescent="0.35">
      <c r="A612" s="68" t="str">
        <f t="shared" si="89"/>
        <v>Fev202511209MotoristaTRANSFERÊNCIA</v>
      </c>
      <c r="B612" s="114" t="str">
        <f t="shared" si="90"/>
        <v>Fev2025112091TRANSFERÊNCIAPADRÃO</v>
      </c>
      <c r="C612" s="70">
        <v>1</v>
      </c>
      <c r="D612" s="71">
        <v>45700.630698379631</v>
      </c>
      <c r="E612" s="112" t="s">
        <v>338</v>
      </c>
      <c r="F612" s="72">
        <v>11209</v>
      </c>
      <c r="G612" s="69" t="s">
        <v>1386</v>
      </c>
      <c r="H612" s="73">
        <v>1</v>
      </c>
      <c r="I612" s="69" t="s">
        <v>147</v>
      </c>
      <c r="J612" s="69" t="s">
        <v>122</v>
      </c>
      <c r="K612" s="69" t="s">
        <v>106</v>
      </c>
      <c r="L612" s="74">
        <v>31041602</v>
      </c>
      <c r="M612" s="75">
        <v>1.9212962962962962E-3</v>
      </c>
      <c r="N612" s="76" t="s">
        <v>79</v>
      </c>
      <c r="O612" s="76" t="s">
        <v>79</v>
      </c>
      <c r="P612" s="76" t="s">
        <v>79</v>
      </c>
      <c r="Q612" s="76" t="s">
        <v>79</v>
      </c>
      <c r="R612" s="76" t="s">
        <v>79</v>
      </c>
      <c r="S612" s="76" t="s">
        <v>79</v>
      </c>
      <c r="T612" s="76" t="s">
        <v>79</v>
      </c>
      <c r="U612" s="76" t="s">
        <v>79</v>
      </c>
      <c r="V612" s="76"/>
      <c r="W612" s="76"/>
      <c r="X612" s="76"/>
      <c r="Y612" s="76"/>
      <c r="Z612" s="77">
        <f t="shared" si="79"/>
        <v>10</v>
      </c>
      <c r="AA612" s="78"/>
      <c r="AB612" s="78" t="s">
        <v>1688</v>
      </c>
      <c r="AC612" s="72" t="s">
        <v>47</v>
      </c>
      <c r="AE612" s="79" t="str">
        <f t="shared" si="93"/>
        <v>Fev11209</v>
      </c>
      <c r="AF612" s="80">
        <f>IF(N612="","",IF(N612="SIM",VLOOKUP($I612&amp;$J612&amp;N$1,Pesos!$A:$I,7,FALSE),VLOOKUP($I612&amp;$J612&amp;N$1,Pesos!$A:$I,9,FALSE)))</f>
        <v>1.1000000000000001</v>
      </c>
      <c r="AG612" s="80">
        <f>IF(O612="","",IF(O612="SIM",VLOOKUP($I612&amp;$J612&amp;O$1,Pesos!$A:$I,7,FALSE),VLOOKUP($I612&amp;$J612&amp;O$1,Pesos!$A:$I,9,FALSE)))</f>
        <v>1.1000000000000001</v>
      </c>
      <c r="AH612" s="80">
        <f>IF(P612="","",IF(P612="SIM",VLOOKUP($I612&amp;$J612&amp;P$1,Pesos!$A:$I,7,FALSE),VLOOKUP($I612&amp;$J612&amp;P$1,Pesos!$A:$I,9,FALSE)))</f>
        <v>1.1000000000000001</v>
      </c>
      <c r="AI612" s="80">
        <f>IF(Q612="","",IF(Q612="SIM",VLOOKUP($I612&amp;$J612&amp;Q$1,Pesos!$A:$I,7,FALSE),VLOOKUP($I612&amp;$J612&amp;Q$1,Pesos!$A:$I,9,FALSE)))</f>
        <v>1.1000000000000001</v>
      </c>
      <c r="AJ612" s="80">
        <f>IF(R612="","",IF(R612="SIM",VLOOKUP($I612&amp;$J612&amp;R$1,Pesos!$A:$I,7,FALSE),VLOOKUP($I612&amp;$J612&amp;R$1,Pesos!$A:$I,9,FALSE)))</f>
        <v>1.1000000000000001</v>
      </c>
      <c r="AK612" s="80">
        <f>IF(S612="","",IF(S612="SIM",VLOOKUP($I612&amp;$J612&amp;S$1,Pesos!$A:$I,7,FALSE),VLOOKUP($I612&amp;$J612&amp;S$1,Pesos!$A:$I,9,FALSE)))</f>
        <v>1.6</v>
      </c>
      <c r="AL612" s="80">
        <f t="shared" si="92"/>
        <v>7.1</v>
      </c>
      <c r="AM612" s="80">
        <f>IF(T612="","",IF(T612="SIM",VLOOKUP($I612&amp;$J612&amp;T$1,Pesos!$A:$I,7,FALSE),VLOOKUP($I612&amp;$J612&amp;T$1,Pesos!$A:$I,9,FALSE)))</f>
        <v>1.2</v>
      </c>
      <c r="AN612" s="80">
        <f>IF(U612="","",IF(U612="SIM",VLOOKUP($I612&amp;$J612&amp;U$1,Pesos!$A:$I,7,FALSE),VLOOKUP($I612&amp;$J612&amp;U$1,Pesos!$A:$I,9,FALSE)))</f>
        <v>1.7000000000000002</v>
      </c>
      <c r="AO612" s="80" t="str">
        <f>IF(V612="","",IF(V612="SIM",VLOOKUP($I612&amp;$J612&amp;V$1,Pesos!$A:$I,7,FALSE),VLOOKUP($I612&amp;$J612&amp;V$1,Pesos!$A:$I,9,FALSE)))</f>
        <v/>
      </c>
      <c r="AP612" s="80" t="str">
        <f>IF(W612="","",IF(W612="SIM",VLOOKUP($I612&amp;$J612&amp;W$1,Pesos!$A:$I,7,FALSE),VLOOKUP($I612&amp;$J612&amp;W$1,Pesos!$A:$I,9,FALSE)))</f>
        <v/>
      </c>
      <c r="AQ612" s="80" t="str">
        <f>IF(X612="","",IF(X612="SIM",VLOOKUP($I612&amp;$J612&amp;X$1,Pesos!$A:$I,7,FALSE),VLOOKUP($I612&amp;$J612&amp;X$1,Pesos!$A:$I,9,FALSE)))</f>
        <v/>
      </c>
      <c r="AR612" s="80" t="str">
        <f>IF(Y612="","",IF(Y612="SIM",VLOOKUP($I612&amp;$J612&amp;Y$1,Pesos!$A:$I,7,FALSE),VLOOKUP($I612&amp;$J612&amp;Y$1,Pesos!$A:$I,9,FALSE)))</f>
        <v/>
      </c>
      <c r="AS612" s="81">
        <f>IFERROR(Z612*VLOOKUP(J612,'BD Campos'!$Y$1:$Z$12,2,FALSE),"0")</f>
        <v>10</v>
      </c>
    </row>
    <row r="613" spans="1:45" x14ac:dyDescent="0.35">
      <c r="A613" s="68" t="str">
        <f t="shared" si="89"/>
        <v>Fev202511201MotoristaTRANSFERÊNCIA</v>
      </c>
      <c r="B613" s="114" t="str">
        <f t="shared" si="90"/>
        <v>Fev2025112011TRANSFERÊNCIAPADRÃO</v>
      </c>
      <c r="C613" s="70">
        <v>1</v>
      </c>
      <c r="D613" s="71">
        <v>45700.634492129633</v>
      </c>
      <c r="E613" s="112" t="s">
        <v>338</v>
      </c>
      <c r="F613" s="72">
        <v>11201</v>
      </c>
      <c r="G613" s="69" t="s">
        <v>1385</v>
      </c>
      <c r="H613" s="73">
        <v>1</v>
      </c>
      <c r="I613" s="69" t="s">
        <v>123</v>
      </c>
      <c r="J613" s="69" t="s">
        <v>122</v>
      </c>
      <c r="K613" s="69" t="s">
        <v>106</v>
      </c>
      <c r="L613" s="74">
        <v>1812421</v>
      </c>
      <c r="M613" s="75">
        <v>1.8981481481481482E-3</v>
      </c>
      <c r="N613" s="76" t="s">
        <v>79</v>
      </c>
      <c r="O613" s="76" t="s">
        <v>79</v>
      </c>
      <c r="P613" s="76" t="s">
        <v>79</v>
      </c>
      <c r="Q613" s="76" t="s">
        <v>79</v>
      </c>
      <c r="R613" s="76" t="s">
        <v>79</v>
      </c>
      <c r="S613" s="76" t="s">
        <v>79</v>
      </c>
      <c r="T613" s="76" t="s">
        <v>79</v>
      </c>
      <c r="U613" s="76" t="s">
        <v>79</v>
      </c>
      <c r="V613" s="76" t="s">
        <v>83</v>
      </c>
      <c r="W613" s="76" t="s">
        <v>79</v>
      </c>
      <c r="X613" s="76"/>
      <c r="Y613" s="76"/>
      <c r="Z613" s="77">
        <f t="shared" si="79"/>
        <v>8.9499999999999993</v>
      </c>
      <c r="AA613" s="78"/>
      <c r="AB613" s="78" t="s">
        <v>1689</v>
      </c>
      <c r="AC613" s="72" t="s">
        <v>47</v>
      </c>
      <c r="AE613" s="79" t="str">
        <f t="shared" si="93"/>
        <v>Fev11201</v>
      </c>
      <c r="AF613" s="80">
        <f>IF(N613="","",IF(N613="SIM",VLOOKUP($I613&amp;$J613&amp;N$1,Pesos!$A:$I,7,FALSE),VLOOKUP($I613&amp;$J613&amp;N$1,Pesos!$A:$I,9,FALSE)))</f>
        <v>1</v>
      </c>
      <c r="AG613" s="80">
        <f>IF(O613="","",IF(O613="SIM",VLOOKUP($I613&amp;$J613&amp;O$1,Pesos!$A:$I,7,FALSE),VLOOKUP($I613&amp;$J613&amp;O$1,Pesos!$A:$I,9,FALSE)))</f>
        <v>1</v>
      </c>
      <c r="AH613" s="80">
        <f>IF(P613="","",IF(P613="SIM",VLOOKUP($I613&amp;$J613&amp;P$1,Pesos!$A:$I,7,FALSE),VLOOKUP($I613&amp;$J613&amp;P$1,Pesos!$A:$I,9,FALSE)))</f>
        <v>1</v>
      </c>
      <c r="AI613" s="80">
        <f>IF(Q613="","",IF(Q613="SIM",VLOOKUP($I613&amp;$J613&amp;Q$1,Pesos!$A:$I,7,FALSE),VLOOKUP($I613&amp;$J613&amp;Q$1,Pesos!$A:$I,9,FALSE)))</f>
        <v>1</v>
      </c>
      <c r="AJ613" s="80">
        <f>IF(R613="","",IF(R613="SIM",VLOOKUP($I613&amp;$J613&amp;R$1,Pesos!$A:$I,7,FALSE),VLOOKUP($I613&amp;$J613&amp;R$1,Pesos!$A:$I,9,FALSE)))</f>
        <v>1</v>
      </c>
      <c r="AK613" s="80">
        <f>IF(S613="","",IF(S613="SIM",VLOOKUP($I613&amp;$J613&amp;S$1,Pesos!$A:$I,7,FALSE),VLOOKUP($I613&amp;$J613&amp;S$1,Pesos!$A:$I,9,FALSE)))</f>
        <v>1</v>
      </c>
      <c r="AL613" s="80">
        <f t="shared" si="92"/>
        <v>6</v>
      </c>
      <c r="AM613" s="80">
        <f>IF(T613="","",IF(T613="SIM",VLOOKUP($I613&amp;$J613&amp;T$1,Pesos!$A:$I,7,FALSE),VLOOKUP($I613&amp;$J613&amp;T$1,Pesos!$A:$I,9,FALSE)))</f>
        <v>1</v>
      </c>
      <c r="AN613" s="80">
        <f>IF(U613="","",IF(U613="SIM",VLOOKUP($I613&amp;$J613&amp;U$1,Pesos!$A:$I,7,FALSE),VLOOKUP($I613&amp;$J613&amp;U$1,Pesos!$A:$I,9,FALSE)))</f>
        <v>1</v>
      </c>
      <c r="AO613" s="80">
        <f>IF(V613="","",IF(V613="SIM",VLOOKUP($I613&amp;$J613&amp;V$1,Pesos!$A:$I,7,FALSE),VLOOKUP($I613&amp;$J613&amp;V$1,Pesos!$A:$I,9,FALSE)))</f>
        <v>-0.05</v>
      </c>
      <c r="AP613" s="80">
        <f>IF(W613="","",IF(W613="SIM",VLOOKUP($I613&amp;$J613&amp;W$1,Pesos!$A:$I,7,FALSE),VLOOKUP($I613&amp;$J613&amp;W$1,Pesos!$A:$I,9,FALSE)))</f>
        <v>1</v>
      </c>
      <c r="AQ613" s="80" t="str">
        <f>IF(X613="","",IF(X613="SIM",VLOOKUP($I613&amp;$J613&amp;X$1,Pesos!$A:$I,7,FALSE),VLOOKUP($I613&amp;$J613&amp;X$1,Pesos!$A:$I,9,FALSE)))</f>
        <v/>
      </c>
      <c r="AR613" s="80" t="str">
        <f>IF(Y613="","",IF(Y613="SIM",VLOOKUP($I613&amp;$J613&amp;Y$1,Pesos!$A:$I,7,FALSE),VLOOKUP($I613&amp;$J613&amp;Y$1,Pesos!$A:$I,9,FALSE)))</f>
        <v/>
      </c>
      <c r="AS613" s="81">
        <f>IFERROR(Z613*VLOOKUP(J613,'BD Campos'!$Y$1:$Z$12,2,FALSE),"0")</f>
        <v>8.9499999999999993</v>
      </c>
    </row>
    <row r="614" spans="1:45" x14ac:dyDescent="0.35">
      <c r="A614" s="68" t="str">
        <f t="shared" si="89"/>
        <v>Fev202511216MotoristaTRANSFERÊNCIA</v>
      </c>
      <c r="B614" s="114" t="str">
        <f t="shared" si="90"/>
        <v>Fev2025112161TRANSFERÊNCIAPADRÃO</v>
      </c>
      <c r="C614" s="70">
        <v>1</v>
      </c>
      <c r="D614" s="71">
        <v>45700.638437384259</v>
      </c>
      <c r="E614" s="112" t="s">
        <v>338</v>
      </c>
      <c r="F614" s="72">
        <v>11216</v>
      </c>
      <c r="G614" s="69" t="s">
        <v>1390</v>
      </c>
      <c r="H614" s="73">
        <v>1</v>
      </c>
      <c r="I614" s="69" t="s">
        <v>147</v>
      </c>
      <c r="J614" s="69" t="s">
        <v>122</v>
      </c>
      <c r="K614" s="69" t="s">
        <v>106</v>
      </c>
      <c r="L614" s="74">
        <v>31085703</v>
      </c>
      <c r="M614" s="75">
        <v>1.4351851851851854E-3</v>
      </c>
      <c r="N614" s="76" t="s">
        <v>79</v>
      </c>
      <c r="O614" s="76" t="s">
        <v>79</v>
      </c>
      <c r="P614" s="76" t="s">
        <v>79</v>
      </c>
      <c r="Q614" s="76" t="s">
        <v>79</v>
      </c>
      <c r="R614" s="76" t="s">
        <v>79</v>
      </c>
      <c r="S614" s="76" t="s">
        <v>79</v>
      </c>
      <c r="T614" s="76" t="s">
        <v>79</v>
      </c>
      <c r="U614" s="76" t="s">
        <v>79</v>
      </c>
      <c r="V614" s="76"/>
      <c r="W614" s="76"/>
      <c r="X614" s="76"/>
      <c r="Y614" s="76"/>
      <c r="Z614" s="77">
        <f t="shared" si="79"/>
        <v>10</v>
      </c>
      <c r="AA614" s="78"/>
      <c r="AB614" s="78" t="s">
        <v>1690</v>
      </c>
      <c r="AC614" s="72" t="s">
        <v>47</v>
      </c>
      <c r="AE614" s="79" t="str">
        <f t="shared" si="93"/>
        <v>Fev11216</v>
      </c>
      <c r="AF614" s="80">
        <f>IF(N614="","",IF(N614="SIM",VLOOKUP($I614&amp;$J614&amp;N$1,Pesos!$A:$I,7,FALSE),VLOOKUP($I614&amp;$J614&amp;N$1,Pesos!$A:$I,9,FALSE)))</f>
        <v>1.1000000000000001</v>
      </c>
      <c r="AG614" s="80">
        <f>IF(O614="","",IF(O614="SIM",VLOOKUP($I614&amp;$J614&amp;O$1,Pesos!$A:$I,7,FALSE),VLOOKUP($I614&amp;$J614&amp;O$1,Pesos!$A:$I,9,FALSE)))</f>
        <v>1.1000000000000001</v>
      </c>
      <c r="AH614" s="80">
        <f>IF(P614="","",IF(P614="SIM",VLOOKUP($I614&amp;$J614&amp;P$1,Pesos!$A:$I,7,FALSE),VLOOKUP($I614&amp;$J614&amp;P$1,Pesos!$A:$I,9,FALSE)))</f>
        <v>1.1000000000000001</v>
      </c>
      <c r="AI614" s="80">
        <f>IF(Q614="","",IF(Q614="SIM",VLOOKUP($I614&amp;$J614&amp;Q$1,Pesos!$A:$I,7,FALSE),VLOOKUP($I614&amp;$J614&amp;Q$1,Pesos!$A:$I,9,FALSE)))</f>
        <v>1.1000000000000001</v>
      </c>
      <c r="AJ614" s="80">
        <f>IF(R614="","",IF(R614="SIM",VLOOKUP($I614&amp;$J614&amp;R$1,Pesos!$A:$I,7,FALSE),VLOOKUP($I614&amp;$J614&amp;R$1,Pesos!$A:$I,9,FALSE)))</f>
        <v>1.1000000000000001</v>
      </c>
      <c r="AK614" s="80">
        <f>IF(S614="","",IF(S614="SIM",VLOOKUP($I614&amp;$J614&amp;S$1,Pesos!$A:$I,7,FALSE),VLOOKUP($I614&amp;$J614&amp;S$1,Pesos!$A:$I,9,FALSE)))</f>
        <v>1.6</v>
      </c>
      <c r="AL614" s="80">
        <f t="shared" si="92"/>
        <v>7.1</v>
      </c>
      <c r="AM614" s="80">
        <f>IF(T614="","",IF(T614="SIM",VLOOKUP($I614&amp;$J614&amp;T$1,Pesos!$A:$I,7,FALSE),VLOOKUP($I614&amp;$J614&amp;T$1,Pesos!$A:$I,9,FALSE)))</f>
        <v>1.2</v>
      </c>
      <c r="AN614" s="80">
        <f>IF(U614="","",IF(U614="SIM",VLOOKUP($I614&amp;$J614&amp;U$1,Pesos!$A:$I,7,FALSE),VLOOKUP($I614&amp;$J614&amp;U$1,Pesos!$A:$I,9,FALSE)))</f>
        <v>1.7000000000000002</v>
      </c>
      <c r="AO614" s="80" t="str">
        <f>IF(V614="","",IF(V614="SIM",VLOOKUP($I614&amp;$J614&amp;V$1,Pesos!$A:$I,7,FALSE),VLOOKUP($I614&amp;$J614&amp;V$1,Pesos!$A:$I,9,FALSE)))</f>
        <v/>
      </c>
      <c r="AP614" s="80" t="str">
        <f>IF(W614="","",IF(W614="SIM",VLOOKUP($I614&amp;$J614&amp;W$1,Pesos!$A:$I,7,FALSE),VLOOKUP($I614&amp;$J614&amp;W$1,Pesos!$A:$I,9,FALSE)))</f>
        <v/>
      </c>
      <c r="AQ614" s="80" t="str">
        <f>IF(X614="","",IF(X614="SIM",VLOOKUP($I614&amp;$J614&amp;X$1,Pesos!$A:$I,7,FALSE),VLOOKUP($I614&amp;$J614&amp;X$1,Pesos!$A:$I,9,FALSE)))</f>
        <v/>
      </c>
      <c r="AR614" s="80" t="str">
        <f>IF(Y614="","",IF(Y614="SIM",VLOOKUP($I614&amp;$J614&amp;Y$1,Pesos!$A:$I,7,FALSE),VLOOKUP($I614&amp;$J614&amp;Y$1,Pesos!$A:$I,9,FALSE)))</f>
        <v/>
      </c>
      <c r="AS614" s="81">
        <f>IFERROR(Z614*VLOOKUP(J614,'BD Campos'!$Y$1:$Z$12,2,FALSE),"0")</f>
        <v>10</v>
      </c>
    </row>
    <row r="615" spans="1:45" x14ac:dyDescent="0.35">
      <c r="A615" s="68" t="str">
        <f t="shared" si="89"/>
        <v>Fev202511207MotoristaTRANSFERÊNCIA</v>
      </c>
      <c r="B615" s="114" t="str">
        <f t="shared" si="90"/>
        <v>Fev2025112071TRANSFERÊNCIAPADRÃO</v>
      </c>
      <c r="C615" s="70">
        <v>1</v>
      </c>
      <c r="D615" s="71">
        <v>45700.641451967589</v>
      </c>
      <c r="E615" s="112" t="s">
        <v>338</v>
      </c>
      <c r="F615" s="72">
        <v>11207</v>
      </c>
      <c r="G615" s="69" t="s">
        <v>1382</v>
      </c>
      <c r="H615" s="73">
        <v>1</v>
      </c>
      <c r="I615" s="69" t="s">
        <v>123</v>
      </c>
      <c r="J615" s="69" t="s">
        <v>122</v>
      </c>
      <c r="K615" s="69" t="s">
        <v>106</v>
      </c>
      <c r="L615" s="74">
        <v>31015226</v>
      </c>
      <c r="M615" s="75">
        <v>1.4467592592592594E-3</v>
      </c>
      <c r="N615" s="76"/>
      <c r="O615" s="76"/>
      <c r="P615" s="76"/>
      <c r="Q615" s="76"/>
      <c r="R615" s="76"/>
      <c r="S615" s="76"/>
      <c r="T615" s="76"/>
      <c r="U615" s="76"/>
      <c r="V615" s="76"/>
      <c r="W615" s="76"/>
      <c r="X615" s="76"/>
      <c r="Y615" s="76"/>
      <c r="Z615" s="77">
        <f t="shared" si="79"/>
        <v>0</v>
      </c>
      <c r="AA615" s="78" t="s">
        <v>1659</v>
      </c>
      <c r="AB615" s="78" t="s">
        <v>1691</v>
      </c>
      <c r="AC615" s="72" t="s">
        <v>47</v>
      </c>
      <c r="AE615" s="79" t="str">
        <f t="shared" si="93"/>
        <v>Fev11207</v>
      </c>
      <c r="AF615" s="80" t="str">
        <f>IF(N615="","",IF(N615="SIM",VLOOKUP($I615&amp;$J615&amp;N$1,Pesos!$A:$I,7,FALSE),VLOOKUP($I615&amp;$J615&amp;N$1,Pesos!$A:$I,9,FALSE)))</f>
        <v/>
      </c>
      <c r="AG615" s="80" t="str">
        <f>IF(O615="","",IF(O615="SIM",VLOOKUP($I615&amp;$J615&amp;O$1,Pesos!$A:$I,7,FALSE),VLOOKUP($I615&amp;$J615&amp;O$1,Pesos!$A:$I,9,FALSE)))</f>
        <v/>
      </c>
      <c r="AH615" s="80" t="str">
        <f>IF(P615="","",IF(P615="SIM",VLOOKUP($I615&amp;$J615&amp;P$1,Pesos!$A:$I,7,FALSE),VLOOKUP($I615&amp;$J615&amp;P$1,Pesos!$A:$I,9,FALSE)))</f>
        <v/>
      </c>
      <c r="AI615" s="80" t="str">
        <f>IF(Q615="","",IF(Q615="SIM",VLOOKUP($I615&amp;$J615&amp;Q$1,Pesos!$A:$I,7,FALSE),VLOOKUP($I615&amp;$J615&amp;Q$1,Pesos!$A:$I,9,FALSE)))</f>
        <v/>
      </c>
      <c r="AJ615" s="80" t="str">
        <f>IF(R615="","",IF(R615="SIM",VLOOKUP($I615&amp;$J615&amp;R$1,Pesos!$A:$I,7,FALSE),VLOOKUP($I615&amp;$J615&amp;R$1,Pesos!$A:$I,9,FALSE)))</f>
        <v/>
      </c>
      <c r="AK615" s="80" t="str">
        <f>IF(S615="","",IF(S615="SIM",VLOOKUP($I615&amp;$J615&amp;S$1,Pesos!$A:$I,7,FALSE),VLOOKUP($I615&amp;$J615&amp;S$1,Pesos!$A:$I,9,FALSE)))</f>
        <v/>
      </c>
      <c r="AL615" s="80">
        <f t="shared" si="92"/>
        <v>0</v>
      </c>
      <c r="AM615" s="80" t="str">
        <f>IF(T615="","",IF(T615="SIM",VLOOKUP($I615&amp;$J615&amp;T$1,Pesos!$A:$I,7,FALSE),VLOOKUP($I615&amp;$J615&amp;T$1,Pesos!$A:$I,9,FALSE)))</f>
        <v/>
      </c>
      <c r="AN615" s="80" t="str">
        <f>IF(U615="","",IF(U615="SIM",VLOOKUP($I615&amp;$J615&amp;U$1,Pesos!$A:$I,7,FALSE),VLOOKUP($I615&amp;$J615&amp;U$1,Pesos!$A:$I,9,FALSE)))</f>
        <v/>
      </c>
      <c r="AO615" s="80" t="str">
        <f>IF(V615="","",IF(V615="SIM",VLOOKUP($I615&amp;$J615&amp;V$1,Pesos!$A:$I,7,FALSE),VLOOKUP($I615&amp;$J615&amp;V$1,Pesos!$A:$I,9,FALSE)))</f>
        <v/>
      </c>
      <c r="AP615" s="80" t="str">
        <f>IF(W615="","",IF(W615="SIM",VLOOKUP($I615&amp;$J615&amp;W$1,Pesos!$A:$I,7,FALSE),VLOOKUP($I615&amp;$J615&amp;W$1,Pesos!$A:$I,9,FALSE)))</f>
        <v/>
      </c>
      <c r="AQ615" s="80" t="str">
        <f>IF(X615="","",IF(X615="SIM",VLOOKUP($I615&amp;$J615&amp;X$1,Pesos!$A:$I,7,FALSE),VLOOKUP($I615&amp;$J615&amp;X$1,Pesos!$A:$I,9,FALSE)))</f>
        <v/>
      </c>
      <c r="AR615" s="80" t="str">
        <f>IF(Y615="","",IF(Y615="SIM",VLOOKUP($I615&amp;$J615&amp;Y$1,Pesos!$A:$I,7,FALSE),VLOOKUP($I615&amp;$J615&amp;Y$1,Pesos!$A:$I,9,FALSE)))</f>
        <v/>
      </c>
      <c r="AS615" s="81">
        <f>IFERROR(Z615*VLOOKUP(J615,'BD Campos'!$Y$1:$Z$12,2,FALSE),"0")</f>
        <v>0</v>
      </c>
    </row>
    <row r="616" spans="1:45" x14ac:dyDescent="0.35">
      <c r="A616" s="68" t="str">
        <f t="shared" si="89"/>
        <v>Fev202510901ReceptivaTRANSFERÊNCIA</v>
      </c>
      <c r="B616" s="114" t="str">
        <f t="shared" si="90"/>
        <v>Fev2025109015TRANSFERÊNCIAPADRÃO</v>
      </c>
      <c r="C616" s="70">
        <v>1</v>
      </c>
      <c r="D616" s="71">
        <v>45700.647932754633</v>
      </c>
      <c r="E616" s="112" t="s">
        <v>338</v>
      </c>
      <c r="F616" s="72">
        <v>10901</v>
      </c>
      <c r="G616" s="69" t="s">
        <v>173</v>
      </c>
      <c r="H616" s="73">
        <v>5</v>
      </c>
      <c r="I616" s="69" t="s">
        <v>6</v>
      </c>
      <c r="J616" s="69" t="s">
        <v>98</v>
      </c>
      <c r="K616" s="69" t="s">
        <v>106</v>
      </c>
      <c r="L616" s="74"/>
      <c r="M616" s="75">
        <v>1.3773148148148147E-3</v>
      </c>
      <c r="N616" s="76" t="s">
        <v>79</v>
      </c>
      <c r="O616" s="76" t="s">
        <v>79</v>
      </c>
      <c r="P616" s="76" t="s">
        <v>79</v>
      </c>
      <c r="Q616" s="76" t="s">
        <v>79</v>
      </c>
      <c r="R616" s="76" t="s">
        <v>79</v>
      </c>
      <c r="S616" s="76" t="s">
        <v>79</v>
      </c>
      <c r="T616" s="76" t="s">
        <v>79</v>
      </c>
      <c r="U616" s="76" t="s">
        <v>79</v>
      </c>
      <c r="V616" s="76" t="s">
        <v>79</v>
      </c>
      <c r="W616" s="76" t="s">
        <v>79</v>
      </c>
      <c r="X616" s="76" t="s">
        <v>79</v>
      </c>
      <c r="Y616" s="76" t="s">
        <v>79</v>
      </c>
      <c r="Z616" s="77">
        <f t="shared" si="79"/>
        <v>10</v>
      </c>
      <c r="AA616" s="78"/>
      <c r="AB616" s="78"/>
      <c r="AC616" s="72" t="s">
        <v>47</v>
      </c>
      <c r="AE616" s="79" t="str">
        <f t="shared" ref="AE616:AE625" si="94">E616&amp;F616</f>
        <v>Fev10901</v>
      </c>
      <c r="AF616" s="80">
        <f>IF(N616="","",IF(N616="SIM",VLOOKUP($I616&amp;$J616&amp;N$1,Pesos!$A:$I,7,FALSE),VLOOKUP($I616&amp;$J616&amp;N$1,Pesos!$A:$I,9,FALSE)))</f>
        <v>0.8</v>
      </c>
      <c r="AG616" s="80">
        <f>IF(O616="","",IF(O616="SIM",VLOOKUP($I616&amp;$J616&amp;O$1,Pesos!$A:$I,7,FALSE),VLOOKUP($I616&amp;$J616&amp;O$1,Pesos!$A:$I,9,FALSE)))</f>
        <v>0.8</v>
      </c>
      <c r="AH616" s="80">
        <f>IF(P616="","",IF(P616="SIM",VLOOKUP($I616&amp;$J616&amp;P$1,Pesos!$A:$I,7,FALSE),VLOOKUP($I616&amp;$J616&amp;P$1,Pesos!$A:$I,9,FALSE)))</f>
        <v>1.2</v>
      </c>
      <c r="AI616" s="80">
        <f>IF(Q616="","",IF(Q616="SIM",VLOOKUP($I616&amp;$J616&amp;Q$1,Pesos!$A:$I,7,FALSE),VLOOKUP($I616&amp;$J616&amp;Q$1,Pesos!$A:$I,9,FALSE)))</f>
        <v>0.8</v>
      </c>
      <c r="AJ616" s="80">
        <f>IF(R616="","",IF(R616="SIM",VLOOKUP($I616&amp;$J616&amp;R$1,Pesos!$A:$I,7,FALSE),VLOOKUP($I616&amp;$J616&amp;R$1,Pesos!$A:$I,9,FALSE)))</f>
        <v>0.8</v>
      </c>
      <c r="AK616" s="80">
        <f>IF(S616="","",IF(S616="SIM",VLOOKUP($I616&amp;$J616&amp;S$1,Pesos!$A:$I,7,FALSE),VLOOKUP($I616&amp;$J616&amp;S$1,Pesos!$A:$I,9,FALSE)))</f>
        <v>0.8</v>
      </c>
      <c r="AL616" s="80">
        <f t="shared" si="92"/>
        <v>5.1999999999999993</v>
      </c>
      <c r="AM616" s="80">
        <f>IF(T616="","",IF(T616="SIM",VLOOKUP($I616&amp;$J616&amp;T$1,Pesos!$A:$I,7,FALSE),VLOOKUP($I616&amp;$J616&amp;T$1,Pesos!$A:$I,9,FALSE)))</f>
        <v>0.8</v>
      </c>
      <c r="AN616" s="80">
        <f>IF(U616="","",IF(U616="SIM",VLOOKUP($I616&amp;$J616&amp;U$1,Pesos!$A:$I,7,FALSE),VLOOKUP($I616&amp;$J616&amp;U$1,Pesos!$A:$I,9,FALSE)))</f>
        <v>0.8</v>
      </c>
      <c r="AO616" s="80">
        <f>IF(V616="","",IF(V616="SIM",VLOOKUP($I616&amp;$J616&amp;V$1,Pesos!$A:$I,7,FALSE),VLOOKUP($I616&amp;$J616&amp;V$1,Pesos!$A:$I,9,FALSE)))</f>
        <v>0.8</v>
      </c>
      <c r="AP616" s="80">
        <f>IF(W616="","",IF(W616="SIM",VLOOKUP($I616&amp;$J616&amp;W$1,Pesos!$A:$I,7,FALSE),VLOOKUP($I616&amp;$J616&amp;W$1,Pesos!$A:$I,9,FALSE)))</f>
        <v>0.8</v>
      </c>
      <c r="AQ616" s="80">
        <f>IF(X616="","",IF(X616="SIM",VLOOKUP($I616&amp;$J616&amp;X$1,Pesos!$A:$I,7,FALSE),VLOOKUP($I616&amp;$J616&amp;X$1,Pesos!$A:$I,9,FALSE)))</f>
        <v>0.8</v>
      </c>
      <c r="AR616" s="80">
        <f>IF(Y616="","",IF(Y616="SIM",VLOOKUP($I616&amp;$J616&amp;Y$1,Pesos!$A:$I,7,FALSE),VLOOKUP($I616&amp;$J616&amp;Y$1,Pesos!$A:$I,9,FALSE)))</f>
        <v>0.8</v>
      </c>
      <c r="AS616" s="81">
        <f>IFERROR(Z616*VLOOKUP(J616,'BD Campos'!$Y$1:$Z$12,2,FALSE),"0")</f>
        <v>10</v>
      </c>
    </row>
    <row r="617" spans="1:45" x14ac:dyDescent="0.35">
      <c r="A617" s="68" t="str">
        <f t="shared" si="89"/>
        <v>Fev202510915ReceptivaTRANSFERÊNCIA</v>
      </c>
      <c r="B617" s="114" t="str">
        <f t="shared" si="90"/>
        <v>Fev2025109155TRANSFERÊNCIAPADRÃO</v>
      </c>
      <c r="C617" s="70">
        <v>1</v>
      </c>
      <c r="D617" s="71">
        <v>45700.650349074072</v>
      </c>
      <c r="E617" s="112" t="s">
        <v>338</v>
      </c>
      <c r="F617" s="72">
        <v>10915</v>
      </c>
      <c r="G617" s="69" t="s">
        <v>174</v>
      </c>
      <c r="H617" s="73">
        <v>5</v>
      </c>
      <c r="I617" s="69" t="s">
        <v>6</v>
      </c>
      <c r="J617" s="69" t="s">
        <v>98</v>
      </c>
      <c r="K617" s="69" t="s">
        <v>106</v>
      </c>
      <c r="L617" s="74"/>
      <c r="M617" s="75">
        <v>2.2453703703703702E-3</v>
      </c>
      <c r="N617" s="76" t="s">
        <v>83</v>
      </c>
      <c r="O617" s="76" t="s">
        <v>79</v>
      </c>
      <c r="P617" s="76" t="s">
        <v>79</v>
      </c>
      <c r="Q617" s="76" t="s">
        <v>79</v>
      </c>
      <c r="R617" s="76" t="s">
        <v>79</v>
      </c>
      <c r="S617" s="76" t="s">
        <v>79</v>
      </c>
      <c r="T617" s="76" t="s">
        <v>79</v>
      </c>
      <c r="U617" s="76" t="s">
        <v>79</v>
      </c>
      <c r="V617" s="76" t="s">
        <v>79</v>
      </c>
      <c r="W617" s="76" t="s">
        <v>79</v>
      </c>
      <c r="X617" s="76" t="s">
        <v>79</v>
      </c>
      <c r="Y617" s="76" t="s">
        <v>79</v>
      </c>
      <c r="Z617" s="77">
        <f t="shared" si="79"/>
        <v>9.16</v>
      </c>
      <c r="AA617" s="78"/>
      <c r="AB617" s="78"/>
      <c r="AC617" s="72" t="s">
        <v>47</v>
      </c>
      <c r="AE617" s="79" t="str">
        <f t="shared" si="94"/>
        <v>Fev10915</v>
      </c>
      <c r="AF617" s="80">
        <f>IF(N617="","",IF(N617="SIM",VLOOKUP($I617&amp;$J617&amp;N$1,Pesos!$A:$I,7,FALSE),VLOOKUP($I617&amp;$J617&amp;N$1,Pesos!$A:$I,9,FALSE)))</f>
        <v>-4.0000000000000008E-2</v>
      </c>
      <c r="AG617" s="80">
        <f>IF(O617="","",IF(O617="SIM",VLOOKUP($I617&amp;$J617&amp;O$1,Pesos!$A:$I,7,FALSE),VLOOKUP($I617&amp;$J617&amp;O$1,Pesos!$A:$I,9,FALSE)))</f>
        <v>0.8</v>
      </c>
      <c r="AH617" s="80">
        <f>IF(P617="","",IF(P617="SIM",VLOOKUP($I617&amp;$J617&amp;P$1,Pesos!$A:$I,7,FALSE),VLOOKUP($I617&amp;$J617&amp;P$1,Pesos!$A:$I,9,FALSE)))</f>
        <v>1.2</v>
      </c>
      <c r="AI617" s="80">
        <f>IF(Q617="","",IF(Q617="SIM",VLOOKUP($I617&amp;$J617&amp;Q$1,Pesos!$A:$I,7,FALSE),VLOOKUP($I617&amp;$J617&amp;Q$1,Pesos!$A:$I,9,FALSE)))</f>
        <v>0.8</v>
      </c>
      <c r="AJ617" s="80">
        <f>IF(R617="","",IF(R617="SIM",VLOOKUP($I617&amp;$J617&amp;R$1,Pesos!$A:$I,7,FALSE),VLOOKUP($I617&amp;$J617&amp;R$1,Pesos!$A:$I,9,FALSE)))</f>
        <v>0.8</v>
      </c>
      <c r="AK617" s="80">
        <f>IF(S617="","",IF(S617="SIM",VLOOKUP($I617&amp;$J617&amp;S$1,Pesos!$A:$I,7,FALSE),VLOOKUP($I617&amp;$J617&amp;S$1,Pesos!$A:$I,9,FALSE)))</f>
        <v>0.8</v>
      </c>
      <c r="AL617" s="80">
        <f t="shared" si="92"/>
        <v>4.3599999999999994</v>
      </c>
      <c r="AM617" s="80">
        <f>IF(T617="","",IF(T617="SIM",VLOOKUP($I617&amp;$J617&amp;T$1,Pesos!$A:$I,7,FALSE),VLOOKUP($I617&amp;$J617&amp;T$1,Pesos!$A:$I,9,FALSE)))</f>
        <v>0.8</v>
      </c>
      <c r="AN617" s="80">
        <f>IF(U617="","",IF(U617="SIM",VLOOKUP($I617&amp;$J617&amp;U$1,Pesos!$A:$I,7,FALSE),VLOOKUP($I617&amp;$J617&amp;U$1,Pesos!$A:$I,9,FALSE)))</f>
        <v>0.8</v>
      </c>
      <c r="AO617" s="80">
        <f>IF(V617="","",IF(V617="SIM",VLOOKUP($I617&amp;$J617&amp;V$1,Pesos!$A:$I,7,FALSE),VLOOKUP($I617&amp;$J617&amp;V$1,Pesos!$A:$I,9,FALSE)))</f>
        <v>0.8</v>
      </c>
      <c r="AP617" s="80">
        <f>IF(W617="","",IF(W617="SIM",VLOOKUP($I617&amp;$J617&amp;W$1,Pesos!$A:$I,7,FALSE),VLOOKUP($I617&amp;$J617&amp;W$1,Pesos!$A:$I,9,FALSE)))</f>
        <v>0.8</v>
      </c>
      <c r="AQ617" s="80">
        <f>IF(X617="","",IF(X617="SIM",VLOOKUP($I617&amp;$J617&amp;X$1,Pesos!$A:$I,7,FALSE),VLOOKUP($I617&amp;$J617&amp;X$1,Pesos!$A:$I,9,FALSE)))</f>
        <v>0.8</v>
      </c>
      <c r="AR617" s="80">
        <f>IF(Y617="","",IF(Y617="SIM",VLOOKUP($I617&amp;$J617&amp;Y$1,Pesos!$A:$I,7,FALSE),VLOOKUP($I617&amp;$J617&amp;Y$1,Pesos!$A:$I,9,FALSE)))</f>
        <v>0.8</v>
      </c>
      <c r="AS617" s="81">
        <f>IFERROR(Z617*VLOOKUP(J617,'BD Campos'!$Y$1:$Z$12,2,FALSE),"0")</f>
        <v>9.16</v>
      </c>
    </row>
    <row r="618" spans="1:45" x14ac:dyDescent="0.35">
      <c r="A618" s="68" t="str">
        <f t="shared" si="89"/>
        <v>Fev202510907ReceptivaTRANSFERÊNCIA</v>
      </c>
      <c r="B618" s="114" t="str">
        <f t="shared" si="90"/>
        <v>Fev2025109075TRANSFERÊNCIAPADRÃO</v>
      </c>
      <c r="C618" s="70">
        <v>1</v>
      </c>
      <c r="D618" s="71">
        <v>45700.651936921298</v>
      </c>
      <c r="E618" s="112" t="s">
        <v>338</v>
      </c>
      <c r="F618" s="72">
        <v>10907</v>
      </c>
      <c r="G618" s="69" t="s">
        <v>109</v>
      </c>
      <c r="H618" s="73">
        <v>5</v>
      </c>
      <c r="I618" s="69" t="s">
        <v>6</v>
      </c>
      <c r="J618" s="69" t="s">
        <v>98</v>
      </c>
      <c r="K618" s="69" t="s">
        <v>106</v>
      </c>
      <c r="L618" s="74"/>
      <c r="M618" s="75" t="s">
        <v>1692</v>
      </c>
      <c r="N618" s="76" t="s">
        <v>79</v>
      </c>
      <c r="O618" s="76" t="s">
        <v>79</v>
      </c>
      <c r="P618" s="76" t="s">
        <v>79</v>
      </c>
      <c r="Q618" s="76" t="s">
        <v>79</v>
      </c>
      <c r="R618" s="76" t="s">
        <v>79</v>
      </c>
      <c r="S618" s="76" t="s">
        <v>79</v>
      </c>
      <c r="T618" s="76" t="s">
        <v>79</v>
      </c>
      <c r="U618" s="76" t="s">
        <v>79</v>
      </c>
      <c r="V618" s="76" t="s">
        <v>79</v>
      </c>
      <c r="W618" s="76" t="s">
        <v>79</v>
      </c>
      <c r="X618" s="76" t="s">
        <v>79</v>
      </c>
      <c r="Y618" s="76" t="s">
        <v>79</v>
      </c>
      <c r="Z618" s="77">
        <f t="shared" si="79"/>
        <v>10</v>
      </c>
      <c r="AA618" s="78"/>
      <c r="AB618" s="78"/>
      <c r="AC618" s="72" t="s">
        <v>47</v>
      </c>
      <c r="AE618" s="79" t="str">
        <f t="shared" si="94"/>
        <v>Fev10907</v>
      </c>
      <c r="AF618" s="80">
        <f>IF(N618="","",IF(N618="SIM",VLOOKUP($I618&amp;$J618&amp;N$1,Pesos!$A:$I,7,FALSE),VLOOKUP($I618&amp;$J618&amp;N$1,Pesos!$A:$I,9,FALSE)))</f>
        <v>0.8</v>
      </c>
      <c r="AG618" s="80">
        <f>IF(O618="","",IF(O618="SIM",VLOOKUP($I618&amp;$J618&amp;O$1,Pesos!$A:$I,7,FALSE),VLOOKUP($I618&amp;$J618&amp;O$1,Pesos!$A:$I,9,FALSE)))</f>
        <v>0.8</v>
      </c>
      <c r="AH618" s="80">
        <f>IF(P618="","",IF(P618="SIM",VLOOKUP($I618&amp;$J618&amp;P$1,Pesos!$A:$I,7,FALSE),VLOOKUP($I618&amp;$J618&amp;P$1,Pesos!$A:$I,9,FALSE)))</f>
        <v>1.2</v>
      </c>
      <c r="AI618" s="80">
        <f>IF(Q618="","",IF(Q618="SIM",VLOOKUP($I618&amp;$J618&amp;Q$1,Pesos!$A:$I,7,FALSE),VLOOKUP($I618&amp;$J618&amp;Q$1,Pesos!$A:$I,9,FALSE)))</f>
        <v>0.8</v>
      </c>
      <c r="AJ618" s="80">
        <f>IF(R618="","",IF(R618="SIM",VLOOKUP($I618&amp;$J618&amp;R$1,Pesos!$A:$I,7,FALSE),VLOOKUP($I618&amp;$J618&amp;R$1,Pesos!$A:$I,9,FALSE)))</f>
        <v>0.8</v>
      </c>
      <c r="AK618" s="80">
        <f>IF(S618="","",IF(S618="SIM",VLOOKUP($I618&amp;$J618&amp;S$1,Pesos!$A:$I,7,FALSE),VLOOKUP($I618&amp;$J618&amp;S$1,Pesos!$A:$I,9,FALSE)))</f>
        <v>0.8</v>
      </c>
      <c r="AL618" s="80">
        <f t="shared" si="92"/>
        <v>5.1999999999999993</v>
      </c>
      <c r="AM618" s="80">
        <f>IF(T618="","",IF(T618="SIM",VLOOKUP($I618&amp;$J618&amp;T$1,Pesos!$A:$I,7,FALSE),VLOOKUP($I618&amp;$J618&amp;T$1,Pesos!$A:$I,9,FALSE)))</f>
        <v>0.8</v>
      </c>
      <c r="AN618" s="80">
        <f>IF(U618="","",IF(U618="SIM",VLOOKUP($I618&amp;$J618&amp;U$1,Pesos!$A:$I,7,FALSE),VLOOKUP($I618&amp;$J618&amp;U$1,Pesos!$A:$I,9,FALSE)))</f>
        <v>0.8</v>
      </c>
      <c r="AO618" s="80">
        <f>IF(V618="","",IF(V618="SIM",VLOOKUP($I618&amp;$J618&amp;V$1,Pesos!$A:$I,7,FALSE),VLOOKUP($I618&amp;$J618&amp;V$1,Pesos!$A:$I,9,FALSE)))</f>
        <v>0.8</v>
      </c>
      <c r="AP618" s="80">
        <f>IF(W618="","",IF(W618="SIM",VLOOKUP($I618&amp;$J618&amp;W$1,Pesos!$A:$I,7,FALSE),VLOOKUP($I618&amp;$J618&amp;W$1,Pesos!$A:$I,9,FALSE)))</f>
        <v>0.8</v>
      </c>
      <c r="AQ618" s="80">
        <f>IF(X618="","",IF(X618="SIM",VLOOKUP($I618&amp;$J618&amp;X$1,Pesos!$A:$I,7,FALSE),VLOOKUP($I618&amp;$J618&amp;X$1,Pesos!$A:$I,9,FALSE)))</f>
        <v>0.8</v>
      </c>
      <c r="AR618" s="80">
        <f>IF(Y618="","",IF(Y618="SIM",VLOOKUP($I618&amp;$J618&amp;Y$1,Pesos!$A:$I,7,FALSE),VLOOKUP($I618&amp;$J618&amp;Y$1,Pesos!$A:$I,9,FALSE)))</f>
        <v>0.8</v>
      </c>
      <c r="AS618" s="81">
        <f>IFERROR(Z618*VLOOKUP(J618,'BD Campos'!$Y$1:$Z$12,2,FALSE),"0")</f>
        <v>10</v>
      </c>
    </row>
    <row r="619" spans="1:45" x14ac:dyDescent="0.35">
      <c r="A619" s="68" t="str">
        <f t="shared" si="89"/>
        <v>Fev202510947ReceptivaTRANSFERÊNCIA</v>
      </c>
      <c r="B619" s="114" t="str">
        <f t="shared" si="90"/>
        <v>Fev2025109475TRANSFERÊNCIAPADRÃO</v>
      </c>
      <c r="C619" s="70">
        <v>1</v>
      </c>
      <c r="D619" s="71">
        <v>45700.653922337966</v>
      </c>
      <c r="E619" s="112" t="s">
        <v>338</v>
      </c>
      <c r="F619" s="72">
        <v>10947</v>
      </c>
      <c r="G619" s="69" t="s">
        <v>177</v>
      </c>
      <c r="H619" s="73">
        <v>5</v>
      </c>
      <c r="I619" s="69" t="s">
        <v>6</v>
      </c>
      <c r="J619" s="69" t="s">
        <v>98</v>
      </c>
      <c r="K619" s="69" t="s">
        <v>106</v>
      </c>
      <c r="L619" s="74"/>
      <c r="M619" s="75">
        <v>1.5393518518518519E-3</v>
      </c>
      <c r="N619" s="76" t="s">
        <v>83</v>
      </c>
      <c r="O619" s="76" t="s">
        <v>79</v>
      </c>
      <c r="P619" s="76" t="s">
        <v>79</v>
      </c>
      <c r="Q619" s="76" t="s">
        <v>79</v>
      </c>
      <c r="R619" s="76" t="s">
        <v>79</v>
      </c>
      <c r="S619" s="76" t="s">
        <v>79</v>
      </c>
      <c r="T619" s="76" t="s">
        <v>79</v>
      </c>
      <c r="U619" s="76" t="s">
        <v>79</v>
      </c>
      <c r="V619" s="76" t="s">
        <v>79</v>
      </c>
      <c r="W619" s="76" t="s">
        <v>79</v>
      </c>
      <c r="X619" s="76" t="s">
        <v>79</v>
      </c>
      <c r="Y619" s="76" t="s">
        <v>79</v>
      </c>
      <c r="Z619" s="77">
        <f t="shared" si="79"/>
        <v>9.16</v>
      </c>
      <c r="AA619" s="78" t="s">
        <v>1622</v>
      </c>
      <c r="AB619" s="78"/>
      <c r="AC619" s="72" t="s">
        <v>47</v>
      </c>
      <c r="AE619" s="79" t="str">
        <f t="shared" si="94"/>
        <v>Fev10947</v>
      </c>
      <c r="AF619" s="80">
        <f>IF(N619="","",IF(N619="SIM",VLOOKUP($I619&amp;$J619&amp;N$1,Pesos!$A:$I,7,FALSE),VLOOKUP($I619&amp;$J619&amp;N$1,Pesos!$A:$I,9,FALSE)))</f>
        <v>-4.0000000000000008E-2</v>
      </c>
      <c r="AG619" s="80">
        <f>IF(O619="","",IF(O619="SIM",VLOOKUP($I619&amp;$J619&amp;O$1,Pesos!$A:$I,7,FALSE),VLOOKUP($I619&amp;$J619&amp;O$1,Pesos!$A:$I,9,FALSE)))</f>
        <v>0.8</v>
      </c>
      <c r="AH619" s="80">
        <f>IF(P619="","",IF(P619="SIM",VLOOKUP($I619&amp;$J619&amp;P$1,Pesos!$A:$I,7,FALSE),VLOOKUP($I619&amp;$J619&amp;P$1,Pesos!$A:$I,9,FALSE)))</f>
        <v>1.2</v>
      </c>
      <c r="AI619" s="80">
        <f>IF(Q619="","",IF(Q619="SIM",VLOOKUP($I619&amp;$J619&amp;Q$1,Pesos!$A:$I,7,FALSE),VLOOKUP($I619&amp;$J619&amp;Q$1,Pesos!$A:$I,9,FALSE)))</f>
        <v>0.8</v>
      </c>
      <c r="AJ619" s="80">
        <f>IF(R619="","",IF(R619="SIM",VLOOKUP($I619&amp;$J619&amp;R$1,Pesos!$A:$I,7,FALSE),VLOOKUP($I619&amp;$J619&amp;R$1,Pesos!$A:$I,9,FALSE)))</f>
        <v>0.8</v>
      </c>
      <c r="AK619" s="80">
        <f>IF(S619="","",IF(S619="SIM",VLOOKUP($I619&amp;$J619&amp;S$1,Pesos!$A:$I,7,FALSE),VLOOKUP($I619&amp;$J619&amp;S$1,Pesos!$A:$I,9,FALSE)))</f>
        <v>0.8</v>
      </c>
      <c r="AL619" s="80">
        <f t="shared" si="92"/>
        <v>4.3599999999999994</v>
      </c>
      <c r="AM619" s="80">
        <f>IF(T619="","",IF(T619="SIM",VLOOKUP($I619&amp;$J619&amp;T$1,Pesos!$A:$I,7,FALSE),VLOOKUP($I619&amp;$J619&amp;T$1,Pesos!$A:$I,9,FALSE)))</f>
        <v>0.8</v>
      </c>
      <c r="AN619" s="80">
        <f>IF(U619="","",IF(U619="SIM",VLOOKUP($I619&amp;$J619&amp;U$1,Pesos!$A:$I,7,FALSE),VLOOKUP($I619&amp;$J619&amp;U$1,Pesos!$A:$I,9,FALSE)))</f>
        <v>0.8</v>
      </c>
      <c r="AO619" s="80">
        <f>IF(V619="","",IF(V619="SIM",VLOOKUP($I619&amp;$J619&amp;V$1,Pesos!$A:$I,7,FALSE),VLOOKUP($I619&amp;$J619&amp;V$1,Pesos!$A:$I,9,FALSE)))</f>
        <v>0.8</v>
      </c>
      <c r="AP619" s="80">
        <f>IF(W619="","",IF(W619="SIM",VLOOKUP($I619&amp;$J619&amp;W$1,Pesos!$A:$I,7,FALSE),VLOOKUP($I619&amp;$J619&amp;W$1,Pesos!$A:$I,9,FALSE)))</f>
        <v>0.8</v>
      </c>
      <c r="AQ619" s="80">
        <f>IF(X619="","",IF(X619="SIM",VLOOKUP($I619&amp;$J619&amp;X$1,Pesos!$A:$I,7,FALSE),VLOOKUP($I619&amp;$J619&amp;X$1,Pesos!$A:$I,9,FALSE)))</f>
        <v>0.8</v>
      </c>
      <c r="AR619" s="80">
        <f>IF(Y619="","",IF(Y619="SIM",VLOOKUP($I619&amp;$J619&amp;Y$1,Pesos!$A:$I,7,FALSE),VLOOKUP($I619&amp;$J619&amp;Y$1,Pesos!$A:$I,9,FALSE)))</f>
        <v>0.8</v>
      </c>
      <c r="AS619" s="81">
        <f>IFERROR(Z619*VLOOKUP(J619,'BD Campos'!$Y$1:$Z$12,2,FALSE),"0")</f>
        <v>9.16</v>
      </c>
    </row>
    <row r="620" spans="1:45" x14ac:dyDescent="0.35">
      <c r="A620" s="68" t="str">
        <f t="shared" si="89"/>
        <v>Fev202510962ReceptivaTRANSFERÊNCIA</v>
      </c>
      <c r="B620" s="114" t="str">
        <f t="shared" si="90"/>
        <v>Fev2025109625TRANSFERÊNCIAPADRÃO</v>
      </c>
      <c r="C620" s="70">
        <v>1</v>
      </c>
      <c r="D620" s="71">
        <v>45700.655381018521</v>
      </c>
      <c r="E620" s="112" t="s">
        <v>338</v>
      </c>
      <c r="F620" s="72">
        <v>10962</v>
      </c>
      <c r="G620" s="69" t="s">
        <v>178</v>
      </c>
      <c r="H620" s="73">
        <v>5</v>
      </c>
      <c r="I620" s="69" t="s">
        <v>6</v>
      </c>
      <c r="J620" s="69" t="s">
        <v>98</v>
      </c>
      <c r="K620" s="69" t="s">
        <v>106</v>
      </c>
      <c r="L620" s="74"/>
      <c r="M620" s="75">
        <v>1.6087962962962963E-3</v>
      </c>
      <c r="N620" s="76" t="s">
        <v>79</v>
      </c>
      <c r="O620" s="76" t="s">
        <v>79</v>
      </c>
      <c r="P620" s="76" t="s">
        <v>79</v>
      </c>
      <c r="Q620" s="76" t="s">
        <v>79</v>
      </c>
      <c r="R620" s="76" t="s">
        <v>79</v>
      </c>
      <c r="S620" s="76" t="s">
        <v>79</v>
      </c>
      <c r="T620" s="76" t="s">
        <v>79</v>
      </c>
      <c r="U620" s="76" t="s">
        <v>79</v>
      </c>
      <c r="V620" s="76" t="s">
        <v>79</v>
      </c>
      <c r="W620" s="76" t="s">
        <v>79</v>
      </c>
      <c r="X620" s="76" t="s">
        <v>79</v>
      </c>
      <c r="Y620" s="76" t="s">
        <v>79</v>
      </c>
      <c r="Z620" s="77">
        <f t="shared" si="79"/>
        <v>10</v>
      </c>
      <c r="AA620" s="78"/>
      <c r="AB620" s="78"/>
      <c r="AC620" s="72" t="s">
        <v>47</v>
      </c>
      <c r="AE620" s="79" t="str">
        <f t="shared" si="94"/>
        <v>Fev10962</v>
      </c>
      <c r="AF620" s="80">
        <f>IF(N620="","",IF(N620="SIM",VLOOKUP($I620&amp;$J620&amp;N$1,Pesos!$A:$I,7,FALSE),VLOOKUP($I620&amp;$J620&amp;N$1,Pesos!$A:$I,9,FALSE)))</f>
        <v>0.8</v>
      </c>
      <c r="AG620" s="80">
        <f>IF(O620="","",IF(O620="SIM",VLOOKUP($I620&amp;$J620&amp;O$1,Pesos!$A:$I,7,FALSE),VLOOKUP($I620&amp;$J620&amp;O$1,Pesos!$A:$I,9,FALSE)))</f>
        <v>0.8</v>
      </c>
      <c r="AH620" s="80">
        <f>IF(P620="","",IF(P620="SIM",VLOOKUP($I620&amp;$J620&amp;P$1,Pesos!$A:$I,7,FALSE),VLOOKUP($I620&amp;$J620&amp;P$1,Pesos!$A:$I,9,FALSE)))</f>
        <v>1.2</v>
      </c>
      <c r="AI620" s="80">
        <f>IF(Q620="","",IF(Q620="SIM",VLOOKUP($I620&amp;$J620&amp;Q$1,Pesos!$A:$I,7,FALSE),VLOOKUP($I620&amp;$J620&amp;Q$1,Pesos!$A:$I,9,FALSE)))</f>
        <v>0.8</v>
      </c>
      <c r="AJ620" s="80">
        <f>IF(R620="","",IF(R620="SIM",VLOOKUP($I620&amp;$J620&amp;R$1,Pesos!$A:$I,7,FALSE),VLOOKUP($I620&amp;$J620&amp;R$1,Pesos!$A:$I,9,FALSE)))</f>
        <v>0.8</v>
      </c>
      <c r="AK620" s="80">
        <f>IF(S620="","",IF(S620="SIM",VLOOKUP($I620&amp;$J620&amp;S$1,Pesos!$A:$I,7,FALSE),VLOOKUP($I620&amp;$J620&amp;S$1,Pesos!$A:$I,9,FALSE)))</f>
        <v>0.8</v>
      </c>
      <c r="AL620" s="80">
        <f t="shared" si="92"/>
        <v>5.1999999999999993</v>
      </c>
      <c r="AM620" s="80">
        <f>IF(T620="","",IF(T620="SIM",VLOOKUP($I620&amp;$J620&amp;T$1,Pesos!$A:$I,7,FALSE),VLOOKUP($I620&amp;$J620&amp;T$1,Pesos!$A:$I,9,FALSE)))</f>
        <v>0.8</v>
      </c>
      <c r="AN620" s="80">
        <f>IF(U620="","",IF(U620="SIM",VLOOKUP($I620&amp;$J620&amp;U$1,Pesos!$A:$I,7,FALSE),VLOOKUP($I620&amp;$J620&amp;U$1,Pesos!$A:$I,9,FALSE)))</f>
        <v>0.8</v>
      </c>
      <c r="AO620" s="80">
        <f>IF(V620="","",IF(V620="SIM",VLOOKUP($I620&amp;$J620&amp;V$1,Pesos!$A:$I,7,FALSE),VLOOKUP($I620&amp;$J620&amp;V$1,Pesos!$A:$I,9,FALSE)))</f>
        <v>0.8</v>
      </c>
      <c r="AP620" s="80">
        <f>IF(W620="","",IF(W620="SIM",VLOOKUP($I620&amp;$J620&amp;W$1,Pesos!$A:$I,7,FALSE),VLOOKUP($I620&amp;$J620&amp;W$1,Pesos!$A:$I,9,FALSE)))</f>
        <v>0.8</v>
      </c>
      <c r="AQ620" s="80">
        <f>IF(X620="","",IF(X620="SIM",VLOOKUP($I620&amp;$J620&amp;X$1,Pesos!$A:$I,7,FALSE),VLOOKUP($I620&amp;$J620&amp;X$1,Pesos!$A:$I,9,FALSE)))</f>
        <v>0.8</v>
      </c>
      <c r="AR620" s="80">
        <f>IF(Y620="","",IF(Y620="SIM",VLOOKUP($I620&amp;$J620&amp;Y$1,Pesos!$A:$I,7,FALSE),VLOOKUP($I620&amp;$J620&amp;Y$1,Pesos!$A:$I,9,FALSE)))</f>
        <v>0.8</v>
      </c>
      <c r="AS620" s="81">
        <f>IFERROR(Z620*VLOOKUP(J620,'BD Campos'!$Y$1:$Z$12,2,FALSE),"0")</f>
        <v>10</v>
      </c>
    </row>
    <row r="621" spans="1:45" x14ac:dyDescent="0.35">
      <c r="A621" s="68" t="str">
        <f t="shared" si="89"/>
        <v>Fev202511109ReceptivaTRANSFERÊNCIA</v>
      </c>
      <c r="B621" s="114" t="str">
        <f t="shared" si="90"/>
        <v>Fev2025111095TRANSFERÊNCIAPADRÃO</v>
      </c>
      <c r="C621" s="70">
        <v>1</v>
      </c>
      <c r="D621" s="71">
        <v>45700.657742939817</v>
      </c>
      <c r="E621" s="112" t="s">
        <v>338</v>
      </c>
      <c r="F621" s="72">
        <v>11109</v>
      </c>
      <c r="G621" s="69" t="s">
        <v>436</v>
      </c>
      <c r="H621" s="73">
        <v>5</v>
      </c>
      <c r="I621" s="69" t="s">
        <v>6</v>
      </c>
      <c r="J621" s="69" t="s">
        <v>98</v>
      </c>
      <c r="K621" s="69" t="s">
        <v>106</v>
      </c>
      <c r="L621" s="74"/>
      <c r="M621" s="75">
        <v>1.4120370370370369E-3</v>
      </c>
      <c r="N621" s="76" t="s">
        <v>83</v>
      </c>
      <c r="O621" s="76" t="s">
        <v>79</v>
      </c>
      <c r="P621" s="76" t="s">
        <v>79</v>
      </c>
      <c r="Q621" s="76" t="s">
        <v>79</v>
      </c>
      <c r="R621" s="76" t="s">
        <v>79</v>
      </c>
      <c r="S621" s="76" t="s">
        <v>79</v>
      </c>
      <c r="T621" s="76" t="s">
        <v>79</v>
      </c>
      <c r="U621" s="76" t="s">
        <v>79</v>
      </c>
      <c r="V621" s="76" t="s">
        <v>79</v>
      </c>
      <c r="W621" s="76" t="s">
        <v>79</v>
      </c>
      <c r="X621" s="76" t="s">
        <v>79</v>
      </c>
      <c r="Y621" s="76" t="s">
        <v>79</v>
      </c>
      <c r="Z621" s="77">
        <f t="shared" si="79"/>
        <v>9.16</v>
      </c>
      <c r="AA621" s="78" t="s">
        <v>1616</v>
      </c>
      <c r="AB621" s="78"/>
      <c r="AC621" s="72" t="s">
        <v>47</v>
      </c>
      <c r="AE621" s="79" t="str">
        <f t="shared" si="94"/>
        <v>Fev11109</v>
      </c>
      <c r="AF621" s="80">
        <f>IF(N621="","",IF(N621="SIM",VLOOKUP($I621&amp;$J621&amp;N$1,Pesos!$A:$I,7,FALSE),VLOOKUP($I621&amp;$J621&amp;N$1,Pesos!$A:$I,9,FALSE)))</f>
        <v>-4.0000000000000008E-2</v>
      </c>
      <c r="AG621" s="80">
        <f>IF(O621="","",IF(O621="SIM",VLOOKUP($I621&amp;$J621&amp;O$1,Pesos!$A:$I,7,FALSE),VLOOKUP($I621&amp;$J621&amp;O$1,Pesos!$A:$I,9,FALSE)))</f>
        <v>0.8</v>
      </c>
      <c r="AH621" s="80">
        <f>IF(P621="","",IF(P621="SIM",VLOOKUP($I621&amp;$J621&amp;P$1,Pesos!$A:$I,7,FALSE),VLOOKUP($I621&amp;$J621&amp;P$1,Pesos!$A:$I,9,FALSE)))</f>
        <v>1.2</v>
      </c>
      <c r="AI621" s="80">
        <f>IF(Q621="","",IF(Q621="SIM",VLOOKUP($I621&amp;$J621&amp;Q$1,Pesos!$A:$I,7,FALSE),VLOOKUP($I621&amp;$J621&amp;Q$1,Pesos!$A:$I,9,FALSE)))</f>
        <v>0.8</v>
      </c>
      <c r="AJ621" s="80">
        <f>IF(R621="","",IF(R621="SIM",VLOOKUP($I621&amp;$J621&amp;R$1,Pesos!$A:$I,7,FALSE),VLOOKUP($I621&amp;$J621&amp;R$1,Pesos!$A:$I,9,FALSE)))</f>
        <v>0.8</v>
      </c>
      <c r="AK621" s="80">
        <f>IF(S621="","",IF(S621="SIM",VLOOKUP($I621&amp;$J621&amp;S$1,Pesos!$A:$I,7,FALSE),VLOOKUP($I621&amp;$J621&amp;S$1,Pesos!$A:$I,9,FALSE)))</f>
        <v>0.8</v>
      </c>
      <c r="AL621" s="80">
        <f t="shared" si="92"/>
        <v>4.3599999999999994</v>
      </c>
      <c r="AM621" s="80">
        <f>IF(T621="","",IF(T621="SIM",VLOOKUP($I621&amp;$J621&amp;T$1,Pesos!$A:$I,7,FALSE),VLOOKUP($I621&amp;$J621&amp;T$1,Pesos!$A:$I,9,FALSE)))</f>
        <v>0.8</v>
      </c>
      <c r="AN621" s="80">
        <f>IF(U621="","",IF(U621="SIM",VLOOKUP($I621&amp;$J621&amp;U$1,Pesos!$A:$I,7,FALSE),VLOOKUP($I621&amp;$J621&amp;U$1,Pesos!$A:$I,9,FALSE)))</f>
        <v>0.8</v>
      </c>
      <c r="AO621" s="80">
        <f>IF(V621="","",IF(V621="SIM",VLOOKUP($I621&amp;$J621&amp;V$1,Pesos!$A:$I,7,FALSE),VLOOKUP($I621&amp;$J621&amp;V$1,Pesos!$A:$I,9,FALSE)))</f>
        <v>0.8</v>
      </c>
      <c r="AP621" s="80">
        <f>IF(W621="","",IF(W621="SIM",VLOOKUP($I621&amp;$J621&amp;W$1,Pesos!$A:$I,7,FALSE),VLOOKUP($I621&amp;$J621&amp;W$1,Pesos!$A:$I,9,FALSE)))</f>
        <v>0.8</v>
      </c>
      <c r="AQ621" s="80">
        <f>IF(X621="","",IF(X621="SIM",VLOOKUP($I621&amp;$J621&amp;X$1,Pesos!$A:$I,7,FALSE),VLOOKUP($I621&amp;$J621&amp;X$1,Pesos!$A:$I,9,FALSE)))</f>
        <v>0.8</v>
      </c>
      <c r="AR621" s="80">
        <f>IF(Y621="","",IF(Y621="SIM",VLOOKUP($I621&amp;$J621&amp;Y$1,Pesos!$A:$I,7,FALSE),VLOOKUP($I621&amp;$J621&amp;Y$1,Pesos!$A:$I,9,FALSE)))</f>
        <v>0.8</v>
      </c>
      <c r="AS621" s="81">
        <f>IFERROR(Z621*VLOOKUP(J621,'BD Campos'!$Y$1:$Z$12,2,FALSE),"0")</f>
        <v>9.16</v>
      </c>
    </row>
    <row r="622" spans="1:45" x14ac:dyDescent="0.35">
      <c r="A622" s="68" t="str">
        <f t="shared" si="89"/>
        <v>Fev202511139ReceptivaTRANSFERÊNCIA</v>
      </c>
      <c r="B622" s="114" t="str">
        <f t="shared" si="90"/>
        <v>Fev2025111395TRANSFERÊNCIAPADRÃO</v>
      </c>
      <c r="C622" s="70">
        <v>1</v>
      </c>
      <c r="D622" s="71">
        <v>45700.659112731482</v>
      </c>
      <c r="E622" s="112" t="s">
        <v>338</v>
      </c>
      <c r="F622" s="72">
        <v>11139</v>
      </c>
      <c r="G622" s="69" t="s">
        <v>437</v>
      </c>
      <c r="H622" s="73">
        <v>5</v>
      </c>
      <c r="I622" s="69" t="s">
        <v>6</v>
      </c>
      <c r="J622" s="69" t="s">
        <v>98</v>
      </c>
      <c r="K622" s="69" t="s">
        <v>106</v>
      </c>
      <c r="L622" s="74"/>
      <c r="M622" s="75">
        <v>9.4907407407407408E-4</v>
      </c>
      <c r="N622" s="76" t="s">
        <v>83</v>
      </c>
      <c r="O622" s="76" t="s">
        <v>79</v>
      </c>
      <c r="P622" s="76" t="s">
        <v>79</v>
      </c>
      <c r="Q622" s="76" t="s">
        <v>79</v>
      </c>
      <c r="R622" s="76" t="s">
        <v>79</v>
      </c>
      <c r="S622" s="76" t="s">
        <v>79</v>
      </c>
      <c r="T622" s="76" t="s">
        <v>79</v>
      </c>
      <c r="U622" s="76" t="s">
        <v>79</v>
      </c>
      <c r="V622" s="76" t="s">
        <v>79</v>
      </c>
      <c r="W622" s="76" t="s">
        <v>83</v>
      </c>
      <c r="X622" s="76" t="s">
        <v>79</v>
      </c>
      <c r="Y622" s="76" t="s">
        <v>79</v>
      </c>
      <c r="Z622" s="77">
        <f t="shared" si="79"/>
        <v>8.3199999999999985</v>
      </c>
      <c r="AA622" s="78" t="s">
        <v>1616</v>
      </c>
      <c r="AB622" s="78"/>
      <c r="AC622" s="72" t="s">
        <v>47</v>
      </c>
      <c r="AE622" s="79" t="str">
        <f t="shared" si="94"/>
        <v>Fev11139</v>
      </c>
      <c r="AF622" s="80">
        <f>IF(N622="","",IF(N622="SIM",VLOOKUP($I622&amp;$J622&amp;N$1,Pesos!$A:$I,7,FALSE),VLOOKUP($I622&amp;$J622&amp;N$1,Pesos!$A:$I,9,FALSE)))</f>
        <v>-4.0000000000000008E-2</v>
      </c>
      <c r="AG622" s="80">
        <f>IF(O622="","",IF(O622="SIM",VLOOKUP($I622&amp;$J622&amp;O$1,Pesos!$A:$I,7,FALSE),VLOOKUP($I622&amp;$J622&amp;O$1,Pesos!$A:$I,9,FALSE)))</f>
        <v>0.8</v>
      </c>
      <c r="AH622" s="80">
        <f>IF(P622="","",IF(P622="SIM",VLOOKUP($I622&amp;$J622&amp;P$1,Pesos!$A:$I,7,FALSE),VLOOKUP($I622&amp;$J622&amp;P$1,Pesos!$A:$I,9,FALSE)))</f>
        <v>1.2</v>
      </c>
      <c r="AI622" s="80">
        <f>IF(Q622="","",IF(Q622="SIM",VLOOKUP($I622&amp;$J622&amp;Q$1,Pesos!$A:$I,7,FALSE),VLOOKUP($I622&amp;$J622&amp;Q$1,Pesos!$A:$I,9,FALSE)))</f>
        <v>0.8</v>
      </c>
      <c r="AJ622" s="80">
        <f>IF(R622="","",IF(R622="SIM",VLOOKUP($I622&amp;$J622&amp;R$1,Pesos!$A:$I,7,FALSE),VLOOKUP($I622&amp;$J622&amp;R$1,Pesos!$A:$I,9,FALSE)))</f>
        <v>0.8</v>
      </c>
      <c r="AK622" s="80">
        <f>IF(S622="","",IF(S622="SIM",VLOOKUP($I622&amp;$J622&amp;S$1,Pesos!$A:$I,7,FALSE),VLOOKUP($I622&amp;$J622&amp;S$1,Pesos!$A:$I,9,FALSE)))</f>
        <v>0.8</v>
      </c>
      <c r="AL622" s="80">
        <f t="shared" si="92"/>
        <v>4.3599999999999994</v>
      </c>
      <c r="AM622" s="80">
        <f>IF(T622="","",IF(T622="SIM",VLOOKUP($I622&amp;$J622&amp;T$1,Pesos!$A:$I,7,FALSE),VLOOKUP($I622&amp;$J622&amp;T$1,Pesos!$A:$I,9,FALSE)))</f>
        <v>0.8</v>
      </c>
      <c r="AN622" s="80">
        <f>IF(U622="","",IF(U622="SIM",VLOOKUP($I622&amp;$J622&amp;U$1,Pesos!$A:$I,7,FALSE),VLOOKUP($I622&amp;$J622&amp;U$1,Pesos!$A:$I,9,FALSE)))</f>
        <v>0.8</v>
      </c>
      <c r="AO622" s="80">
        <f>IF(V622="","",IF(V622="SIM",VLOOKUP($I622&amp;$J622&amp;V$1,Pesos!$A:$I,7,FALSE),VLOOKUP($I622&amp;$J622&amp;V$1,Pesos!$A:$I,9,FALSE)))</f>
        <v>0.8</v>
      </c>
      <c r="AP622" s="80">
        <f>IF(W622="","",IF(W622="SIM",VLOOKUP($I622&amp;$J622&amp;W$1,Pesos!$A:$I,7,FALSE),VLOOKUP($I622&amp;$J622&amp;W$1,Pesos!$A:$I,9,FALSE)))</f>
        <v>-4.0000000000000008E-2</v>
      </c>
      <c r="AQ622" s="80">
        <f>IF(X622="","",IF(X622="SIM",VLOOKUP($I622&amp;$J622&amp;X$1,Pesos!$A:$I,7,FALSE),VLOOKUP($I622&amp;$J622&amp;X$1,Pesos!$A:$I,9,FALSE)))</f>
        <v>0.8</v>
      </c>
      <c r="AR622" s="80">
        <f>IF(Y622="","",IF(Y622="SIM",VLOOKUP($I622&amp;$J622&amp;Y$1,Pesos!$A:$I,7,FALSE),VLOOKUP($I622&amp;$J622&amp;Y$1,Pesos!$A:$I,9,FALSE)))</f>
        <v>0.8</v>
      </c>
      <c r="AS622" s="81">
        <f>IFERROR(Z622*VLOOKUP(J622,'BD Campos'!$Y$1:$Z$12,2,FALSE),"0")</f>
        <v>8.3199999999999985</v>
      </c>
    </row>
    <row r="623" spans="1:45" x14ac:dyDescent="0.35">
      <c r="A623" s="68" t="str">
        <f t="shared" si="89"/>
        <v>Fev202511155ReceptivaTRANSFERÊNCIA</v>
      </c>
      <c r="B623" s="114" t="str">
        <f t="shared" si="90"/>
        <v>Fev2025111555TRANSFERÊNCIAPADRÃO</v>
      </c>
      <c r="C623" s="70">
        <v>1</v>
      </c>
      <c r="D623" s="71">
        <v>45700.664487615744</v>
      </c>
      <c r="E623" s="112" t="s">
        <v>338</v>
      </c>
      <c r="F623" s="72">
        <v>11155</v>
      </c>
      <c r="G623" s="69" t="s">
        <v>449</v>
      </c>
      <c r="H623" s="73">
        <v>5</v>
      </c>
      <c r="I623" s="69" t="s">
        <v>6</v>
      </c>
      <c r="J623" s="69" t="s">
        <v>98</v>
      </c>
      <c r="K623" s="69" t="s">
        <v>106</v>
      </c>
      <c r="L623" s="74"/>
      <c r="M623" s="75">
        <v>1.6666666666666668E-3</v>
      </c>
      <c r="N623" s="76"/>
      <c r="O623" s="76"/>
      <c r="P623" s="76"/>
      <c r="Q623" s="76"/>
      <c r="R623" s="76"/>
      <c r="S623" s="76"/>
      <c r="T623" s="76"/>
      <c r="U623" s="76"/>
      <c r="V623" s="76"/>
      <c r="W623" s="76"/>
      <c r="X623" s="76"/>
      <c r="Y623" s="76"/>
      <c r="Z623" s="77">
        <f t="shared" si="79"/>
        <v>0</v>
      </c>
      <c r="AA623" s="78" t="s">
        <v>1620</v>
      </c>
      <c r="AB623" s="78"/>
      <c r="AC623" s="72" t="s">
        <v>47</v>
      </c>
      <c r="AE623" s="79" t="str">
        <f t="shared" si="94"/>
        <v>Fev11155</v>
      </c>
      <c r="AF623" s="80" t="str">
        <f>IF(N623="","",IF(N623="SIM",VLOOKUP($I623&amp;$J623&amp;N$1,Pesos!$A:$I,7,FALSE),VLOOKUP($I623&amp;$J623&amp;N$1,Pesos!$A:$I,9,FALSE)))</f>
        <v/>
      </c>
      <c r="AG623" s="80" t="str">
        <f>IF(O623="","",IF(O623="SIM",VLOOKUP($I623&amp;$J623&amp;O$1,Pesos!$A:$I,7,FALSE),VLOOKUP($I623&amp;$J623&amp;O$1,Pesos!$A:$I,9,FALSE)))</f>
        <v/>
      </c>
      <c r="AH623" s="80" t="str">
        <f>IF(P623="","",IF(P623="SIM",VLOOKUP($I623&amp;$J623&amp;P$1,Pesos!$A:$I,7,FALSE),VLOOKUP($I623&amp;$J623&amp;P$1,Pesos!$A:$I,9,FALSE)))</f>
        <v/>
      </c>
      <c r="AI623" s="80" t="str">
        <f>IF(Q623="","",IF(Q623="SIM",VLOOKUP($I623&amp;$J623&amp;Q$1,Pesos!$A:$I,7,FALSE),VLOOKUP($I623&amp;$J623&amp;Q$1,Pesos!$A:$I,9,FALSE)))</f>
        <v/>
      </c>
      <c r="AJ623" s="80" t="str">
        <f>IF(R623="","",IF(R623="SIM",VLOOKUP($I623&amp;$J623&amp;R$1,Pesos!$A:$I,7,FALSE),VLOOKUP($I623&amp;$J623&amp;R$1,Pesos!$A:$I,9,FALSE)))</f>
        <v/>
      </c>
      <c r="AK623" s="80" t="str">
        <f>IF(S623="","",IF(S623="SIM",VLOOKUP($I623&amp;$J623&amp;S$1,Pesos!$A:$I,7,FALSE),VLOOKUP($I623&amp;$J623&amp;S$1,Pesos!$A:$I,9,FALSE)))</f>
        <v/>
      </c>
      <c r="AL623" s="80">
        <f t="shared" si="92"/>
        <v>0</v>
      </c>
      <c r="AM623" s="80" t="str">
        <f>IF(T623="","",IF(T623="SIM",VLOOKUP($I623&amp;$J623&amp;T$1,Pesos!$A:$I,7,FALSE),VLOOKUP($I623&amp;$J623&amp;T$1,Pesos!$A:$I,9,FALSE)))</f>
        <v/>
      </c>
      <c r="AN623" s="80" t="str">
        <f>IF(U623="","",IF(U623="SIM",VLOOKUP($I623&amp;$J623&amp;U$1,Pesos!$A:$I,7,FALSE),VLOOKUP($I623&amp;$J623&amp;U$1,Pesos!$A:$I,9,FALSE)))</f>
        <v/>
      </c>
      <c r="AO623" s="80" t="str">
        <f>IF(V623="","",IF(V623="SIM",VLOOKUP($I623&amp;$J623&amp;V$1,Pesos!$A:$I,7,FALSE),VLOOKUP($I623&amp;$J623&amp;V$1,Pesos!$A:$I,9,FALSE)))</f>
        <v/>
      </c>
      <c r="AP623" s="80" t="str">
        <f>IF(W623="","",IF(W623="SIM",VLOOKUP($I623&amp;$J623&amp;W$1,Pesos!$A:$I,7,FALSE),VLOOKUP($I623&amp;$J623&amp;W$1,Pesos!$A:$I,9,FALSE)))</f>
        <v/>
      </c>
      <c r="AQ623" s="80" t="str">
        <f>IF(X623="","",IF(X623="SIM",VLOOKUP($I623&amp;$J623&amp;X$1,Pesos!$A:$I,7,FALSE),VLOOKUP($I623&amp;$J623&amp;X$1,Pesos!$A:$I,9,FALSE)))</f>
        <v/>
      </c>
      <c r="AR623" s="80" t="str">
        <f>IF(Y623="","",IF(Y623="SIM",VLOOKUP($I623&amp;$J623&amp;Y$1,Pesos!$A:$I,7,FALSE),VLOOKUP($I623&amp;$J623&amp;Y$1,Pesos!$A:$I,9,FALSE)))</f>
        <v/>
      </c>
      <c r="AS623" s="81">
        <f>IFERROR(Z623*VLOOKUP(J623,'BD Campos'!$Y$1:$Z$12,2,FALSE),"0")</f>
        <v>0</v>
      </c>
    </row>
    <row r="624" spans="1:45" x14ac:dyDescent="0.35">
      <c r="A624" s="68" t="str">
        <f t="shared" si="89"/>
        <v>Fev202510863ReceptivaTRANSFERÊNCIA</v>
      </c>
      <c r="B624" s="114" t="str">
        <f t="shared" si="90"/>
        <v>Fev2025108635TRANSFERÊNCIAPADRÃO</v>
      </c>
      <c r="C624" s="70">
        <v>1</v>
      </c>
      <c r="D624" s="71">
        <v>45700.668294675925</v>
      </c>
      <c r="E624" s="112" t="s">
        <v>338</v>
      </c>
      <c r="F624" s="72">
        <v>10863</v>
      </c>
      <c r="G624" s="69" t="s">
        <v>171</v>
      </c>
      <c r="H624" s="73">
        <v>5</v>
      </c>
      <c r="I624" s="69" t="s">
        <v>6</v>
      </c>
      <c r="J624" s="69" t="s">
        <v>98</v>
      </c>
      <c r="K624" s="69" t="s">
        <v>106</v>
      </c>
      <c r="L624" s="74"/>
      <c r="M624" s="75">
        <v>2.0949074074074073E-3</v>
      </c>
      <c r="N624" s="76" t="s">
        <v>79</v>
      </c>
      <c r="O624" s="76" t="s">
        <v>79</v>
      </c>
      <c r="P624" s="76" t="s">
        <v>79</v>
      </c>
      <c r="Q624" s="76" t="s">
        <v>79</v>
      </c>
      <c r="R624" s="76" t="s">
        <v>79</v>
      </c>
      <c r="S624" s="76" t="s">
        <v>79</v>
      </c>
      <c r="T624" s="76" t="s">
        <v>79</v>
      </c>
      <c r="U624" s="76" t="s">
        <v>79</v>
      </c>
      <c r="V624" s="76" t="s">
        <v>79</v>
      </c>
      <c r="W624" s="76" t="s">
        <v>79</v>
      </c>
      <c r="X624" s="76" t="s">
        <v>79</v>
      </c>
      <c r="Y624" s="76" t="s">
        <v>79</v>
      </c>
      <c r="Z624" s="77">
        <f t="shared" si="79"/>
        <v>10</v>
      </c>
      <c r="AA624" s="78">
        <v>0</v>
      </c>
      <c r="AB624" s="78"/>
      <c r="AC624" s="72" t="s">
        <v>47</v>
      </c>
      <c r="AE624" s="79" t="str">
        <f t="shared" si="94"/>
        <v>Fev10863</v>
      </c>
      <c r="AF624" s="80">
        <f>IF(N624="","",IF(N624="SIM",VLOOKUP($I624&amp;$J624&amp;N$1,Pesos!$A:$I,7,FALSE),VLOOKUP($I624&amp;$J624&amp;N$1,Pesos!$A:$I,9,FALSE)))</f>
        <v>0.8</v>
      </c>
      <c r="AG624" s="80">
        <f>IF(O624="","",IF(O624="SIM",VLOOKUP($I624&amp;$J624&amp;O$1,Pesos!$A:$I,7,FALSE),VLOOKUP($I624&amp;$J624&amp;O$1,Pesos!$A:$I,9,FALSE)))</f>
        <v>0.8</v>
      </c>
      <c r="AH624" s="80">
        <f>IF(P624="","",IF(P624="SIM",VLOOKUP($I624&amp;$J624&amp;P$1,Pesos!$A:$I,7,FALSE),VLOOKUP($I624&amp;$J624&amp;P$1,Pesos!$A:$I,9,FALSE)))</f>
        <v>1.2</v>
      </c>
      <c r="AI624" s="80">
        <f>IF(Q624="","",IF(Q624="SIM",VLOOKUP($I624&amp;$J624&amp;Q$1,Pesos!$A:$I,7,FALSE),VLOOKUP($I624&amp;$J624&amp;Q$1,Pesos!$A:$I,9,FALSE)))</f>
        <v>0.8</v>
      </c>
      <c r="AJ624" s="80">
        <f>IF(R624="","",IF(R624="SIM",VLOOKUP($I624&amp;$J624&amp;R$1,Pesos!$A:$I,7,FALSE),VLOOKUP($I624&amp;$J624&amp;R$1,Pesos!$A:$I,9,FALSE)))</f>
        <v>0.8</v>
      </c>
      <c r="AK624" s="80">
        <f>IF(S624="","",IF(S624="SIM",VLOOKUP($I624&amp;$J624&amp;S$1,Pesos!$A:$I,7,FALSE),VLOOKUP($I624&amp;$J624&amp;S$1,Pesos!$A:$I,9,FALSE)))</f>
        <v>0.8</v>
      </c>
      <c r="AL624" s="80">
        <f t="shared" si="92"/>
        <v>5.1999999999999993</v>
      </c>
      <c r="AM624" s="80">
        <f>IF(T624="","",IF(T624="SIM",VLOOKUP($I624&amp;$J624&amp;T$1,Pesos!$A:$I,7,FALSE),VLOOKUP($I624&amp;$J624&amp;T$1,Pesos!$A:$I,9,FALSE)))</f>
        <v>0.8</v>
      </c>
      <c r="AN624" s="80">
        <f>IF(U624="","",IF(U624="SIM",VLOOKUP($I624&amp;$J624&amp;U$1,Pesos!$A:$I,7,FALSE),VLOOKUP($I624&amp;$J624&amp;U$1,Pesos!$A:$I,9,FALSE)))</f>
        <v>0.8</v>
      </c>
      <c r="AO624" s="80">
        <f>IF(V624="","",IF(V624="SIM",VLOOKUP($I624&amp;$J624&amp;V$1,Pesos!$A:$I,7,FALSE),VLOOKUP($I624&amp;$J624&amp;V$1,Pesos!$A:$I,9,FALSE)))</f>
        <v>0.8</v>
      </c>
      <c r="AP624" s="80">
        <f>IF(W624="","",IF(W624="SIM",VLOOKUP($I624&amp;$J624&amp;W$1,Pesos!$A:$I,7,FALSE),VLOOKUP($I624&amp;$J624&amp;W$1,Pesos!$A:$I,9,FALSE)))</f>
        <v>0.8</v>
      </c>
      <c r="AQ624" s="80">
        <f>IF(X624="","",IF(X624="SIM",VLOOKUP($I624&amp;$J624&amp;X$1,Pesos!$A:$I,7,FALSE),VLOOKUP($I624&amp;$J624&amp;X$1,Pesos!$A:$I,9,FALSE)))</f>
        <v>0.8</v>
      </c>
      <c r="AR624" s="80">
        <f>IF(Y624="","",IF(Y624="SIM",VLOOKUP($I624&amp;$J624&amp;Y$1,Pesos!$A:$I,7,FALSE),VLOOKUP($I624&amp;$J624&amp;Y$1,Pesos!$A:$I,9,FALSE)))</f>
        <v>0.8</v>
      </c>
      <c r="AS624" s="81">
        <f>IFERROR(Z624*VLOOKUP(J624,'BD Campos'!$Y$1:$Z$12,2,FALSE),"0")</f>
        <v>10</v>
      </c>
    </row>
    <row r="625" spans="1:45" x14ac:dyDescent="0.35">
      <c r="A625" s="68" t="str">
        <f t="shared" si="89"/>
        <v>Fev202511166ReceptivaTRANSFERÊNCIA</v>
      </c>
      <c r="B625" s="114" t="str">
        <f t="shared" si="90"/>
        <v>Fev2025111665TRANSFERÊNCIAPADRÃO</v>
      </c>
      <c r="C625" s="70">
        <v>1</v>
      </c>
      <c r="D625" s="71">
        <v>45700.682744444443</v>
      </c>
      <c r="E625" s="112" t="s">
        <v>338</v>
      </c>
      <c r="F625" s="72">
        <v>11166</v>
      </c>
      <c r="G625" s="69" t="s">
        <v>450</v>
      </c>
      <c r="H625" s="73">
        <v>5</v>
      </c>
      <c r="I625" s="69" t="s">
        <v>6</v>
      </c>
      <c r="J625" s="69" t="s">
        <v>98</v>
      </c>
      <c r="K625" s="69" t="s">
        <v>106</v>
      </c>
      <c r="L625" s="74"/>
      <c r="M625" s="75">
        <v>1.8981481481481482E-3</v>
      </c>
      <c r="N625" s="76" t="s">
        <v>79</v>
      </c>
      <c r="O625" s="76" t="s">
        <v>79</v>
      </c>
      <c r="P625" s="76" t="s">
        <v>79</v>
      </c>
      <c r="Q625" s="76" t="s">
        <v>79</v>
      </c>
      <c r="R625" s="76" t="s">
        <v>79</v>
      </c>
      <c r="S625" s="76" t="s">
        <v>83</v>
      </c>
      <c r="T625" s="76" t="s">
        <v>79</v>
      </c>
      <c r="U625" s="76" t="s">
        <v>79</v>
      </c>
      <c r="V625" s="76" t="s">
        <v>79</v>
      </c>
      <c r="W625" s="76" t="s">
        <v>79</v>
      </c>
      <c r="X625" s="76" t="s">
        <v>79</v>
      </c>
      <c r="Y625" s="76" t="s">
        <v>79</v>
      </c>
      <c r="Z625" s="77">
        <f t="shared" si="79"/>
        <v>9.16</v>
      </c>
      <c r="AA625" s="78">
        <v>0</v>
      </c>
      <c r="AB625" s="78"/>
      <c r="AC625" s="72" t="s">
        <v>47</v>
      </c>
      <c r="AE625" s="79" t="str">
        <f t="shared" si="94"/>
        <v>Fev11166</v>
      </c>
      <c r="AF625" s="80">
        <f>IF(N625="","",IF(N625="SIM",VLOOKUP($I625&amp;$J625&amp;N$1,Pesos!$A:$I,7,FALSE),VLOOKUP($I625&amp;$J625&amp;N$1,Pesos!$A:$I,9,FALSE)))</f>
        <v>0.8</v>
      </c>
      <c r="AG625" s="80">
        <f>IF(O625="","",IF(O625="SIM",VLOOKUP($I625&amp;$J625&amp;O$1,Pesos!$A:$I,7,FALSE),VLOOKUP($I625&amp;$J625&amp;O$1,Pesos!$A:$I,9,FALSE)))</f>
        <v>0.8</v>
      </c>
      <c r="AH625" s="80">
        <f>IF(P625="","",IF(P625="SIM",VLOOKUP($I625&amp;$J625&amp;P$1,Pesos!$A:$I,7,FALSE),VLOOKUP($I625&amp;$J625&amp;P$1,Pesos!$A:$I,9,FALSE)))</f>
        <v>1.2</v>
      </c>
      <c r="AI625" s="80">
        <f>IF(Q625="","",IF(Q625="SIM",VLOOKUP($I625&amp;$J625&amp;Q$1,Pesos!$A:$I,7,FALSE),VLOOKUP($I625&amp;$J625&amp;Q$1,Pesos!$A:$I,9,FALSE)))</f>
        <v>0.8</v>
      </c>
      <c r="AJ625" s="80">
        <f>IF(R625="","",IF(R625="SIM",VLOOKUP($I625&amp;$J625&amp;R$1,Pesos!$A:$I,7,FALSE),VLOOKUP($I625&amp;$J625&amp;R$1,Pesos!$A:$I,9,FALSE)))</f>
        <v>0.8</v>
      </c>
      <c r="AK625" s="80">
        <f>IF(S625="","",IF(S625="SIM",VLOOKUP($I625&amp;$J625&amp;S$1,Pesos!$A:$I,7,FALSE),VLOOKUP($I625&amp;$J625&amp;S$1,Pesos!$A:$I,9,FALSE)))</f>
        <v>-4.0000000000000008E-2</v>
      </c>
      <c r="AL625" s="80">
        <f t="shared" si="92"/>
        <v>4.3599999999999994</v>
      </c>
      <c r="AM625" s="80">
        <f>IF(T625="","",IF(T625="SIM",VLOOKUP($I625&amp;$J625&amp;T$1,Pesos!$A:$I,7,FALSE),VLOOKUP($I625&amp;$J625&amp;T$1,Pesos!$A:$I,9,FALSE)))</f>
        <v>0.8</v>
      </c>
      <c r="AN625" s="80">
        <f>IF(U625="","",IF(U625="SIM",VLOOKUP($I625&amp;$J625&amp;U$1,Pesos!$A:$I,7,FALSE),VLOOKUP($I625&amp;$J625&amp;U$1,Pesos!$A:$I,9,FALSE)))</f>
        <v>0.8</v>
      </c>
      <c r="AO625" s="80">
        <f>IF(V625="","",IF(V625="SIM",VLOOKUP($I625&amp;$J625&amp;V$1,Pesos!$A:$I,7,FALSE),VLOOKUP($I625&amp;$J625&amp;V$1,Pesos!$A:$I,9,FALSE)))</f>
        <v>0.8</v>
      </c>
      <c r="AP625" s="80">
        <f>IF(W625="","",IF(W625="SIM",VLOOKUP($I625&amp;$J625&amp;W$1,Pesos!$A:$I,7,FALSE),VLOOKUP($I625&amp;$J625&amp;W$1,Pesos!$A:$I,9,FALSE)))</f>
        <v>0.8</v>
      </c>
      <c r="AQ625" s="80">
        <f>IF(X625="","",IF(X625="SIM",VLOOKUP($I625&amp;$J625&amp;X$1,Pesos!$A:$I,7,FALSE),VLOOKUP($I625&amp;$J625&amp;X$1,Pesos!$A:$I,9,FALSE)))</f>
        <v>0.8</v>
      </c>
      <c r="AR625" s="80">
        <f>IF(Y625="","",IF(Y625="SIM",VLOOKUP($I625&amp;$J625&amp;Y$1,Pesos!$A:$I,7,FALSE),VLOOKUP($I625&amp;$J625&amp;Y$1,Pesos!$A:$I,9,FALSE)))</f>
        <v>0.8</v>
      </c>
      <c r="AS625" s="81">
        <f>IFERROR(Z625*VLOOKUP(J625,'BD Campos'!$Y$1:$Z$12,2,FALSE),"0")</f>
        <v>9.16</v>
      </c>
    </row>
    <row r="626" spans="1:45" x14ac:dyDescent="0.35">
      <c r="A626" s="68" t="str">
        <f t="shared" si="89"/>
        <v>Fev202511167ReceptivaTRANSFERÊNCIA</v>
      </c>
      <c r="B626" s="114" t="str">
        <f t="shared" si="90"/>
        <v>Fev2025111675TRANSFERÊNCIAPADRÃO</v>
      </c>
      <c r="C626" s="70">
        <v>1</v>
      </c>
      <c r="D626" s="71">
        <v>45700.684398958336</v>
      </c>
      <c r="E626" s="112" t="s">
        <v>338</v>
      </c>
      <c r="F626" s="72">
        <v>11167</v>
      </c>
      <c r="G626" s="69" t="s">
        <v>1360</v>
      </c>
      <c r="H626" s="73">
        <v>5</v>
      </c>
      <c r="I626" s="69" t="s">
        <v>6</v>
      </c>
      <c r="J626" s="69" t="s">
        <v>98</v>
      </c>
      <c r="K626" s="69" t="s">
        <v>106</v>
      </c>
      <c r="L626" s="74"/>
      <c r="M626" s="75">
        <v>2.0254629629629629E-3</v>
      </c>
      <c r="N626" s="76" t="s">
        <v>83</v>
      </c>
      <c r="O626" s="76" t="s">
        <v>79</v>
      </c>
      <c r="P626" s="76" t="s">
        <v>79</v>
      </c>
      <c r="Q626" s="76" t="s">
        <v>79</v>
      </c>
      <c r="R626" s="76" t="s">
        <v>79</v>
      </c>
      <c r="S626" s="76" t="s">
        <v>79</v>
      </c>
      <c r="T626" s="76" t="s">
        <v>79</v>
      </c>
      <c r="U626" s="76" t="s">
        <v>79</v>
      </c>
      <c r="V626" s="76" t="s">
        <v>79</v>
      </c>
      <c r="W626" s="76" t="s">
        <v>79</v>
      </c>
      <c r="X626" s="76" t="s">
        <v>79</v>
      </c>
      <c r="Y626" s="76" t="s">
        <v>79</v>
      </c>
      <c r="Z626" s="77">
        <f t="shared" si="79"/>
        <v>9.16</v>
      </c>
      <c r="AA626" s="78" t="s">
        <v>1616</v>
      </c>
      <c r="AB626" s="78"/>
      <c r="AC626" s="72" t="s">
        <v>47</v>
      </c>
      <c r="AE626" s="79" t="str">
        <f>E626&amp;F626</f>
        <v>Fev11167</v>
      </c>
      <c r="AF626" s="80">
        <f>IF(N626="","",IF(N626="SIM",VLOOKUP($I626&amp;$J626&amp;N$1,Pesos!$A:$I,7,FALSE),VLOOKUP($I626&amp;$J626&amp;N$1,Pesos!$A:$I,9,FALSE)))</f>
        <v>-4.0000000000000008E-2</v>
      </c>
      <c r="AG626" s="80">
        <f>IF(O626="","",IF(O626="SIM",VLOOKUP($I626&amp;$J626&amp;O$1,Pesos!$A:$I,7,FALSE),VLOOKUP($I626&amp;$J626&amp;O$1,Pesos!$A:$I,9,FALSE)))</f>
        <v>0.8</v>
      </c>
      <c r="AH626" s="80">
        <f>IF(P626="","",IF(P626="SIM",VLOOKUP($I626&amp;$J626&amp;P$1,Pesos!$A:$I,7,FALSE),VLOOKUP($I626&amp;$J626&amp;P$1,Pesos!$A:$I,9,FALSE)))</f>
        <v>1.2</v>
      </c>
      <c r="AI626" s="80">
        <f>IF(Q626="","",IF(Q626="SIM",VLOOKUP($I626&amp;$J626&amp;Q$1,Pesos!$A:$I,7,FALSE),VLOOKUP($I626&amp;$J626&amp;Q$1,Pesos!$A:$I,9,FALSE)))</f>
        <v>0.8</v>
      </c>
      <c r="AJ626" s="80">
        <f>IF(R626="","",IF(R626="SIM",VLOOKUP($I626&amp;$J626&amp;R$1,Pesos!$A:$I,7,FALSE),VLOOKUP($I626&amp;$J626&amp;R$1,Pesos!$A:$I,9,FALSE)))</f>
        <v>0.8</v>
      </c>
      <c r="AK626" s="80">
        <f>IF(S626="","",IF(S626="SIM",VLOOKUP($I626&amp;$J626&amp;S$1,Pesos!$A:$I,7,FALSE),VLOOKUP($I626&amp;$J626&amp;S$1,Pesos!$A:$I,9,FALSE)))</f>
        <v>0.8</v>
      </c>
      <c r="AL626" s="80">
        <f t="shared" si="92"/>
        <v>4.3599999999999994</v>
      </c>
      <c r="AM626" s="80">
        <f>IF(T626="","",IF(T626="SIM",VLOOKUP($I626&amp;$J626&amp;T$1,Pesos!$A:$I,7,FALSE),VLOOKUP($I626&amp;$J626&amp;T$1,Pesos!$A:$I,9,FALSE)))</f>
        <v>0.8</v>
      </c>
      <c r="AN626" s="80">
        <f>IF(U626="","",IF(U626="SIM",VLOOKUP($I626&amp;$J626&amp;U$1,Pesos!$A:$I,7,FALSE),VLOOKUP($I626&amp;$J626&amp;U$1,Pesos!$A:$I,9,FALSE)))</f>
        <v>0.8</v>
      </c>
      <c r="AO626" s="80">
        <f>IF(V626="","",IF(V626="SIM",VLOOKUP($I626&amp;$J626&amp;V$1,Pesos!$A:$I,7,FALSE),VLOOKUP($I626&amp;$J626&amp;V$1,Pesos!$A:$I,9,FALSE)))</f>
        <v>0.8</v>
      </c>
      <c r="AP626" s="80">
        <f>IF(W626="","",IF(W626="SIM",VLOOKUP($I626&amp;$J626&amp;W$1,Pesos!$A:$I,7,FALSE),VLOOKUP($I626&amp;$J626&amp;W$1,Pesos!$A:$I,9,FALSE)))</f>
        <v>0.8</v>
      </c>
      <c r="AQ626" s="80">
        <f>IF(X626="","",IF(X626="SIM",VLOOKUP($I626&amp;$J626&amp;X$1,Pesos!$A:$I,7,FALSE),VLOOKUP($I626&amp;$J626&amp;X$1,Pesos!$A:$I,9,FALSE)))</f>
        <v>0.8</v>
      </c>
      <c r="AR626" s="80">
        <f>IF(Y626="","",IF(Y626="SIM",VLOOKUP($I626&amp;$J626&amp;Y$1,Pesos!$A:$I,7,FALSE),VLOOKUP($I626&amp;$J626&amp;Y$1,Pesos!$A:$I,9,FALSE)))</f>
        <v>0.8</v>
      </c>
      <c r="AS626" s="81">
        <f>IFERROR(Z626*VLOOKUP(J626,'BD Campos'!$Y$1:$Z$12,2,FALSE),"0")</f>
        <v>9.16</v>
      </c>
    </row>
    <row r="627" spans="1:45" x14ac:dyDescent="0.35">
      <c r="A627" s="68" t="str">
        <f t="shared" si="89"/>
        <v>Fev202511241ReceptivaTRANSFERÊNCIA</v>
      </c>
      <c r="B627" s="114" t="str">
        <f t="shared" si="90"/>
        <v>Fev2025112415TRANSFERÊNCIAPADRÃO</v>
      </c>
      <c r="C627" s="70">
        <v>1</v>
      </c>
      <c r="D627" s="71">
        <v>45700.717260879632</v>
      </c>
      <c r="E627" s="112" t="s">
        <v>338</v>
      </c>
      <c r="F627" s="72">
        <v>11241</v>
      </c>
      <c r="G627" s="69" t="s">
        <v>1416</v>
      </c>
      <c r="H627" s="73">
        <v>5</v>
      </c>
      <c r="I627" s="69" t="s">
        <v>6</v>
      </c>
      <c r="J627" s="69" t="s">
        <v>98</v>
      </c>
      <c r="K627" s="69" t="s">
        <v>106</v>
      </c>
      <c r="L627" s="74"/>
      <c r="M627" s="75">
        <v>1.2731481481481483E-3</v>
      </c>
      <c r="N627" s="76" t="s">
        <v>79</v>
      </c>
      <c r="O627" s="76" t="s">
        <v>79</v>
      </c>
      <c r="P627" s="76" t="s">
        <v>79</v>
      </c>
      <c r="Q627" s="76" t="s">
        <v>79</v>
      </c>
      <c r="R627" s="76" t="s">
        <v>79</v>
      </c>
      <c r="S627" s="76" t="s">
        <v>79</v>
      </c>
      <c r="T627" s="76" t="s">
        <v>79</v>
      </c>
      <c r="U627" s="76" t="s">
        <v>79</v>
      </c>
      <c r="V627" s="76" t="s">
        <v>79</v>
      </c>
      <c r="W627" s="76" t="s">
        <v>79</v>
      </c>
      <c r="X627" s="76" t="s">
        <v>79</v>
      </c>
      <c r="Y627" s="76" t="s">
        <v>79</v>
      </c>
      <c r="Z627" s="77">
        <f t="shared" si="79"/>
        <v>10</v>
      </c>
      <c r="AA627" s="78"/>
      <c r="AB627" s="78"/>
      <c r="AC627" s="72" t="s">
        <v>47</v>
      </c>
      <c r="AE627" s="79" t="str">
        <f>E627&amp;F627</f>
        <v>Fev11241</v>
      </c>
      <c r="AF627" s="80">
        <f>IF(N627="","",IF(N627="SIM",VLOOKUP($I627&amp;$J627&amp;N$1,Pesos!$A:$I,7,FALSE),VLOOKUP($I627&amp;$J627&amp;N$1,Pesos!$A:$I,9,FALSE)))</f>
        <v>0.8</v>
      </c>
      <c r="AG627" s="80">
        <f>IF(O627="","",IF(O627="SIM",VLOOKUP($I627&amp;$J627&amp;O$1,Pesos!$A:$I,7,FALSE),VLOOKUP($I627&amp;$J627&amp;O$1,Pesos!$A:$I,9,FALSE)))</f>
        <v>0.8</v>
      </c>
      <c r="AH627" s="80">
        <f>IF(P627="","",IF(P627="SIM",VLOOKUP($I627&amp;$J627&amp;P$1,Pesos!$A:$I,7,FALSE),VLOOKUP($I627&amp;$J627&amp;P$1,Pesos!$A:$I,9,FALSE)))</f>
        <v>1.2</v>
      </c>
      <c r="AI627" s="80">
        <f>IF(Q627="","",IF(Q627="SIM",VLOOKUP($I627&amp;$J627&amp;Q$1,Pesos!$A:$I,7,FALSE),VLOOKUP($I627&amp;$J627&amp;Q$1,Pesos!$A:$I,9,FALSE)))</f>
        <v>0.8</v>
      </c>
      <c r="AJ627" s="80">
        <f>IF(R627="","",IF(R627="SIM",VLOOKUP($I627&amp;$J627&amp;R$1,Pesos!$A:$I,7,FALSE),VLOOKUP($I627&amp;$J627&amp;R$1,Pesos!$A:$I,9,FALSE)))</f>
        <v>0.8</v>
      </c>
      <c r="AK627" s="80">
        <f>IF(S627="","",IF(S627="SIM",VLOOKUP($I627&amp;$J627&amp;S$1,Pesos!$A:$I,7,FALSE),VLOOKUP($I627&amp;$J627&amp;S$1,Pesos!$A:$I,9,FALSE)))</f>
        <v>0.8</v>
      </c>
      <c r="AL627" s="80">
        <f t="shared" si="92"/>
        <v>5.1999999999999993</v>
      </c>
      <c r="AM627" s="80">
        <f>IF(T627="","",IF(T627="SIM",VLOOKUP($I627&amp;$J627&amp;T$1,Pesos!$A:$I,7,FALSE),VLOOKUP($I627&amp;$J627&amp;T$1,Pesos!$A:$I,9,FALSE)))</f>
        <v>0.8</v>
      </c>
      <c r="AN627" s="80">
        <f>IF(U627="","",IF(U627="SIM",VLOOKUP($I627&amp;$J627&amp;U$1,Pesos!$A:$I,7,FALSE),VLOOKUP($I627&amp;$J627&amp;U$1,Pesos!$A:$I,9,FALSE)))</f>
        <v>0.8</v>
      </c>
      <c r="AO627" s="80">
        <f>IF(V627="","",IF(V627="SIM",VLOOKUP($I627&amp;$J627&amp;V$1,Pesos!$A:$I,7,FALSE),VLOOKUP($I627&amp;$J627&amp;V$1,Pesos!$A:$I,9,FALSE)))</f>
        <v>0.8</v>
      </c>
      <c r="AP627" s="80">
        <f>IF(W627="","",IF(W627="SIM",VLOOKUP($I627&amp;$J627&amp;W$1,Pesos!$A:$I,7,FALSE),VLOOKUP($I627&amp;$J627&amp;W$1,Pesos!$A:$I,9,FALSE)))</f>
        <v>0.8</v>
      </c>
      <c r="AQ627" s="80">
        <f>IF(X627="","",IF(X627="SIM",VLOOKUP($I627&amp;$J627&amp;X$1,Pesos!$A:$I,7,FALSE),VLOOKUP($I627&amp;$J627&amp;X$1,Pesos!$A:$I,9,FALSE)))</f>
        <v>0.8</v>
      </c>
      <c r="AR627" s="80">
        <f>IF(Y627="","",IF(Y627="SIM",VLOOKUP($I627&amp;$J627&amp;Y$1,Pesos!$A:$I,7,FALSE),VLOOKUP($I627&amp;$J627&amp;Y$1,Pesos!$A:$I,9,FALSE)))</f>
        <v>0.8</v>
      </c>
      <c r="AS627" s="81">
        <f>IFERROR(Z627*VLOOKUP(J627,'BD Campos'!$Y$1:$Z$12,2,FALSE),"0")</f>
        <v>10</v>
      </c>
    </row>
    <row r="628" spans="1:45" x14ac:dyDescent="0.35">
      <c r="A628" s="68" t="str">
        <f t="shared" si="89"/>
        <v>Fev202511240ReceptivaTRANSFERÊNCIA</v>
      </c>
      <c r="B628" s="114" t="str">
        <f t="shared" si="90"/>
        <v>Fev2025112405TRANSFERÊNCIAPADRÃO</v>
      </c>
      <c r="C628" s="70">
        <v>1</v>
      </c>
      <c r="D628" s="71">
        <v>45700.719928240738</v>
      </c>
      <c r="E628" s="112" t="s">
        <v>338</v>
      </c>
      <c r="F628" s="72">
        <v>11240</v>
      </c>
      <c r="G628" s="69" t="s">
        <v>1415</v>
      </c>
      <c r="H628" s="73">
        <v>5</v>
      </c>
      <c r="I628" s="69" t="s">
        <v>6</v>
      </c>
      <c r="J628" s="69" t="s">
        <v>98</v>
      </c>
      <c r="K628" s="69" t="s">
        <v>106</v>
      </c>
      <c r="L628" s="74"/>
      <c r="M628" s="75">
        <v>2.0138888888888888E-3</v>
      </c>
      <c r="N628" s="76" t="s">
        <v>83</v>
      </c>
      <c r="O628" s="76" t="s">
        <v>79</v>
      </c>
      <c r="P628" s="76" t="s">
        <v>79</v>
      </c>
      <c r="Q628" s="76" t="s">
        <v>79</v>
      </c>
      <c r="R628" s="76" t="s">
        <v>79</v>
      </c>
      <c r="S628" s="76" t="s">
        <v>79</v>
      </c>
      <c r="T628" s="76" t="s">
        <v>79</v>
      </c>
      <c r="U628" s="76" t="s">
        <v>79</v>
      </c>
      <c r="V628" s="76" t="s">
        <v>79</v>
      </c>
      <c r="W628" s="76" t="s">
        <v>79</v>
      </c>
      <c r="X628" s="76" t="s">
        <v>79</v>
      </c>
      <c r="Y628" s="76" t="s">
        <v>79</v>
      </c>
      <c r="Z628" s="77">
        <f t="shared" si="79"/>
        <v>9.16</v>
      </c>
      <c r="AA628" s="78" t="s">
        <v>1616</v>
      </c>
      <c r="AB628" s="78"/>
      <c r="AC628" s="72" t="s">
        <v>47</v>
      </c>
      <c r="AE628" s="79" t="str">
        <f>E628&amp;F628</f>
        <v>Fev11240</v>
      </c>
      <c r="AF628" s="80">
        <f>IF(N628="","",IF(N628="SIM",VLOOKUP($I628&amp;$J628&amp;N$1,Pesos!$A:$I,7,FALSE),VLOOKUP($I628&amp;$J628&amp;N$1,Pesos!$A:$I,9,FALSE)))</f>
        <v>-4.0000000000000008E-2</v>
      </c>
      <c r="AG628" s="80">
        <f>IF(O628="","",IF(O628="SIM",VLOOKUP($I628&amp;$J628&amp;O$1,Pesos!$A:$I,7,FALSE),VLOOKUP($I628&amp;$J628&amp;O$1,Pesos!$A:$I,9,FALSE)))</f>
        <v>0.8</v>
      </c>
      <c r="AH628" s="80">
        <f>IF(P628="","",IF(P628="SIM",VLOOKUP($I628&amp;$J628&amp;P$1,Pesos!$A:$I,7,FALSE),VLOOKUP($I628&amp;$J628&amp;P$1,Pesos!$A:$I,9,FALSE)))</f>
        <v>1.2</v>
      </c>
      <c r="AI628" s="80">
        <f>IF(Q628="","",IF(Q628="SIM",VLOOKUP($I628&amp;$J628&amp;Q$1,Pesos!$A:$I,7,FALSE),VLOOKUP($I628&amp;$J628&amp;Q$1,Pesos!$A:$I,9,FALSE)))</f>
        <v>0.8</v>
      </c>
      <c r="AJ628" s="80">
        <f>IF(R628="","",IF(R628="SIM",VLOOKUP($I628&amp;$J628&amp;R$1,Pesos!$A:$I,7,FALSE),VLOOKUP($I628&amp;$J628&amp;R$1,Pesos!$A:$I,9,FALSE)))</f>
        <v>0.8</v>
      </c>
      <c r="AK628" s="80">
        <f>IF(S628="","",IF(S628="SIM",VLOOKUP($I628&amp;$J628&amp;S$1,Pesos!$A:$I,7,FALSE),VLOOKUP($I628&amp;$J628&amp;S$1,Pesos!$A:$I,9,FALSE)))</f>
        <v>0.8</v>
      </c>
      <c r="AL628" s="80">
        <f t="shared" si="92"/>
        <v>4.3599999999999994</v>
      </c>
      <c r="AM628" s="80">
        <f>IF(T628="","",IF(T628="SIM",VLOOKUP($I628&amp;$J628&amp;T$1,Pesos!$A:$I,7,FALSE),VLOOKUP($I628&amp;$J628&amp;T$1,Pesos!$A:$I,9,FALSE)))</f>
        <v>0.8</v>
      </c>
      <c r="AN628" s="80">
        <f>IF(U628="","",IF(U628="SIM",VLOOKUP($I628&amp;$J628&amp;U$1,Pesos!$A:$I,7,FALSE),VLOOKUP($I628&amp;$J628&amp;U$1,Pesos!$A:$I,9,FALSE)))</f>
        <v>0.8</v>
      </c>
      <c r="AO628" s="80">
        <f>IF(V628="","",IF(V628="SIM",VLOOKUP($I628&amp;$J628&amp;V$1,Pesos!$A:$I,7,FALSE),VLOOKUP($I628&amp;$J628&amp;V$1,Pesos!$A:$I,9,FALSE)))</f>
        <v>0.8</v>
      </c>
      <c r="AP628" s="80">
        <f>IF(W628="","",IF(W628="SIM",VLOOKUP($I628&amp;$J628&amp;W$1,Pesos!$A:$I,7,FALSE),VLOOKUP($I628&amp;$J628&amp;W$1,Pesos!$A:$I,9,FALSE)))</f>
        <v>0.8</v>
      </c>
      <c r="AQ628" s="80">
        <f>IF(X628="","",IF(X628="SIM",VLOOKUP($I628&amp;$J628&amp;X$1,Pesos!$A:$I,7,FALSE),VLOOKUP($I628&amp;$J628&amp;X$1,Pesos!$A:$I,9,FALSE)))</f>
        <v>0.8</v>
      </c>
      <c r="AR628" s="80">
        <f>IF(Y628="","",IF(Y628="SIM",VLOOKUP($I628&amp;$J628&amp;Y$1,Pesos!$A:$I,7,FALSE),VLOOKUP($I628&amp;$J628&amp;Y$1,Pesos!$A:$I,9,FALSE)))</f>
        <v>0.8</v>
      </c>
      <c r="AS628" s="81">
        <f>IFERROR(Z628*VLOOKUP(J628,'BD Campos'!$Y$1:$Z$12,2,FALSE),"0")</f>
        <v>9.16</v>
      </c>
    </row>
    <row r="629" spans="1:45" x14ac:dyDescent="0.35">
      <c r="A629" s="68" t="str">
        <f t="shared" si="89"/>
        <v>Fev202511255ReceptivaTRANSFERÊNCIA</v>
      </c>
      <c r="B629" s="114" t="str">
        <f t="shared" si="90"/>
        <v>Fev2025112555TRANSFERÊNCIAPADRÃO</v>
      </c>
      <c r="C629" s="70">
        <v>1</v>
      </c>
      <c r="D629" s="71">
        <v>45700.725948495368</v>
      </c>
      <c r="E629" s="112" t="s">
        <v>338</v>
      </c>
      <c r="F629" s="72">
        <v>11255</v>
      </c>
      <c r="G629" s="69" t="s">
        <v>1694</v>
      </c>
      <c r="H629" s="73">
        <v>5</v>
      </c>
      <c r="I629" s="69" t="s">
        <v>6</v>
      </c>
      <c r="J629" s="69" t="s">
        <v>98</v>
      </c>
      <c r="K629" s="69" t="s">
        <v>106</v>
      </c>
      <c r="L629" s="74"/>
      <c r="M629" s="75">
        <v>2.1180555555555553E-3</v>
      </c>
      <c r="N629" s="76" t="s">
        <v>79</v>
      </c>
      <c r="O629" s="76" t="s">
        <v>79</v>
      </c>
      <c r="P629" s="76" t="s">
        <v>79</v>
      </c>
      <c r="Q629" s="76" t="s">
        <v>79</v>
      </c>
      <c r="R629" s="76" t="s">
        <v>79</v>
      </c>
      <c r="S629" s="76" t="s">
        <v>83</v>
      </c>
      <c r="T629" s="76" t="s">
        <v>83</v>
      </c>
      <c r="U629" s="76" t="s">
        <v>79</v>
      </c>
      <c r="V629" s="76" t="s">
        <v>79</v>
      </c>
      <c r="W629" s="76" t="s">
        <v>79</v>
      </c>
      <c r="X629" s="76" t="s">
        <v>79</v>
      </c>
      <c r="Y629" s="76" t="s">
        <v>79</v>
      </c>
      <c r="Z629" s="77">
        <f t="shared" si="79"/>
        <v>8.3199999999999985</v>
      </c>
      <c r="AA629" s="78"/>
      <c r="AB629" s="78"/>
      <c r="AC629" s="72" t="s">
        <v>47</v>
      </c>
      <c r="AE629" s="79" t="str">
        <f>E629&amp;F629</f>
        <v>Fev11255</v>
      </c>
      <c r="AF629" s="80">
        <f>IF(N629="","",IF(N629="SIM",VLOOKUP($I629&amp;$J629&amp;N$1,Pesos!$A:$I,7,FALSE),VLOOKUP($I629&amp;$J629&amp;N$1,Pesos!$A:$I,9,FALSE)))</f>
        <v>0.8</v>
      </c>
      <c r="AG629" s="80">
        <f>IF(O629="","",IF(O629="SIM",VLOOKUP($I629&amp;$J629&amp;O$1,Pesos!$A:$I,7,FALSE),VLOOKUP($I629&amp;$J629&amp;O$1,Pesos!$A:$I,9,FALSE)))</f>
        <v>0.8</v>
      </c>
      <c r="AH629" s="80">
        <f>IF(P629="","",IF(P629="SIM",VLOOKUP($I629&amp;$J629&amp;P$1,Pesos!$A:$I,7,FALSE),VLOOKUP($I629&amp;$J629&amp;P$1,Pesos!$A:$I,9,FALSE)))</f>
        <v>1.2</v>
      </c>
      <c r="AI629" s="80">
        <f>IF(Q629="","",IF(Q629="SIM",VLOOKUP($I629&amp;$J629&amp;Q$1,Pesos!$A:$I,7,FALSE),VLOOKUP($I629&amp;$J629&amp;Q$1,Pesos!$A:$I,9,FALSE)))</f>
        <v>0.8</v>
      </c>
      <c r="AJ629" s="80">
        <f>IF(R629="","",IF(R629="SIM",VLOOKUP($I629&amp;$J629&amp;R$1,Pesos!$A:$I,7,FALSE),VLOOKUP($I629&amp;$J629&amp;R$1,Pesos!$A:$I,9,FALSE)))</f>
        <v>0.8</v>
      </c>
      <c r="AK629" s="80">
        <f>IF(S629="","",IF(S629="SIM",VLOOKUP($I629&amp;$J629&amp;S$1,Pesos!$A:$I,7,FALSE),VLOOKUP($I629&amp;$J629&amp;S$1,Pesos!$A:$I,9,FALSE)))</f>
        <v>-4.0000000000000008E-2</v>
      </c>
      <c r="AL629" s="80">
        <f t="shared" si="92"/>
        <v>4.3599999999999994</v>
      </c>
      <c r="AM629" s="80">
        <f>IF(T629="","",IF(T629="SIM",VLOOKUP($I629&amp;$J629&amp;T$1,Pesos!$A:$I,7,FALSE),VLOOKUP($I629&amp;$J629&amp;T$1,Pesos!$A:$I,9,FALSE)))</f>
        <v>-4.0000000000000008E-2</v>
      </c>
      <c r="AN629" s="80">
        <f>IF(U629="","",IF(U629="SIM",VLOOKUP($I629&amp;$J629&amp;U$1,Pesos!$A:$I,7,FALSE),VLOOKUP($I629&amp;$J629&amp;U$1,Pesos!$A:$I,9,FALSE)))</f>
        <v>0.8</v>
      </c>
      <c r="AO629" s="80">
        <f>IF(V629="","",IF(V629="SIM",VLOOKUP($I629&amp;$J629&amp;V$1,Pesos!$A:$I,7,FALSE),VLOOKUP($I629&amp;$J629&amp;V$1,Pesos!$A:$I,9,FALSE)))</f>
        <v>0.8</v>
      </c>
      <c r="AP629" s="80">
        <f>IF(W629="","",IF(W629="SIM",VLOOKUP($I629&amp;$J629&amp;W$1,Pesos!$A:$I,7,FALSE),VLOOKUP($I629&amp;$J629&amp;W$1,Pesos!$A:$I,9,FALSE)))</f>
        <v>0.8</v>
      </c>
      <c r="AQ629" s="80">
        <f>IF(X629="","",IF(X629="SIM",VLOOKUP($I629&amp;$J629&amp;X$1,Pesos!$A:$I,7,FALSE),VLOOKUP($I629&amp;$J629&amp;X$1,Pesos!$A:$I,9,FALSE)))</f>
        <v>0.8</v>
      </c>
      <c r="AR629" s="80">
        <f>IF(Y629="","",IF(Y629="SIM",VLOOKUP($I629&amp;$J629&amp;Y$1,Pesos!$A:$I,7,FALSE),VLOOKUP($I629&amp;$J629&amp;Y$1,Pesos!$A:$I,9,FALSE)))</f>
        <v>0.8</v>
      </c>
      <c r="AS629" s="81">
        <f>IFERROR(Z629*VLOOKUP(J629,'BD Campos'!$Y$1:$Z$12,2,FALSE),"0")</f>
        <v>8.3199999999999985</v>
      </c>
    </row>
    <row r="630" spans="1:45" x14ac:dyDescent="0.35">
      <c r="A630" s="68" t="str">
        <f t="shared" si="89"/>
        <v>Fev202511259ReceptivaTRANSFERÊNCIA</v>
      </c>
      <c r="B630" s="114" t="str">
        <f t="shared" si="90"/>
        <v>Fev2025112595TRANSFERÊNCIAPADRÃO</v>
      </c>
      <c r="C630" s="70">
        <v>1</v>
      </c>
      <c r="D630" s="71">
        <v>45700.729378587966</v>
      </c>
      <c r="E630" s="112" t="s">
        <v>338</v>
      </c>
      <c r="F630" s="72">
        <v>11259</v>
      </c>
      <c r="G630" s="69" t="s">
        <v>1695</v>
      </c>
      <c r="H630" s="73">
        <v>5</v>
      </c>
      <c r="I630" s="69" t="s">
        <v>6</v>
      </c>
      <c r="J630" s="69" t="s">
        <v>98</v>
      </c>
      <c r="K630" s="69" t="s">
        <v>106</v>
      </c>
      <c r="L630" s="74"/>
      <c r="M630" s="75">
        <v>1.2962962962962963E-3</v>
      </c>
      <c r="N630" s="76" t="s">
        <v>79</v>
      </c>
      <c r="O630" s="76" t="s">
        <v>83</v>
      </c>
      <c r="P630" s="76" t="s">
        <v>79</v>
      </c>
      <c r="Q630" s="76" t="s">
        <v>79</v>
      </c>
      <c r="R630" s="76" t="s">
        <v>79</v>
      </c>
      <c r="S630" s="76" t="s">
        <v>79</v>
      </c>
      <c r="T630" s="76" t="s">
        <v>79</v>
      </c>
      <c r="U630" s="76" t="s">
        <v>79</v>
      </c>
      <c r="V630" s="76" t="s">
        <v>79</v>
      </c>
      <c r="W630" s="76" t="s">
        <v>79</v>
      </c>
      <c r="X630" s="76" t="s">
        <v>79</v>
      </c>
      <c r="Y630" s="76" t="s">
        <v>79</v>
      </c>
      <c r="Z630" s="77">
        <f t="shared" si="79"/>
        <v>9.16</v>
      </c>
      <c r="AA630" s="78"/>
      <c r="AB630" s="78"/>
      <c r="AC630" s="72" t="s">
        <v>47</v>
      </c>
      <c r="AE630" s="79" t="str">
        <f>E630&amp;F630</f>
        <v>Fev11259</v>
      </c>
      <c r="AF630" s="80">
        <f>IF(N630="","",IF(N630="SIM",VLOOKUP($I630&amp;$J630&amp;N$1,Pesos!$A:$I,7,FALSE),VLOOKUP($I630&amp;$J630&amp;N$1,Pesos!$A:$I,9,FALSE)))</f>
        <v>0.8</v>
      </c>
      <c r="AG630" s="80">
        <f>IF(O630="","",IF(O630="SIM",VLOOKUP($I630&amp;$J630&amp;O$1,Pesos!$A:$I,7,FALSE),VLOOKUP($I630&amp;$J630&amp;O$1,Pesos!$A:$I,9,FALSE)))</f>
        <v>-4.0000000000000008E-2</v>
      </c>
      <c r="AH630" s="80">
        <f>IF(P630="","",IF(P630="SIM",VLOOKUP($I630&amp;$J630&amp;P$1,Pesos!$A:$I,7,FALSE),VLOOKUP($I630&amp;$J630&amp;P$1,Pesos!$A:$I,9,FALSE)))</f>
        <v>1.2</v>
      </c>
      <c r="AI630" s="80">
        <f>IF(Q630="","",IF(Q630="SIM",VLOOKUP($I630&amp;$J630&amp;Q$1,Pesos!$A:$I,7,FALSE),VLOOKUP($I630&amp;$J630&amp;Q$1,Pesos!$A:$I,9,FALSE)))</f>
        <v>0.8</v>
      </c>
      <c r="AJ630" s="80">
        <f>IF(R630="","",IF(R630="SIM",VLOOKUP($I630&amp;$J630&amp;R$1,Pesos!$A:$I,7,FALSE),VLOOKUP($I630&amp;$J630&amp;R$1,Pesos!$A:$I,9,FALSE)))</f>
        <v>0.8</v>
      </c>
      <c r="AK630" s="80">
        <f>IF(S630="","",IF(S630="SIM",VLOOKUP($I630&amp;$J630&amp;S$1,Pesos!$A:$I,7,FALSE),VLOOKUP($I630&amp;$J630&amp;S$1,Pesos!$A:$I,9,FALSE)))</f>
        <v>0.8</v>
      </c>
      <c r="AL630" s="80">
        <f t="shared" si="92"/>
        <v>4.3599999999999994</v>
      </c>
      <c r="AM630" s="80">
        <f>IF(T630="","",IF(T630="SIM",VLOOKUP($I630&amp;$J630&amp;T$1,Pesos!$A:$I,7,FALSE),VLOOKUP($I630&amp;$J630&amp;T$1,Pesos!$A:$I,9,FALSE)))</f>
        <v>0.8</v>
      </c>
      <c r="AN630" s="80">
        <f>IF(U630="","",IF(U630="SIM",VLOOKUP($I630&amp;$J630&amp;U$1,Pesos!$A:$I,7,FALSE),VLOOKUP($I630&amp;$J630&amp;U$1,Pesos!$A:$I,9,FALSE)))</f>
        <v>0.8</v>
      </c>
      <c r="AO630" s="80">
        <f>IF(V630="","",IF(V630="SIM",VLOOKUP($I630&amp;$J630&amp;V$1,Pesos!$A:$I,7,FALSE),VLOOKUP($I630&amp;$J630&amp;V$1,Pesos!$A:$I,9,FALSE)))</f>
        <v>0.8</v>
      </c>
      <c r="AP630" s="80">
        <f>IF(W630="","",IF(W630="SIM",VLOOKUP($I630&amp;$J630&amp;W$1,Pesos!$A:$I,7,FALSE),VLOOKUP($I630&amp;$J630&amp;W$1,Pesos!$A:$I,9,FALSE)))</f>
        <v>0.8</v>
      </c>
      <c r="AQ630" s="80">
        <f>IF(X630="","",IF(X630="SIM",VLOOKUP($I630&amp;$J630&amp;X$1,Pesos!$A:$I,7,FALSE),VLOOKUP($I630&amp;$J630&amp;X$1,Pesos!$A:$I,9,FALSE)))</f>
        <v>0.8</v>
      </c>
      <c r="AR630" s="80">
        <f>IF(Y630="","",IF(Y630="SIM",VLOOKUP($I630&amp;$J630&amp;Y$1,Pesos!$A:$I,7,FALSE),VLOOKUP($I630&amp;$J630&amp;Y$1,Pesos!$A:$I,9,FALSE)))</f>
        <v>0.8</v>
      </c>
      <c r="AS630" s="81">
        <f>IFERROR(Z630*VLOOKUP(J630,'BD Campos'!$Y$1:$Z$12,2,FALSE),"0")</f>
        <v>9.16</v>
      </c>
    </row>
    <row r="631" spans="1:45" x14ac:dyDescent="0.35">
      <c r="A631" s="68" t="str">
        <f t="shared" si="89"/>
        <v>Fev202510901MotoristaTRANSFERÊNCIA</v>
      </c>
      <c r="B631" s="114" t="str">
        <f t="shared" si="90"/>
        <v>Fev2025109011TRANSFERÊNCIAPADRÃO</v>
      </c>
      <c r="C631" s="70">
        <v>1</v>
      </c>
      <c r="D631" s="71">
        <v>45700.734761574073</v>
      </c>
      <c r="E631" s="112" t="s">
        <v>338</v>
      </c>
      <c r="F631" s="72">
        <v>10901</v>
      </c>
      <c r="G631" s="69" t="s">
        <v>173</v>
      </c>
      <c r="H631" s="73">
        <v>1</v>
      </c>
      <c r="I631" s="69" t="s">
        <v>123</v>
      </c>
      <c r="J631" s="69" t="s">
        <v>122</v>
      </c>
      <c r="K631" s="69" t="s">
        <v>106</v>
      </c>
      <c r="L631" s="74">
        <v>31073135</v>
      </c>
      <c r="M631" s="75">
        <v>2.6041666666666665E-3</v>
      </c>
      <c r="N631" s="76" t="s">
        <v>79</v>
      </c>
      <c r="O631" s="76" t="s">
        <v>79</v>
      </c>
      <c r="P631" s="76" t="s">
        <v>79</v>
      </c>
      <c r="Q631" s="76" t="s">
        <v>79</v>
      </c>
      <c r="R631" s="76" t="s">
        <v>79</v>
      </c>
      <c r="S631" s="76" t="s">
        <v>79</v>
      </c>
      <c r="T631" s="76" t="s">
        <v>79</v>
      </c>
      <c r="U631" s="76" t="s">
        <v>83</v>
      </c>
      <c r="V631" s="76" t="s">
        <v>79</v>
      </c>
      <c r="W631" s="76" t="s">
        <v>79</v>
      </c>
      <c r="X631" s="76"/>
      <c r="Y631" s="76"/>
      <c r="Z631" s="77">
        <f t="shared" si="79"/>
        <v>8.9499999999999993</v>
      </c>
      <c r="AA631" s="78"/>
      <c r="AB631" s="78" t="s">
        <v>1696</v>
      </c>
      <c r="AC631" s="72" t="s">
        <v>47</v>
      </c>
      <c r="AE631" s="79" t="str">
        <f t="shared" ref="AE631:AE665" si="95">E631&amp;F631</f>
        <v>Fev10901</v>
      </c>
      <c r="AF631" s="80">
        <f>IF(N631="","",IF(N631="SIM",VLOOKUP($I631&amp;$J631&amp;N$1,Pesos!$A:$I,7,FALSE),VLOOKUP($I631&amp;$J631&amp;N$1,Pesos!$A:$I,9,FALSE)))</f>
        <v>1</v>
      </c>
      <c r="AG631" s="80">
        <f>IF(O631="","",IF(O631="SIM",VLOOKUP($I631&amp;$J631&amp;O$1,Pesos!$A:$I,7,FALSE),VLOOKUP($I631&amp;$J631&amp;O$1,Pesos!$A:$I,9,FALSE)))</f>
        <v>1</v>
      </c>
      <c r="AH631" s="80">
        <f>IF(P631="","",IF(P631="SIM",VLOOKUP($I631&amp;$J631&amp;P$1,Pesos!$A:$I,7,FALSE),VLOOKUP($I631&amp;$J631&amp;P$1,Pesos!$A:$I,9,FALSE)))</f>
        <v>1</v>
      </c>
      <c r="AI631" s="80">
        <f>IF(Q631="","",IF(Q631="SIM",VLOOKUP($I631&amp;$J631&amp;Q$1,Pesos!$A:$I,7,FALSE),VLOOKUP($I631&amp;$J631&amp;Q$1,Pesos!$A:$I,9,FALSE)))</f>
        <v>1</v>
      </c>
      <c r="AJ631" s="80">
        <f>IF(R631="","",IF(R631="SIM",VLOOKUP($I631&amp;$J631&amp;R$1,Pesos!$A:$I,7,FALSE),VLOOKUP($I631&amp;$J631&amp;R$1,Pesos!$A:$I,9,FALSE)))</f>
        <v>1</v>
      </c>
      <c r="AK631" s="80">
        <f>IF(S631="","",IF(S631="SIM",VLOOKUP($I631&amp;$J631&amp;S$1,Pesos!$A:$I,7,FALSE),VLOOKUP($I631&amp;$J631&amp;S$1,Pesos!$A:$I,9,FALSE)))</f>
        <v>1</v>
      </c>
      <c r="AL631" s="80">
        <f t="shared" si="92"/>
        <v>6</v>
      </c>
      <c r="AM631" s="80">
        <f>IF(T631="","",IF(T631="SIM",VLOOKUP($I631&amp;$J631&amp;T$1,Pesos!$A:$I,7,FALSE),VLOOKUP($I631&amp;$J631&amp;T$1,Pesos!$A:$I,9,FALSE)))</f>
        <v>1</v>
      </c>
      <c r="AN631" s="80">
        <f>IF(U631="","",IF(U631="SIM",VLOOKUP($I631&amp;$J631&amp;U$1,Pesos!$A:$I,7,FALSE),VLOOKUP($I631&amp;$J631&amp;U$1,Pesos!$A:$I,9,FALSE)))</f>
        <v>-0.05</v>
      </c>
      <c r="AO631" s="80">
        <f>IF(V631="","",IF(V631="SIM",VLOOKUP($I631&amp;$J631&amp;V$1,Pesos!$A:$I,7,FALSE),VLOOKUP($I631&amp;$J631&amp;V$1,Pesos!$A:$I,9,FALSE)))</f>
        <v>1</v>
      </c>
      <c r="AP631" s="80">
        <f>IF(W631="","",IF(W631="SIM",VLOOKUP($I631&amp;$J631&amp;W$1,Pesos!$A:$I,7,FALSE),VLOOKUP($I631&amp;$J631&amp;W$1,Pesos!$A:$I,9,FALSE)))</f>
        <v>1</v>
      </c>
      <c r="AQ631" s="80" t="str">
        <f>IF(X631="","",IF(X631="SIM",VLOOKUP($I631&amp;$J631&amp;X$1,Pesos!$A:$I,7,FALSE),VLOOKUP($I631&amp;$J631&amp;X$1,Pesos!$A:$I,9,FALSE)))</f>
        <v/>
      </c>
      <c r="AR631" s="80" t="str">
        <f>IF(Y631="","",IF(Y631="SIM",VLOOKUP($I631&amp;$J631&amp;Y$1,Pesos!$A:$I,7,FALSE),VLOOKUP($I631&amp;$J631&amp;Y$1,Pesos!$A:$I,9,FALSE)))</f>
        <v/>
      </c>
      <c r="AS631" s="81">
        <f>IFERROR(Z631*VLOOKUP(J631,'BD Campos'!$Y$1:$Z$12,2,FALSE),"0")</f>
        <v>8.9499999999999993</v>
      </c>
    </row>
    <row r="632" spans="1:45" x14ac:dyDescent="0.35">
      <c r="A632" s="68" t="str">
        <f t="shared" si="89"/>
        <v>Fev202510915MotoristaTRANSFERÊNCIA</v>
      </c>
      <c r="B632" s="114" t="str">
        <f t="shared" si="90"/>
        <v>Fev2025109151TRANSFERÊNCIAPADRÃO</v>
      </c>
      <c r="C632" s="70">
        <v>1</v>
      </c>
      <c r="D632" s="71">
        <v>45700.738809374998</v>
      </c>
      <c r="E632" s="112" t="s">
        <v>338</v>
      </c>
      <c r="F632" s="72">
        <v>10915</v>
      </c>
      <c r="G632" s="69" t="s">
        <v>174</v>
      </c>
      <c r="H632" s="73">
        <v>1</v>
      </c>
      <c r="I632" s="69" t="s">
        <v>123</v>
      </c>
      <c r="J632" s="69" t="s">
        <v>122</v>
      </c>
      <c r="K632" s="69" t="s">
        <v>106</v>
      </c>
      <c r="L632" s="74">
        <v>31090137</v>
      </c>
      <c r="M632" s="75">
        <v>1.1111111111111111E-3</v>
      </c>
      <c r="N632" s="76" t="s">
        <v>79</v>
      </c>
      <c r="O632" s="76" t="s">
        <v>79</v>
      </c>
      <c r="P632" s="76" t="s">
        <v>79</v>
      </c>
      <c r="Q632" s="76" t="s">
        <v>79</v>
      </c>
      <c r="R632" s="76" t="s">
        <v>79</v>
      </c>
      <c r="S632" s="76" t="s">
        <v>79</v>
      </c>
      <c r="T632" s="76" t="s">
        <v>79</v>
      </c>
      <c r="U632" s="76" t="s">
        <v>79</v>
      </c>
      <c r="V632" s="76" t="s">
        <v>79</v>
      </c>
      <c r="W632" s="76" t="s">
        <v>83</v>
      </c>
      <c r="X632" s="76"/>
      <c r="Y632" s="76"/>
      <c r="Z632" s="77">
        <f t="shared" si="79"/>
        <v>8.9499999999999993</v>
      </c>
      <c r="AA632" s="78"/>
      <c r="AB632" s="78" t="s">
        <v>1697</v>
      </c>
      <c r="AC632" s="72" t="s">
        <v>47</v>
      </c>
      <c r="AE632" s="79" t="str">
        <f t="shared" si="95"/>
        <v>Fev10915</v>
      </c>
      <c r="AF632" s="80">
        <f>IF(N632="","",IF(N632="SIM",VLOOKUP($I632&amp;$J632&amp;N$1,Pesos!$A:$I,7,FALSE),VLOOKUP($I632&amp;$J632&amp;N$1,Pesos!$A:$I,9,FALSE)))</f>
        <v>1</v>
      </c>
      <c r="AG632" s="80">
        <f>IF(O632="","",IF(O632="SIM",VLOOKUP($I632&amp;$J632&amp;O$1,Pesos!$A:$I,7,FALSE),VLOOKUP($I632&amp;$J632&amp;O$1,Pesos!$A:$I,9,FALSE)))</f>
        <v>1</v>
      </c>
      <c r="AH632" s="80">
        <f>IF(P632="","",IF(P632="SIM",VLOOKUP($I632&amp;$J632&amp;P$1,Pesos!$A:$I,7,FALSE),VLOOKUP($I632&amp;$J632&amp;P$1,Pesos!$A:$I,9,FALSE)))</f>
        <v>1</v>
      </c>
      <c r="AI632" s="80">
        <f>IF(Q632="","",IF(Q632="SIM",VLOOKUP($I632&amp;$J632&amp;Q$1,Pesos!$A:$I,7,FALSE),VLOOKUP($I632&amp;$J632&amp;Q$1,Pesos!$A:$I,9,FALSE)))</f>
        <v>1</v>
      </c>
      <c r="AJ632" s="80">
        <f>IF(R632="","",IF(R632="SIM",VLOOKUP($I632&amp;$J632&amp;R$1,Pesos!$A:$I,7,FALSE),VLOOKUP($I632&amp;$J632&amp;R$1,Pesos!$A:$I,9,FALSE)))</f>
        <v>1</v>
      </c>
      <c r="AK632" s="80">
        <f>IF(S632="","",IF(S632="SIM",VLOOKUP($I632&amp;$J632&amp;S$1,Pesos!$A:$I,7,FALSE),VLOOKUP($I632&amp;$J632&amp;S$1,Pesos!$A:$I,9,FALSE)))</f>
        <v>1</v>
      </c>
      <c r="AL632" s="80">
        <f t="shared" si="92"/>
        <v>6</v>
      </c>
      <c r="AM632" s="80">
        <f>IF(T632="","",IF(T632="SIM",VLOOKUP($I632&amp;$J632&amp;T$1,Pesos!$A:$I,7,FALSE),VLOOKUP($I632&amp;$J632&amp;T$1,Pesos!$A:$I,9,FALSE)))</f>
        <v>1</v>
      </c>
      <c r="AN632" s="80">
        <f>IF(U632="","",IF(U632="SIM",VLOOKUP($I632&amp;$J632&amp;U$1,Pesos!$A:$I,7,FALSE),VLOOKUP($I632&amp;$J632&amp;U$1,Pesos!$A:$I,9,FALSE)))</f>
        <v>1</v>
      </c>
      <c r="AO632" s="80">
        <f>IF(V632="","",IF(V632="SIM",VLOOKUP($I632&amp;$J632&amp;V$1,Pesos!$A:$I,7,FALSE),VLOOKUP($I632&amp;$J632&amp;V$1,Pesos!$A:$I,9,FALSE)))</f>
        <v>1</v>
      </c>
      <c r="AP632" s="80">
        <f>IF(W632="","",IF(W632="SIM",VLOOKUP($I632&amp;$J632&amp;W$1,Pesos!$A:$I,7,FALSE),VLOOKUP($I632&amp;$J632&amp;W$1,Pesos!$A:$I,9,FALSE)))</f>
        <v>-0.05</v>
      </c>
      <c r="AQ632" s="80" t="str">
        <f>IF(X632="","",IF(X632="SIM",VLOOKUP($I632&amp;$J632&amp;X$1,Pesos!$A:$I,7,FALSE),VLOOKUP($I632&amp;$J632&amp;X$1,Pesos!$A:$I,9,FALSE)))</f>
        <v/>
      </c>
      <c r="AR632" s="80" t="str">
        <f>IF(Y632="","",IF(Y632="SIM",VLOOKUP($I632&amp;$J632&amp;Y$1,Pesos!$A:$I,7,FALSE),VLOOKUP($I632&amp;$J632&amp;Y$1,Pesos!$A:$I,9,FALSE)))</f>
        <v/>
      </c>
      <c r="AS632" s="81">
        <f>IFERROR(Z632*VLOOKUP(J632,'BD Campos'!$Y$1:$Z$12,2,FALSE),"0")</f>
        <v>8.9499999999999993</v>
      </c>
    </row>
    <row r="633" spans="1:45" x14ac:dyDescent="0.35">
      <c r="A633" s="68" t="str">
        <f t="shared" si="89"/>
        <v>Fev202510907MotoristaTRANSFERÊNCIA</v>
      </c>
      <c r="B633" s="114" t="str">
        <f t="shared" si="90"/>
        <v>Fev2025109071TRANSFERÊNCIAPADRÃO</v>
      </c>
      <c r="C633" s="70">
        <v>1</v>
      </c>
      <c r="D633" s="71">
        <v>45700.740883217593</v>
      </c>
      <c r="E633" s="112" t="s">
        <v>338</v>
      </c>
      <c r="F633" s="72">
        <v>10907</v>
      </c>
      <c r="G633" s="69" t="s">
        <v>109</v>
      </c>
      <c r="H633" s="73">
        <v>1</v>
      </c>
      <c r="I633" s="69" t="s">
        <v>121</v>
      </c>
      <c r="J633" s="69" t="s">
        <v>122</v>
      </c>
      <c r="K633" s="69" t="s">
        <v>106</v>
      </c>
      <c r="L633" s="74">
        <v>31039925</v>
      </c>
      <c r="M633" s="75">
        <v>9.7222222222222209E-4</v>
      </c>
      <c r="N633" s="76" t="s">
        <v>79</v>
      </c>
      <c r="O633" s="76" t="s">
        <v>79</v>
      </c>
      <c r="P633" s="76" t="s">
        <v>79</v>
      </c>
      <c r="Q633" s="76" t="s">
        <v>79</v>
      </c>
      <c r="R633" s="76" t="s">
        <v>79</v>
      </c>
      <c r="S633" s="76" t="s">
        <v>79</v>
      </c>
      <c r="T633" s="76" t="s">
        <v>79</v>
      </c>
      <c r="U633" s="76" t="s">
        <v>79</v>
      </c>
      <c r="V633" s="76" t="s">
        <v>79</v>
      </c>
      <c r="W633" s="76" t="s">
        <v>83</v>
      </c>
      <c r="X633" s="76" t="s">
        <v>79</v>
      </c>
      <c r="Y633" s="76"/>
      <c r="Z633" s="77">
        <f t="shared" si="79"/>
        <v>9.0549999999999997</v>
      </c>
      <c r="AA633" s="78"/>
      <c r="AB633" s="78" t="s">
        <v>1698</v>
      </c>
      <c r="AC633" s="72" t="s">
        <v>47</v>
      </c>
      <c r="AE633" s="79" t="str">
        <f t="shared" si="95"/>
        <v>Fev10907</v>
      </c>
      <c r="AF633" s="80">
        <f>IF(N633="","",IF(N633="SIM",VLOOKUP($I633&amp;$J633&amp;N$1,Pesos!$A:$I,7,FALSE),VLOOKUP($I633&amp;$J633&amp;N$1,Pesos!$A:$I,9,FALSE)))</f>
        <v>0.89999999999999991</v>
      </c>
      <c r="AG633" s="80">
        <f>IF(O633="","",IF(O633="SIM",VLOOKUP($I633&amp;$J633&amp;O$1,Pesos!$A:$I,7,FALSE),VLOOKUP($I633&amp;$J633&amp;O$1,Pesos!$A:$I,9,FALSE)))</f>
        <v>0.89999999999999991</v>
      </c>
      <c r="AH633" s="80">
        <f>IF(P633="","",IF(P633="SIM",VLOOKUP($I633&amp;$J633&amp;P$1,Pesos!$A:$I,7,FALSE),VLOOKUP($I633&amp;$J633&amp;P$1,Pesos!$A:$I,9,FALSE)))</f>
        <v>0.89999999999999991</v>
      </c>
      <c r="AI633" s="80">
        <f>IF(Q633="","",IF(Q633="SIM",VLOOKUP($I633&amp;$J633&amp;Q$1,Pesos!$A:$I,7,FALSE),VLOOKUP($I633&amp;$J633&amp;Q$1,Pesos!$A:$I,9,FALSE)))</f>
        <v>0.89999999999999991</v>
      </c>
      <c r="AJ633" s="80">
        <f>IF(R633="","",IF(R633="SIM",VLOOKUP($I633&amp;$J633&amp;R$1,Pesos!$A:$I,7,FALSE),VLOOKUP($I633&amp;$J633&amp;R$1,Pesos!$A:$I,9,FALSE)))</f>
        <v>0.89999999999999991</v>
      </c>
      <c r="AK633" s="80">
        <f>IF(S633="","",IF(S633="SIM",VLOOKUP($I633&amp;$J633&amp;S$1,Pesos!$A:$I,7,FALSE),VLOOKUP($I633&amp;$J633&amp;S$1,Pesos!$A:$I,9,FALSE)))</f>
        <v>0.89999999999999991</v>
      </c>
      <c r="AL633" s="80">
        <f t="shared" si="92"/>
        <v>5.4</v>
      </c>
      <c r="AM633" s="80">
        <f>IF(T633="","",IF(T633="SIM",VLOOKUP($I633&amp;$J633&amp;T$1,Pesos!$A:$I,7,FALSE),VLOOKUP($I633&amp;$J633&amp;T$1,Pesos!$A:$I,9,FALSE)))</f>
        <v>0.89999999999999991</v>
      </c>
      <c r="AN633" s="80">
        <f>IF(U633="","",IF(U633="SIM",VLOOKUP($I633&amp;$J633&amp;U$1,Pesos!$A:$I,7,FALSE),VLOOKUP($I633&amp;$J633&amp;U$1,Pesos!$A:$I,9,FALSE)))</f>
        <v>0.92500000000000004</v>
      </c>
      <c r="AO633" s="80">
        <f>IF(V633="","",IF(V633="SIM",VLOOKUP($I633&amp;$J633&amp;V$1,Pesos!$A:$I,7,FALSE),VLOOKUP($I633&amp;$J633&amp;V$1,Pesos!$A:$I,9,FALSE)))</f>
        <v>0.92500000000000004</v>
      </c>
      <c r="AP633" s="80">
        <f>IF(W633="","",IF(W633="SIM",VLOOKUP($I633&amp;$J633&amp;W$1,Pesos!$A:$I,7,FALSE),VLOOKUP($I633&amp;$J633&amp;W$1,Pesos!$A:$I,9,FALSE)))</f>
        <v>-4.4999999999999998E-2</v>
      </c>
      <c r="AQ633" s="80">
        <f>IF(X633="","",IF(X633="SIM",VLOOKUP($I633&amp;$J633&amp;X$1,Pesos!$A:$I,7,FALSE),VLOOKUP($I633&amp;$J633&amp;X$1,Pesos!$A:$I,9,FALSE)))</f>
        <v>0.95</v>
      </c>
      <c r="AR633" s="80" t="str">
        <f>IF(Y633="","",IF(Y633="SIM",VLOOKUP($I633&amp;$J633&amp;Y$1,Pesos!$A:$I,7,FALSE),VLOOKUP($I633&amp;$J633&amp;Y$1,Pesos!$A:$I,9,FALSE)))</f>
        <v/>
      </c>
      <c r="AS633" s="81">
        <f>IFERROR(Z633*VLOOKUP(J633,'BD Campos'!$Y$1:$Z$12,2,FALSE),"0")</f>
        <v>9.0549999999999997</v>
      </c>
    </row>
    <row r="634" spans="1:45" x14ac:dyDescent="0.35">
      <c r="A634" s="68" t="str">
        <f t="shared" si="89"/>
        <v>Fev202510947MotoristaTRANSFERÊNCIA</v>
      </c>
      <c r="B634" s="114" t="str">
        <f t="shared" si="90"/>
        <v>Fev2025109471TRANSFERÊNCIAPADRÃO</v>
      </c>
      <c r="C634" s="70">
        <v>1</v>
      </c>
      <c r="D634" s="71">
        <v>45700.746363425926</v>
      </c>
      <c r="E634" s="112" t="s">
        <v>338</v>
      </c>
      <c r="F634" s="72">
        <v>10947</v>
      </c>
      <c r="G634" s="69" t="s">
        <v>177</v>
      </c>
      <c r="H634" s="73">
        <v>1</v>
      </c>
      <c r="I634" s="69" t="s">
        <v>121</v>
      </c>
      <c r="J634" s="69" t="s">
        <v>122</v>
      </c>
      <c r="K634" s="69" t="s">
        <v>106</v>
      </c>
      <c r="L634" s="74">
        <v>31054573</v>
      </c>
      <c r="M634" s="75">
        <v>1.4351851851851854E-3</v>
      </c>
      <c r="N634" s="76" t="s">
        <v>79</v>
      </c>
      <c r="O634" s="76" t="s">
        <v>79</v>
      </c>
      <c r="P634" s="76" t="s">
        <v>79</v>
      </c>
      <c r="Q634" s="76" t="s">
        <v>79</v>
      </c>
      <c r="R634" s="76" t="s">
        <v>79</v>
      </c>
      <c r="S634" s="76" t="s">
        <v>79</v>
      </c>
      <c r="T634" s="76" t="s">
        <v>79</v>
      </c>
      <c r="U634" s="76" t="s">
        <v>79</v>
      </c>
      <c r="V634" s="76" t="s">
        <v>79</v>
      </c>
      <c r="W634" s="76" t="s">
        <v>79</v>
      </c>
      <c r="X634" s="76" t="s">
        <v>79</v>
      </c>
      <c r="Y634" s="76"/>
      <c r="Z634" s="77">
        <f t="shared" si="79"/>
        <v>10</v>
      </c>
      <c r="AA634" s="78"/>
      <c r="AB634" s="78" t="s">
        <v>1699</v>
      </c>
      <c r="AC634" s="72" t="s">
        <v>47</v>
      </c>
      <c r="AE634" s="79" t="str">
        <f t="shared" si="95"/>
        <v>Fev10947</v>
      </c>
      <c r="AF634" s="80">
        <f>IF(N634="","",IF(N634="SIM",VLOOKUP($I634&amp;$J634&amp;N$1,Pesos!$A:$I,7,FALSE),VLOOKUP($I634&amp;$J634&amp;N$1,Pesos!$A:$I,9,FALSE)))</f>
        <v>0.89999999999999991</v>
      </c>
      <c r="AG634" s="80">
        <f>IF(O634="","",IF(O634="SIM",VLOOKUP($I634&amp;$J634&amp;O$1,Pesos!$A:$I,7,FALSE),VLOOKUP($I634&amp;$J634&amp;O$1,Pesos!$A:$I,9,FALSE)))</f>
        <v>0.89999999999999991</v>
      </c>
      <c r="AH634" s="80">
        <f>IF(P634="","",IF(P634="SIM",VLOOKUP($I634&amp;$J634&amp;P$1,Pesos!$A:$I,7,FALSE),VLOOKUP($I634&amp;$J634&amp;P$1,Pesos!$A:$I,9,FALSE)))</f>
        <v>0.89999999999999991</v>
      </c>
      <c r="AI634" s="80">
        <f>IF(Q634="","",IF(Q634="SIM",VLOOKUP($I634&amp;$J634&amp;Q$1,Pesos!$A:$I,7,FALSE),VLOOKUP($I634&amp;$J634&amp;Q$1,Pesos!$A:$I,9,FALSE)))</f>
        <v>0.89999999999999991</v>
      </c>
      <c r="AJ634" s="80">
        <f>IF(R634="","",IF(R634="SIM",VLOOKUP($I634&amp;$J634&amp;R$1,Pesos!$A:$I,7,FALSE),VLOOKUP($I634&amp;$J634&amp;R$1,Pesos!$A:$I,9,FALSE)))</f>
        <v>0.89999999999999991</v>
      </c>
      <c r="AK634" s="80">
        <f>IF(S634="","",IF(S634="SIM",VLOOKUP($I634&amp;$J634&amp;S$1,Pesos!$A:$I,7,FALSE),VLOOKUP($I634&amp;$J634&amp;S$1,Pesos!$A:$I,9,FALSE)))</f>
        <v>0.89999999999999991</v>
      </c>
      <c r="AL634" s="80">
        <f t="shared" si="92"/>
        <v>5.4</v>
      </c>
      <c r="AM634" s="80">
        <f>IF(T634="","",IF(T634="SIM",VLOOKUP($I634&amp;$J634&amp;T$1,Pesos!$A:$I,7,FALSE),VLOOKUP($I634&amp;$J634&amp;T$1,Pesos!$A:$I,9,FALSE)))</f>
        <v>0.89999999999999991</v>
      </c>
      <c r="AN634" s="80">
        <f>IF(U634="","",IF(U634="SIM",VLOOKUP($I634&amp;$J634&amp;U$1,Pesos!$A:$I,7,FALSE),VLOOKUP($I634&amp;$J634&amp;U$1,Pesos!$A:$I,9,FALSE)))</f>
        <v>0.92500000000000004</v>
      </c>
      <c r="AO634" s="80">
        <f>IF(V634="","",IF(V634="SIM",VLOOKUP($I634&amp;$J634&amp;V$1,Pesos!$A:$I,7,FALSE),VLOOKUP($I634&amp;$J634&amp;V$1,Pesos!$A:$I,9,FALSE)))</f>
        <v>0.92500000000000004</v>
      </c>
      <c r="AP634" s="80">
        <f>IF(W634="","",IF(W634="SIM",VLOOKUP($I634&amp;$J634&amp;W$1,Pesos!$A:$I,7,FALSE),VLOOKUP($I634&amp;$J634&amp;W$1,Pesos!$A:$I,9,FALSE)))</f>
        <v>0.89999999999999991</v>
      </c>
      <c r="AQ634" s="80">
        <f>IF(X634="","",IF(X634="SIM",VLOOKUP($I634&amp;$J634&amp;X$1,Pesos!$A:$I,7,FALSE),VLOOKUP($I634&amp;$J634&amp;X$1,Pesos!$A:$I,9,FALSE)))</f>
        <v>0.95</v>
      </c>
      <c r="AR634" s="80" t="str">
        <f>IF(Y634="","",IF(Y634="SIM",VLOOKUP($I634&amp;$J634&amp;Y$1,Pesos!$A:$I,7,FALSE),VLOOKUP($I634&amp;$J634&amp;Y$1,Pesos!$A:$I,9,FALSE)))</f>
        <v/>
      </c>
      <c r="AS634" s="81">
        <f>IFERROR(Z634*VLOOKUP(J634,'BD Campos'!$Y$1:$Z$12,2,FALSE),"0")</f>
        <v>10</v>
      </c>
    </row>
    <row r="635" spans="1:45" x14ac:dyDescent="0.35">
      <c r="A635" s="68" t="str">
        <f t="shared" si="89"/>
        <v>Fev202511109MotoristaTRANSFERÊNCIA</v>
      </c>
      <c r="B635" s="114" t="str">
        <f t="shared" si="90"/>
        <v>Fev2025111091TRANSFERÊNCIAPADRÃO</v>
      </c>
      <c r="C635" s="70">
        <v>1</v>
      </c>
      <c r="D635" s="71">
        <v>45700.749184375003</v>
      </c>
      <c r="E635" s="112" t="s">
        <v>338</v>
      </c>
      <c r="F635" s="72">
        <v>11109</v>
      </c>
      <c r="G635" s="69" t="s">
        <v>436</v>
      </c>
      <c r="H635" s="73">
        <v>1</v>
      </c>
      <c r="I635" s="69" t="s">
        <v>123</v>
      </c>
      <c r="J635" s="69" t="s">
        <v>122</v>
      </c>
      <c r="K635" s="69" t="s">
        <v>106</v>
      </c>
      <c r="L635" s="74">
        <v>31085583</v>
      </c>
      <c r="M635" s="75">
        <v>1.689814814814815E-3</v>
      </c>
      <c r="N635" s="76" t="s">
        <v>79</v>
      </c>
      <c r="O635" s="76" t="s">
        <v>79</v>
      </c>
      <c r="P635" s="76" t="s">
        <v>79</v>
      </c>
      <c r="Q635" s="76" t="s">
        <v>79</v>
      </c>
      <c r="R635" s="76" t="s">
        <v>79</v>
      </c>
      <c r="S635" s="76" t="s">
        <v>79</v>
      </c>
      <c r="T635" s="76" t="s">
        <v>79</v>
      </c>
      <c r="U635" s="76" t="s">
        <v>79</v>
      </c>
      <c r="V635" s="76" t="s">
        <v>79</v>
      </c>
      <c r="W635" s="76" t="s">
        <v>79</v>
      </c>
      <c r="X635" s="76"/>
      <c r="Y635" s="76"/>
      <c r="Z635" s="77">
        <f t="shared" si="79"/>
        <v>10</v>
      </c>
      <c r="AA635" s="78"/>
      <c r="AB635" s="78" t="s">
        <v>1700</v>
      </c>
      <c r="AC635" s="72" t="s">
        <v>47</v>
      </c>
      <c r="AE635" s="79" t="str">
        <f t="shared" si="95"/>
        <v>Fev11109</v>
      </c>
      <c r="AF635" s="80">
        <f>IF(N635="","",IF(N635="SIM",VLOOKUP($I635&amp;$J635&amp;N$1,Pesos!$A:$I,7,FALSE),VLOOKUP($I635&amp;$J635&amp;N$1,Pesos!$A:$I,9,FALSE)))</f>
        <v>1</v>
      </c>
      <c r="AG635" s="80">
        <f>IF(O635="","",IF(O635="SIM",VLOOKUP($I635&amp;$J635&amp;O$1,Pesos!$A:$I,7,FALSE),VLOOKUP($I635&amp;$J635&amp;O$1,Pesos!$A:$I,9,FALSE)))</f>
        <v>1</v>
      </c>
      <c r="AH635" s="80">
        <f>IF(P635="","",IF(P635="SIM",VLOOKUP($I635&amp;$J635&amp;P$1,Pesos!$A:$I,7,FALSE),VLOOKUP($I635&amp;$J635&amp;P$1,Pesos!$A:$I,9,FALSE)))</f>
        <v>1</v>
      </c>
      <c r="AI635" s="80">
        <f>IF(Q635="","",IF(Q635="SIM",VLOOKUP($I635&amp;$J635&amp;Q$1,Pesos!$A:$I,7,FALSE),VLOOKUP($I635&amp;$J635&amp;Q$1,Pesos!$A:$I,9,FALSE)))</f>
        <v>1</v>
      </c>
      <c r="AJ635" s="80">
        <f>IF(R635="","",IF(R635="SIM",VLOOKUP($I635&amp;$J635&amp;R$1,Pesos!$A:$I,7,FALSE),VLOOKUP($I635&amp;$J635&amp;R$1,Pesos!$A:$I,9,FALSE)))</f>
        <v>1</v>
      </c>
      <c r="AK635" s="80">
        <f>IF(S635="","",IF(S635="SIM",VLOOKUP($I635&amp;$J635&amp;S$1,Pesos!$A:$I,7,FALSE),VLOOKUP($I635&amp;$J635&amp;S$1,Pesos!$A:$I,9,FALSE)))</f>
        <v>1</v>
      </c>
      <c r="AL635" s="80">
        <f t="shared" si="92"/>
        <v>6</v>
      </c>
      <c r="AM635" s="80">
        <f>IF(T635="","",IF(T635="SIM",VLOOKUP($I635&amp;$J635&amp;T$1,Pesos!$A:$I,7,FALSE),VLOOKUP($I635&amp;$J635&amp;T$1,Pesos!$A:$I,9,FALSE)))</f>
        <v>1</v>
      </c>
      <c r="AN635" s="80">
        <f>IF(U635="","",IF(U635="SIM",VLOOKUP($I635&amp;$J635&amp;U$1,Pesos!$A:$I,7,FALSE),VLOOKUP($I635&amp;$J635&amp;U$1,Pesos!$A:$I,9,FALSE)))</f>
        <v>1</v>
      </c>
      <c r="AO635" s="80">
        <f>IF(V635="","",IF(V635="SIM",VLOOKUP($I635&amp;$J635&amp;V$1,Pesos!$A:$I,7,FALSE),VLOOKUP($I635&amp;$J635&amp;V$1,Pesos!$A:$I,9,FALSE)))</f>
        <v>1</v>
      </c>
      <c r="AP635" s="80">
        <f>IF(W635="","",IF(W635="SIM",VLOOKUP($I635&amp;$J635&amp;W$1,Pesos!$A:$I,7,FALSE),VLOOKUP($I635&amp;$J635&amp;W$1,Pesos!$A:$I,9,FALSE)))</f>
        <v>1</v>
      </c>
      <c r="AQ635" s="80" t="str">
        <f>IF(X635="","",IF(X635="SIM",VLOOKUP($I635&amp;$J635&amp;X$1,Pesos!$A:$I,7,FALSE),VLOOKUP($I635&amp;$J635&amp;X$1,Pesos!$A:$I,9,FALSE)))</f>
        <v/>
      </c>
      <c r="AR635" s="80" t="str">
        <f>IF(Y635="","",IF(Y635="SIM",VLOOKUP($I635&amp;$J635&amp;Y$1,Pesos!$A:$I,7,FALSE),VLOOKUP($I635&amp;$J635&amp;Y$1,Pesos!$A:$I,9,FALSE)))</f>
        <v/>
      </c>
      <c r="AS635" s="81">
        <f>IFERROR(Z635*VLOOKUP(J635,'BD Campos'!$Y$1:$Z$12,2,FALSE),"0")</f>
        <v>10</v>
      </c>
    </row>
    <row r="636" spans="1:45" x14ac:dyDescent="0.35">
      <c r="A636" s="68" t="str">
        <f t="shared" si="89"/>
        <v>Fev202511139MotoristaTRANSFERÊNCIA</v>
      </c>
      <c r="B636" s="114" t="str">
        <f t="shared" si="90"/>
        <v>Fev2025111391TRANSFERÊNCIAPADRÃO</v>
      </c>
      <c r="C636" s="70">
        <v>1</v>
      </c>
      <c r="D636" s="71">
        <v>45701.353015624998</v>
      </c>
      <c r="E636" s="112" t="s">
        <v>338</v>
      </c>
      <c r="F636" s="72">
        <v>11139</v>
      </c>
      <c r="G636" s="69" t="s">
        <v>437</v>
      </c>
      <c r="H636" s="73">
        <v>1</v>
      </c>
      <c r="I636" s="69" t="s">
        <v>121</v>
      </c>
      <c r="J636" s="69" t="s">
        <v>122</v>
      </c>
      <c r="K636" s="69" t="s">
        <v>106</v>
      </c>
      <c r="L636" s="74">
        <v>31052423</v>
      </c>
      <c r="M636" s="75">
        <v>2.4768518518518516E-3</v>
      </c>
      <c r="N636" s="76" t="s">
        <v>79</v>
      </c>
      <c r="O636" s="76" t="s">
        <v>79</v>
      </c>
      <c r="P636" s="76" t="s">
        <v>79</v>
      </c>
      <c r="Q636" s="76" t="s">
        <v>79</v>
      </c>
      <c r="R636" s="76" t="s">
        <v>79</v>
      </c>
      <c r="S636" s="76" t="s">
        <v>79</v>
      </c>
      <c r="T636" s="76" t="s">
        <v>79</v>
      </c>
      <c r="U636" s="76" t="s">
        <v>79</v>
      </c>
      <c r="V636" s="76" t="s">
        <v>79</v>
      </c>
      <c r="W636" s="76" t="s">
        <v>79</v>
      </c>
      <c r="X636" s="76" t="s">
        <v>79</v>
      </c>
      <c r="Y636" s="76"/>
      <c r="Z636" s="77">
        <f t="shared" si="79"/>
        <v>10</v>
      </c>
      <c r="AA636" s="78"/>
      <c r="AB636" s="78" t="s">
        <v>1701</v>
      </c>
      <c r="AC636" s="72" t="s">
        <v>47</v>
      </c>
      <c r="AE636" s="79" t="str">
        <f t="shared" si="95"/>
        <v>Fev11139</v>
      </c>
      <c r="AF636" s="80">
        <f>IF(N636="","",IF(N636="SIM",VLOOKUP($I636&amp;$J636&amp;N$1,Pesos!$A:$I,7,FALSE),VLOOKUP($I636&amp;$J636&amp;N$1,Pesos!$A:$I,9,FALSE)))</f>
        <v>0.89999999999999991</v>
      </c>
      <c r="AG636" s="80">
        <f>IF(O636="","",IF(O636="SIM",VLOOKUP($I636&amp;$J636&amp;O$1,Pesos!$A:$I,7,FALSE),VLOOKUP($I636&amp;$J636&amp;O$1,Pesos!$A:$I,9,FALSE)))</f>
        <v>0.89999999999999991</v>
      </c>
      <c r="AH636" s="80">
        <f>IF(P636="","",IF(P636="SIM",VLOOKUP($I636&amp;$J636&amp;P$1,Pesos!$A:$I,7,FALSE),VLOOKUP($I636&amp;$J636&amp;P$1,Pesos!$A:$I,9,FALSE)))</f>
        <v>0.89999999999999991</v>
      </c>
      <c r="AI636" s="80">
        <f>IF(Q636="","",IF(Q636="SIM",VLOOKUP($I636&amp;$J636&amp;Q$1,Pesos!$A:$I,7,FALSE),VLOOKUP($I636&amp;$J636&amp;Q$1,Pesos!$A:$I,9,FALSE)))</f>
        <v>0.89999999999999991</v>
      </c>
      <c r="AJ636" s="80">
        <f>IF(R636="","",IF(R636="SIM",VLOOKUP($I636&amp;$J636&amp;R$1,Pesos!$A:$I,7,FALSE),VLOOKUP($I636&amp;$J636&amp;R$1,Pesos!$A:$I,9,FALSE)))</f>
        <v>0.89999999999999991</v>
      </c>
      <c r="AK636" s="80">
        <f>IF(S636="","",IF(S636="SIM",VLOOKUP($I636&amp;$J636&amp;S$1,Pesos!$A:$I,7,FALSE),VLOOKUP($I636&amp;$J636&amp;S$1,Pesos!$A:$I,9,FALSE)))</f>
        <v>0.89999999999999991</v>
      </c>
      <c r="AL636" s="80">
        <f t="shared" si="92"/>
        <v>5.4</v>
      </c>
      <c r="AM636" s="80">
        <f>IF(T636="","",IF(T636="SIM",VLOOKUP($I636&amp;$J636&amp;T$1,Pesos!$A:$I,7,FALSE),VLOOKUP($I636&amp;$J636&amp;T$1,Pesos!$A:$I,9,FALSE)))</f>
        <v>0.89999999999999991</v>
      </c>
      <c r="AN636" s="80">
        <f>IF(U636="","",IF(U636="SIM",VLOOKUP($I636&amp;$J636&amp;U$1,Pesos!$A:$I,7,FALSE),VLOOKUP($I636&amp;$J636&amp;U$1,Pesos!$A:$I,9,FALSE)))</f>
        <v>0.92500000000000004</v>
      </c>
      <c r="AO636" s="80">
        <f>IF(V636="","",IF(V636="SIM",VLOOKUP($I636&amp;$J636&amp;V$1,Pesos!$A:$I,7,FALSE),VLOOKUP($I636&amp;$J636&amp;V$1,Pesos!$A:$I,9,FALSE)))</f>
        <v>0.92500000000000004</v>
      </c>
      <c r="AP636" s="80">
        <f>IF(W636="","",IF(W636="SIM",VLOOKUP($I636&amp;$J636&amp;W$1,Pesos!$A:$I,7,FALSE),VLOOKUP($I636&amp;$J636&amp;W$1,Pesos!$A:$I,9,FALSE)))</f>
        <v>0.89999999999999991</v>
      </c>
      <c r="AQ636" s="80">
        <f>IF(X636="","",IF(X636="SIM",VLOOKUP($I636&amp;$J636&amp;X$1,Pesos!$A:$I,7,FALSE),VLOOKUP($I636&amp;$J636&amp;X$1,Pesos!$A:$I,9,FALSE)))</f>
        <v>0.95</v>
      </c>
      <c r="AR636" s="80" t="str">
        <f>IF(Y636="","",IF(Y636="SIM",VLOOKUP($I636&amp;$J636&amp;Y$1,Pesos!$A:$I,7,FALSE),VLOOKUP($I636&amp;$J636&amp;Y$1,Pesos!$A:$I,9,FALSE)))</f>
        <v/>
      </c>
      <c r="AS636" s="81">
        <f>IFERROR(Z636*VLOOKUP(J636,'BD Campos'!$Y$1:$Z$12,2,FALSE),"0")</f>
        <v>10</v>
      </c>
    </row>
    <row r="637" spans="1:45" x14ac:dyDescent="0.35">
      <c r="A637" s="68" t="str">
        <f t="shared" si="89"/>
        <v>Fev202510863MotoristaTRANSFERÊNCIA</v>
      </c>
      <c r="B637" s="114" t="str">
        <f t="shared" si="90"/>
        <v>Fev2025108631TRANSFERÊNCIAPADRÃO</v>
      </c>
      <c r="C637" s="70">
        <v>1</v>
      </c>
      <c r="D637" s="71">
        <v>45701.361912499997</v>
      </c>
      <c r="E637" s="112" t="s">
        <v>338</v>
      </c>
      <c r="F637" s="72">
        <v>10863</v>
      </c>
      <c r="G637" s="69" t="s">
        <v>171</v>
      </c>
      <c r="H637" s="73">
        <v>1</v>
      </c>
      <c r="I637" s="69" t="s">
        <v>123</v>
      </c>
      <c r="J637" s="69" t="s">
        <v>122</v>
      </c>
      <c r="K637" s="69" t="s">
        <v>106</v>
      </c>
      <c r="L637" s="74">
        <v>31088999</v>
      </c>
      <c r="M637" s="75">
        <v>1.5972222222222221E-3</v>
      </c>
      <c r="N637" s="76"/>
      <c r="O637" s="76"/>
      <c r="P637" s="76"/>
      <c r="Q637" s="76"/>
      <c r="R637" s="76"/>
      <c r="S637" s="76"/>
      <c r="T637" s="76"/>
      <c r="U637" s="76"/>
      <c r="V637" s="76"/>
      <c r="W637" s="76"/>
      <c r="X637" s="76"/>
      <c r="Y637" s="76"/>
      <c r="Z637" s="77">
        <f t="shared" si="79"/>
        <v>0</v>
      </c>
      <c r="AA637" s="78" t="s">
        <v>1659</v>
      </c>
      <c r="AB637" s="78" t="s">
        <v>1702</v>
      </c>
      <c r="AC637" s="72" t="s">
        <v>47</v>
      </c>
      <c r="AE637" s="79" t="str">
        <f t="shared" si="95"/>
        <v>Fev10863</v>
      </c>
      <c r="AF637" s="80" t="str">
        <f>IF(N637="","",IF(N637="SIM",VLOOKUP($I637&amp;$J637&amp;N$1,Pesos!$A:$I,7,FALSE),VLOOKUP($I637&amp;$J637&amp;N$1,Pesos!$A:$I,9,FALSE)))</f>
        <v/>
      </c>
      <c r="AG637" s="80" t="str">
        <f>IF(O637="","",IF(O637="SIM",VLOOKUP($I637&amp;$J637&amp;O$1,Pesos!$A:$I,7,FALSE),VLOOKUP($I637&amp;$J637&amp;O$1,Pesos!$A:$I,9,FALSE)))</f>
        <v/>
      </c>
      <c r="AH637" s="80" t="str">
        <f>IF(P637="","",IF(P637="SIM",VLOOKUP($I637&amp;$J637&amp;P$1,Pesos!$A:$I,7,FALSE),VLOOKUP($I637&amp;$J637&amp;P$1,Pesos!$A:$I,9,FALSE)))</f>
        <v/>
      </c>
      <c r="AI637" s="80" t="str">
        <f>IF(Q637="","",IF(Q637="SIM",VLOOKUP($I637&amp;$J637&amp;Q$1,Pesos!$A:$I,7,FALSE),VLOOKUP($I637&amp;$J637&amp;Q$1,Pesos!$A:$I,9,FALSE)))</f>
        <v/>
      </c>
      <c r="AJ637" s="80" t="str">
        <f>IF(R637="","",IF(R637="SIM",VLOOKUP($I637&amp;$J637&amp;R$1,Pesos!$A:$I,7,FALSE),VLOOKUP($I637&amp;$J637&amp;R$1,Pesos!$A:$I,9,FALSE)))</f>
        <v/>
      </c>
      <c r="AK637" s="80" t="str">
        <f>IF(S637="","",IF(S637="SIM",VLOOKUP($I637&amp;$J637&amp;S$1,Pesos!$A:$I,7,FALSE),VLOOKUP($I637&amp;$J637&amp;S$1,Pesos!$A:$I,9,FALSE)))</f>
        <v/>
      </c>
      <c r="AL637" s="80">
        <f t="shared" si="92"/>
        <v>0</v>
      </c>
      <c r="AM637" s="80" t="str">
        <f>IF(T637="","",IF(T637="SIM",VLOOKUP($I637&amp;$J637&amp;T$1,Pesos!$A:$I,7,FALSE),VLOOKUP($I637&amp;$J637&amp;T$1,Pesos!$A:$I,9,FALSE)))</f>
        <v/>
      </c>
      <c r="AN637" s="80" t="str">
        <f>IF(U637="","",IF(U637="SIM",VLOOKUP($I637&amp;$J637&amp;U$1,Pesos!$A:$I,7,FALSE),VLOOKUP($I637&amp;$J637&amp;U$1,Pesos!$A:$I,9,FALSE)))</f>
        <v/>
      </c>
      <c r="AO637" s="80" t="str">
        <f>IF(V637="","",IF(V637="SIM",VLOOKUP($I637&amp;$J637&amp;V$1,Pesos!$A:$I,7,FALSE),VLOOKUP($I637&amp;$J637&amp;V$1,Pesos!$A:$I,9,FALSE)))</f>
        <v/>
      </c>
      <c r="AP637" s="80" t="str">
        <f>IF(W637="","",IF(W637="SIM",VLOOKUP($I637&amp;$J637&amp;W$1,Pesos!$A:$I,7,FALSE),VLOOKUP($I637&amp;$J637&amp;W$1,Pesos!$A:$I,9,FALSE)))</f>
        <v/>
      </c>
      <c r="AQ637" s="80" t="str">
        <f>IF(X637="","",IF(X637="SIM",VLOOKUP($I637&amp;$J637&amp;X$1,Pesos!$A:$I,7,FALSE),VLOOKUP($I637&amp;$J637&amp;X$1,Pesos!$A:$I,9,FALSE)))</f>
        <v/>
      </c>
      <c r="AR637" s="80" t="str">
        <f>IF(Y637="","",IF(Y637="SIM",VLOOKUP($I637&amp;$J637&amp;Y$1,Pesos!$A:$I,7,FALSE),VLOOKUP($I637&amp;$J637&amp;Y$1,Pesos!$A:$I,9,FALSE)))</f>
        <v/>
      </c>
      <c r="AS637" s="81">
        <f>IFERROR(Z637*VLOOKUP(J637,'BD Campos'!$Y$1:$Z$12,2,FALSE),"0")</f>
        <v>0</v>
      </c>
    </row>
    <row r="638" spans="1:45" x14ac:dyDescent="0.35">
      <c r="A638" s="68" t="str">
        <f t="shared" si="89"/>
        <v>Fev202511166MotoristaTRANSFERÊNCIA</v>
      </c>
      <c r="B638" s="114" t="str">
        <f t="shared" si="90"/>
        <v>Fev2025111661TRANSFERÊNCIAPADRÃO</v>
      </c>
      <c r="C638" s="70">
        <v>1</v>
      </c>
      <c r="D638" s="71">
        <v>45701.368907291668</v>
      </c>
      <c r="E638" s="112" t="s">
        <v>338</v>
      </c>
      <c r="F638" s="72">
        <v>11166</v>
      </c>
      <c r="G638" s="69" t="s">
        <v>450</v>
      </c>
      <c r="H638" s="73">
        <v>1</v>
      </c>
      <c r="I638" s="69" t="s">
        <v>121</v>
      </c>
      <c r="J638" s="69" t="s">
        <v>122</v>
      </c>
      <c r="K638" s="69" t="s">
        <v>106</v>
      </c>
      <c r="L638" s="74">
        <v>1825572</v>
      </c>
      <c r="M638" s="75">
        <v>3.6921296296296298E-3</v>
      </c>
      <c r="N638" s="76" t="s">
        <v>79</v>
      </c>
      <c r="O638" s="76" t="s">
        <v>79</v>
      </c>
      <c r="P638" s="76" t="s">
        <v>79</v>
      </c>
      <c r="Q638" s="76" t="s">
        <v>79</v>
      </c>
      <c r="R638" s="76" t="s">
        <v>79</v>
      </c>
      <c r="S638" s="76" t="s">
        <v>79</v>
      </c>
      <c r="T638" s="76" t="s">
        <v>79</v>
      </c>
      <c r="U638" s="76" t="s">
        <v>79</v>
      </c>
      <c r="V638" s="76" t="s">
        <v>79</v>
      </c>
      <c r="W638" s="76" t="s">
        <v>79</v>
      </c>
      <c r="X638" s="76" t="s">
        <v>79</v>
      </c>
      <c r="Y638" s="76"/>
      <c r="Z638" s="77">
        <f t="shared" si="79"/>
        <v>10</v>
      </c>
      <c r="AA638" s="78"/>
      <c r="AB638" s="78" t="s">
        <v>1703</v>
      </c>
      <c r="AC638" s="72" t="s">
        <v>47</v>
      </c>
      <c r="AE638" s="79" t="str">
        <f t="shared" si="95"/>
        <v>Fev11166</v>
      </c>
      <c r="AF638" s="80">
        <f>IF(N638="","",IF(N638="SIM",VLOOKUP($I638&amp;$J638&amp;N$1,Pesos!$A:$I,7,FALSE),VLOOKUP($I638&amp;$J638&amp;N$1,Pesos!$A:$I,9,FALSE)))</f>
        <v>0.89999999999999991</v>
      </c>
      <c r="AG638" s="80">
        <f>IF(O638="","",IF(O638="SIM",VLOOKUP($I638&amp;$J638&amp;O$1,Pesos!$A:$I,7,FALSE),VLOOKUP($I638&amp;$J638&amp;O$1,Pesos!$A:$I,9,FALSE)))</f>
        <v>0.89999999999999991</v>
      </c>
      <c r="AH638" s="80">
        <f>IF(P638="","",IF(P638="SIM",VLOOKUP($I638&amp;$J638&amp;P$1,Pesos!$A:$I,7,FALSE),VLOOKUP($I638&amp;$J638&amp;P$1,Pesos!$A:$I,9,FALSE)))</f>
        <v>0.89999999999999991</v>
      </c>
      <c r="AI638" s="80">
        <f>IF(Q638="","",IF(Q638="SIM",VLOOKUP($I638&amp;$J638&amp;Q$1,Pesos!$A:$I,7,FALSE),VLOOKUP($I638&amp;$J638&amp;Q$1,Pesos!$A:$I,9,FALSE)))</f>
        <v>0.89999999999999991</v>
      </c>
      <c r="AJ638" s="80">
        <f>IF(R638="","",IF(R638="SIM",VLOOKUP($I638&amp;$J638&amp;R$1,Pesos!$A:$I,7,FALSE),VLOOKUP($I638&amp;$J638&amp;R$1,Pesos!$A:$I,9,FALSE)))</f>
        <v>0.89999999999999991</v>
      </c>
      <c r="AK638" s="80">
        <f>IF(S638="","",IF(S638="SIM",VLOOKUP($I638&amp;$J638&amp;S$1,Pesos!$A:$I,7,FALSE),VLOOKUP($I638&amp;$J638&amp;S$1,Pesos!$A:$I,9,FALSE)))</f>
        <v>0.89999999999999991</v>
      </c>
      <c r="AL638" s="80">
        <f t="shared" si="92"/>
        <v>5.4</v>
      </c>
      <c r="AM638" s="80">
        <f>IF(T638="","",IF(T638="SIM",VLOOKUP($I638&amp;$J638&amp;T$1,Pesos!$A:$I,7,FALSE),VLOOKUP($I638&amp;$J638&amp;T$1,Pesos!$A:$I,9,FALSE)))</f>
        <v>0.89999999999999991</v>
      </c>
      <c r="AN638" s="80">
        <f>IF(U638="","",IF(U638="SIM",VLOOKUP($I638&amp;$J638&amp;U$1,Pesos!$A:$I,7,FALSE),VLOOKUP($I638&amp;$J638&amp;U$1,Pesos!$A:$I,9,FALSE)))</f>
        <v>0.92500000000000004</v>
      </c>
      <c r="AO638" s="80">
        <f>IF(V638="","",IF(V638="SIM",VLOOKUP($I638&amp;$J638&amp;V$1,Pesos!$A:$I,7,FALSE),VLOOKUP($I638&amp;$J638&amp;V$1,Pesos!$A:$I,9,FALSE)))</f>
        <v>0.92500000000000004</v>
      </c>
      <c r="AP638" s="80">
        <f>IF(W638="","",IF(W638="SIM",VLOOKUP($I638&amp;$J638&amp;W$1,Pesos!$A:$I,7,FALSE),VLOOKUP($I638&amp;$J638&amp;W$1,Pesos!$A:$I,9,FALSE)))</f>
        <v>0.89999999999999991</v>
      </c>
      <c r="AQ638" s="80">
        <f>IF(X638="","",IF(X638="SIM",VLOOKUP($I638&amp;$J638&amp;X$1,Pesos!$A:$I,7,FALSE),VLOOKUP($I638&amp;$J638&amp;X$1,Pesos!$A:$I,9,FALSE)))</f>
        <v>0.95</v>
      </c>
      <c r="AR638" s="80" t="str">
        <f>IF(Y638="","",IF(Y638="SIM",VLOOKUP($I638&amp;$J638&amp;Y$1,Pesos!$A:$I,7,FALSE),VLOOKUP($I638&amp;$J638&amp;Y$1,Pesos!$A:$I,9,FALSE)))</f>
        <v/>
      </c>
      <c r="AS638" s="81">
        <f>IFERROR(Z638*VLOOKUP(J638,'BD Campos'!$Y$1:$Z$12,2,FALSE),"0")</f>
        <v>10</v>
      </c>
    </row>
    <row r="639" spans="1:45" x14ac:dyDescent="0.35">
      <c r="A639" s="68" t="str">
        <f t="shared" si="89"/>
        <v>Fev202511167MotoristaTRANSFERÊNCIA</v>
      </c>
      <c r="B639" s="114" t="str">
        <f t="shared" si="90"/>
        <v>Fev2025111671TRANSFERÊNCIAPADRÃO</v>
      </c>
      <c r="C639" s="70">
        <v>1</v>
      </c>
      <c r="D639" s="71">
        <v>45701.392648148147</v>
      </c>
      <c r="E639" s="112" t="s">
        <v>338</v>
      </c>
      <c r="F639" s="72">
        <v>11167</v>
      </c>
      <c r="G639" s="69" t="s">
        <v>1360</v>
      </c>
      <c r="H639" s="73">
        <v>1</v>
      </c>
      <c r="I639" s="69" t="s">
        <v>147</v>
      </c>
      <c r="J639" s="69" t="s">
        <v>122</v>
      </c>
      <c r="K639" s="69" t="s">
        <v>106</v>
      </c>
      <c r="L639" s="74">
        <v>31145071</v>
      </c>
      <c r="M639" s="75">
        <v>1.8518518518518517E-3</v>
      </c>
      <c r="N639" s="76" t="s">
        <v>79</v>
      </c>
      <c r="O639" s="76" t="s">
        <v>79</v>
      </c>
      <c r="P639" s="76" t="s">
        <v>79</v>
      </c>
      <c r="Q639" s="76" t="s">
        <v>79</v>
      </c>
      <c r="R639" s="76" t="s">
        <v>79</v>
      </c>
      <c r="S639" s="76" t="s">
        <v>83</v>
      </c>
      <c r="T639" s="76" t="s">
        <v>79</v>
      </c>
      <c r="U639" s="76" t="s">
        <v>79</v>
      </c>
      <c r="V639" s="76"/>
      <c r="W639" s="76"/>
      <c r="X639" s="76"/>
      <c r="Y639" s="76"/>
      <c r="Z639" s="77">
        <f t="shared" si="79"/>
        <v>8.32</v>
      </c>
      <c r="AA639" s="78" t="s">
        <v>1663</v>
      </c>
      <c r="AB639" s="78" t="s">
        <v>1704</v>
      </c>
      <c r="AC639" s="72" t="s">
        <v>47</v>
      </c>
      <c r="AE639" s="79" t="str">
        <f t="shared" si="95"/>
        <v>Fev11167</v>
      </c>
      <c r="AF639" s="80">
        <f>IF(N639="","",IF(N639="SIM",VLOOKUP($I639&amp;$J639&amp;N$1,Pesos!$A:$I,7,FALSE),VLOOKUP($I639&amp;$J639&amp;N$1,Pesos!$A:$I,9,FALSE)))</f>
        <v>1.1000000000000001</v>
      </c>
      <c r="AG639" s="80">
        <f>IF(O639="","",IF(O639="SIM",VLOOKUP($I639&amp;$J639&amp;O$1,Pesos!$A:$I,7,FALSE),VLOOKUP($I639&amp;$J639&amp;O$1,Pesos!$A:$I,9,FALSE)))</f>
        <v>1.1000000000000001</v>
      </c>
      <c r="AH639" s="80">
        <f>IF(P639="","",IF(P639="SIM",VLOOKUP($I639&amp;$J639&amp;P$1,Pesos!$A:$I,7,FALSE),VLOOKUP($I639&amp;$J639&amp;P$1,Pesos!$A:$I,9,FALSE)))</f>
        <v>1.1000000000000001</v>
      </c>
      <c r="AI639" s="80">
        <f>IF(Q639="","",IF(Q639="SIM",VLOOKUP($I639&amp;$J639&amp;Q$1,Pesos!$A:$I,7,FALSE),VLOOKUP($I639&amp;$J639&amp;Q$1,Pesos!$A:$I,9,FALSE)))</f>
        <v>1.1000000000000001</v>
      </c>
      <c r="AJ639" s="80">
        <f>IF(R639="","",IF(R639="SIM",VLOOKUP($I639&amp;$J639&amp;R$1,Pesos!$A:$I,7,FALSE),VLOOKUP($I639&amp;$J639&amp;R$1,Pesos!$A:$I,9,FALSE)))</f>
        <v>1.1000000000000001</v>
      </c>
      <c r="AK639" s="80">
        <f>IF(S639="","",IF(S639="SIM",VLOOKUP($I639&amp;$J639&amp;S$1,Pesos!$A:$I,7,FALSE),VLOOKUP($I639&amp;$J639&amp;S$1,Pesos!$A:$I,9,FALSE)))</f>
        <v>-8.0000000000000016E-2</v>
      </c>
      <c r="AL639" s="80">
        <f t="shared" si="92"/>
        <v>5.42</v>
      </c>
      <c r="AM639" s="80">
        <f>IF(T639="","",IF(T639="SIM",VLOOKUP($I639&amp;$J639&amp;T$1,Pesos!$A:$I,7,FALSE),VLOOKUP($I639&amp;$J639&amp;T$1,Pesos!$A:$I,9,FALSE)))</f>
        <v>1.2</v>
      </c>
      <c r="AN639" s="80">
        <f>IF(U639="","",IF(U639="SIM",VLOOKUP($I639&amp;$J639&amp;U$1,Pesos!$A:$I,7,FALSE),VLOOKUP($I639&amp;$J639&amp;U$1,Pesos!$A:$I,9,FALSE)))</f>
        <v>1.7000000000000002</v>
      </c>
      <c r="AO639" s="80" t="str">
        <f>IF(V639="","",IF(V639="SIM",VLOOKUP($I639&amp;$J639&amp;V$1,Pesos!$A:$I,7,FALSE),VLOOKUP($I639&amp;$J639&amp;V$1,Pesos!$A:$I,9,FALSE)))</f>
        <v/>
      </c>
      <c r="AP639" s="80" t="str">
        <f>IF(W639="","",IF(W639="SIM",VLOOKUP($I639&amp;$J639&amp;W$1,Pesos!$A:$I,7,FALSE),VLOOKUP($I639&amp;$J639&amp;W$1,Pesos!$A:$I,9,FALSE)))</f>
        <v/>
      </c>
      <c r="AQ639" s="80" t="str">
        <f>IF(X639="","",IF(X639="SIM",VLOOKUP($I639&amp;$J639&amp;X$1,Pesos!$A:$I,7,FALSE),VLOOKUP($I639&amp;$J639&amp;X$1,Pesos!$A:$I,9,FALSE)))</f>
        <v/>
      </c>
      <c r="AR639" s="80" t="str">
        <f>IF(Y639="","",IF(Y639="SIM",VLOOKUP($I639&amp;$J639&amp;Y$1,Pesos!$A:$I,7,FALSE),VLOOKUP($I639&amp;$J639&amp;Y$1,Pesos!$A:$I,9,FALSE)))</f>
        <v/>
      </c>
      <c r="AS639" s="81">
        <f>IFERROR(Z639*VLOOKUP(J639,'BD Campos'!$Y$1:$Z$12,2,FALSE),"0")</f>
        <v>8.32</v>
      </c>
    </row>
    <row r="640" spans="1:45" x14ac:dyDescent="0.35">
      <c r="A640" s="68" t="str">
        <f t="shared" si="89"/>
        <v>Fev202511241MotoristaTRANSFERÊNCIA</v>
      </c>
      <c r="B640" s="114" t="str">
        <f t="shared" si="90"/>
        <v>Fev2025112411TRANSFERÊNCIAPADRÃO</v>
      </c>
      <c r="C640" s="70">
        <v>1</v>
      </c>
      <c r="D640" s="71">
        <v>45701.395491203701</v>
      </c>
      <c r="E640" s="112" t="s">
        <v>338</v>
      </c>
      <c r="F640" s="72">
        <v>11241</v>
      </c>
      <c r="G640" s="69" t="s">
        <v>1416</v>
      </c>
      <c r="H640" s="73">
        <v>1</v>
      </c>
      <c r="I640" s="69" t="s">
        <v>123</v>
      </c>
      <c r="J640" s="69" t="s">
        <v>122</v>
      </c>
      <c r="K640" s="69" t="s">
        <v>106</v>
      </c>
      <c r="L640" s="74">
        <v>31143833</v>
      </c>
      <c r="M640" s="75">
        <v>1.0300925925925926E-3</v>
      </c>
      <c r="N640" s="76" t="s">
        <v>79</v>
      </c>
      <c r="O640" s="76" t="s">
        <v>79</v>
      </c>
      <c r="P640" s="76" t="s">
        <v>79</v>
      </c>
      <c r="Q640" s="76" t="s">
        <v>79</v>
      </c>
      <c r="R640" s="76" t="s">
        <v>79</v>
      </c>
      <c r="S640" s="76" t="s">
        <v>79</v>
      </c>
      <c r="T640" s="76" t="s">
        <v>79</v>
      </c>
      <c r="U640" s="76" t="s">
        <v>79</v>
      </c>
      <c r="V640" s="76" t="s">
        <v>79</v>
      </c>
      <c r="W640" s="76" t="s">
        <v>79</v>
      </c>
      <c r="X640" s="76"/>
      <c r="Y640" s="76"/>
      <c r="Z640" s="77">
        <f t="shared" si="79"/>
        <v>10</v>
      </c>
      <c r="AA640" s="78"/>
      <c r="AB640" s="78" t="s">
        <v>1705</v>
      </c>
      <c r="AC640" s="72" t="s">
        <v>47</v>
      </c>
      <c r="AE640" s="79" t="str">
        <f t="shared" si="95"/>
        <v>Fev11241</v>
      </c>
      <c r="AF640" s="80">
        <f>IF(N640="","",IF(N640="SIM",VLOOKUP($I640&amp;$J640&amp;N$1,Pesos!$A:$I,7,FALSE),VLOOKUP($I640&amp;$J640&amp;N$1,Pesos!$A:$I,9,FALSE)))</f>
        <v>1</v>
      </c>
      <c r="AG640" s="80">
        <f>IF(O640="","",IF(O640="SIM",VLOOKUP($I640&amp;$J640&amp;O$1,Pesos!$A:$I,7,FALSE),VLOOKUP($I640&amp;$J640&amp;O$1,Pesos!$A:$I,9,FALSE)))</f>
        <v>1</v>
      </c>
      <c r="AH640" s="80">
        <f>IF(P640="","",IF(P640="SIM",VLOOKUP($I640&amp;$J640&amp;P$1,Pesos!$A:$I,7,FALSE),VLOOKUP($I640&amp;$J640&amp;P$1,Pesos!$A:$I,9,FALSE)))</f>
        <v>1</v>
      </c>
      <c r="AI640" s="80">
        <f>IF(Q640="","",IF(Q640="SIM",VLOOKUP($I640&amp;$J640&amp;Q$1,Pesos!$A:$I,7,FALSE),VLOOKUP($I640&amp;$J640&amp;Q$1,Pesos!$A:$I,9,FALSE)))</f>
        <v>1</v>
      </c>
      <c r="AJ640" s="80">
        <f>IF(R640="","",IF(R640="SIM",VLOOKUP($I640&amp;$J640&amp;R$1,Pesos!$A:$I,7,FALSE),VLOOKUP($I640&amp;$J640&amp;R$1,Pesos!$A:$I,9,FALSE)))</f>
        <v>1</v>
      </c>
      <c r="AK640" s="80">
        <f>IF(S640="","",IF(S640="SIM",VLOOKUP($I640&amp;$J640&amp;S$1,Pesos!$A:$I,7,FALSE),VLOOKUP($I640&amp;$J640&amp;S$1,Pesos!$A:$I,9,FALSE)))</f>
        <v>1</v>
      </c>
      <c r="AL640" s="80">
        <f t="shared" si="92"/>
        <v>6</v>
      </c>
      <c r="AM640" s="80">
        <f>IF(T640="","",IF(T640="SIM",VLOOKUP($I640&amp;$J640&amp;T$1,Pesos!$A:$I,7,FALSE),VLOOKUP($I640&amp;$J640&amp;T$1,Pesos!$A:$I,9,FALSE)))</f>
        <v>1</v>
      </c>
      <c r="AN640" s="80">
        <f>IF(U640="","",IF(U640="SIM",VLOOKUP($I640&amp;$J640&amp;U$1,Pesos!$A:$I,7,FALSE),VLOOKUP($I640&amp;$J640&amp;U$1,Pesos!$A:$I,9,FALSE)))</f>
        <v>1</v>
      </c>
      <c r="AO640" s="80">
        <f>IF(V640="","",IF(V640="SIM",VLOOKUP($I640&amp;$J640&amp;V$1,Pesos!$A:$I,7,FALSE),VLOOKUP($I640&amp;$J640&amp;V$1,Pesos!$A:$I,9,FALSE)))</f>
        <v>1</v>
      </c>
      <c r="AP640" s="80">
        <f>IF(W640="","",IF(W640="SIM",VLOOKUP($I640&amp;$J640&amp;W$1,Pesos!$A:$I,7,FALSE),VLOOKUP($I640&amp;$J640&amp;W$1,Pesos!$A:$I,9,FALSE)))</f>
        <v>1</v>
      </c>
      <c r="AQ640" s="80" t="str">
        <f>IF(X640="","",IF(X640="SIM",VLOOKUP($I640&amp;$J640&amp;X$1,Pesos!$A:$I,7,FALSE),VLOOKUP($I640&amp;$J640&amp;X$1,Pesos!$A:$I,9,FALSE)))</f>
        <v/>
      </c>
      <c r="AR640" s="80" t="str">
        <f>IF(Y640="","",IF(Y640="SIM",VLOOKUP($I640&amp;$J640&amp;Y$1,Pesos!$A:$I,7,FALSE),VLOOKUP($I640&amp;$J640&amp;Y$1,Pesos!$A:$I,9,FALSE)))</f>
        <v/>
      </c>
      <c r="AS640" s="81">
        <f>IFERROR(Z640*VLOOKUP(J640,'BD Campos'!$Y$1:$Z$12,2,FALSE),"0")</f>
        <v>10</v>
      </c>
    </row>
    <row r="641" spans="1:45" x14ac:dyDescent="0.35">
      <c r="A641" s="68" t="str">
        <f t="shared" ref="A641:A679" si="96">E641&amp;YEAR(D641)&amp;F641&amp;J641&amp;K641&amp;""</f>
        <v>Fev202511240ClienteTRANSFERÊNCIA</v>
      </c>
      <c r="B641" s="114" t="str">
        <f t="shared" ref="B641:B679" si="97">E641&amp;YEAR(D641)&amp;F641&amp;H641&amp;K641&amp;AC641</f>
        <v>Fev2025112401TRANSFERÊNCIAPADRÃO</v>
      </c>
      <c r="C641" s="70">
        <v>1</v>
      </c>
      <c r="D641" s="71">
        <v>45701.41255277778</v>
      </c>
      <c r="E641" s="112" t="s">
        <v>338</v>
      </c>
      <c r="F641" s="72">
        <v>11240</v>
      </c>
      <c r="G641" s="69" t="s">
        <v>1415</v>
      </c>
      <c r="H641" s="73">
        <v>1</v>
      </c>
      <c r="I641" s="69" t="s">
        <v>147</v>
      </c>
      <c r="J641" s="69" t="s">
        <v>124</v>
      </c>
      <c r="K641" s="69" t="s">
        <v>106</v>
      </c>
      <c r="L641" s="74">
        <v>31110308</v>
      </c>
      <c r="M641" s="75">
        <v>1.5046296296296294E-3</v>
      </c>
      <c r="N641" s="76" t="s">
        <v>83</v>
      </c>
      <c r="O641" s="76" t="s">
        <v>79</v>
      </c>
      <c r="P641" s="76" t="s">
        <v>79</v>
      </c>
      <c r="Q641" s="76" t="s">
        <v>79</v>
      </c>
      <c r="R641" s="76" t="s">
        <v>79</v>
      </c>
      <c r="S641" s="76" t="s">
        <v>83</v>
      </c>
      <c r="T641" s="76" t="s">
        <v>79</v>
      </c>
      <c r="U641" s="76" t="s">
        <v>83</v>
      </c>
      <c r="V641" s="76" t="s">
        <v>79</v>
      </c>
      <c r="W641" s="76" t="s">
        <v>83</v>
      </c>
      <c r="X641" s="76" t="s">
        <v>83</v>
      </c>
      <c r="Y641" s="76"/>
      <c r="Z641" s="77">
        <f t="shared" si="79"/>
        <v>5.2750000000000004</v>
      </c>
      <c r="AA641" s="78" t="s">
        <v>1662</v>
      </c>
      <c r="AB641" s="78" t="s">
        <v>1706</v>
      </c>
      <c r="AC641" s="72" t="s">
        <v>47</v>
      </c>
      <c r="AE641" s="79" t="str">
        <f t="shared" si="95"/>
        <v>Fev11240</v>
      </c>
      <c r="AF641" s="80">
        <f>IF(N641="","",IF(N641="SIM",VLOOKUP($I641&amp;$J641&amp;N$1,Pesos!$A:$I,7,FALSE),VLOOKUP($I641&amp;$J641&amp;N$1,Pesos!$A:$I,9,FALSE)))</f>
        <v>-0.05</v>
      </c>
      <c r="AG641" s="80">
        <f>IF(O641="","",IF(O641="SIM",VLOOKUP($I641&amp;$J641&amp;O$1,Pesos!$A:$I,7,FALSE),VLOOKUP($I641&amp;$J641&amp;O$1,Pesos!$A:$I,9,FALSE)))</f>
        <v>1</v>
      </c>
      <c r="AH641" s="80">
        <f>IF(P641="","",IF(P641="SIM",VLOOKUP($I641&amp;$J641&amp;P$1,Pesos!$A:$I,7,FALSE),VLOOKUP($I641&amp;$J641&amp;P$1,Pesos!$A:$I,9,FALSE)))</f>
        <v>1</v>
      </c>
      <c r="AI641" s="80">
        <f>IF(Q641="","",IF(Q641="SIM",VLOOKUP($I641&amp;$J641&amp;Q$1,Pesos!$A:$I,7,FALSE),VLOOKUP($I641&amp;$J641&amp;Q$1,Pesos!$A:$I,9,FALSE)))</f>
        <v>1</v>
      </c>
      <c r="AJ641" s="80">
        <f>IF(R641="","",IF(R641="SIM",VLOOKUP($I641&amp;$J641&amp;R$1,Pesos!$A:$I,7,FALSE),VLOOKUP($I641&amp;$J641&amp;R$1,Pesos!$A:$I,9,FALSE)))</f>
        <v>1</v>
      </c>
      <c r="AK641" s="80">
        <f>IF(S641="","",IF(S641="SIM",VLOOKUP($I641&amp;$J641&amp;S$1,Pesos!$A:$I,7,FALSE),VLOOKUP($I641&amp;$J641&amp;S$1,Pesos!$A:$I,9,FALSE)))</f>
        <v>-0.05</v>
      </c>
      <c r="AL641" s="80">
        <f t="shared" si="92"/>
        <v>3.9000000000000004</v>
      </c>
      <c r="AM641" s="80">
        <f>IF(T641="","",IF(T641="SIM",VLOOKUP($I641&amp;$J641&amp;T$1,Pesos!$A:$I,7,FALSE),VLOOKUP($I641&amp;$J641&amp;T$1,Pesos!$A:$I,9,FALSE)))</f>
        <v>1</v>
      </c>
      <c r="AN641" s="80">
        <f>IF(U641="","",IF(U641="SIM",VLOOKUP($I641&amp;$J641&amp;U$1,Pesos!$A:$I,7,FALSE),VLOOKUP($I641&amp;$J641&amp;U$1,Pesos!$A:$I,9,FALSE)))</f>
        <v>-0.05</v>
      </c>
      <c r="AO641" s="80">
        <f>IF(V641="","",IF(V641="SIM",VLOOKUP($I641&amp;$J641&amp;V$1,Pesos!$A:$I,7,FALSE),VLOOKUP($I641&amp;$J641&amp;V$1,Pesos!$A:$I,9,FALSE)))</f>
        <v>0.5</v>
      </c>
      <c r="AP641" s="80">
        <f>IF(W641="","",IF(W641="SIM",VLOOKUP($I641&amp;$J641&amp;W$1,Pesos!$A:$I,7,FALSE),VLOOKUP($I641&amp;$J641&amp;W$1,Pesos!$A:$I,9,FALSE)))</f>
        <v>-2.5000000000000001E-2</v>
      </c>
      <c r="AQ641" s="80">
        <f>IF(X641="","",IF(X641="SIM",VLOOKUP($I641&amp;$J641&amp;X$1,Pesos!$A:$I,7,FALSE),VLOOKUP($I641&amp;$J641&amp;X$1,Pesos!$A:$I,9,FALSE)))</f>
        <v>-0.05</v>
      </c>
      <c r="AR641" s="80" t="str">
        <f>IF(Y641="","",IF(Y641="SIM",VLOOKUP($I641&amp;$J641&amp;Y$1,Pesos!$A:$I,7,FALSE),VLOOKUP($I641&amp;$J641&amp;Y$1,Pesos!$A:$I,9,FALSE)))</f>
        <v/>
      </c>
      <c r="AS641" s="81">
        <f>IFERROR(Z641*VLOOKUP(J641,'BD Campos'!$Y$1:$Z$12,2,FALSE),"0")</f>
        <v>5.2750000000000004</v>
      </c>
    </row>
    <row r="642" spans="1:45" x14ac:dyDescent="0.35">
      <c r="A642" s="68" t="str">
        <f t="shared" si="96"/>
        <v>Fev202511259MotoristaTRANSFERÊNCIA</v>
      </c>
      <c r="B642" s="114" t="str">
        <f t="shared" si="97"/>
        <v>Fev2025112591TRANSFERÊNCIAPADRÃO</v>
      </c>
      <c r="C642" s="70">
        <v>1</v>
      </c>
      <c r="D642" s="71">
        <v>45701.493537731483</v>
      </c>
      <c r="E642" s="112" t="s">
        <v>338</v>
      </c>
      <c r="F642" s="72">
        <v>11259</v>
      </c>
      <c r="G642" s="69" t="s">
        <v>1695</v>
      </c>
      <c r="H642" s="73">
        <v>1</v>
      </c>
      <c r="I642" s="69" t="s">
        <v>126</v>
      </c>
      <c r="J642" s="69" t="s">
        <v>122</v>
      </c>
      <c r="K642" s="69" t="s">
        <v>106</v>
      </c>
      <c r="L642" s="74">
        <v>31144157</v>
      </c>
      <c r="M642" s="75">
        <v>1.5393518518518519E-3</v>
      </c>
      <c r="N642" s="76" t="s">
        <v>79</v>
      </c>
      <c r="O642" s="76" t="s">
        <v>79</v>
      </c>
      <c r="P642" s="76" t="s">
        <v>79</v>
      </c>
      <c r="Q642" s="76" t="s">
        <v>79</v>
      </c>
      <c r="R642" s="76" t="s">
        <v>79</v>
      </c>
      <c r="S642" s="76" t="s">
        <v>79</v>
      </c>
      <c r="T642" s="76" t="s">
        <v>79</v>
      </c>
      <c r="U642" s="76" t="s">
        <v>79</v>
      </c>
      <c r="V642" s="76" t="s">
        <v>79</v>
      </c>
      <c r="W642" s="76" t="s">
        <v>79</v>
      </c>
      <c r="X642" s="76" t="s">
        <v>83</v>
      </c>
      <c r="Y642" s="76" t="s">
        <v>79</v>
      </c>
      <c r="Z642" s="77">
        <f t="shared" si="79"/>
        <v>8.9499999999999993</v>
      </c>
      <c r="AA642" s="78"/>
      <c r="AB642" s="78" t="s">
        <v>1707</v>
      </c>
      <c r="AC642" s="72" t="s">
        <v>47</v>
      </c>
      <c r="AE642" s="79" t="str">
        <f t="shared" si="95"/>
        <v>Fev11259</v>
      </c>
      <c r="AF642" s="80">
        <f>IF(N642="","",IF(N642="SIM",VLOOKUP($I642&amp;$J642&amp;N$1,Pesos!$A:$I,7,FALSE),VLOOKUP($I642&amp;$J642&amp;N$1,Pesos!$A:$I,9,FALSE)))</f>
        <v>0.8</v>
      </c>
      <c r="AG642" s="80">
        <f>IF(O642="","",IF(O642="SIM",VLOOKUP($I642&amp;$J642&amp;O$1,Pesos!$A:$I,7,FALSE),VLOOKUP($I642&amp;$J642&amp;O$1,Pesos!$A:$I,9,FALSE)))</f>
        <v>0.8</v>
      </c>
      <c r="AH642" s="80">
        <f>IF(P642="","",IF(P642="SIM",VLOOKUP($I642&amp;$J642&amp;P$1,Pesos!$A:$I,7,FALSE),VLOOKUP($I642&amp;$J642&amp;P$1,Pesos!$A:$I,9,FALSE)))</f>
        <v>0.8</v>
      </c>
      <c r="AI642" s="80">
        <f>IF(Q642="","",IF(Q642="SIM",VLOOKUP($I642&amp;$J642&amp;Q$1,Pesos!$A:$I,7,FALSE),VLOOKUP($I642&amp;$J642&amp;Q$1,Pesos!$A:$I,9,FALSE)))</f>
        <v>0.8</v>
      </c>
      <c r="AJ642" s="80">
        <f>IF(R642="","",IF(R642="SIM",VLOOKUP($I642&amp;$J642&amp;R$1,Pesos!$A:$I,7,FALSE),VLOOKUP($I642&amp;$J642&amp;R$1,Pesos!$A:$I,9,FALSE)))</f>
        <v>0.8</v>
      </c>
      <c r="AK642" s="80">
        <f>IF(S642="","",IF(S642="SIM",VLOOKUP($I642&amp;$J642&amp;S$1,Pesos!$A:$I,7,FALSE),VLOOKUP($I642&amp;$J642&amp;S$1,Pesos!$A:$I,9,FALSE)))</f>
        <v>0.8</v>
      </c>
      <c r="AL642" s="80">
        <f t="shared" si="92"/>
        <v>4.8</v>
      </c>
      <c r="AM642" s="80">
        <f>IF(T642="","",IF(T642="SIM",VLOOKUP($I642&amp;$J642&amp;T$1,Pesos!$A:$I,7,FALSE),VLOOKUP($I642&amp;$J642&amp;T$1,Pesos!$A:$I,9,FALSE)))</f>
        <v>0.8</v>
      </c>
      <c r="AN642" s="80">
        <f>IF(U642="","",IF(U642="SIM",VLOOKUP($I642&amp;$J642&amp;U$1,Pesos!$A:$I,7,FALSE),VLOOKUP($I642&amp;$J642&amp;U$1,Pesos!$A:$I,9,FALSE)))</f>
        <v>0.8</v>
      </c>
      <c r="AO642" s="80">
        <f>IF(V642="","",IF(V642="SIM",VLOOKUP($I642&amp;$J642&amp;V$1,Pesos!$A:$I,7,FALSE),VLOOKUP($I642&amp;$J642&amp;V$1,Pesos!$A:$I,9,FALSE)))</f>
        <v>0.8</v>
      </c>
      <c r="AP642" s="80">
        <f>IF(W642="","",IF(W642="SIM",VLOOKUP($I642&amp;$J642&amp;W$1,Pesos!$A:$I,7,FALSE),VLOOKUP($I642&amp;$J642&amp;W$1,Pesos!$A:$I,9,FALSE)))</f>
        <v>0.8</v>
      </c>
      <c r="AQ642" s="80">
        <f>IF(X642="","",IF(X642="SIM",VLOOKUP($I642&amp;$J642&amp;X$1,Pesos!$A:$I,7,FALSE),VLOOKUP($I642&amp;$J642&amp;X$1,Pesos!$A:$I,9,FALSE)))</f>
        <v>-0.05</v>
      </c>
      <c r="AR642" s="80">
        <f>IF(Y642="","",IF(Y642="SIM",VLOOKUP($I642&amp;$J642&amp;Y$1,Pesos!$A:$I,7,FALSE),VLOOKUP($I642&amp;$J642&amp;Y$1,Pesos!$A:$I,9,FALSE)))</f>
        <v>1</v>
      </c>
      <c r="AS642" s="81">
        <f>IFERROR(Z642*VLOOKUP(J642,'BD Campos'!$Y$1:$Z$12,2,FALSE),"0")</f>
        <v>8.9499999999999993</v>
      </c>
    </row>
    <row r="643" spans="1:45" x14ac:dyDescent="0.35">
      <c r="A643" s="68" t="str">
        <f t="shared" si="96"/>
        <v>Fev202510857ReceptivaTRANSFERÊNCIA</v>
      </c>
      <c r="B643" s="114" t="str">
        <f t="shared" si="97"/>
        <v>Fev2025108575TRANSFERÊNCIAPADRÃO</v>
      </c>
      <c r="C643" s="70">
        <v>1</v>
      </c>
      <c r="D643" s="71">
        <v>45701.573004976854</v>
      </c>
      <c r="E643" s="112" t="s">
        <v>338</v>
      </c>
      <c r="F643" s="72">
        <v>10857</v>
      </c>
      <c r="G643" s="69" t="s">
        <v>169</v>
      </c>
      <c r="H643" s="73">
        <v>5</v>
      </c>
      <c r="I643" s="69" t="s">
        <v>6</v>
      </c>
      <c r="J643" s="69" t="s">
        <v>98</v>
      </c>
      <c r="K643" s="69" t="s">
        <v>106</v>
      </c>
      <c r="L643" s="74"/>
      <c r="M643" s="75">
        <v>1.3310185185185185E-3</v>
      </c>
      <c r="N643" s="76" t="s">
        <v>79</v>
      </c>
      <c r="O643" s="76" t="s">
        <v>79</v>
      </c>
      <c r="P643" s="76" t="s">
        <v>79</v>
      </c>
      <c r="Q643" s="76" t="s">
        <v>79</v>
      </c>
      <c r="R643" s="76" t="s">
        <v>79</v>
      </c>
      <c r="S643" s="76" t="s">
        <v>79</v>
      </c>
      <c r="T643" s="76" t="s">
        <v>79</v>
      </c>
      <c r="U643" s="76" t="s">
        <v>79</v>
      </c>
      <c r="V643" s="76" t="s">
        <v>79</v>
      </c>
      <c r="W643" s="76" t="s">
        <v>83</v>
      </c>
      <c r="X643" s="76" t="s">
        <v>79</v>
      </c>
      <c r="Y643" s="76" t="s">
        <v>79</v>
      </c>
      <c r="Z643" s="77">
        <f t="shared" si="79"/>
        <v>9.16</v>
      </c>
      <c r="AA643" s="78" t="s">
        <v>1467</v>
      </c>
      <c r="AB643" s="78"/>
      <c r="AC643" s="72" t="s">
        <v>47</v>
      </c>
      <c r="AE643" s="79" t="str">
        <f t="shared" si="95"/>
        <v>Fev10857</v>
      </c>
      <c r="AF643" s="80">
        <f>IF(N643="","",IF(N643="SIM",VLOOKUP($I643&amp;$J643&amp;N$1,Pesos!$A:$I,7,FALSE),VLOOKUP($I643&amp;$J643&amp;N$1,Pesos!$A:$I,9,FALSE)))</f>
        <v>0.8</v>
      </c>
      <c r="AG643" s="80">
        <f>IF(O643="","",IF(O643="SIM",VLOOKUP($I643&amp;$J643&amp;O$1,Pesos!$A:$I,7,FALSE),VLOOKUP($I643&amp;$J643&amp;O$1,Pesos!$A:$I,9,FALSE)))</f>
        <v>0.8</v>
      </c>
      <c r="AH643" s="80">
        <f>IF(P643="","",IF(P643="SIM",VLOOKUP($I643&amp;$J643&amp;P$1,Pesos!$A:$I,7,FALSE),VLOOKUP($I643&amp;$J643&amp;P$1,Pesos!$A:$I,9,FALSE)))</f>
        <v>1.2</v>
      </c>
      <c r="AI643" s="80">
        <f>IF(Q643="","",IF(Q643="SIM",VLOOKUP($I643&amp;$J643&amp;Q$1,Pesos!$A:$I,7,FALSE),VLOOKUP($I643&amp;$J643&amp;Q$1,Pesos!$A:$I,9,FALSE)))</f>
        <v>0.8</v>
      </c>
      <c r="AJ643" s="80">
        <f>IF(R643="","",IF(R643="SIM",VLOOKUP($I643&amp;$J643&amp;R$1,Pesos!$A:$I,7,FALSE),VLOOKUP($I643&amp;$J643&amp;R$1,Pesos!$A:$I,9,FALSE)))</f>
        <v>0.8</v>
      </c>
      <c r="AK643" s="80">
        <f>IF(S643="","",IF(S643="SIM",VLOOKUP($I643&amp;$J643&amp;S$1,Pesos!$A:$I,7,FALSE),VLOOKUP($I643&amp;$J643&amp;S$1,Pesos!$A:$I,9,FALSE)))</f>
        <v>0.8</v>
      </c>
      <c r="AL643" s="80">
        <f t="shared" si="92"/>
        <v>5.1999999999999993</v>
      </c>
      <c r="AM643" s="80">
        <f>IF(T643="","",IF(T643="SIM",VLOOKUP($I643&amp;$J643&amp;T$1,Pesos!$A:$I,7,FALSE),VLOOKUP($I643&amp;$J643&amp;T$1,Pesos!$A:$I,9,FALSE)))</f>
        <v>0.8</v>
      </c>
      <c r="AN643" s="80">
        <f>IF(U643="","",IF(U643="SIM",VLOOKUP($I643&amp;$J643&amp;U$1,Pesos!$A:$I,7,FALSE),VLOOKUP($I643&amp;$J643&amp;U$1,Pesos!$A:$I,9,FALSE)))</f>
        <v>0.8</v>
      </c>
      <c r="AO643" s="80">
        <f>IF(V643="","",IF(V643="SIM",VLOOKUP($I643&amp;$J643&amp;V$1,Pesos!$A:$I,7,FALSE),VLOOKUP($I643&amp;$J643&amp;V$1,Pesos!$A:$I,9,FALSE)))</f>
        <v>0.8</v>
      </c>
      <c r="AP643" s="80">
        <f>IF(W643="","",IF(W643="SIM",VLOOKUP($I643&amp;$J643&amp;W$1,Pesos!$A:$I,7,FALSE),VLOOKUP($I643&amp;$J643&amp;W$1,Pesos!$A:$I,9,FALSE)))</f>
        <v>-4.0000000000000008E-2</v>
      </c>
      <c r="AQ643" s="80">
        <f>IF(X643="","",IF(X643="SIM",VLOOKUP($I643&amp;$J643&amp;X$1,Pesos!$A:$I,7,FALSE),VLOOKUP($I643&amp;$J643&amp;X$1,Pesos!$A:$I,9,FALSE)))</f>
        <v>0.8</v>
      </c>
      <c r="AR643" s="80">
        <f>IF(Y643="","",IF(Y643="SIM",VLOOKUP($I643&amp;$J643&amp;Y$1,Pesos!$A:$I,7,FALSE),VLOOKUP($I643&amp;$J643&amp;Y$1,Pesos!$A:$I,9,FALSE)))</f>
        <v>0.8</v>
      </c>
      <c r="AS643" s="81">
        <f>IFERROR(Z643*VLOOKUP(J643,'BD Campos'!$Y$1:$Z$12,2,FALSE),"0")</f>
        <v>9.16</v>
      </c>
    </row>
    <row r="644" spans="1:45" x14ac:dyDescent="0.35">
      <c r="A644" s="68" t="str">
        <f t="shared" si="96"/>
        <v>Fev202511053ReceptivaTRANSFERÊNCIA</v>
      </c>
      <c r="B644" s="114" t="str">
        <f t="shared" si="97"/>
        <v>Fev2025110535TRANSFERÊNCIAPADRÃO</v>
      </c>
      <c r="C644" s="70">
        <v>1</v>
      </c>
      <c r="D644" s="71">
        <v>45701.582154629628</v>
      </c>
      <c r="E644" s="112" t="s">
        <v>338</v>
      </c>
      <c r="F644" s="72">
        <v>11053</v>
      </c>
      <c r="G644" s="69" t="s">
        <v>378</v>
      </c>
      <c r="H644" s="73">
        <v>5</v>
      </c>
      <c r="I644" s="69" t="s">
        <v>6</v>
      </c>
      <c r="J644" s="69" t="s">
        <v>98</v>
      </c>
      <c r="K644" s="69" t="s">
        <v>106</v>
      </c>
      <c r="L644" s="74"/>
      <c r="M644" s="75">
        <v>1.1226851851851851E-3</v>
      </c>
      <c r="N644" s="76" t="s">
        <v>79</v>
      </c>
      <c r="O644" s="76" t="s">
        <v>79</v>
      </c>
      <c r="P644" s="76" t="s">
        <v>79</v>
      </c>
      <c r="Q644" s="76" t="s">
        <v>79</v>
      </c>
      <c r="R644" s="76" t="s">
        <v>79</v>
      </c>
      <c r="S644" s="76" t="s">
        <v>79</v>
      </c>
      <c r="T644" s="76" t="s">
        <v>79</v>
      </c>
      <c r="U644" s="76" t="s">
        <v>79</v>
      </c>
      <c r="V644" s="76" t="s">
        <v>79</v>
      </c>
      <c r="W644" s="76" t="s">
        <v>79</v>
      </c>
      <c r="X644" s="76" t="s">
        <v>83</v>
      </c>
      <c r="Y644" s="76" t="s">
        <v>79</v>
      </c>
      <c r="Z644" s="77">
        <f t="shared" si="79"/>
        <v>9.16</v>
      </c>
      <c r="AA644" s="78" t="s">
        <v>1708</v>
      </c>
      <c r="AB644" s="78"/>
      <c r="AC644" s="72" t="s">
        <v>47</v>
      </c>
      <c r="AE644" s="79" t="str">
        <f t="shared" si="95"/>
        <v>Fev11053</v>
      </c>
      <c r="AF644" s="80">
        <f>IF(N644="","",IF(N644="SIM",VLOOKUP($I644&amp;$J644&amp;N$1,Pesos!$A:$I,7,FALSE),VLOOKUP($I644&amp;$J644&amp;N$1,Pesos!$A:$I,9,FALSE)))</f>
        <v>0.8</v>
      </c>
      <c r="AG644" s="80">
        <f>IF(O644="","",IF(O644="SIM",VLOOKUP($I644&amp;$J644&amp;O$1,Pesos!$A:$I,7,FALSE),VLOOKUP($I644&amp;$J644&amp;O$1,Pesos!$A:$I,9,FALSE)))</f>
        <v>0.8</v>
      </c>
      <c r="AH644" s="80">
        <f>IF(P644="","",IF(P644="SIM",VLOOKUP($I644&amp;$J644&amp;P$1,Pesos!$A:$I,7,FALSE),VLOOKUP($I644&amp;$J644&amp;P$1,Pesos!$A:$I,9,FALSE)))</f>
        <v>1.2</v>
      </c>
      <c r="AI644" s="80">
        <f>IF(Q644="","",IF(Q644="SIM",VLOOKUP($I644&amp;$J644&amp;Q$1,Pesos!$A:$I,7,FALSE),VLOOKUP($I644&amp;$J644&amp;Q$1,Pesos!$A:$I,9,FALSE)))</f>
        <v>0.8</v>
      </c>
      <c r="AJ644" s="80">
        <f>IF(R644="","",IF(R644="SIM",VLOOKUP($I644&amp;$J644&amp;R$1,Pesos!$A:$I,7,FALSE),VLOOKUP($I644&amp;$J644&amp;R$1,Pesos!$A:$I,9,FALSE)))</f>
        <v>0.8</v>
      </c>
      <c r="AK644" s="80">
        <f>IF(S644="","",IF(S644="SIM",VLOOKUP($I644&amp;$J644&amp;S$1,Pesos!$A:$I,7,FALSE),VLOOKUP($I644&amp;$J644&amp;S$1,Pesos!$A:$I,9,FALSE)))</f>
        <v>0.8</v>
      </c>
      <c r="AL644" s="80">
        <f t="shared" si="92"/>
        <v>5.1999999999999993</v>
      </c>
      <c r="AM644" s="80">
        <f>IF(T644="","",IF(T644="SIM",VLOOKUP($I644&amp;$J644&amp;T$1,Pesos!$A:$I,7,FALSE),VLOOKUP($I644&amp;$J644&amp;T$1,Pesos!$A:$I,9,FALSE)))</f>
        <v>0.8</v>
      </c>
      <c r="AN644" s="80">
        <f>IF(U644="","",IF(U644="SIM",VLOOKUP($I644&amp;$J644&amp;U$1,Pesos!$A:$I,7,FALSE),VLOOKUP($I644&amp;$J644&amp;U$1,Pesos!$A:$I,9,FALSE)))</f>
        <v>0.8</v>
      </c>
      <c r="AO644" s="80">
        <f>IF(V644="","",IF(V644="SIM",VLOOKUP($I644&amp;$J644&amp;V$1,Pesos!$A:$I,7,FALSE),VLOOKUP($I644&amp;$J644&amp;V$1,Pesos!$A:$I,9,FALSE)))</f>
        <v>0.8</v>
      </c>
      <c r="AP644" s="80">
        <f>IF(W644="","",IF(W644="SIM",VLOOKUP($I644&amp;$J644&amp;W$1,Pesos!$A:$I,7,FALSE),VLOOKUP($I644&amp;$J644&amp;W$1,Pesos!$A:$I,9,FALSE)))</f>
        <v>0.8</v>
      </c>
      <c r="AQ644" s="80">
        <f>IF(X644="","",IF(X644="SIM",VLOOKUP($I644&amp;$J644&amp;X$1,Pesos!$A:$I,7,FALSE),VLOOKUP($I644&amp;$J644&amp;X$1,Pesos!$A:$I,9,FALSE)))</f>
        <v>-4.0000000000000008E-2</v>
      </c>
      <c r="AR644" s="80">
        <f>IF(Y644="","",IF(Y644="SIM",VLOOKUP($I644&amp;$J644&amp;Y$1,Pesos!$A:$I,7,FALSE),VLOOKUP($I644&amp;$J644&amp;Y$1,Pesos!$A:$I,9,FALSE)))</f>
        <v>0.8</v>
      </c>
      <c r="AS644" s="81">
        <f>IFERROR(Z644*VLOOKUP(J644,'BD Campos'!$Y$1:$Z$12,2,FALSE),"0")</f>
        <v>9.16</v>
      </c>
    </row>
    <row r="645" spans="1:45" x14ac:dyDescent="0.35">
      <c r="A645" s="68" t="str">
        <f t="shared" si="96"/>
        <v>Fev202510939ReceptivaTRANSFERÊNCIA</v>
      </c>
      <c r="B645" s="114" t="str">
        <f t="shared" si="97"/>
        <v>Fev2025109395TRANSFERÊNCIAPADRÃO</v>
      </c>
      <c r="C645" s="70">
        <v>1</v>
      </c>
      <c r="D645" s="71">
        <v>45701.584275000001</v>
      </c>
      <c r="E645" s="112" t="s">
        <v>338</v>
      </c>
      <c r="F645" s="72">
        <v>10939</v>
      </c>
      <c r="G645" s="69" t="s">
        <v>110</v>
      </c>
      <c r="H645" s="73">
        <v>5</v>
      </c>
      <c r="I645" s="69" t="s">
        <v>6</v>
      </c>
      <c r="J645" s="69" t="s">
        <v>98</v>
      </c>
      <c r="K645" s="69" t="s">
        <v>106</v>
      </c>
      <c r="L645" s="74"/>
      <c r="M645" s="75">
        <v>1.6550925925925926E-3</v>
      </c>
      <c r="N645" s="76" t="s">
        <v>83</v>
      </c>
      <c r="O645" s="76" t="s">
        <v>79</v>
      </c>
      <c r="P645" s="76" t="s">
        <v>79</v>
      </c>
      <c r="Q645" s="76" t="s">
        <v>79</v>
      </c>
      <c r="R645" s="76" t="s">
        <v>79</v>
      </c>
      <c r="S645" s="76" t="s">
        <v>79</v>
      </c>
      <c r="T645" s="76" t="s">
        <v>79</v>
      </c>
      <c r="U645" s="76" t="s">
        <v>79</v>
      </c>
      <c r="V645" s="76" t="s">
        <v>79</v>
      </c>
      <c r="W645" s="76" t="s">
        <v>79</v>
      </c>
      <c r="X645" s="76" t="s">
        <v>79</v>
      </c>
      <c r="Y645" s="76" t="s">
        <v>79</v>
      </c>
      <c r="Z645" s="77">
        <f t="shared" si="79"/>
        <v>9.16</v>
      </c>
      <c r="AA645" s="78" t="s">
        <v>1616</v>
      </c>
      <c r="AB645" s="78"/>
      <c r="AC645" s="72" t="s">
        <v>47</v>
      </c>
      <c r="AE645" s="79" t="str">
        <f t="shared" si="95"/>
        <v>Fev10939</v>
      </c>
      <c r="AF645" s="80">
        <f>IF(N645="","",IF(N645="SIM",VLOOKUP($I645&amp;$J645&amp;N$1,Pesos!$A:$I,7,FALSE),VLOOKUP($I645&amp;$J645&amp;N$1,Pesos!$A:$I,9,FALSE)))</f>
        <v>-4.0000000000000008E-2</v>
      </c>
      <c r="AG645" s="80">
        <f>IF(O645="","",IF(O645="SIM",VLOOKUP($I645&amp;$J645&amp;O$1,Pesos!$A:$I,7,FALSE),VLOOKUP($I645&amp;$J645&amp;O$1,Pesos!$A:$I,9,FALSE)))</f>
        <v>0.8</v>
      </c>
      <c r="AH645" s="80">
        <f>IF(P645="","",IF(P645="SIM",VLOOKUP($I645&amp;$J645&amp;P$1,Pesos!$A:$I,7,FALSE),VLOOKUP($I645&amp;$J645&amp;P$1,Pesos!$A:$I,9,FALSE)))</f>
        <v>1.2</v>
      </c>
      <c r="AI645" s="80">
        <f>IF(Q645="","",IF(Q645="SIM",VLOOKUP($I645&amp;$J645&amp;Q$1,Pesos!$A:$I,7,FALSE),VLOOKUP($I645&amp;$J645&amp;Q$1,Pesos!$A:$I,9,FALSE)))</f>
        <v>0.8</v>
      </c>
      <c r="AJ645" s="80">
        <f>IF(R645="","",IF(R645="SIM",VLOOKUP($I645&amp;$J645&amp;R$1,Pesos!$A:$I,7,FALSE),VLOOKUP($I645&amp;$J645&amp;R$1,Pesos!$A:$I,9,FALSE)))</f>
        <v>0.8</v>
      </c>
      <c r="AK645" s="80">
        <f>IF(S645="","",IF(S645="SIM",VLOOKUP($I645&amp;$J645&amp;S$1,Pesos!$A:$I,7,FALSE),VLOOKUP($I645&amp;$J645&amp;S$1,Pesos!$A:$I,9,FALSE)))</f>
        <v>0.8</v>
      </c>
      <c r="AL645" s="80">
        <f t="shared" si="92"/>
        <v>4.3599999999999994</v>
      </c>
      <c r="AM645" s="80">
        <f>IF(T645="","",IF(T645="SIM",VLOOKUP($I645&amp;$J645&amp;T$1,Pesos!$A:$I,7,FALSE),VLOOKUP($I645&amp;$J645&amp;T$1,Pesos!$A:$I,9,FALSE)))</f>
        <v>0.8</v>
      </c>
      <c r="AN645" s="80">
        <f>IF(U645="","",IF(U645="SIM",VLOOKUP($I645&amp;$J645&amp;U$1,Pesos!$A:$I,7,FALSE),VLOOKUP($I645&amp;$J645&amp;U$1,Pesos!$A:$I,9,FALSE)))</f>
        <v>0.8</v>
      </c>
      <c r="AO645" s="80">
        <f>IF(V645="","",IF(V645="SIM",VLOOKUP($I645&amp;$J645&amp;V$1,Pesos!$A:$I,7,FALSE),VLOOKUP($I645&amp;$J645&amp;V$1,Pesos!$A:$I,9,FALSE)))</f>
        <v>0.8</v>
      </c>
      <c r="AP645" s="80">
        <f>IF(W645="","",IF(W645="SIM",VLOOKUP($I645&amp;$J645&amp;W$1,Pesos!$A:$I,7,FALSE),VLOOKUP($I645&amp;$J645&amp;W$1,Pesos!$A:$I,9,FALSE)))</f>
        <v>0.8</v>
      </c>
      <c r="AQ645" s="80">
        <f>IF(X645="","",IF(X645="SIM",VLOOKUP($I645&amp;$J645&amp;X$1,Pesos!$A:$I,7,FALSE),VLOOKUP($I645&amp;$J645&amp;X$1,Pesos!$A:$I,9,FALSE)))</f>
        <v>0.8</v>
      </c>
      <c r="AR645" s="80">
        <f>IF(Y645="","",IF(Y645="SIM",VLOOKUP($I645&amp;$J645&amp;Y$1,Pesos!$A:$I,7,FALSE),VLOOKUP($I645&amp;$J645&amp;Y$1,Pesos!$A:$I,9,FALSE)))</f>
        <v>0.8</v>
      </c>
      <c r="AS645" s="81">
        <f>IFERROR(Z645*VLOOKUP(J645,'BD Campos'!$Y$1:$Z$12,2,FALSE),"0")</f>
        <v>9.16</v>
      </c>
    </row>
    <row r="646" spans="1:45" x14ac:dyDescent="0.35">
      <c r="A646" s="68" t="str">
        <f t="shared" si="96"/>
        <v>Fev202510954ReceptivaTRANSFERÊNCIA</v>
      </c>
      <c r="B646" s="114" t="str">
        <f t="shared" si="97"/>
        <v>Fev2025109545TRANSFERÊNCIAPADRÃO</v>
      </c>
      <c r="C646" s="70">
        <v>1</v>
      </c>
      <c r="D646" s="71">
        <v>45701.586571412037</v>
      </c>
      <c r="E646" s="112" t="s">
        <v>338</v>
      </c>
      <c r="F646" s="72">
        <v>10954</v>
      </c>
      <c r="G646" s="69" t="s">
        <v>117</v>
      </c>
      <c r="H646" s="73">
        <v>5</v>
      </c>
      <c r="I646" s="69" t="s">
        <v>6</v>
      </c>
      <c r="J646" s="69" t="s">
        <v>98</v>
      </c>
      <c r="K646" s="69" t="s">
        <v>106</v>
      </c>
      <c r="L646" s="74"/>
      <c r="M646" s="75">
        <v>1.689814814814815E-3</v>
      </c>
      <c r="N646" s="76" t="s">
        <v>79</v>
      </c>
      <c r="O646" s="76" t="s">
        <v>79</v>
      </c>
      <c r="P646" s="76" t="s">
        <v>79</v>
      </c>
      <c r="Q646" s="76" t="s">
        <v>79</v>
      </c>
      <c r="R646" s="76" t="s">
        <v>79</v>
      </c>
      <c r="S646" s="76" t="s">
        <v>79</v>
      </c>
      <c r="T646" s="76" t="s">
        <v>79</v>
      </c>
      <c r="U646" s="76" t="s">
        <v>79</v>
      </c>
      <c r="V646" s="76" t="s">
        <v>79</v>
      </c>
      <c r="W646" s="76" t="s">
        <v>79</v>
      </c>
      <c r="X646" s="76" t="s">
        <v>79</v>
      </c>
      <c r="Y646" s="76" t="s">
        <v>79</v>
      </c>
      <c r="Z646" s="77">
        <f t="shared" si="79"/>
        <v>10</v>
      </c>
      <c r="AA646" s="78"/>
      <c r="AB646" s="78"/>
      <c r="AC646" s="72" t="s">
        <v>47</v>
      </c>
      <c r="AE646" s="79" t="str">
        <f t="shared" si="95"/>
        <v>Fev10954</v>
      </c>
      <c r="AF646" s="80">
        <f>IF(N646="","",IF(N646="SIM",VLOOKUP($I646&amp;$J646&amp;N$1,Pesos!$A:$I,7,FALSE),VLOOKUP($I646&amp;$J646&amp;N$1,Pesos!$A:$I,9,FALSE)))</f>
        <v>0.8</v>
      </c>
      <c r="AG646" s="80">
        <f>IF(O646="","",IF(O646="SIM",VLOOKUP($I646&amp;$J646&amp;O$1,Pesos!$A:$I,7,FALSE),VLOOKUP($I646&amp;$J646&amp;O$1,Pesos!$A:$I,9,FALSE)))</f>
        <v>0.8</v>
      </c>
      <c r="AH646" s="80">
        <f>IF(P646="","",IF(P646="SIM",VLOOKUP($I646&amp;$J646&amp;P$1,Pesos!$A:$I,7,FALSE),VLOOKUP($I646&amp;$J646&amp;P$1,Pesos!$A:$I,9,FALSE)))</f>
        <v>1.2</v>
      </c>
      <c r="AI646" s="80">
        <f>IF(Q646="","",IF(Q646="SIM",VLOOKUP($I646&amp;$J646&amp;Q$1,Pesos!$A:$I,7,FALSE),VLOOKUP($I646&amp;$J646&amp;Q$1,Pesos!$A:$I,9,FALSE)))</f>
        <v>0.8</v>
      </c>
      <c r="AJ646" s="80">
        <f>IF(R646="","",IF(R646="SIM",VLOOKUP($I646&amp;$J646&amp;R$1,Pesos!$A:$I,7,FALSE),VLOOKUP($I646&amp;$J646&amp;R$1,Pesos!$A:$I,9,FALSE)))</f>
        <v>0.8</v>
      </c>
      <c r="AK646" s="80">
        <f>IF(S646="","",IF(S646="SIM",VLOOKUP($I646&amp;$J646&amp;S$1,Pesos!$A:$I,7,FALSE),VLOOKUP($I646&amp;$J646&amp;S$1,Pesos!$A:$I,9,FALSE)))</f>
        <v>0.8</v>
      </c>
      <c r="AL646" s="80">
        <f t="shared" si="92"/>
        <v>5.1999999999999993</v>
      </c>
      <c r="AM646" s="80">
        <f>IF(T646="","",IF(T646="SIM",VLOOKUP($I646&amp;$J646&amp;T$1,Pesos!$A:$I,7,FALSE),VLOOKUP($I646&amp;$J646&amp;T$1,Pesos!$A:$I,9,FALSE)))</f>
        <v>0.8</v>
      </c>
      <c r="AN646" s="80">
        <f>IF(U646="","",IF(U646="SIM",VLOOKUP($I646&amp;$J646&amp;U$1,Pesos!$A:$I,7,FALSE),VLOOKUP($I646&amp;$J646&amp;U$1,Pesos!$A:$I,9,FALSE)))</f>
        <v>0.8</v>
      </c>
      <c r="AO646" s="80">
        <f>IF(V646="","",IF(V646="SIM",VLOOKUP($I646&amp;$J646&amp;V$1,Pesos!$A:$I,7,FALSE),VLOOKUP($I646&amp;$J646&amp;V$1,Pesos!$A:$I,9,FALSE)))</f>
        <v>0.8</v>
      </c>
      <c r="AP646" s="80">
        <f>IF(W646="","",IF(W646="SIM",VLOOKUP($I646&amp;$J646&amp;W$1,Pesos!$A:$I,7,FALSE),VLOOKUP($I646&amp;$J646&amp;W$1,Pesos!$A:$I,9,FALSE)))</f>
        <v>0.8</v>
      </c>
      <c r="AQ646" s="80">
        <f>IF(X646="","",IF(X646="SIM",VLOOKUP($I646&amp;$J646&amp;X$1,Pesos!$A:$I,7,FALSE),VLOOKUP($I646&amp;$J646&amp;X$1,Pesos!$A:$I,9,FALSE)))</f>
        <v>0.8</v>
      </c>
      <c r="AR646" s="80">
        <f>IF(Y646="","",IF(Y646="SIM",VLOOKUP($I646&amp;$J646&amp;Y$1,Pesos!$A:$I,7,FALSE),VLOOKUP($I646&amp;$J646&amp;Y$1,Pesos!$A:$I,9,FALSE)))</f>
        <v>0.8</v>
      </c>
      <c r="AS646" s="81">
        <f>IFERROR(Z646*VLOOKUP(J646,'BD Campos'!$Y$1:$Z$12,2,FALSE),"0")</f>
        <v>10</v>
      </c>
    </row>
    <row r="647" spans="1:45" x14ac:dyDescent="0.35">
      <c r="A647" s="68" t="str">
        <f t="shared" si="96"/>
        <v>Fev202510957ReceptivaTRANSFERÊNCIA</v>
      </c>
      <c r="B647" s="114" t="str">
        <f t="shared" si="97"/>
        <v>Fev2025109575TRANSFERÊNCIAPADRÃO</v>
      </c>
      <c r="C647" s="70">
        <v>1</v>
      </c>
      <c r="D647" s="71">
        <v>45701.587896180557</v>
      </c>
      <c r="E647" s="112" t="s">
        <v>338</v>
      </c>
      <c r="F647" s="72">
        <v>10957</v>
      </c>
      <c r="G647" s="69" t="s">
        <v>116</v>
      </c>
      <c r="H647" s="73">
        <v>5</v>
      </c>
      <c r="I647" s="69" t="s">
        <v>6</v>
      </c>
      <c r="J647" s="69" t="s">
        <v>98</v>
      </c>
      <c r="K647" s="69" t="s">
        <v>106</v>
      </c>
      <c r="L647" s="74"/>
      <c r="M647" s="75">
        <v>7.407407407407407E-4</v>
      </c>
      <c r="N647" s="76" t="s">
        <v>83</v>
      </c>
      <c r="O647" s="76" t="s">
        <v>79</v>
      </c>
      <c r="P647" s="76" t="s">
        <v>79</v>
      </c>
      <c r="Q647" s="76" t="s">
        <v>79</v>
      </c>
      <c r="R647" s="76" t="s">
        <v>79</v>
      </c>
      <c r="S647" s="76" t="s">
        <v>79</v>
      </c>
      <c r="T647" s="76" t="s">
        <v>79</v>
      </c>
      <c r="U647" s="76" t="s">
        <v>79</v>
      </c>
      <c r="V647" s="76" t="s">
        <v>79</v>
      </c>
      <c r="W647" s="76" t="s">
        <v>79</v>
      </c>
      <c r="X647" s="76" t="s">
        <v>79</v>
      </c>
      <c r="Y647" s="76" t="s">
        <v>79</v>
      </c>
      <c r="Z647" s="77">
        <f t="shared" si="79"/>
        <v>9.16</v>
      </c>
      <c r="AA647" s="78" t="s">
        <v>1662</v>
      </c>
      <c r="AB647" s="78"/>
      <c r="AC647" s="72" t="s">
        <v>47</v>
      </c>
      <c r="AE647" s="79" t="str">
        <f t="shared" si="95"/>
        <v>Fev10957</v>
      </c>
      <c r="AF647" s="80">
        <f>IF(N647="","",IF(N647="SIM",VLOOKUP($I647&amp;$J647&amp;N$1,Pesos!$A:$I,7,FALSE),VLOOKUP($I647&amp;$J647&amp;N$1,Pesos!$A:$I,9,FALSE)))</f>
        <v>-4.0000000000000008E-2</v>
      </c>
      <c r="AG647" s="80">
        <f>IF(O647="","",IF(O647="SIM",VLOOKUP($I647&amp;$J647&amp;O$1,Pesos!$A:$I,7,FALSE),VLOOKUP($I647&amp;$J647&amp;O$1,Pesos!$A:$I,9,FALSE)))</f>
        <v>0.8</v>
      </c>
      <c r="AH647" s="80">
        <f>IF(P647="","",IF(P647="SIM",VLOOKUP($I647&amp;$J647&amp;P$1,Pesos!$A:$I,7,FALSE),VLOOKUP($I647&amp;$J647&amp;P$1,Pesos!$A:$I,9,FALSE)))</f>
        <v>1.2</v>
      </c>
      <c r="AI647" s="80">
        <f>IF(Q647="","",IF(Q647="SIM",VLOOKUP($I647&amp;$J647&amp;Q$1,Pesos!$A:$I,7,FALSE),VLOOKUP($I647&amp;$J647&amp;Q$1,Pesos!$A:$I,9,FALSE)))</f>
        <v>0.8</v>
      </c>
      <c r="AJ647" s="80">
        <f>IF(R647="","",IF(R647="SIM",VLOOKUP($I647&amp;$J647&amp;R$1,Pesos!$A:$I,7,FALSE),VLOOKUP($I647&amp;$J647&amp;R$1,Pesos!$A:$I,9,FALSE)))</f>
        <v>0.8</v>
      </c>
      <c r="AK647" s="80">
        <f>IF(S647="","",IF(S647="SIM",VLOOKUP($I647&amp;$J647&amp;S$1,Pesos!$A:$I,7,FALSE),VLOOKUP($I647&amp;$J647&amp;S$1,Pesos!$A:$I,9,FALSE)))</f>
        <v>0.8</v>
      </c>
      <c r="AL647" s="80">
        <f t="shared" si="92"/>
        <v>4.3599999999999994</v>
      </c>
      <c r="AM647" s="80">
        <f>IF(T647="","",IF(T647="SIM",VLOOKUP($I647&amp;$J647&amp;T$1,Pesos!$A:$I,7,FALSE),VLOOKUP($I647&amp;$J647&amp;T$1,Pesos!$A:$I,9,FALSE)))</f>
        <v>0.8</v>
      </c>
      <c r="AN647" s="80">
        <f>IF(U647="","",IF(U647="SIM",VLOOKUP($I647&amp;$J647&amp;U$1,Pesos!$A:$I,7,FALSE),VLOOKUP($I647&amp;$J647&amp;U$1,Pesos!$A:$I,9,FALSE)))</f>
        <v>0.8</v>
      </c>
      <c r="AO647" s="80">
        <f>IF(V647="","",IF(V647="SIM",VLOOKUP($I647&amp;$J647&amp;V$1,Pesos!$A:$I,7,FALSE),VLOOKUP($I647&amp;$J647&amp;V$1,Pesos!$A:$I,9,FALSE)))</f>
        <v>0.8</v>
      </c>
      <c r="AP647" s="80">
        <f>IF(W647="","",IF(W647="SIM",VLOOKUP($I647&amp;$J647&amp;W$1,Pesos!$A:$I,7,FALSE),VLOOKUP($I647&amp;$J647&amp;W$1,Pesos!$A:$I,9,FALSE)))</f>
        <v>0.8</v>
      </c>
      <c r="AQ647" s="80">
        <f>IF(X647="","",IF(X647="SIM",VLOOKUP($I647&amp;$J647&amp;X$1,Pesos!$A:$I,7,FALSE),VLOOKUP($I647&amp;$J647&amp;X$1,Pesos!$A:$I,9,FALSE)))</f>
        <v>0.8</v>
      </c>
      <c r="AR647" s="80">
        <f>IF(Y647="","",IF(Y647="SIM",VLOOKUP($I647&amp;$J647&amp;Y$1,Pesos!$A:$I,7,FALSE),VLOOKUP($I647&amp;$J647&amp;Y$1,Pesos!$A:$I,9,FALSE)))</f>
        <v>0.8</v>
      </c>
      <c r="AS647" s="81">
        <f>IFERROR(Z647*VLOOKUP(J647,'BD Campos'!$Y$1:$Z$12,2,FALSE),"0")</f>
        <v>9.16</v>
      </c>
    </row>
    <row r="648" spans="1:45" x14ac:dyDescent="0.35">
      <c r="A648" s="68" t="str">
        <f t="shared" si="96"/>
        <v>Fev202511196ReceptivaTRANSFERÊNCIA</v>
      </c>
      <c r="B648" s="114" t="str">
        <f t="shared" si="97"/>
        <v>Fev2025111965TRANSFERÊNCIAPADRÃO</v>
      </c>
      <c r="C648" s="70">
        <v>1</v>
      </c>
      <c r="D648" s="71">
        <v>45701.592535995369</v>
      </c>
      <c r="E648" s="112" t="s">
        <v>338</v>
      </c>
      <c r="F648" s="72">
        <v>11196</v>
      </c>
      <c r="G648" s="69" t="s">
        <v>1384</v>
      </c>
      <c r="H648" s="73">
        <v>5</v>
      </c>
      <c r="I648" s="69" t="s">
        <v>6</v>
      </c>
      <c r="J648" s="69" t="s">
        <v>98</v>
      </c>
      <c r="K648" s="69" t="s">
        <v>106</v>
      </c>
      <c r="L648" s="74"/>
      <c r="M648" s="75">
        <v>1.2384259259259258E-3</v>
      </c>
      <c r="N648" s="76" t="s">
        <v>83</v>
      </c>
      <c r="O648" s="76" t="s">
        <v>79</v>
      </c>
      <c r="P648" s="76" t="s">
        <v>79</v>
      </c>
      <c r="Q648" s="76" t="s">
        <v>83</v>
      </c>
      <c r="R648" s="76" t="s">
        <v>79</v>
      </c>
      <c r="S648" s="76" t="s">
        <v>79</v>
      </c>
      <c r="T648" s="76" t="s">
        <v>79</v>
      </c>
      <c r="U648" s="76" t="s">
        <v>79</v>
      </c>
      <c r="V648" s="76" t="s">
        <v>79</v>
      </c>
      <c r="W648" s="76" t="s">
        <v>79</v>
      </c>
      <c r="X648" s="76" t="s">
        <v>79</v>
      </c>
      <c r="Y648" s="76" t="s">
        <v>79</v>
      </c>
      <c r="Z648" s="77">
        <f t="shared" si="79"/>
        <v>8.3199999999999985</v>
      </c>
      <c r="AA648" s="78" t="s">
        <v>1616</v>
      </c>
      <c r="AB648" s="78"/>
      <c r="AC648" s="72" t="s">
        <v>47</v>
      </c>
      <c r="AE648" s="79" t="str">
        <f t="shared" si="95"/>
        <v>Fev11196</v>
      </c>
      <c r="AF648" s="80">
        <f>IF(N648="","",IF(N648="SIM",VLOOKUP($I648&amp;$J648&amp;N$1,Pesos!$A:$I,7,FALSE),VLOOKUP($I648&amp;$J648&amp;N$1,Pesos!$A:$I,9,FALSE)))</f>
        <v>-4.0000000000000008E-2</v>
      </c>
      <c r="AG648" s="80">
        <f>IF(O648="","",IF(O648="SIM",VLOOKUP($I648&amp;$J648&amp;O$1,Pesos!$A:$I,7,FALSE),VLOOKUP($I648&amp;$J648&amp;O$1,Pesos!$A:$I,9,FALSE)))</f>
        <v>0.8</v>
      </c>
      <c r="AH648" s="80">
        <f>IF(P648="","",IF(P648="SIM",VLOOKUP($I648&amp;$J648&amp;P$1,Pesos!$A:$I,7,FALSE),VLOOKUP($I648&amp;$J648&amp;P$1,Pesos!$A:$I,9,FALSE)))</f>
        <v>1.2</v>
      </c>
      <c r="AI648" s="80">
        <f>IF(Q648="","",IF(Q648="SIM",VLOOKUP($I648&amp;$J648&amp;Q$1,Pesos!$A:$I,7,FALSE),VLOOKUP($I648&amp;$J648&amp;Q$1,Pesos!$A:$I,9,FALSE)))</f>
        <v>-4.0000000000000008E-2</v>
      </c>
      <c r="AJ648" s="80">
        <f>IF(R648="","",IF(R648="SIM",VLOOKUP($I648&amp;$J648&amp;R$1,Pesos!$A:$I,7,FALSE),VLOOKUP($I648&amp;$J648&amp;R$1,Pesos!$A:$I,9,FALSE)))</f>
        <v>0.8</v>
      </c>
      <c r="AK648" s="80">
        <f>IF(S648="","",IF(S648="SIM",VLOOKUP($I648&amp;$J648&amp;S$1,Pesos!$A:$I,7,FALSE),VLOOKUP($I648&amp;$J648&amp;S$1,Pesos!$A:$I,9,FALSE)))</f>
        <v>0.8</v>
      </c>
      <c r="AL648" s="80">
        <f t="shared" si="92"/>
        <v>3.5199999999999996</v>
      </c>
      <c r="AM648" s="80">
        <f>IF(T648="","",IF(T648="SIM",VLOOKUP($I648&amp;$J648&amp;T$1,Pesos!$A:$I,7,FALSE),VLOOKUP($I648&amp;$J648&amp;T$1,Pesos!$A:$I,9,FALSE)))</f>
        <v>0.8</v>
      </c>
      <c r="AN648" s="80">
        <f>IF(U648="","",IF(U648="SIM",VLOOKUP($I648&amp;$J648&amp;U$1,Pesos!$A:$I,7,FALSE),VLOOKUP($I648&amp;$J648&amp;U$1,Pesos!$A:$I,9,FALSE)))</f>
        <v>0.8</v>
      </c>
      <c r="AO648" s="80">
        <f>IF(V648="","",IF(V648="SIM",VLOOKUP($I648&amp;$J648&amp;V$1,Pesos!$A:$I,7,FALSE),VLOOKUP($I648&amp;$J648&amp;V$1,Pesos!$A:$I,9,FALSE)))</f>
        <v>0.8</v>
      </c>
      <c r="AP648" s="80">
        <f>IF(W648="","",IF(W648="SIM",VLOOKUP($I648&amp;$J648&amp;W$1,Pesos!$A:$I,7,FALSE),VLOOKUP($I648&amp;$J648&amp;W$1,Pesos!$A:$I,9,FALSE)))</f>
        <v>0.8</v>
      </c>
      <c r="AQ648" s="80">
        <f>IF(X648="","",IF(X648="SIM",VLOOKUP($I648&amp;$J648&amp;X$1,Pesos!$A:$I,7,FALSE),VLOOKUP($I648&amp;$J648&amp;X$1,Pesos!$A:$I,9,FALSE)))</f>
        <v>0.8</v>
      </c>
      <c r="AR648" s="80">
        <f>IF(Y648="","",IF(Y648="SIM",VLOOKUP($I648&amp;$J648&amp;Y$1,Pesos!$A:$I,7,FALSE),VLOOKUP($I648&amp;$J648&amp;Y$1,Pesos!$A:$I,9,FALSE)))</f>
        <v>0.8</v>
      </c>
      <c r="AS648" s="81">
        <f>IFERROR(Z648*VLOOKUP(J648,'BD Campos'!$Y$1:$Z$12,2,FALSE),"0")</f>
        <v>8.3199999999999985</v>
      </c>
    </row>
    <row r="649" spans="1:45" x14ac:dyDescent="0.35">
      <c r="A649" s="68" t="str">
        <f t="shared" si="96"/>
        <v>Fev202511094ReceptivaTRANSFERÊNCIA</v>
      </c>
      <c r="B649" s="114" t="str">
        <f t="shared" si="97"/>
        <v>Fev2025110945TRANSFERÊNCIAPADRÃO</v>
      </c>
      <c r="C649" s="70">
        <v>1</v>
      </c>
      <c r="D649" s="71">
        <v>45701.597254282409</v>
      </c>
      <c r="E649" s="112" t="s">
        <v>338</v>
      </c>
      <c r="F649" s="72">
        <v>11094</v>
      </c>
      <c r="G649" s="69" t="s">
        <v>418</v>
      </c>
      <c r="H649" s="73">
        <v>5</v>
      </c>
      <c r="I649" s="69" t="s">
        <v>6</v>
      </c>
      <c r="J649" s="69" t="s">
        <v>98</v>
      </c>
      <c r="K649" s="69" t="s">
        <v>106</v>
      </c>
      <c r="L649" s="74"/>
      <c r="M649" s="75">
        <v>1.9097222222222222E-3</v>
      </c>
      <c r="N649" s="76" t="s">
        <v>79</v>
      </c>
      <c r="O649" s="76" t="s">
        <v>79</v>
      </c>
      <c r="P649" s="76" t="s">
        <v>79</v>
      </c>
      <c r="Q649" s="76" t="s">
        <v>79</v>
      </c>
      <c r="R649" s="76" t="s">
        <v>79</v>
      </c>
      <c r="S649" s="76" t="s">
        <v>79</v>
      </c>
      <c r="T649" s="76" t="s">
        <v>79</v>
      </c>
      <c r="U649" s="76" t="s">
        <v>79</v>
      </c>
      <c r="V649" s="76" t="s">
        <v>79</v>
      </c>
      <c r="W649" s="76" t="s">
        <v>79</v>
      </c>
      <c r="X649" s="76" t="s">
        <v>79</v>
      </c>
      <c r="Y649" s="76" t="s">
        <v>79</v>
      </c>
      <c r="Z649" s="77">
        <f t="shared" si="79"/>
        <v>10</v>
      </c>
      <c r="AA649" s="78"/>
      <c r="AB649" s="78"/>
      <c r="AC649" s="72" t="s">
        <v>47</v>
      </c>
      <c r="AE649" s="79" t="str">
        <f t="shared" si="95"/>
        <v>Fev11094</v>
      </c>
      <c r="AF649" s="80">
        <f>IF(N649="","",IF(N649="SIM",VLOOKUP($I649&amp;$J649&amp;N$1,Pesos!$A:$I,7,FALSE),VLOOKUP($I649&amp;$J649&amp;N$1,Pesos!$A:$I,9,FALSE)))</f>
        <v>0.8</v>
      </c>
      <c r="AG649" s="80">
        <f>IF(O649="","",IF(O649="SIM",VLOOKUP($I649&amp;$J649&amp;O$1,Pesos!$A:$I,7,FALSE),VLOOKUP($I649&amp;$J649&amp;O$1,Pesos!$A:$I,9,FALSE)))</f>
        <v>0.8</v>
      </c>
      <c r="AH649" s="80">
        <f>IF(P649="","",IF(P649="SIM",VLOOKUP($I649&amp;$J649&amp;P$1,Pesos!$A:$I,7,FALSE),VLOOKUP($I649&amp;$J649&amp;P$1,Pesos!$A:$I,9,FALSE)))</f>
        <v>1.2</v>
      </c>
      <c r="AI649" s="80">
        <f>IF(Q649="","",IF(Q649="SIM",VLOOKUP($I649&amp;$J649&amp;Q$1,Pesos!$A:$I,7,FALSE),VLOOKUP($I649&amp;$J649&amp;Q$1,Pesos!$A:$I,9,FALSE)))</f>
        <v>0.8</v>
      </c>
      <c r="AJ649" s="80">
        <f>IF(R649="","",IF(R649="SIM",VLOOKUP($I649&amp;$J649&amp;R$1,Pesos!$A:$I,7,FALSE),VLOOKUP($I649&amp;$J649&amp;R$1,Pesos!$A:$I,9,FALSE)))</f>
        <v>0.8</v>
      </c>
      <c r="AK649" s="80">
        <f>IF(S649="","",IF(S649="SIM",VLOOKUP($I649&amp;$J649&amp;S$1,Pesos!$A:$I,7,FALSE),VLOOKUP($I649&amp;$J649&amp;S$1,Pesos!$A:$I,9,FALSE)))</f>
        <v>0.8</v>
      </c>
      <c r="AL649" s="80">
        <f t="shared" si="92"/>
        <v>5.1999999999999993</v>
      </c>
      <c r="AM649" s="80">
        <f>IF(T649="","",IF(T649="SIM",VLOOKUP($I649&amp;$J649&amp;T$1,Pesos!$A:$I,7,FALSE),VLOOKUP($I649&amp;$J649&amp;T$1,Pesos!$A:$I,9,FALSE)))</f>
        <v>0.8</v>
      </c>
      <c r="AN649" s="80">
        <f>IF(U649="","",IF(U649="SIM",VLOOKUP($I649&amp;$J649&amp;U$1,Pesos!$A:$I,7,FALSE),VLOOKUP($I649&amp;$J649&amp;U$1,Pesos!$A:$I,9,FALSE)))</f>
        <v>0.8</v>
      </c>
      <c r="AO649" s="80">
        <f>IF(V649="","",IF(V649="SIM",VLOOKUP($I649&amp;$J649&amp;V$1,Pesos!$A:$I,7,FALSE),VLOOKUP($I649&amp;$J649&amp;V$1,Pesos!$A:$I,9,FALSE)))</f>
        <v>0.8</v>
      </c>
      <c r="AP649" s="80">
        <f>IF(W649="","",IF(W649="SIM",VLOOKUP($I649&amp;$J649&amp;W$1,Pesos!$A:$I,7,FALSE),VLOOKUP($I649&amp;$J649&amp;W$1,Pesos!$A:$I,9,FALSE)))</f>
        <v>0.8</v>
      </c>
      <c r="AQ649" s="80">
        <f>IF(X649="","",IF(X649="SIM",VLOOKUP($I649&amp;$J649&amp;X$1,Pesos!$A:$I,7,FALSE),VLOOKUP($I649&amp;$J649&amp;X$1,Pesos!$A:$I,9,FALSE)))</f>
        <v>0.8</v>
      </c>
      <c r="AR649" s="80">
        <f>IF(Y649="","",IF(Y649="SIM",VLOOKUP($I649&amp;$J649&amp;Y$1,Pesos!$A:$I,7,FALSE),VLOOKUP($I649&amp;$J649&amp;Y$1,Pesos!$A:$I,9,FALSE)))</f>
        <v>0.8</v>
      </c>
      <c r="AS649" s="81">
        <f>IFERROR(Z649*VLOOKUP(J649,'BD Campos'!$Y$1:$Z$12,2,FALSE),"0")</f>
        <v>10</v>
      </c>
    </row>
    <row r="650" spans="1:45" x14ac:dyDescent="0.35">
      <c r="A650" s="68" t="str">
        <f t="shared" si="96"/>
        <v>Fev202511051ReceptivaTRANSFERÊNCIA</v>
      </c>
      <c r="B650" s="114" t="str">
        <f t="shared" si="97"/>
        <v>Fev2025110515TRANSFERÊNCIAPADRÃO</v>
      </c>
      <c r="C650" s="70">
        <v>1</v>
      </c>
      <c r="D650" s="71">
        <v>45701.600580787039</v>
      </c>
      <c r="E650" s="112" t="s">
        <v>338</v>
      </c>
      <c r="F650" s="72">
        <v>11051</v>
      </c>
      <c r="G650" s="69" t="s">
        <v>380</v>
      </c>
      <c r="H650" s="73">
        <v>5</v>
      </c>
      <c r="I650" s="69" t="s">
        <v>6</v>
      </c>
      <c r="J650" s="69" t="s">
        <v>98</v>
      </c>
      <c r="K650" s="69" t="s">
        <v>106</v>
      </c>
      <c r="L650" s="74"/>
      <c r="M650" s="75">
        <v>1.5162037037037036E-3</v>
      </c>
      <c r="N650" s="76" t="s">
        <v>79</v>
      </c>
      <c r="O650" s="76" t="s">
        <v>79</v>
      </c>
      <c r="P650" s="76" t="s">
        <v>79</v>
      </c>
      <c r="Q650" s="76" t="s">
        <v>79</v>
      </c>
      <c r="R650" s="76" t="s">
        <v>79</v>
      </c>
      <c r="S650" s="76" t="s">
        <v>79</v>
      </c>
      <c r="T650" s="76" t="s">
        <v>79</v>
      </c>
      <c r="U650" s="76" t="s">
        <v>79</v>
      </c>
      <c r="V650" s="76" t="s">
        <v>79</v>
      </c>
      <c r="W650" s="76" t="s">
        <v>79</v>
      </c>
      <c r="X650" s="76" t="s">
        <v>79</v>
      </c>
      <c r="Y650" s="76" t="s">
        <v>79</v>
      </c>
      <c r="Z650" s="77">
        <f t="shared" si="79"/>
        <v>10</v>
      </c>
      <c r="AA650" s="78"/>
      <c r="AB650" s="78"/>
      <c r="AC650" s="72" t="s">
        <v>47</v>
      </c>
      <c r="AE650" s="79" t="str">
        <f t="shared" si="95"/>
        <v>Fev11051</v>
      </c>
      <c r="AF650" s="80">
        <f>IF(N650="","",IF(N650="SIM",VLOOKUP($I650&amp;$J650&amp;N$1,Pesos!$A:$I,7,FALSE),VLOOKUP($I650&amp;$J650&amp;N$1,Pesos!$A:$I,9,FALSE)))</f>
        <v>0.8</v>
      </c>
      <c r="AG650" s="80">
        <f>IF(O650="","",IF(O650="SIM",VLOOKUP($I650&amp;$J650&amp;O$1,Pesos!$A:$I,7,FALSE),VLOOKUP($I650&amp;$J650&amp;O$1,Pesos!$A:$I,9,FALSE)))</f>
        <v>0.8</v>
      </c>
      <c r="AH650" s="80">
        <f>IF(P650="","",IF(P650="SIM",VLOOKUP($I650&amp;$J650&amp;P$1,Pesos!$A:$I,7,FALSE),VLOOKUP($I650&amp;$J650&amp;P$1,Pesos!$A:$I,9,FALSE)))</f>
        <v>1.2</v>
      </c>
      <c r="AI650" s="80">
        <f>IF(Q650="","",IF(Q650="SIM",VLOOKUP($I650&amp;$J650&amp;Q$1,Pesos!$A:$I,7,FALSE),VLOOKUP($I650&amp;$J650&amp;Q$1,Pesos!$A:$I,9,FALSE)))</f>
        <v>0.8</v>
      </c>
      <c r="AJ650" s="80">
        <f>IF(R650="","",IF(R650="SIM",VLOOKUP($I650&amp;$J650&amp;R$1,Pesos!$A:$I,7,FALSE),VLOOKUP($I650&amp;$J650&amp;R$1,Pesos!$A:$I,9,FALSE)))</f>
        <v>0.8</v>
      </c>
      <c r="AK650" s="80">
        <f>IF(S650="","",IF(S650="SIM",VLOOKUP($I650&amp;$J650&amp;S$1,Pesos!$A:$I,7,FALSE),VLOOKUP($I650&amp;$J650&amp;S$1,Pesos!$A:$I,9,FALSE)))</f>
        <v>0.8</v>
      </c>
      <c r="AL650" s="80">
        <f t="shared" si="92"/>
        <v>5.1999999999999993</v>
      </c>
      <c r="AM650" s="80">
        <f>IF(T650="","",IF(T650="SIM",VLOOKUP($I650&amp;$J650&amp;T$1,Pesos!$A:$I,7,FALSE),VLOOKUP($I650&amp;$J650&amp;T$1,Pesos!$A:$I,9,FALSE)))</f>
        <v>0.8</v>
      </c>
      <c r="AN650" s="80">
        <f>IF(U650="","",IF(U650="SIM",VLOOKUP($I650&amp;$J650&amp;U$1,Pesos!$A:$I,7,FALSE),VLOOKUP($I650&amp;$J650&amp;U$1,Pesos!$A:$I,9,FALSE)))</f>
        <v>0.8</v>
      </c>
      <c r="AO650" s="80">
        <f>IF(V650="","",IF(V650="SIM",VLOOKUP($I650&amp;$J650&amp;V$1,Pesos!$A:$I,7,FALSE),VLOOKUP($I650&amp;$J650&amp;V$1,Pesos!$A:$I,9,FALSE)))</f>
        <v>0.8</v>
      </c>
      <c r="AP650" s="80">
        <f>IF(W650="","",IF(W650="SIM",VLOOKUP($I650&amp;$J650&amp;W$1,Pesos!$A:$I,7,FALSE),VLOOKUP($I650&amp;$J650&amp;W$1,Pesos!$A:$I,9,FALSE)))</f>
        <v>0.8</v>
      </c>
      <c r="AQ650" s="80">
        <f>IF(X650="","",IF(X650="SIM",VLOOKUP($I650&amp;$J650&amp;X$1,Pesos!$A:$I,7,FALSE),VLOOKUP($I650&amp;$J650&amp;X$1,Pesos!$A:$I,9,FALSE)))</f>
        <v>0.8</v>
      </c>
      <c r="AR650" s="80">
        <f>IF(Y650="","",IF(Y650="SIM",VLOOKUP($I650&amp;$J650&amp;Y$1,Pesos!$A:$I,7,FALSE),VLOOKUP($I650&amp;$J650&amp;Y$1,Pesos!$A:$I,9,FALSE)))</f>
        <v>0.8</v>
      </c>
      <c r="AS650" s="81">
        <f>IFERROR(Z650*VLOOKUP(J650,'BD Campos'!$Y$1:$Z$12,2,FALSE),"0")</f>
        <v>10</v>
      </c>
    </row>
    <row r="651" spans="1:45" x14ac:dyDescent="0.35">
      <c r="A651" s="68" t="str">
        <f t="shared" si="96"/>
        <v>Fev202511124ReceptivaTRANSFERÊNCIA</v>
      </c>
      <c r="B651" s="114" t="str">
        <f t="shared" si="97"/>
        <v>Fev2025111245TRANSFERÊNCIAPADRÃO</v>
      </c>
      <c r="C651" s="70">
        <v>1</v>
      </c>
      <c r="D651" s="71">
        <v>45701.602256481485</v>
      </c>
      <c r="E651" s="112" t="s">
        <v>338</v>
      </c>
      <c r="F651" s="72">
        <v>11124</v>
      </c>
      <c r="G651" s="69" t="s">
        <v>434</v>
      </c>
      <c r="H651" s="73">
        <v>5</v>
      </c>
      <c r="I651" s="69" t="s">
        <v>6</v>
      </c>
      <c r="J651" s="69" t="s">
        <v>98</v>
      </c>
      <c r="K651" s="69" t="s">
        <v>106</v>
      </c>
      <c r="L651" s="74"/>
      <c r="M651" s="75">
        <v>2.0949074074074073E-3</v>
      </c>
      <c r="N651" s="76" t="s">
        <v>79</v>
      </c>
      <c r="O651" s="76" t="s">
        <v>79</v>
      </c>
      <c r="P651" s="76" t="s">
        <v>79</v>
      </c>
      <c r="Q651" s="76" t="s">
        <v>79</v>
      </c>
      <c r="R651" s="76" t="s">
        <v>79</v>
      </c>
      <c r="S651" s="76" t="s">
        <v>79</v>
      </c>
      <c r="T651" s="76" t="s">
        <v>79</v>
      </c>
      <c r="U651" s="76" t="s">
        <v>79</v>
      </c>
      <c r="V651" s="76" t="s">
        <v>79</v>
      </c>
      <c r="W651" s="76" t="s">
        <v>79</v>
      </c>
      <c r="X651" s="76" t="s">
        <v>79</v>
      </c>
      <c r="Y651" s="76" t="s">
        <v>83</v>
      </c>
      <c r="Z651" s="77">
        <f t="shared" si="79"/>
        <v>9.16</v>
      </c>
      <c r="AA651" s="78" t="s">
        <v>1709</v>
      </c>
      <c r="AB651" s="78"/>
      <c r="AC651" s="72" t="s">
        <v>47</v>
      </c>
      <c r="AE651" s="79" t="str">
        <f t="shared" si="95"/>
        <v>Fev11124</v>
      </c>
      <c r="AF651" s="80">
        <f>IF(N651="","",IF(N651="SIM",VLOOKUP($I651&amp;$J651&amp;N$1,Pesos!$A:$I,7,FALSE),VLOOKUP($I651&amp;$J651&amp;N$1,Pesos!$A:$I,9,FALSE)))</f>
        <v>0.8</v>
      </c>
      <c r="AG651" s="80">
        <f>IF(O651="","",IF(O651="SIM",VLOOKUP($I651&amp;$J651&amp;O$1,Pesos!$A:$I,7,FALSE),VLOOKUP($I651&amp;$J651&amp;O$1,Pesos!$A:$I,9,FALSE)))</f>
        <v>0.8</v>
      </c>
      <c r="AH651" s="80">
        <f>IF(P651="","",IF(P651="SIM",VLOOKUP($I651&amp;$J651&amp;P$1,Pesos!$A:$I,7,FALSE),VLOOKUP($I651&amp;$J651&amp;P$1,Pesos!$A:$I,9,FALSE)))</f>
        <v>1.2</v>
      </c>
      <c r="AI651" s="80">
        <f>IF(Q651="","",IF(Q651="SIM",VLOOKUP($I651&amp;$J651&amp;Q$1,Pesos!$A:$I,7,FALSE),VLOOKUP($I651&amp;$J651&amp;Q$1,Pesos!$A:$I,9,FALSE)))</f>
        <v>0.8</v>
      </c>
      <c r="AJ651" s="80">
        <f>IF(R651="","",IF(R651="SIM",VLOOKUP($I651&amp;$J651&amp;R$1,Pesos!$A:$I,7,FALSE),VLOOKUP($I651&amp;$J651&amp;R$1,Pesos!$A:$I,9,FALSE)))</f>
        <v>0.8</v>
      </c>
      <c r="AK651" s="80">
        <f>IF(S651="","",IF(S651="SIM",VLOOKUP($I651&amp;$J651&amp;S$1,Pesos!$A:$I,7,FALSE),VLOOKUP($I651&amp;$J651&amp;S$1,Pesos!$A:$I,9,FALSE)))</f>
        <v>0.8</v>
      </c>
      <c r="AL651" s="80">
        <f t="shared" si="92"/>
        <v>5.1999999999999993</v>
      </c>
      <c r="AM651" s="80">
        <f>IF(T651="","",IF(T651="SIM",VLOOKUP($I651&amp;$J651&amp;T$1,Pesos!$A:$I,7,FALSE),VLOOKUP($I651&amp;$J651&amp;T$1,Pesos!$A:$I,9,FALSE)))</f>
        <v>0.8</v>
      </c>
      <c r="AN651" s="80">
        <f>IF(U651="","",IF(U651="SIM",VLOOKUP($I651&amp;$J651&amp;U$1,Pesos!$A:$I,7,FALSE),VLOOKUP($I651&amp;$J651&amp;U$1,Pesos!$A:$I,9,FALSE)))</f>
        <v>0.8</v>
      </c>
      <c r="AO651" s="80">
        <f>IF(V651="","",IF(V651="SIM",VLOOKUP($I651&amp;$J651&amp;V$1,Pesos!$A:$I,7,FALSE),VLOOKUP($I651&amp;$J651&amp;V$1,Pesos!$A:$I,9,FALSE)))</f>
        <v>0.8</v>
      </c>
      <c r="AP651" s="80">
        <f>IF(W651="","",IF(W651="SIM",VLOOKUP($I651&amp;$J651&amp;W$1,Pesos!$A:$I,7,FALSE),VLOOKUP($I651&amp;$J651&amp;W$1,Pesos!$A:$I,9,FALSE)))</f>
        <v>0.8</v>
      </c>
      <c r="AQ651" s="80">
        <f>IF(X651="","",IF(X651="SIM",VLOOKUP($I651&amp;$J651&amp;X$1,Pesos!$A:$I,7,FALSE),VLOOKUP($I651&amp;$J651&amp;X$1,Pesos!$A:$I,9,FALSE)))</f>
        <v>0.8</v>
      </c>
      <c r="AR651" s="80">
        <f>IF(Y651="","",IF(Y651="SIM",VLOOKUP($I651&amp;$J651&amp;Y$1,Pesos!$A:$I,7,FALSE),VLOOKUP($I651&amp;$J651&amp;Y$1,Pesos!$A:$I,9,FALSE)))</f>
        <v>-4.0000000000000008E-2</v>
      </c>
      <c r="AS651" s="81">
        <f>IFERROR(Z651*VLOOKUP(J651,'BD Campos'!$Y$1:$Z$12,2,FALSE),"0")</f>
        <v>9.16</v>
      </c>
    </row>
    <row r="652" spans="1:45" x14ac:dyDescent="0.35">
      <c r="A652" s="68" t="str">
        <f t="shared" si="96"/>
        <v>Fev202510946ReceptivaTRANSFERÊNCIA</v>
      </c>
      <c r="B652" s="114" t="str">
        <f t="shared" si="97"/>
        <v>Fev2025109465TRANSFERÊNCIAPADRÃO</v>
      </c>
      <c r="C652" s="70">
        <v>1</v>
      </c>
      <c r="D652" s="71">
        <v>45701.615158680557</v>
      </c>
      <c r="E652" s="112" t="s">
        <v>338</v>
      </c>
      <c r="F652" s="72">
        <v>10946</v>
      </c>
      <c r="G652" s="69" t="s">
        <v>135</v>
      </c>
      <c r="H652" s="73">
        <v>5</v>
      </c>
      <c r="I652" s="69" t="s">
        <v>6</v>
      </c>
      <c r="J652" s="69" t="s">
        <v>98</v>
      </c>
      <c r="K652" s="69" t="s">
        <v>106</v>
      </c>
      <c r="L652" s="74"/>
      <c r="M652" s="75">
        <v>1.2962962962962963E-3</v>
      </c>
      <c r="N652" s="76" t="s">
        <v>79</v>
      </c>
      <c r="O652" s="76" t="s">
        <v>79</v>
      </c>
      <c r="P652" s="76" t="s">
        <v>79</v>
      </c>
      <c r="Q652" s="76" t="s">
        <v>79</v>
      </c>
      <c r="R652" s="76" t="s">
        <v>79</v>
      </c>
      <c r="S652" s="76" t="s">
        <v>79</v>
      </c>
      <c r="T652" s="76" t="s">
        <v>83</v>
      </c>
      <c r="U652" s="76" t="s">
        <v>79</v>
      </c>
      <c r="V652" s="76" t="s">
        <v>79</v>
      </c>
      <c r="W652" s="76" t="s">
        <v>79</v>
      </c>
      <c r="X652" s="76" t="s">
        <v>79</v>
      </c>
      <c r="Y652" s="76" t="s">
        <v>79</v>
      </c>
      <c r="Z652" s="77">
        <f t="shared" si="79"/>
        <v>9.16</v>
      </c>
      <c r="AA652" s="78"/>
      <c r="AB652" s="78"/>
      <c r="AC652" s="72" t="s">
        <v>47</v>
      </c>
      <c r="AE652" s="79" t="str">
        <f t="shared" si="95"/>
        <v>Fev10946</v>
      </c>
      <c r="AF652" s="80">
        <f>IF(N652="","",IF(N652="SIM",VLOOKUP($I652&amp;$J652&amp;N$1,Pesos!$A:$I,7,FALSE),VLOOKUP($I652&amp;$J652&amp;N$1,Pesos!$A:$I,9,FALSE)))</f>
        <v>0.8</v>
      </c>
      <c r="AG652" s="80">
        <f>IF(O652="","",IF(O652="SIM",VLOOKUP($I652&amp;$J652&amp;O$1,Pesos!$A:$I,7,FALSE),VLOOKUP($I652&amp;$J652&amp;O$1,Pesos!$A:$I,9,FALSE)))</f>
        <v>0.8</v>
      </c>
      <c r="AH652" s="80">
        <f>IF(P652="","",IF(P652="SIM",VLOOKUP($I652&amp;$J652&amp;P$1,Pesos!$A:$I,7,FALSE),VLOOKUP($I652&amp;$J652&amp;P$1,Pesos!$A:$I,9,FALSE)))</f>
        <v>1.2</v>
      </c>
      <c r="AI652" s="80">
        <f>IF(Q652="","",IF(Q652="SIM",VLOOKUP($I652&amp;$J652&amp;Q$1,Pesos!$A:$I,7,FALSE),VLOOKUP($I652&amp;$J652&amp;Q$1,Pesos!$A:$I,9,FALSE)))</f>
        <v>0.8</v>
      </c>
      <c r="AJ652" s="80">
        <f>IF(R652="","",IF(R652="SIM",VLOOKUP($I652&amp;$J652&amp;R$1,Pesos!$A:$I,7,FALSE),VLOOKUP($I652&amp;$J652&amp;R$1,Pesos!$A:$I,9,FALSE)))</f>
        <v>0.8</v>
      </c>
      <c r="AK652" s="80">
        <f>IF(S652="","",IF(S652="SIM",VLOOKUP($I652&amp;$J652&amp;S$1,Pesos!$A:$I,7,FALSE),VLOOKUP($I652&amp;$J652&amp;S$1,Pesos!$A:$I,9,FALSE)))</f>
        <v>0.8</v>
      </c>
      <c r="AL652" s="80">
        <f t="shared" si="92"/>
        <v>5.1999999999999993</v>
      </c>
      <c r="AM652" s="80">
        <f>IF(T652="","",IF(T652="SIM",VLOOKUP($I652&amp;$J652&amp;T$1,Pesos!$A:$I,7,FALSE),VLOOKUP($I652&amp;$J652&amp;T$1,Pesos!$A:$I,9,FALSE)))</f>
        <v>-4.0000000000000008E-2</v>
      </c>
      <c r="AN652" s="80">
        <f>IF(U652="","",IF(U652="SIM",VLOOKUP($I652&amp;$J652&amp;U$1,Pesos!$A:$I,7,FALSE),VLOOKUP($I652&amp;$J652&amp;U$1,Pesos!$A:$I,9,FALSE)))</f>
        <v>0.8</v>
      </c>
      <c r="AO652" s="80">
        <f>IF(V652="","",IF(V652="SIM",VLOOKUP($I652&amp;$J652&amp;V$1,Pesos!$A:$I,7,FALSE),VLOOKUP($I652&amp;$J652&amp;V$1,Pesos!$A:$I,9,FALSE)))</f>
        <v>0.8</v>
      </c>
      <c r="AP652" s="80">
        <f>IF(W652="","",IF(W652="SIM",VLOOKUP($I652&amp;$J652&amp;W$1,Pesos!$A:$I,7,FALSE),VLOOKUP($I652&amp;$J652&amp;W$1,Pesos!$A:$I,9,FALSE)))</f>
        <v>0.8</v>
      </c>
      <c r="AQ652" s="80">
        <f>IF(X652="","",IF(X652="SIM",VLOOKUP($I652&amp;$J652&amp;X$1,Pesos!$A:$I,7,FALSE),VLOOKUP($I652&amp;$J652&amp;X$1,Pesos!$A:$I,9,FALSE)))</f>
        <v>0.8</v>
      </c>
      <c r="AR652" s="80">
        <f>IF(Y652="","",IF(Y652="SIM",VLOOKUP($I652&amp;$J652&amp;Y$1,Pesos!$A:$I,7,FALSE),VLOOKUP($I652&amp;$J652&amp;Y$1,Pesos!$A:$I,9,FALSE)))</f>
        <v>0.8</v>
      </c>
      <c r="AS652" s="81">
        <f>IFERROR(Z652*VLOOKUP(J652,'BD Campos'!$Y$1:$Z$12,2,FALSE),"0")</f>
        <v>9.16</v>
      </c>
    </row>
    <row r="653" spans="1:45" x14ac:dyDescent="0.35">
      <c r="A653" s="68" t="str">
        <f t="shared" si="96"/>
        <v>Fev202511148ReceptivaTRANSFERÊNCIA</v>
      </c>
      <c r="B653" s="114" t="str">
        <f t="shared" si="97"/>
        <v>Fev2025111485TRANSFERÊNCIAPADRÃO</v>
      </c>
      <c r="C653" s="70">
        <v>1</v>
      </c>
      <c r="D653" s="71">
        <v>45701.61681446759</v>
      </c>
      <c r="E653" s="112" t="s">
        <v>338</v>
      </c>
      <c r="F653" s="72">
        <v>11148</v>
      </c>
      <c r="G653" s="69" t="s">
        <v>435</v>
      </c>
      <c r="H653" s="73">
        <v>5</v>
      </c>
      <c r="I653" s="69" t="s">
        <v>6</v>
      </c>
      <c r="J653" s="69" t="s">
        <v>98</v>
      </c>
      <c r="K653" s="69" t="s">
        <v>106</v>
      </c>
      <c r="L653" s="74"/>
      <c r="M653" s="75">
        <v>1.7013888888888892E-3</v>
      </c>
      <c r="N653" s="76" t="s">
        <v>79</v>
      </c>
      <c r="O653" s="76" t="s">
        <v>79</v>
      </c>
      <c r="P653" s="76" t="s">
        <v>79</v>
      </c>
      <c r="Q653" s="76" t="s">
        <v>79</v>
      </c>
      <c r="R653" s="76" t="s">
        <v>79</v>
      </c>
      <c r="S653" s="76" t="s">
        <v>79</v>
      </c>
      <c r="T653" s="76" t="s">
        <v>79</v>
      </c>
      <c r="U653" s="76" t="s">
        <v>79</v>
      </c>
      <c r="V653" s="76" t="s">
        <v>79</v>
      </c>
      <c r="W653" s="76" t="s">
        <v>79</v>
      </c>
      <c r="X653" s="76" t="s">
        <v>79</v>
      </c>
      <c r="Y653" s="76" t="s">
        <v>79</v>
      </c>
      <c r="Z653" s="77">
        <f t="shared" si="79"/>
        <v>10</v>
      </c>
      <c r="AA653" s="78"/>
      <c r="AB653" s="78"/>
      <c r="AC653" s="72" t="s">
        <v>47</v>
      </c>
      <c r="AE653" s="79" t="str">
        <f t="shared" si="95"/>
        <v>Fev11148</v>
      </c>
      <c r="AF653" s="80">
        <f>IF(N653="","",IF(N653="SIM",VLOOKUP($I653&amp;$J653&amp;N$1,Pesos!$A:$I,7,FALSE),VLOOKUP($I653&amp;$J653&amp;N$1,Pesos!$A:$I,9,FALSE)))</f>
        <v>0.8</v>
      </c>
      <c r="AG653" s="80">
        <f>IF(O653="","",IF(O653="SIM",VLOOKUP($I653&amp;$J653&amp;O$1,Pesos!$A:$I,7,FALSE),VLOOKUP($I653&amp;$J653&amp;O$1,Pesos!$A:$I,9,FALSE)))</f>
        <v>0.8</v>
      </c>
      <c r="AH653" s="80">
        <f>IF(P653="","",IF(P653="SIM",VLOOKUP($I653&amp;$J653&amp;P$1,Pesos!$A:$I,7,FALSE),VLOOKUP($I653&amp;$J653&amp;P$1,Pesos!$A:$I,9,FALSE)))</f>
        <v>1.2</v>
      </c>
      <c r="AI653" s="80">
        <f>IF(Q653="","",IF(Q653="SIM",VLOOKUP($I653&amp;$J653&amp;Q$1,Pesos!$A:$I,7,FALSE),VLOOKUP($I653&amp;$J653&amp;Q$1,Pesos!$A:$I,9,FALSE)))</f>
        <v>0.8</v>
      </c>
      <c r="AJ653" s="80">
        <f>IF(R653="","",IF(R653="SIM",VLOOKUP($I653&amp;$J653&amp;R$1,Pesos!$A:$I,7,FALSE),VLOOKUP($I653&amp;$J653&amp;R$1,Pesos!$A:$I,9,FALSE)))</f>
        <v>0.8</v>
      </c>
      <c r="AK653" s="80">
        <f>IF(S653="","",IF(S653="SIM",VLOOKUP($I653&amp;$J653&amp;S$1,Pesos!$A:$I,7,FALSE),VLOOKUP($I653&amp;$J653&amp;S$1,Pesos!$A:$I,9,FALSE)))</f>
        <v>0.8</v>
      </c>
      <c r="AL653" s="80">
        <f t="shared" si="92"/>
        <v>5.1999999999999993</v>
      </c>
      <c r="AM653" s="80">
        <f>IF(T653="","",IF(T653="SIM",VLOOKUP($I653&amp;$J653&amp;T$1,Pesos!$A:$I,7,FALSE),VLOOKUP($I653&amp;$J653&amp;T$1,Pesos!$A:$I,9,FALSE)))</f>
        <v>0.8</v>
      </c>
      <c r="AN653" s="80">
        <f>IF(U653="","",IF(U653="SIM",VLOOKUP($I653&amp;$J653&amp;U$1,Pesos!$A:$I,7,FALSE),VLOOKUP($I653&amp;$J653&amp;U$1,Pesos!$A:$I,9,FALSE)))</f>
        <v>0.8</v>
      </c>
      <c r="AO653" s="80">
        <f>IF(V653="","",IF(V653="SIM",VLOOKUP($I653&amp;$J653&amp;V$1,Pesos!$A:$I,7,FALSE),VLOOKUP($I653&amp;$J653&amp;V$1,Pesos!$A:$I,9,FALSE)))</f>
        <v>0.8</v>
      </c>
      <c r="AP653" s="80">
        <f>IF(W653="","",IF(W653="SIM",VLOOKUP($I653&amp;$J653&amp;W$1,Pesos!$A:$I,7,FALSE),VLOOKUP($I653&amp;$J653&amp;W$1,Pesos!$A:$I,9,FALSE)))</f>
        <v>0.8</v>
      </c>
      <c r="AQ653" s="80">
        <f>IF(X653="","",IF(X653="SIM",VLOOKUP($I653&amp;$J653&amp;X$1,Pesos!$A:$I,7,FALSE),VLOOKUP($I653&amp;$J653&amp;X$1,Pesos!$A:$I,9,FALSE)))</f>
        <v>0.8</v>
      </c>
      <c r="AR653" s="80">
        <f>IF(Y653="","",IF(Y653="SIM",VLOOKUP($I653&amp;$J653&amp;Y$1,Pesos!$A:$I,7,FALSE),VLOOKUP($I653&amp;$J653&amp;Y$1,Pesos!$A:$I,9,FALSE)))</f>
        <v>0.8</v>
      </c>
      <c r="AS653" s="81">
        <f>IFERROR(Z653*VLOOKUP(J653,'BD Campos'!$Y$1:$Z$12,2,FALSE),"0")</f>
        <v>10</v>
      </c>
    </row>
    <row r="654" spans="1:45" x14ac:dyDescent="0.35">
      <c r="A654" s="68" t="str">
        <f t="shared" si="96"/>
        <v>Fev202511257ReceptivaTRANSFERÊNCIA</v>
      </c>
      <c r="B654" s="114" t="str">
        <f t="shared" si="97"/>
        <v>Fev2025112575TRANSFERÊNCIAPADRÃO</v>
      </c>
      <c r="C654" s="70">
        <v>1</v>
      </c>
      <c r="D654" s="71">
        <v>45701.63799664352</v>
      </c>
      <c r="E654" s="112" t="s">
        <v>338</v>
      </c>
      <c r="F654" s="72">
        <v>11257</v>
      </c>
      <c r="G654" s="69" t="s">
        <v>1710</v>
      </c>
      <c r="H654" s="73">
        <v>5</v>
      </c>
      <c r="I654" s="69" t="s">
        <v>6</v>
      </c>
      <c r="J654" s="69" t="s">
        <v>98</v>
      </c>
      <c r="K654" s="69" t="s">
        <v>106</v>
      </c>
      <c r="L654" s="74"/>
      <c r="M654" s="75">
        <v>1.261574074074074E-3</v>
      </c>
      <c r="N654" s="76" t="s">
        <v>83</v>
      </c>
      <c r="O654" s="76" t="s">
        <v>83</v>
      </c>
      <c r="P654" s="76" t="s">
        <v>79</v>
      </c>
      <c r="Q654" s="76" t="s">
        <v>79</v>
      </c>
      <c r="R654" s="76" t="s">
        <v>79</v>
      </c>
      <c r="S654" s="76" t="s">
        <v>79</v>
      </c>
      <c r="T654" s="76" t="s">
        <v>79</v>
      </c>
      <c r="U654" s="76" t="s">
        <v>79</v>
      </c>
      <c r="V654" s="76" t="s">
        <v>79</v>
      </c>
      <c r="W654" s="76" t="s">
        <v>79</v>
      </c>
      <c r="X654" s="76" t="s">
        <v>79</v>
      </c>
      <c r="Y654" s="76" t="s">
        <v>79</v>
      </c>
      <c r="Z654" s="77">
        <f t="shared" si="79"/>
        <v>8.3199999999999985</v>
      </c>
      <c r="AA654" s="78" t="s">
        <v>1616</v>
      </c>
      <c r="AB654" s="78"/>
      <c r="AC654" s="72" t="s">
        <v>47</v>
      </c>
      <c r="AE654" s="79" t="str">
        <f t="shared" si="95"/>
        <v>Fev11257</v>
      </c>
      <c r="AF654" s="80">
        <f>IF(N654="","",IF(N654="SIM",VLOOKUP($I654&amp;$J654&amp;N$1,Pesos!$A:$I,7,FALSE),VLOOKUP($I654&amp;$J654&amp;N$1,Pesos!$A:$I,9,FALSE)))</f>
        <v>-4.0000000000000008E-2</v>
      </c>
      <c r="AG654" s="80">
        <f>IF(O654="","",IF(O654="SIM",VLOOKUP($I654&amp;$J654&amp;O$1,Pesos!$A:$I,7,FALSE),VLOOKUP($I654&amp;$J654&amp;O$1,Pesos!$A:$I,9,FALSE)))</f>
        <v>-4.0000000000000008E-2</v>
      </c>
      <c r="AH654" s="80">
        <f>IF(P654="","",IF(P654="SIM",VLOOKUP($I654&amp;$J654&amp;P$1,Pesos!$A:$I,7,FALSE),VLOOKUP($I654&amp;$J654&amp;P$1,Pesos!$A:$I,9,FALSE)))</f>
        <v>1.2</v>
      </c>
      <c r="AI654" s="80">
        <f>IF(Q654="","",IF(Q654="SIM",VLOOKUP($I654&amp;$J654&amp;Q$1,Pesos!$A:$I,7,FALSE),VLOOKUP($I654&amp;$J654&amp;Q$1,Pesos!$A:$I,9,FALSE)))</f>
        <v>0.8</v>
      </c>
      <c r="AJ654" s="80">
        <f>IF(R654="","",IF(R654="SIM",VLOOKUP($I654&amp;$J654&amp;R$1,Pesos!$A:$I,7,FALSE),VLOOKUP($I654&amp;$J654&amp;R$1,Pesos!$A:$I,9,FALSE)))</f>
        <v>0.8</v>
      </c>
      <c r="AK654" s="80">
        <f>IF(S654="","",IF(S654="SIM",VLOOKUP($I654&amp;$J654&amp;S$1,Pesos!$A:$I,7,FALSE),VLOOKUP($I654&amp;$J654&amp;S$1,Pesos!$A:$I,9,FALSE)))</f>
        <v>0.8</v>
      </c>
      <c r="AL654" s="80">
        <f t="shared" si="92"/>
        <v>3.5199999999999996</v>
      </c>
      <c r="AM654" s="80">
        <f>IF(T654="","",IF(T654="SIM",VLOOKUP($I654&amp;$J654&amp;T$1,Pesos!$A:$I,7,FALSE),VLOOKUP($I654&amp;$J654&amp;T$1,Pesos!$A:$I,9,FALSE)))</f>
        <v>0.8</v>
      </c>
      <c r="AN654" s="80">
        <f>IF(U654="","",IF(U654="SIM",VLOOKUP($I654&amp;$J654&amp;U$1,Pesos!$A:$I,7,FALSE),VLOOKUP($I654&amp;$J654&amp;U$1,Pesos!$A:$I,9,FALSE)))</f>
        <v>0.8</v>
      </c>
      <c r="AO654" s="80">
        <f>IF(V654="","",IF(V654="SIM",VLOOKUP($I654&amp;$J654&amp;V$1,Pesos!$A:$I,7,FALSE),VLOOKUP($I654&amp;$J654&amp;V$1,Pesos!$A:$I,9,FALSE)))</f>
        <v>0.8</v>
      </c>
      <c r="AP654" s="80">
        <f>IF(W654="","",IF(W654="SIM",VLOOKUP($I654&amp;$J654&amp;W$1,Pesos!$A:$I,7,FALSE),VLOOKUP($I654&amp;$J654&amp;W$1,Pesos!$A:$I,9,FALSE)))</f>
        <v>0.8</v>
      </c>
      <c r="AQ654" s="80">
        <f>IF(X654="","",IF(X654="SIM",VLOOKUP($I654&amp;$J654&amp;X$1,Pesos!$A:$I,7,FALSE),VLOOKUP($I654&amp;$J654&amp;X$1,Pesos!$A:$I,9,FALSE)))</f>
        <v>0.8</v>
      </c>
      <c r="AR654" s="80">
        <f>IF(Y654="","",IF(Y654="SIM",VLOOKUP($I654&amp;$J654&amp;Y$1,Pesos!$A:$I,7,FALSE),VLOOKUP($I654&amp;$J654&amp;Y$1,Pesos!$A:$I,9,FALSE)))</f>
        <v>0.8</v>
      </c>
      <c r="AS654" s="81">
        <f>IFERROR(Z654*VLOOKUP(J654,'BD Campos'!$Y$1:$Z$12,2,FALSE),"0")</f>
        <v>8.3199999999999985</v>
      </c>
    </row>
    <row r="655" spans="1:45" x14ac:dyDescent="0.35">
      <c r="A655" s="68" t="str">
        <f t="shared" si="96"/>
        <v>Fev202511048ReceptivaTRANSFERÊNCIA</v>
      </c>
      <c r="B655" s="114" t="str">
        <f t="shared" si="97"/>
        <v>Fev2025110485TRANSFERÊNCIAPADRÃO</v>
      </c>
      <c r="C655" s="70">
        <v>1</v>
      </c>
      <c r="D655" s="71">
        <v>45701.669854629632</v>
      </c>
      <c r="E655" s="112" t="s">
        <v>338</v>
      </c>
      <c r="F655" s="72">
        <v>11048</v>
      </c>
      <c r="G655" s="69" t="s">
        <v>381</v>
      </c>
      <c r="H655" s="73">
        <v>5</v>
      </c>
      <c r="I655" s="69" t="s">
        <v>6</v>
      </c>
      <c r="J655" s="69" t="s">
        <v>98</v>
      </c>
      <c r="K655" s="69" t="s">
        <v>106</v>
      </c>
      <c r="L655" s="74"/>
      <c r="M655" s="75">
        <v>1.5277777777777779E-3</v>
      </c>
      <c r="N655" s="76" t="s">
        <v>79</v>
      </c>
      <c r="O655" s="76" t="s">
        <v>79</v>
      </c>
      <c r="P655" s="76" t="s">
        <v>79</v>
      </c>
      <c r="Q655" s="76" t="s">
        <v>79</v>
      </c>
      <c r="R655" s="76" t="s">
        <v>79</v>
      </c>
      <c r="S655" s="76" t="s">
        <v>79</v>
      </c>
      <c r="T655" s="76" t="s">
        <v>79</v>
      </c>
      <c r="U655" s="76" t="s">
        <v>79</v>
      </c>
      <c r="V655" s="76" t="s">
        <v>79</v>
      </c>
      <c r="W655" s="76" t="s">
        <v>79</v>
      </c>
      <c r="X655" s="76" t="s">
        <v>79</v>
      </c>
      <c r="Y655" s="76" t="s">
        <v>79</v>
      </c>
      <c r="Z655" s="77">
        <f t="shared" si="79"/>
        <v>10</v>
      </c>
      <c r="AA655" s="78"/>
      <c r="AB655" s="78"/>
      <c r="AC655" s="72" t="s">
        <v>47</v>
      </c>
      <c r="AE655" s="79" t="str">
        <f t="shared" si="95"/>
        <v>Fev11048</v>
      </c>
      <c r="AF655" s="80">
        <f>IF(N655="","",IF(N655="SIM",VLOOKUP($I655&amp;$J655&amp;N$1,Pesos!$A:$I,7,FALSE),VLOOKUP($I655&amp;$J655&amp;N$1,Pesos!$A:$I,9,FALSE)))</f>
        <v>0.8</v>
      </c>
      <c r="AG655" s="80">
        <f>IF(O655="","",IF(O655="SIM",VLOOKUP($I655&amp;$J655&amp;O$1,Pesos!$A:$I,7,FALSE),VLOOKUP($I655&amp;$J655&amp;O$1,Pesos!$A:$I,9,FALSE)))</f>
        <v>0.8</v>
      </c>
      <c r="AH655" s="80">
        <f>IF(P655="","",IF(P655="SIM",VLOOKUP($I655&amp;$J655&amp;P$1,Pesos!$A:$I,7,FALSE),VLOOKUP($I655&amp;$J655&amp;P$1,Pesos!$A:$I,9,FALSE)))</f>
        <v>1.2</v>
      </c>
      <c r="AI655" s="80">
        <f>IF(Q655="","",IF(Q655="SIM",VLOOKUP($I655&amp;$J655&amp;Q$1,Pesos!$A:$I,7,FALSE),VLOOKUP($I655&amp;$J655&amp;Q$1,Pesos!$A:$I,9,FALSE)))</f>
        <v>0.8</v>
      </c>
      <c r="AJ655" s="80">
        <f>IF(R655="","",IF(R655="SIM",VLOOKUP($I655&amp;$J655&amp;R$1,Pesos!$A:$I,7,FALSE),VLOOKUP($I655&amp;$J655&amp;R$1,Pesos!$A:$I,9,FALSE)))</f>
        <v>0.8</v>
      </c>
      <c r="AK655" s="80">
        <f>IF(S655="","",IF(S655="SIM",VLOOKUP($I655&amp;$J655&amp;S$1,Pesos!$A:$I,7,FALSE),VLOOKUP($I655&amp;$J655&amp;S$1,Pesos!$A:$I,9,FALSE)))</f>
        <v>0.8</v>
      </c>
      <c r="AL655" s="80">
        <f t="shared" si="92"/>
        <v>5.1999999999999993</v>
      </c>
      <c r="AM655" s="80">
        <f>IF(T655="","",IF(T655="SIM",VLOOKUP($I655&amp;$J655&amp;T$1,Pesos!$A:$I,7,FALSE),VLOOKUP($I655&amp;$J655&amp;T$1,Pesos!$A:$I,9,FALSE)))</f>
        <v>0.8</v>
      </c>
      <c r="AN655" s="80">
        <f>IF(U655="","",IF(U655="SIM",VLOOKUP($I655&amp;$J655&amp;U$1,Pesos!$A:$I,7,FALSE),VLOOKUP($I655&amp;$J655&amp;U$1,Pesos!$A:$I,9,FALSE)))</f>
        <v>0.8</v>
      </c>
      <c r="AO655" s="80">
        <f>IF(V655="","",IF(V655="SIM",VLOOKUP($I655&amp;$J655&amp;V$1,Pesos!$A:$I,7,FALSE),VLOOKUP($I655&amp;$J655&amp;V$1,Pesos!$A:$I,9,FALSE)))</f>
        <v>0.8</v>
      </c>
      <c r="AP655" s="80">
        <f>IF(W655="","",IF(W655="SIM",VLOOKUP($I655&amp;$J655&amp;W$1,Pesos!$A:$I,7,FALSE),VLOOKUP($I655&amp;$J655&amp;W$1,Pesos!$A:$I,9,FALSE)))</f>
        <v>0.8</v>
      </c>
      <c r="AQ655" s="80">
        <f>IF(X655="","",IF(X655="SIM",VLOOKUP($I655&amp;$J655&amp;X$1,Pesos!$A:$I,7,FALSE),VLOOKUP($I655&amp;$J655&amp;X$1,Pesos!$A:$I,9,FALSE)))</f>
        <v>0.8</v>
      </c>
      <c r="AR655" s="80">
        <f>IF(Y655="","",IF(Y655="SIM",VLOOKUP($I655&amp;$J655&amp;Y$1,Pesos!$A:$I,7,FALSE),VLOOKUP($I655&amp;$J655&amp;Y$1,Pesos!$A:$I,9,FALSE)))</f>
        <v>0.8</v>
      </c>
      <c r="AS655" s="81">
        <f>IFERROR(Z655*VLOOKUP(J655,'BD Campos'!$Y$1:$Z$12,2,FALSE),"0")</f>
        <v>10</v>
      </c>
    </row>
    <row r="656" spans="1:45" x14ac:dyDescent="0.35">
      <c r="A656" s="68" t="str">
        <f t="shared" si="96"/>
        <v>Fev202511243ReceptivaTRANSFERÊNCIA</v>
      </c>
      <c r="B656" s="114" t="str">
        <f t="shared" si="97"/>
        <v>Fev2025112435TRANSFERÊNCIAPADRÃO</v>
      </c>
      <c r="C656" s="70">
        <v>1</v>
      </c>
      <c r="D656" s="71">
        <v>45701.674036805554</v>
      </c>
      <c r="E656" s="112" t="s">
        <v>338</v>
      </c>
      <c r="F656" s="72">
        <v>11243</v>
      </c>
      <c r="G656" s="69" t="s">
        <v>1441</v>
      </c>
      <c r="H656" s="73">
        <v>5</v>
      </c>
      <c r="I656" s="69" t="s">
        <v>6</v>
      </c>
      <c r="J656" s="69" t="s">
        <v>98</v>
      </c>
      <c r="K656" s="69" t="s">
        <v>106</v>
      </c>
      <c r="L656" s="74"/>
      <c r="M656" s="75">
        <v>2.3611111111111111E-3</v>
      </c>
      <c r="N656" s="76" t="s">
        <v>83</v>
      </c>
      <c r="O656" s="76" t="s">
        <v>79</v>
      </c>
      <c r="P656" s="76" t="s">
        <v>79</v>
      </c>
      <c r="Q656" s="76" t="s">
        <v>83</v>
      </c>
      <c r="R656" s="76" t="s">
        <v>79</v>
      </c>
      <c r="S656" s="76" t="s">
        <v>79</v>
      </c>
      <c r="T656" s="76" t="s">
        <v>79</v>
      </c>
      <c r="U656" s="76" t="s">
        <v>79</v>
      </c>
      <c r="V656" s="76" t="s">
        <v>79</v>
      </c>
      <c r="W656" s="76" t="s">
        <v>79</v>
      </c>
      <c r="X656" s="76" t="s">
        <v>79</v>
      </c>
      <c r="Y656" s="76" t="s">
        <v>79</v>
      </c>
      <c r="Z656" s="77">
        <f t="shared" si="79"/>
        <v>8.3199999999999985</v>
      </c>
      <c r="AA656" s="78" t="s">
        <v>1662</v>
      </c>
      <c r="AB656" s="78"/>
      <c r="AC656" s="72" t="s">
        <v>47</v>
      </c>
      <c r="AE656" s="79" t="str">
        <f t="shared" si="95"/>
        <v>Fev11243</v>
      </c>
      <c r="AF656" s="80">
        <f>IF(N656="","",IF(N656="SIM",VLOOKUP($I656&amp;$J656&amp;N$1,Pesos!$A:$I,7,FALSE),VLOOKUP($I656&amp;$J656&amp;N$1,Pesos!$A:$I,9,FALSE)))</f>
        <v>-4.0000000000000008E-2</v>
      </c>
      <c r="AG656" s="80">
        <f>IF(O656="","",IF(O656="SIM",VLOOKUP($I656&amp;$J656&amp;O$1,Pesos!$A:$I,7,FALSE),VLOOKUP($I656&amp;$J656&amp;O$1,Pesos!$A:$I,9,FALSE)))</f>
        <v>0.8</v>
      </c>
      <c r="AH656" s="80">
        <f>IF(P656="","",IF(P656="SIM",VLOOKUP($I656&amp;$J656&amp;P$1,Pesos!$A:$I,7,FALSE),VLOOKUP($I656&amp;$J656&amp;P$1,Pesos!$A:$I,9,FALSE)))</f>
        <v>1.2</v>
      </c>
      <c r="AI656" s="80">
        <f>IF(Q656="","",IF(Q656="SIM",VLOOKUP($I656&amp;$J656&amp;Q$1,Pesos!$A:$I,7,FALSE),VLOOKUP($I656&amp;$J656&amp;Q$1,Pesos!$A:$I,9,FALSE)))</f>
        <v>-4.0000000000000008E-2</v>
      </c>
      <c r="AJ656" s="80">
        <f>IF(R656="","",IF(R656="SIM",VLOOKUP($I656&amp;$J656&amp;R$1,Pesos!$A:$I,7,FALSE),VLOOKUP($I656&amp;$J656&amp;R$1,Pesos!$A:$I,9,FALSE)))</f>
        <v>0.8</v>
      </c>
      <c r="AK656" s="80">
        <f>IF(S656="","",IF(S656="SIM",VLOOKUP($I656&amp;$J656&amp;S$1,Pesos!$A:$I,7,FALSE),VLOOKUP($I656&amp;$J656&amp;S$1,Pesos!$A:$I,9,FALSE)))</f>
        <v>0.8</v>
      </c>
      <c r="AL656" s="80">
        <f t="shared" si="92"/>
        <v>3.5199999999999996</v>
      </c>
      <c r="AM656" s="80">
        <f>IF(T656="","",IF(T656="SIM",VLOOKUP($I656&amp;$J656&amp;T$1,Pesos!$A:$I,7,FALSE),VLOOKUP($I656&amp;$J656&amp;T$1,Pesos!$A:$I,9,FALSE)))</f>
        <v>0.8</v>
      </c>
      <c r="AN656" s="80">
        <f>IF(U656="","",IF(U656="SIM",VLOOKUP($I656&amp;$J656&amp;U$1,Pesos!$A:$I,7,FALSE),VLOOKUP($I656&amp;$J656&amp;U$1,Pesos!$A:$I,9,FALSE)))</f>
        <v>0.8</v>
      </c>
      <c r="AO656" s="80">
        <f>IF(V656="","",IF(V656="SIM",VLOOKUP($I656&amp;$J656&amp;V$1,Pesos!$A:$I,7,FALSE),VLOOKUP($I656&amp;$J656&amp;V$1,Pesos!$A:$I,9,FALSE)))</f>
        <v>0.8</v>
      </c>
      <c r="AP656" s="80">
        <f>IF(W656="","",IF(W656="SIM",VLOOKUP($I656&amp;$J656&amp;W$1,Pesos!$A:$I,7,FALSE),VLOOKUP($I656&amp;$J656&amp;W$1,Pesos!$A:$I,9,FALSE)))</f>
        <v>0.8</v>
      </c>
      <c r="AQ656" s="80">
        <f>IF(X656="","",IF(X656="SIM",VLOOKUP($I656&amp;$J656&amp;X$1,Pesos!$A:$I,7,FALSE),VLOOKUP($I656&amp;$J656&amp;X$1,Pesos!$A:$I,9,FALSE)))</f>
        <v>0.8</v>
      </c>
      <c r="AR656" s="80">
        <f>IF(Y656="","",IF(Y656="SIM",VLOOKUP($I656&amp;$J656&amp;Y$1,Pesos!$A:$I,7,FALSE),VLOOKUP($I656&amp;$J656&amp;Y$1,Pesos!$A:$I,9,FALSE)))</f>
        <v>0.8</v>
      </c>
      <c r="AS656" s="81">
        <f>IFERROR(Z656*VLOOKUP(J656,'BD Campos'!$Y$1:$Z$12,2,FALSE),"0")</f>
        <v>8.3199999999999985</v>
      </c>
    </row>
    <row r="657" spans="1:45" x14ac:dyDescent="0.35">
      <c r="A657" s="68" t="str">
        <f t="shared" si="96"/>
        <v>Fev202511123ReceptivaTRANSFERÊNCIA</v>
      </c>
      <c r="B657" s="114" t="str">
        <f t="shared" si="97"/>
        <v>Fev2025111235TRANSFERÊNCIAPADRÃO</v>
      </c>
      <c r="C657" s="70">
        <v>1</v>
      </c>
      <c r="D657" s="71">
        <v>45701.689746064818</v>
      </c>
      <c r="E657" s="112" t="s">
        <v>338</v>
      </c>
      <c r="F657" s="72">
        <v>11123</v>
      </c>
      <c r="G657" s="69" t="s">
        <v>433</v>
      </c>
      <c r="H657" s="73">
        <v>5</v>
      </c>
      <c r="I657" s="69" t="s">
        <v>6</v>
      </c>
      <c r="J657" s="69" t="s">
        <v>98</v>
      </c>
      <c r="K657" s="69" t="s">
        <v>106</v>
      </c>
      <c r="L657" s="74"/>
      <c r="M657" s="75">
        <v>1.7592592592592592E-3</v>
      </c>
      <c r="N657" s="76" t="s">
        <v>79</v>
      </c>
      <c r="O657" s="76" t="s">
        <v>79</v>
      </c>
      <c r="P657" s="76" t="s">
        <v>79</v>
      </c>
      <c r="Q657" s="76" t="s">
        <v>79</v>
      </c>
      <c r="R657" s="76" t="s">
        <v>79</v>
      </c>
      <c r="S657" s="76" t="s">
        <v>79</v>
      </c>
      <c r="T657" s="76" t="s">
        <v>79</v>
      </c>
      <c r="U657" s="76" t="s">
        <v>79</v>
      </c>
      <c r="V657" s="76" t="s">
        <v>79</v>
      </c>
      <c r="W657" s="76" t="s">
        <v>79</v>
      </c>
      <c r="X657" s="76" t="s">
        <v>79</v>
      </c>
      <c r="Y657" s="76" t="s">
        <v>79</v>
      </c>
      <c r="Z657" s="77">
        <f t="shared" si="79"/>
        <v>10</v>
      </c>
      <c r="AA657" s="78"/>
      <c r="AB657" s="78"/>
      <c r="AC657" s="72" t="s">
        <v>47</v>
      </c>
      <c r="AE657" s="79" t="str">
        <f t="shared" si="95"/>
        <v>Fev11123</v>
      </c>
      <c r="AF657" s="80">
        <f>IF(N657="","",IF(N657="SIM",VLOOKUP($I657&amp;$J657&amp;N$1,Pesos!$A:$I,7,FALSE),VLOOKUP($I657&amp;$J657&amp;N$1,Pesos!$A:$I,9,FALSE)))</f>
        <v>0.8</v>
      </c>
      <c r="AG657" s="80">
        <f>IF(O657="","",IF(O657="SIM",VLOOKUP($I657&amp;$J657&amp;O$1,Pesos!$A:$I,7,FALSE),VLOOKUP($I657&amp;$J657&amp;O$1,Pesos!$A:$I,9,FALSE)))</f>
        <v>0.8</v>
      </c>
      <c r="AH657" s="80">
        <f>IF(P657="","",IF(P657="SIM",VLOOKUP($I657&amp;$J657&amp;P$1,Pesos!$A:$I,7,FALSE),VLOOKUP($I657&amp;$J657&amp;P$1,Pesos!$A:$I,9,FALSE)))</f>
        <v>1.2</v>
      </c>
      <c r="AI657" s="80">
        <f>IF(Q657="","",IF(Q657="SIM",VLOOKUP($I657&amp;$J657&amp;Q$1,Pesos!$A:$I,7,FALSE),VLOOKUP($I657&amp;$J657&amp;Q$1,Pesos!$A:$I,9,FALSE)))</f>
        <v>0.8</v>
      </c>
      <c r="AJ657" s="80">
        <f>IF(R657="","",IF(R657="SIM",VLOOKUP($I657&amp;$J657&amp;R$1,Pesos!$A:$I,7,FALSE),VLOOKUP($I657&amp;$J657&amp;R$1,Pesos!$A:$I,9,FALSE)))</f>
        <v>0.8</v>
      </c>
      <c r="AK657" s="80">
        <f>IF(S657="","",IF(S657="SIM",VLOOKUP($I657&amp;$J657&amp;S$1,Pesos!$A:$I,7,FALSE),VLOOKUP($I657&amp;$J657&amp;S$1,Pesos!$A:$I,9,FALSE)))</f>
        <v>0.8</v>
      </c>
      <c r="AL657" s="80">
        <f t="shared" ref="AL657:AL720" si="98">SUM(AF657:AK657)</f>
        <v>5.1999999999999993</v>
      </c>
      <c r="AM657" s="80">
        <f>IF(T657="","",IF(T657="SIM",VLOOKUP($I657&amp;$J657&amp;T$1,Pesos!$A:$I,7,FALSE),VLOOKUP($I657&amp;$J657&amp;T$1,Pesos!$A:$I,9,FALSE)))</f>
        <v>0.8</v>
      </c>
      <c r="AN657" s="80">
        <f>IF(U657="","",IF(U657="SIM",VLOOKUP($I657&amp;$J657&amp;U$1,Pesos!$A:$I,7,FALSE),VLOOKUP($I657&amp;$J657&amp;U$1,Pesos!$A:$I,9,FALSE)))</f>
        <v>0.8</v>
      </c>
      <c r="AO657" s="80">
        <f>IF(V657="","",IF(V657="SIM",VLOOKUP($I657&amp;$J657&amp;V$1,Pesos!$A:$I,7,FALSE),VLOOKUP($I657&amp;$J657&amp;V$1,Pesos!$A:$I,9,FALSE)))</f>
        <v>0.8</v>
      </c>
      <c r="AP657" s="80">
        <f>IF(W657="","",IF(W657="SIM",VLOOKUP($I657&amp;$J657&amp;W$1,Pesos!$A:$I,7,FALSE),VLOOKUP($I657&amp;$J657&amp;W$1,Pesos!$A:$I,9,FALSE)))</f>
        <v>0.8</v>
      </c>
      <c r="AQ657" s="80">
        <f>IF(X657="","",IF(X657="SIM",VLOOKUP($I657&amp;$J657&amp;X$1,Pesos!$A:$I,7,FALSE),VLOOKUP($I657&amp;$J657&amp;X$1,Pesos!$A:$I,9,FALSE)))</f>
        <v>0.8</v>
      </c>
      <c r="AR657" s="80">
        <f>IF(Y657="","",IF(Y657="SIM",VLOOKUP($I657&amp;$J657&amp;Y$1,Pesos!$A:$I,7,FALSE),VLOOKUP($I657&amp;$J657&amp;Y$1,Pesos!$A:$I,9,FALSE)))</f>
        <v>0.8</v>
      </c>
      <c r="AS657" s="81">
        <f>IFERROR(Z657*VLOOKUP(J657,'BD Campos'!$Y$1:$Z$12,2,FALSE),"0")</f>
        <v>10</v>
      </c>
    </row>
    <row r="658" spans="1:45" x14ac:dyDescent="0.35">
      <c r="A658" s="68" t="str">
        <f t="shared" si="96"/>
        <v>Fev202511181ReceptivaTRANSFERÊNCIA</v>
      </c>
      <c r="B658" s="114" t="str">
        <f t="shared" si="97"/>
        <v>Fev2025111815TRANSFERÊNCIAPADRÃO</v>
      </c>
      <c r="C658" s="70">
        <v>1</v>
      </c>
      <c r="D658" s="71">
        <v>45701.693153935186</v>
      </c>
      <c r="E658" s="112" t="s">
        <v>338</v>
      </c>
      <c r="F658" s="72">
        <v>11181</v>
      </c>
      <c r="G658" s="69" t="s">
        <v>1363</v>
      </c>
      <c r="H658" s="73">
        <v>5</v>
      </c>
      <c r="I658" s="69" t="s">
        <v>6</v>
      </c>
      <c r="J658" s="69" t="s">
        <v>98</v>
      </c>
      <c r="K658" s="69" t="s">
        <v>106</v>
      </c>
      <c r="L658" s="74"/>
      <c r="M658" s="75">
        <v>1.1226851851851851E-3</v>
      </c>
      <c r="N658" s="76" t="s">
        <v>79</v>
      </c>
      <c r="O658" s="76" t="s">
        <v>79</v>
      </c>
      <c r="P658" s="76" t="s">
        <v>79</v>
      </c>
      <c r="Q658" s="76" t="s">
        <v>79</v>
      </c>
      <c r="R658" s="76" t="s">
        <v>79</v>
      </c>
      <c r="S658" s="76" t="s">
        <v>79</v>
      </c>
      <c r="T658" s="76" t="s">
        <v>79</v>
      </c>
      <c r="U658" s="76" t="s">
        <v>79</v>
      </c>
      <c r="V658" s="76" t="s">
        <v>79</v>
      </c>
      <c r="W658" s="76" t="s">
        <v>79</v>
      </c>
      <c r="X658" s="76" t="s">
        <v>79</v>
      </c>
      <c r="Y658" s="76" t="s">
        <v>79</v>
      </c>
      <c r="Z658" s="77">
        <f t="shared" si="79"/>
        <v>10</v>
      </c>
      <c r="AA658" s="78"/>
      <c r="AB658" s="78"/>
      <c r="AC658" s="72" t="s">
        <v>47</v>
      </c>
      <c r="AE658" s="79" t="str">
        <f t="shared" si="95"/>
        <v>Fev11181</v>
      </c>
      <c r="AF658" s="80">
        <f>IF(N658="","",IF(N658="SIM",VLOOKUP($I658&amp;$J658&amp;N$1,Pesos!$A:$I,7,FALSE),VLOOKUP($I658&amp;$J658&amp;N$1,Pesos!$A:$I,9,FALSE)))</f>
        <v>0.8</v>
      </c>
      <c r="AG658" s="80">
        <f>IF(O658="","",IF(O658="SIM",VLOOKUP($I658&amp;$J658&amp;O$1,Pesos!$A:$I,7,FALSE),VLOOKUP($I658&amp;$J658&amp;O$1,Pesos!$A:$I,9,FALSE)))</f>
        <v>0.8</v>
      </c>
      <c r="AH658" s="80">
        <f>IF(P658="","",IF(P658="SIM",VLOOKUP($I658&amp;$J658&amp;P$1,Pesos!$A:$I,7,FALSE),VLOOKUP($I658&amp;$J658&amp;P$1,Pesos!$A:$I,9,FALSE)))</f>
        <v>1.2</v>
      </c>
      <c r="AI658" s="80">
        <f>IF(Q658="","",IF(Q658="SIM",VLOOKUP($I658&amp;$J658&amp;Q$1,Pesos!$A:$I,7,FALSE),VLOOKUP($I658&amp;$J658&amp;Q$1,Pesos!$A:$I,9,FALSE)))</f>
        <v>0.8</v>
      </c>
      <c r="AJ658" s="80">
        <f>IF(R658="","",IF(R658="SIM",VLOOKUP($I658&amp;$J658&amp;R$1,Pesos!$A:$I,7,FALSE),VLOOKUP($I658&amp;$J658&amp;R$1,Pesos!$A:$I,9,FALSE)))</f>
        <v>0.8</v>
      </c>
      <c r="AK658" s="80">
        <f>IF(S658="","",IF(S658="SIM",VLOOKUP($I658&amp;$J658&amp;S$1,Pesos!$A:$I,7,FALSE),VLOOKUP($I658&amp;$J658&amp;S$1,Pesos!$A:$I,9,FALSE)))</f>
        <v>0.8</v>
      </c>
      <c r="AL658" s="80">
        <f t="shared" si="98"/>
        <v>5.1999999999999993</v>
      </c>
      <c r="AM658" s="80">
        <f>IF(T658="","",IF(T658="SIM",VLOOKUP($I658&amp;$J658&amp;T$1,Pesos!$A:$I,7,FALSE),VLOOKUP($I658&amp;$J658&amp;T$1,Pesos!$A:$I,9,FALSE)))</f>
        <v>0.8</v>
      </c>
      <c r="AN658" s="80">
        <f>IF(U658="","",IF(U658="SIM",VLOOKUP($I658&amp;$J658&amp;U$1,Pesos!$A:$I,7,FALSE),VLOOKUP($I658&amp;$J658&amp;U$1,Pesos!$A:$I,9,FALSE)))</f>
        <v>0.8</v>
      </c>
      <c r="AO658" s="80">
        <f>IF(V658="","",IF(V658="SIM",VLOOKUP($I658&amp;$J658&amp;V$1,Pesos!$A:$I,7,FALSE),VLOOKUP($I658&amp;$J658&amp;V$1,Pesos!$A:$I,9,FALSE)))</f>
        <v>0.8</v>
      </c>
      <c r="AP658" s="80">
        <f>IF(W658="","",IF(W658="SIM",VLOOKUP($I658&amp;$J658&amp;W$1,Pesos!$A:$I,7,FALSE),VLOOKUP($I658&amp;$J658&amp;W$1,Pesos!$A:$I,9,FALSE)))</f>
        <v>0.8</v>
      </c>
      <c r="AQ658" s="80">
        <f>IF(X658="","",IF(X658="SIM",VLOOKUP($I658&amp;$J658&amp;X$1,Pesos!$A:$I,7,FALSE),VLOOKUP($I658&amp;$J658&amp;X$1,Pesos!$A:$I,9,FALSE)))</f>
        <v>0.8</v>
      </c>
      <c r="AR658" s="80">
        <f>IF(Y658="","",IF(Y658="SIM",VLOOKUP($I658&amp;$J658&amp;Y$1,Pesos!$A:$I,7,FALSE),VLOOKUP($I658&amp;$J658&amp;Y$1,Pesos!$A:$I,9,FALSE)))</f>
        <v>0.8</v>
      </c>
      <c r="AS658" s="81">
        <f>IFERROR(Z658*VLOOKUP(J658,'BD Campos'!$Y$1:$Z$12,2,FALSE),"0")</f>
        <v>10</v>
      </c>
    </row>
    <row r="659" spans="1:45" x14ac:dyDescent="0.35">
      <c r="A659" s="68" t="str">
        <f t="shared" si="96"/>
        <v>Fev202511225ReceptivaTRANSFERÊNCIA</v>
      </c>
      <c r="B659" s="114" t="str">
        <f t="shared" si="97"/>
        <v>Fev2025112255TRANSFERÊNCIAPADRÃO</v>
      </c>
      <c r="C659" s="70">
        <v>1</v>
      </c>
      <c r="D659" s="71">
        <v>45701.696657754626</v>
      </c>
      <c r="E659" s="112" t="s">
        <v>338</v>
      </c>
      <c r="F659" s="72">
        <v>11225</v>
      </c>
      <c r="G659" s="69" t="s">
        <v>1392</v>
      </c>
      <c r="H659" s="73">
        <v>5</v>
      </c>
      <c r="I659" s="69" t="s">
        <v>6</v>
      </c>
      <c r="J659" s="69" t="s">
        <v>98</v>
      </c>
      <c r="K659" s="69" t="s">
        <v>106</v>
      </c>
      <c r="L659" s="74"/>
      <c r="M659" s="75">
        <v>2.0254629629629629E-3</v>
      </c>
      <c r="N659" s="76" t="s">
        <v>83</v>
      </c>
      <c r="O659" s="76" t="s">
        <v>79</v>
      </c>
      <c r="P659" s="76" t="s">
        <v>79</v>
      </c>
      <c r="Q659" s="76" t="s">
        <v>79</v>
      </c>
      <c r="R659" s="76" t="s">
        <v>79</v>
      </c>
      <c r="S659" s="76" t="s">
        <v>79</v>
      </c>
      <c r="T659" s="76" t="s">
        <v>79</v>
      </c>
      <c r="U659" s="76" t="s">
        <v>79</v>
      </c>
      <c r="V659" s="76" t="s">
        <v>79</v>
      </c>
      <c r="W659" s="76" t="s">
        <v>79</v>
      </c>
      <c r="X659" s="76" t="s">
        <v>79</v>
      </c>
      <c r="Y659" s="76" t="s">
        <v>79</v>
      </c>
      <c r="Z659" s="77">
        <f t="shared" si="79"/>
        <v>9.16</v>
      </c>
      <c r="AA659" s="78" t="s">
        <v>1616</v>
      </c>
      <c r="AB659" s="78"/>
      <c r="AC659" s="72" t="s">
        <v>47</v>
      </c>
      <c r="AE659" s="79" t="str">
        <f t="shared" si="95"/>
        <v>Fev11225</v>
      </c>
      <c r="AF659" s="80">
        <f>IF(N659="","",IF(N659="SIM",VLOOKUP($I659&amp;$J659&amp;N$1,Pesos!$A:$I,7,FALSE),VLOOKUP($I659&amp;$J659&amp;N$1,Pesos!$A:$I,9,FALSE)))</f>
        <v>-4.0000000000000008E-2</v>
      </c>
      <c r="AG659" s="80">
        <f>IF(O659="","",IF(O659="SIM",VLOOKUP($I659&amp;$J659&amp;O$1,Pesos!$A:$I,7,FALSE),VLOOKUP($I659&amp;$J659&amp;O$1,Pesos!$A:$I,9,FALSE)))</f>
        <v>0.8</v>
      </c>
      <c r="AH659" s="80">
        <f>IF(P659="","",IF(P659="SIM",VLOOKUP($I659&amp;$J659&amp;P$1,Pesos!$A:$I,7,FALSE),VLOOKUP($I659&amp;$J659&amp;P$1,Pesos!$A:$I,9,FALSE)))</f>
        <v>1.2</v>
      </c>
      <c r="AI659" s="80">
        <f>IF(Q659="","",IF(Q659="SIM",VLOOKUP($I659&amp;$J659&amp;Q$1,Pesos!$A:$I,7,FALSE),VLOOKUP($I659&amp;$J659&amp;Q$1,Pesos!$A:$I,9,FALSE)))</f>
        <v>0.8</v>
      </c>
      <c r="AJ659" s="80">
        <f>IF(R659="","",IF(R659="SIM",VLOOKUP($I659&amp;$J659&amp;R$1,Pesos!$A:$I,7,FALSE),VLOOKUP($I659&amp;$J659&amp;R$1,Pesos!$A:$I,9,FALSE)))</f>
        <v>0.8</v>
      </c>
      <c r="AK659" s="80">
        <f>IF(S659="","",IF(S659="SIM",VLOOKUP($I659&amp;$J659&amp;S$1,Pesos!$A:$I,7,FALSE),VLOOKUP($I659&amp;$J659&amp;S$1,Pesos!$A:$I,9,FALSE)))</f>
        <v>0.8</v>
      </c>
      <c r="AL659" s="80">
        <f t="shared" si="98"/>
        <v>4.3599999999999994</v>
      </c>
      <c r="AM659" s="80">
        <f>IF(T659="","",IF(T659="SIM",VLOOKUP($I659&amp;$J659&amp;T$1,Pesos!$A:$I,7,FALSE),VLOOKUP($I659&amp;$J659&amp;T$1,Pesos!$A:$I,9,FALSE)))</f>
        <v>0.8</v>
      </c>
      <c r="AN659" s="80">
        <f>IF(U659="","",IF(U659="SIM",VLOOKUP($I659&amp;$J659&amp;U$1,Pesos!$A:$I,7,FALSE),VLOOKUP($I659&amp;$J659&amp;U$1,Pesos!$A:$I,9,FALSE)))</f>
        <v>0.8</v>
      </c>
      <c r="AO659" s="80">
        <f>IF(V659="","",IF(V659="SIM",VLOOKUP($I659&amp;$J659&amp;V$1,Pesos!$A:$I,7,FALSE),VLOOKUP($I659&amp;$J659&amp;V$1,Pesos!$A:$I,9,FALSE)))</f>
        <v>0.8</v>
      </c>
      <c r="AP659" s="80">
        <f>IF(W659="","",IF(W659="SIM",VLOOKUP($I659&amp;$J659&amp;W$1,Pesos!$A:$I,7,FALSE),VLOOKUP($I659&amp;$J659&amp;W$1,Pesos!$A:$I,9,FALSE)))</f>
        <v>0.8</v>
      </c>
      <c r="AQ659" s="80">
        <f>IF(X659="","",IF(X659="SIM",VLOOKUP($I659&amp;$J659&amp;X$1,Pesos!$A:$I,7,FALSE),VLOOKUP($I659&amp;$J659&amp;X$1,Pesos!$A:$I,9,FALSE)))</f>
        <v>0.8</v>
      </c>
      <c r="AR659" s="80">
        <f>IF(Y659="","",IF(Y659="SIM",VLOOKUP($I659&amp;$J659&amp;Y$1,Pesos!$A:$I,7,FALSE),VLOOKUP($I659&amp;$J659&amp;Y$1,Pesos!$A:$I,9,FALSE)))</f>
        <v>0.8</v>
      </c>
      <c r="AS659" s="81">
        <f>IFERROR(Z659*VLOOKUP(J659,'BD Campos'!$Y$1:$Z$12,2,FALSE),"0")</f>
        <v>9.16</v>
      </c>
    </row>
    <row r="660" spans="1:45" x14ac:dyDescent="0.35">
      <c r="A660" s="68" t="str">
        <f t="shared" si="96"/>
        <v>Fev202510976ReceptivaTRANSFERÊNCIA</v>
      </c>
      <c r="B660" s="114" t="str">
        <f t="shared" si="97"/>
        <v>Fev2025109765TRANSFERÊNCIAPADRÃO</v>
      </c>
      <c r="C660" s="70">
        <v>1</v>
      </c>
      <c r="D660" s="71">
        <v>45701.698932638887</v>
      </c>
      <c r="E660" s="112" t="s">
        <v>338</v>
      </c>
      <c r="F660" s="72">
        <v>10976</v>
      </c>
      <c r="G660" s="69" t="s">
        <v>138</v>
      </c>
      <c r="H660" s="73">
        <v>5</v>
      </c>
      <c r="I660" s="69" t="s">
        <v>6</v>
      </c>
      <c r="J660" s="69" t="s">
        <v>98</v>
      </c>
      <c r="K660" s="69" t="s">
        <v>106</v>
      </c>
      <c r="L660" s="74"/>
      <c r="M660" s="75">
        <v>9.7222222222222209E-4</v>
      </c>
      <c r="N660" s="76" t="s">
        <v>79</v>
      </c>
      <c r="O660" s="76" t="s">
        <v>79</v>
      </c>
      <c r="P660" s="76" t="s">
        <v>79</v>
      </c>
      <c r="Q660" s="76" t="s">
        <v>79</v>
      </c>
      <c r="R660" s="76" t="s">
        <v>79</v>
      </c>
      <c r="S660" s="76" t="s">
        <v>79</v>
      </c>
      <c r="T660" s="76" t="s">
        <v>79</v>
      </c>
      <c r="U660" s="76" t="s">
        <v>79</v>
      </c>
      <c r="V660" s="76" t="s">
        <v>79</v>
      </c>
      <c r="W660" s="76" t="s">
        <v>79</v>
      </c>
      <c r="X660" s="76" t="s">
        <v>79</v>
      </c>
      <c r="Y660" s="76" t="s">
        <v>79</v>
      </c>
      <c r="Z660" s="77">
        <f t="shared" si="79"/>
        <v>10</v>
      </c>
      <c r="AA660" s="78"/>
      <c r="AB660" s="78"/>
      <c r="AC660" s="72" t="s">
        <v>47</v>
      </c>
      <c r="AE660" s="79" t="str">
        <f t="shared" si="95"/>
        <v>Fev10976</v>
      </c>
      <c r="AF660" s="80">
        <f>IF(N660="","",IF(N660="SIM",VLOOKUP($I660&amp;$J660&amp;N$1,Pesos!$A:$I,7,FALSE),VLOOKUP($I660&amp;$J660&amp;N$1,Pesos!$A:$I,9,FALSE)))</f>
        <v>0.8</v>
      </c>
      <c r="AG660" s="80">
        <f>IF(O660="","",IF(O660="SIM",VLOOKUP($I660&amp;$J660&amp;O$1,Pesos!$A:$I,7,FALSE),VLOOKUP($I660&amp;$J660&amp;O$1,Pesos!$A:$I,9,FALSE)))</f>
        <v>0.8</v>
      </c>
      <c r="AH660" s="80">
        <f>IF(P660="","",IF(P660="SIM",VLOOKUP($I660&amp;$J660&amp;P$1,Pesos!$A:$I,7,FALSE),VLOOKUP($I660&amp;$J660&amp;P$1,Pesos!$A:$I,9,FALSE)))</f>
        <v>1.2</v>
      </c>
      <c r="AI660" s="80">
        <f>IF(Q660="","",IF(Q660="SIM",VLOOKUP($I660&amp;$J660&amp;Q$1,Pesos!$A:$I,7,FALSE),VLOOKUP($I660&amp;$J660&amp;Q$1,Pesos!$A:$I,9,FALSE)))</f>
        <v>0.8</v>
      </c>
      <c r="AJ660" s="80">
        <f>IF(R660="","",IF(R660="SIM",VLOOKUP($I660&amp;$J660&amp;R$1,Pesos!$A:$I,7,FALSE),VLOOKUP($I660&amp;$J660&amp;R$1,Pesos!$A:$I,9,FALSE)))</f>
        <v>0.8</v>
      </c>
      <c r="AK660" s="80">
        <f>IF(S660="","",IF(S660="SIM",VLOOKUP($I660&amp;$J660&amp;S$1,Pesos!$A:$I,7,FALSE),VLOOKUP($I660&amp;$J660&amp;S$1,Pesos!$A:$I,9,FALSE)))</f>
        <v>0.8</v>
      </c>
      <c r="AL660" s="80">
        <f t="shared" si="98"/>
        <v>5.1999999999999993</v>
      </c>
      <c r="AM660" s="80">
        <f>IF(T660="","",IF(T660="SIM",VLOOKUP($I660&amp;$J660&amp;T$1,Pesos!$A:$I,7,FALSE),VLOOKUP($I660&amp;$J660&amp;T$1,Pesos!$A:$I,9,FALSE)))</f>
        <v>0.8</v>
      </c>
      <c r="AN660" s="80">
        <f>IF(U660="","",IF(U660="SIM",VLOOKUP($I660&amp;$J660&amp;U$1,Pesos!$A:$I,7,FALSE),VLOOKUP($I660&amp;$J660&amp;U$1,Pesos!$A:$I,9,FALSE)))</f>
        <v>0.8</v>
      </c>
      <c r="AO660" s="80">
        <f>IF(V660="","",IF(V660="SIM",VLOOKUP($I660&amp;$J660&amp;V$1,Pesos!$A:$I,7,FALSE),VLOOKUP($I660&amp;$J660&amp;V$1,Pesos!$A:$I,9,FALSE)))</f>
        <v>0.8</v>
      </c>
      <c r="AP660" s="80">
        <f>IF(W660="","",IF(W660="SIM",VLOOKUP($I660&amp;$J660&amp;W$1,Pesos!$A:$I,7,FALSE),VLOOKUP($I660&amp;$J660&amp;W$1,Pesos!$A:$I,9,FALSE)))</f>
        <v>0.8</v>
      </c>
      <c r="AQ660" s="80">
        <f>IF(X660="","",IF(X660="SIM",VLOOKUP($I660&amp;$J660&amp;X$1,Pesos!$A:$I,7,FALSE),VLOOKUP($I660&amp;$J660&amp;X$1,Pesos!$A:$I,9,FALSE)))</f>
        <v>0.8</v>
      </c>
      <c r="AR660" s="80">
        <f>IF(Y660="","",IF(Y660="SIM",VLOOKUP($I660&amp;$J660&amp;Y$1,Pesos!$A:$I,7,FALSE),VLOOKUP($I660&amp;$J660&amp;Y$1,Pesos!$A:$I,9,FALSE)))</f>
        <v>0.8</v>
      </c>
      <c r="AS660" s="81">
        <f>IFERROR(Z660*VLOOKUP(J660,'BD Campos'!$Y$1:$Z$12,2,FALSE),"0")</f>
        <v>10</v>
      </c>
    </row>
    <row r="661" spans="1:45" x14ac:dyDescent="0.35">
      <c r="A661" s="68" t="str">
        <f t="shared" si="96"/>
        <v>Fev202510982ReceptivaTRANSFERÊNCIA</v>
      </c>
      <c r="B661" s="114" t="str">
        <f t="shared" si="97"/>
        <v>Fev2025109825TRANSFERÊNCIAPADRÃO</v>
      </c>
      <c r="C661" s="70">
        <v>1</v>
      </c>
      <c r="D661" s="71">
        <v>45701.706560648148</v>
      </c>
      <c r="E661" s="112" t="s">
        <v>338</v>
      </c>
      <c r="F661" s="72">
        <v>10982</v>
      </c>
      <c r="G661" s="69" t="s">
        <v>139</v>
      </c>
      <c r="H661" s="73">
        <v>5</v>
      </c>
      <c r="I661" s="69" t="s">
        <v>6</v>
      </c>
      <c r="J661" s="69" t="s">
        <v>98</v>
      </c>
      <c r="K661" s="69" t="s">
        <v>106</v>
      </c>
      <c r="L661" s="74"/>
      <c r="M661" s="75">
        <v>1.4467592592592594E-3</v>
      </c>
      <c r="N661" s="76" t="s">
        <v>79</v>
      </c>
      <c r="O661" s="76" t="s">
        <v>79</v>
      </c>
      <c r="P661" s="76" t="s">
        <v>79</v>
      </c>
      <c r="Q661" s="76" t="s">
        <v>79</v>
      </c>
      <c r="R661" s="76" t="s">
        <v>79</v>
      </c>
      <c r="S661" s="76" t="s">
        <v>79</v>
      </c>
      <c r="T661" s="76" t="s">
        <v>79</v>
      </c>
      <c r="U661" s="76" t="s">
        <v>79</v>
      </c>
      <c r="V661" s="76" t="s">
        <v>79</v>
      </c>
      <c r="W661" s="76" t="s">
        <v>79</v>
      </c>
      <c r="X661" s="76" t="s">
        <v>79</v>
      </c>
      <c r="Y661" s="76" t="s">
        <v>79</v>
      </c>
      <c r="Z661" s="77">
        <f t="shared" si="79"/>
        <v>10</v>
      </c>
      <c r="AA661" s="78"/>
      <c r="AB661" s="78"/>
      <c r="AC661" s="72" t="s">
        <v>47</v>
      </c>
      <c r="AE661" s="79" t="str">
        <f t="shared" si="95"/>
        <v>Fev10982</v>
      </c>
      <c r="AF661" s="80">
        <f>IF(N661="","",IF(N661="SIM",VLOOKUP($I661&amp;$J661&amp;N$1,Pesos!$A:$I,7,FALSE),VLOOKUP($I661&amp;$J661&amp;N$1,Pesos!$A:$I,9,FALSE)))</f>
        <v>0.8</v>
      </c>
      <c r="AG661" s="80">
        <f>IF(O661="","",IF(O661="SIM",VLOOKUP($I661&amp;$J661&amp;O$1,Pesos!$A:$I,7,FALSE),VLOOKUP($I661&amp;$J661&amp;O$1,Pesos!$A:$I,9,FALSE)))</f>
        <v>0.8</v>
      </c>
      <c r="AH661" s="80">
        <f>IF(P661="","",IF(P661="SIM",VLOOKUP($I661&amp;$J661&amp;P$1,Pesos!$A:$I,7,FALSE),VLOOKUP($I661&amp;$J661&amp;P$1,Pesos!$A:$I,9,FALSE)))</f>
        <v>1.2</v>
      </c>
      <c r="AI661" s="80">
        <f>IF(Q661="","",IF(Q661="SIM",VLOOKUP($I661&amp;$J661&amp;Q$1,Pesos!$A:$I,7,FALSE),VLOOKUP($I661&amp;$J661&amp;Q$1,Pesos!$A:$I,9,FALSE)))</f>
        <v>0.8</v>
      </c>
      <c r="AJ661" s="80">
        <f>IF(R661="","",IF(R661="SIM",VLOOKUP($I661&amp;$J661&amp;R$1,Pesos!$A:$I,7,FALSE),VLOOKUP($I661&amp;$J661&amp;R$1,Pesos!$A:$I,9,FALSE)))</f>
        <v>0.8</v>
      </c>
      <c r="AK661" s="80">
        <f>IF(S661="","",IF(S661="SIM",VLOOKUP($I661&amp;$J661&amp;S$1,Pesos!$A:$I,7,FALSE),VLOOKUP($I661&amp;$J661&amp;S$1,Pesos!$A:$I,9,FALSE)))</f>
        <v>0.8</v>
      </c>
      <c r="AL661" s="80">
        <f t="shared" si="98"/>
        <v>5.1999999999999993</v>
      </c>
      <c r="AM661" s="80">
        <f>IF(T661="","",IF(T661="SIM",VLOOKUP($I661&amp;$J661&amp;T$1,Pesos!$A:$I,7,FALSE),VLOOKUP($I661&amp;$J661&amp;T$1,Pesos!$A:$I,9,FALSE)))</f>
        <v>0.8</v>
      </c>
      <c r="AN661" s="80">
        <f>IF(U661="","",IF(U661="SIM",VLOOKUP($I661&amp;$J661&amp;U$1,Pesos!$A:$I,7,FALSE),VLOOKUP($I661&amp;$J661&amp;U$1,Pesos!$A:$I,9,FALSE)))</f>
        <v>0.8</v>
      </c>
      <c r="AO661" s="80">
        <f>IF(V661="","",IF(V661="SIM",VLOOKUP($I661&amp;$J661&amp;V$1,Pesos!$A:$I,7,FALSE),VLOOKUP($I661&amp;$J661&amp;V$1,Pesos!$A:$I,9,FALSE)))</f>
        <v>0.8</v>
      </c>
      <c r="AP661" s="80">
        <f>IF(W661="","",IF(W661="SIM",VLOOKUP($I661&amp;$J661&amp;W$1,Pesos!$A:$I,7,FALSE),VLOOKUP($I661&amp;$J661&amp;W$1,Pesos!$A:$I,9,FALSE)))</f>
        <v>0.8</v>
      </c>
      <c r="AQ661" s="80">
        <f>IF(X661="","",IF(X661="SIM",VLOOKUP($I661&amp;$J661&amp;X$1,Pesos!$A:$I,7,FALSE),VLOOKUP($I661&amp;$J661&amp;X$1,Pesos!$A:$I,9,FALSE)))</f>
        <v>0.8</v>
      </c>
      <c r="AR661" s="80">
        <f>IF(Y661="","",IF(Y661="SIM",VLOOKUP($I661&amp;$J661&amp;Y$1,Pesos!$A:$I,7,FALSE),VLOOKUP($I661&amp;$J661&amp;Y$1,Pesos!$A:$I,9,FALSE)))</f>
        <v>0.8</v>
      </c>
      <c r="AS661" s="81">
        <f>IFERROR(Z661*VLOOKUP(J661,'BD Campos'!$Y$1:$Z$12,2,FALSE),"0")</f>
        <v>10</v>
      </c>
    </row>
    <row r="662" spans="1:45" x14ac:dyDescent="0.35">
      <c r="A662" s="68" t="str">
        <f t="shared" si="96"/>
        <v>Fev202510862ReceptivaTRANSFERÊNCIA</v>
      </c>
      <c r="B662" s="114" t="str">
        <f t="shared" si="97"/>
        <v>Fev2025108625TRANSFERÊNCIAPADRÃO</v>
      </c>
      <c r="C662" s="70">
        <v>1</v>
      </c>
      <c r="D662" s="71">
        <v>45701.70784722222</v>
      </c>
      <c r="E662" s="112" t="s">
        <v>338</v>
      </c>
      <c r="F662" s="72">
        <v>10862</v>
      </c>
      <c r="G662" s="69" t="s">
        <v>132</v>
      </c>
      <c r="H662" s="73">
        <v>5</v>
      </c>
      <c r="I662" s="69" t="s">
        <v>6</v>
      </c>
      <c r="J662" s="69" t="s">
        <v>98</v>
      </c>
      <c r="K662" s="69" t="s">
        <v>106</v>
      </c>
      <c r="L662" s="74"/>
      <c r="M662" s="75">
        <v>1.5624999999999999E-3</v>
      </c>
      <c r="N662" s="76" t="s">
        <v>79</v>
      </c>
      <c r="O662" s="76" t="s">
        <v>79</v>
      </c>
      <c r="P662" s="76" t="s">
        <v>79</v>
      </c>
      <c r="Q662" s="76" t="s">
        <v>79</v>
      </c>
      <c r="R662" s="76" t="s">
        <v>79</v>
      </c>
      <c r="S662" s="76" t="s">
        <v>79</v>
      </c>
      <c r="T662" s="76" t="s">
        <v>79</v>
      </c>
      <c r="U662" s="76" t="s">
        <v>79</v>
      </c>
      <c r="V662" s="76" t="s">
        <v>79</v>
      </c>
      <c r="W662" s="76" t="s">
        <v>79</v>
      </c>
      <c r="X662" s="76" t="s">
        <v>79</v>
      </c>
      <c r="Y662" s="76" t="s">
        <v>79</v>
      </c>
      <c r="Z662" s="77">
        <f t="shared" si="79"/>
        <v>10</v>
      </c>
      <c r="AA662" s="78"/>
      <c r="AB662" s="78"/>
      <c r="AC662" s="72" t="s">
        <v>47</v>
      </c>
      <c r="AE662" s="79" t="str">
        <f t="shared" si="95"/>
        <v>Fev10862</v>
      </c>
      <c r="AF662" s="80">
        <f>IF(N662="","",IF(N662="SIM",VLOOKUP($I662&amp;$J662&amp;N$1,Pesos!$A:$I,7,FALSE),VLOOKUP($I662&amp;$J662&amp;N$1,Pesos!$A:$I,9,FALSE)))</f>
        <v>0.8</v>
      </c>
      <c r="AG662" s="80">
        <f>IF(O662="","",IF(O662="SIM",VLOOKUP($I662&amp;$J662&amp;O$1,Pesos!$A:$I,7,FALSE),VLOOKUP($I662&amp;$J662&amp;O$1,Pesos!$A:$I,9,FALSE)))</f>
        <v>0.8</v>
      </c>
      <c r="AH662" s="80">
        <f>IF(P662="","",IF(P662="SIM",VLOOKUP($I662&amp;$J662&amp;P$1,Pesos!$A:$I,7,FALSE),VLOOKUP($I662&amp;$J662&amp;P$1,Pesos!$A:$I,9,FALSE)))</f>
        <v>1.2</v>
      </c>
      <c r="AI662" s="80">
        <f>IF(Q662="","",IF(Q662="SIM",VLOOKUP($I662&amp;$J662&amp;Q$1,Pesos!$A:$I,7,FALSE),VLOOKUP($I662&amp;$J662&amp;Q$1,Pesos!$A:$I,9,FALSE)))</f>
        <v>0.8</v>
      </c>
      <c r="AJ662" s="80">
        <f>IF(R662="","",IF(R662="SIM",VLOOKUP($I662&amp;$J662&amp;R$1,Pesos!$A:$I,7,FALSE),VLOOKUP($I662&amp;$J662&amp;R$1,Pesos!$A:$I,9,FALSE)))</f>
        <v>0.8</v>
      </c>
      <c r="AK662" s="80">
        <f>IF(S662="","",IF(S662="SIM",VLOOKUP($I662&amp;$J662&amp;S$1,Pesos!$A:$I,7,FALSE),VLOOKUP($I662&amp;$J662&amp;S$1,Pesos!$A:$I,9,FALSE)))</f>
        <v>0.8</v>
      </c>
      <c r="AL662" s="80">
        <f t="shared" si="98"/>
        <v>5.1999999999999993</v>
      </c>
      <c r="AM662" s="80">
        <f>IF(T662="","",IF(T662="SIM",VLOOKUP($I662&amp;$J662&amp;T$1,Pesos!$A:$I,7,FALSE),VLOOKUP($I662&amp;$J662&amp;T$1,Pesos!$A:$I,9,FALSE)))</f>
        <v>0.8</v>
      </c>
      <c r="AN662" s="80">
        <f>IF(U662="","",IF(U662="SIM",VLOOKUP($I662&amp;$J662&amp;U$1,Pesos!$A:$I,7,FALSE),VLOOKUP($I662&amp;$J662&amp;U$1,Pesos!$A:$I,9,FALSE)))</f>
        <v>0.8</v>
      </c>
      <c r="AO662" s="80">
        <f>IF(V662="","",IF(V662="SIM",VLOOKUP($I662&amp;$J662&amp;V$1,Pesos!$A:$I,7,FALSE),VLOOKUP($I662&amp;$J662&amp;V$1,Pesos!$A:$I,9,FALSE)))</f>
        <v>0.8</v>
      </c>
      <c r="AP662" s="80">
        <f>IF(W662="","",IF(W662="SIM",VLOOKUP($I662&amp;$J662&amp;W$1,Pesos!$A:$I,7,FALSE),VLOOKUP($I662&amp;$J662&amp;W$1,Pesos!$A:$I,9,FALSE)))</f>
        <v>0.8</v>
      </c>
      <c r="AQ662" s="80">
        <f>IF(X662="","",IF(X662="SIM",VLOOKUP($I662&amp;$J662&amp;X$1,Pesos!$A:$I,7,FALSE),VLOOKUP($I662&amp;$J662&amp;X$1,Pesos!$A:$I,9,FALSE)))</f>
        <v>0.8</v>
      </c>
      <c r="AR662" s="80">
        <f>IF(Y662="","",IF(Y662="SIM",VLOOKUP($I662&amp;$J662&amp;Y$1,Pesos!$A:$I,7,FALSE),VLOOKUP($I662&amp;$J662&amp;Y$1,Pesos!$A:$I,9,FALSE)))</f>
        <v>0.8</v>
      </c>
      <c r="AS662" s="81">
        <f>IFERROR(Z662*VLOOKUP(J662,'BD Campos'!$Y$1:$Z$12,2,FALSE),"0")</f>
        <v>10</v>
      </c>
    </row>
    <row r="663" spans="1:45" x14ac:dyDescent="0.35">
      <c r="A663" s="68" t="str">
        <f t="shared" si="96"/>
        <v>Fev202511235ReceptivaTRANSFERÊNCIA</v>
      </c>
      <c r="B663" s="114" t="str">
        <f t="shared" si="97"/>
        <v>Fev2025112355TRANSFERÊNCIAPADRÃO</v>
      </c>
      <c r="C663" s="70">
        <v>1</v>
      </c>
      <c r="D663" s="71">
        <v>45701.709352777776</v>
      </c>
      <c r="E663" s="112" t="s">
        <v>338</v>
      </c>
      <c r="F663" s="72">
        <v>11235</v>
      </c>
      <c r="G663" s="69" t="s">
        <v>1440</v>
      </c>
      <c r="H663" s="73">
        <v>5</v>
      </c>
      <c r="I663" s="69" t="s">
        <v>6</v>
      </c>
      <c r="J663" s="69" t="s">
        <v>98</v>
      </c>
      <c r="K663" s="69" t="s">
        <v>106</v>
      </c>
      <c r="L663" s="74"/>
      <c r="M663" s="75">
        <v>1.6087962962962963E-3</v>
      </c>
      <c r="N663" s="76" t="s">
        <v>79</v>
      </c>
      <c r="O663" s="76" t="s">
        <v>79</v>
      </c>
      <c r="P663" s="76" t="s">
        <v>79</v>
      </c>
      <c r="Q663" s="76" t="s">
        <v>79</v>
      </c>
      <c r="R663" s="76" t="s">
        <v>79</v>
      </c>
      <c r="S663" s="76" t="s">
        <v>79</v>
      </c>
      <c r="T663" s="76" t="s">
        <v>79</v>
      </c>
      <c r="U663" s="76" t="s">
        <v>79</v>
      </c>
      <c r="V663" s="76" t="s">
        <v>79</v>
      </c>
      <c r="W663" s="76" t="s">
        <v>79</v>
      </c>
      <c r="X663" s="76" t="s">
        <v>79</v>
      </c>
      <c r="Y663" s="76" t="s">
        <v>79</v>
      </c>
      <c r="Z663" s="77">
        <f t="shared" si="79"/>
        <v>10</v>
      </c>
      <c r="AA663" s="78"/>
      <c r="AB663" s="78"/>
      <c r="AC663" s="72" t="s">
        <v>47</v>
      </c>
      <c r="AE663" s="79" t="str">
        <f t="shared" si="95"/>
        <v>Fev11235</v>
      </c>
      <c r="AF663" s="80">
        <f>IF(N663="","",IF(N663="SIM",VLOOKUP($I663&amp;$J663&amp;N$1,Pesos!$A:$I,7,FALSE),VLOOKUP($I663&amp;$J663&amp;N$1,Pesos!$A:$I,9,FALSE)))</f>
        <v>0.8</v>
      </c>
      <c r="AG663" s="80">
        <f>IF(O663="","",IF(O663="SIM",VLOOKUP($I663&amp;$J663&amp;O$1,Pesos!$A:$I,7,FALSE),VLOOKUP($I663&amp;$J663&amp;O$1,Pesos!$A:$I,9,FALSE)))</f>
        <v>0.8</v>
      </c>
      <c r="AH663" s="80">
        <f>IF(P663="","",IF(P663="SIM",VLOOKUP($I663&amp;$J663&amp;P$1,Pesos!$A:$I,7,FALSE),VLOOKUP($I663&amp;$J663&amp;P$1,Pesos!$A:$I,9,FALSE)))</f>
        <v>1.2</v>
      </c>
      <c r="AI663" s="80">
        <f>IF(Q663="","",IF(Q663="SIM",VLOOKUP($I663&amp;$J663&amp;Q$1,Pesos!$A:$I,7,FALSE),VLOOKUP($I663&amp;$J663&amp;Q$1,Pesos!$A:$I,9,FALSE)))</f>
        <v>0.8</v>
      </c>
      <c r="AJ663" s="80">
        <f>IF(R663="","",IF(R663="SIM",VLOOKUP($I663&amp;$J663&amp;R$1,Pesos!$A:$I,7,FALSE),VLOOKUP($I663&amp;$J663&amp;R$1,Pesos!$A:$I,9,FALSE)))</f>
        <v>0.8</v>
      </c>
      <c r="AK663" s="80">
        <f>IF(S663="","",IF(S663="SIM",VLOOKUP($I663&amp;$J663&amp;S$1,Pesos!$A:$I,7,FALSE),VLOOKUP($I663&amp;$J663&amp;S$1,Pesos!$A:$I,9,FALSE)))</f>
        <v>0.8</v>
      </c>
      <c r="AL663" s="80">
        <f t="shared" si="98"/>
        <v>5.1999999999999993</v>
      </c>
      <c r="AM663" s="80">
        <f>IF(T663="","",IF(T663="SIM",VLOOKUP($I663&amp;$J663&amp;T$1,Pesos!$A:$I,7,FALSE),VLOOKUP($I663&amp;$J663&amp;T$1,Pesos!$A:$I,9,FALSE)))</f>
        <v>0.8</v>
      </c>
      <c r="AN663" s="80">
        <f>IF(U663="","",IF(U663="SIM",VLOOKUP($I663&amp;$J663&amp;U$1,Pesos!$A:$I,7,FALSE),VLOOKUP($I663&amp;$J663&amp;U$1,Pesos!$A:$I,9,FALSE)))</f>
        <v>0.8</v>
      </c>
      <c r="AO663" s="80">
        <f>IF(V663="","",IF(V663="SIM",VLOOKUP($I663&amp;$J663&amp;V$1,Pesos!$A:$I,7,FALSE),VLOOKUP($I663&amp;$J663&amp;V$1,Pesos!$A:$I,9,FALSE)))</f>
        <v>0.8</v>
      </c>
      <c r="AP663" s="80">
        <f>IF(W663="","",IF(W663="SIM",VLOOKUP($I663&amp;$J663&amp;W$1,Pesos!$A:$I,7,FALSE),VLOOKUP($I663&amp;$J663&amp;W$1,Pesos!$A:$I,9,FALSE)))</f>
        <v>0.8</v>
      </c>
      <c r="AQ663" s="80">
        <f>IF(X663="","",IF(X663="SIM",VLOOKUP($I663&amp;$J663&amp;X$1,Pesos!$A:$I,7,FALSE),VLOOKUP($I663&amp;$J663&amp;X$1,Pesos!$A:$I,9,FALSE)))</f>
        <v>0.8</v>
      </c>
      <c r="AR663" s="80">
        <f>IF(Y663="","",IF(Y663="SIM",VLOOKUP($I663&amp;$J663&amp;Y$1,Pesos!$A:$I,7,FALSE),VLOOKUP($I663&amp;$J663&amp;Y$1,Pesos!$A:$I,9,FALSE)))</f>
        <v>0.8</v>
      </c>
      <c r="AS663" s="81">
        <f>IFERROR(Z663*VLOOKUP(J663,'BD Campos'!$Y$1:$Z$12,2,FALSE),"0")</f>
        <v>10</v>
      </c>
    </row>
    <row r="664" spans="1:45" x14ac:dyDescent="0.35">
      <c r="A664" s="68" t="str">
        <f t="shared" si="96"/>
        <v>Fev202511090ReceptivaTRANSFERÊNCIA</v>
      </c>
      <c r="B664" s="114" t="str">
        <f t="shared" si="97"/>
        <v>Fev2025110905TRANSFERÊNCIAPADRÃO</v>
      </c>
      <c r="C664" s="70">
        <v>1</v>
      </c>
      <c r="D664" s="71">
        <v>45701.710774189814</v>
      </c>
      <c r="E664" s="112" t="s">
        <v>338</v>
      </c>
      <c r="F664" s="72">
        <v>11090</v>
      </c>
      <c r="G664" s="69" t="s">
        <v>419</v>
      </c>
      <c r="H664" s="73">
        <v>5</v>
      </c>
      <c r="I664" s="69" t="s">
        <v>6</v>
      </c>
      <c r="J664" s="69" t="s">
        <v>98</v>
      </c>
      <c r="K664" s="69" t="s">
        <v>106</v>
      </c>
      <c r="L664" s="74"/>
      <c r="M664" s="75">
        <v>1.9907407407407408E-3</v>
      </c>
      <c r="N664" s="76" t="s">
        <v>79</v>
      </c>
      <c r="O664" s="76" t="s">
        <v>79</v>
      </c>
      <c r="P664" s="76" t="s">
        <v>79</v>
      </c>
      <c r="Q664" s="76" t="s">
        <v>79</v>
      </c>
      <c r="R664" s="76" t="s">
        <v>79</v>
      </c>
      <c r="S664" s="76" t="s">
        <v>79</v>
      </c>
      <c r="T664" s="76" t="s">
        <v>79</v>
      </c>
      <c r="U664" s="76" t="s">
        <v>79</v>
      </c>
      <c r="V664" s="76" t="s">
        <v>79</v>
      </c>
      <c r="W664" s="76" t="s">
        <v>79</v>
      </c>
      <c r="X664" s="76" t="s">
        <v>79</v>
      </c>
      <c r="Y664" s="76" t="s">
        <v>79</v>
      </c>
      <c r="Z664" s="77">
        <f t="shared" si="79"/>
        <v>10</v>
      </c>
      <c r="AA664" s="78"/>
      <c r="AB664" s="78"/>
      <c r="AC664" s="72" t="s">
        <v>47</v>
      </c>
      <c r="AE664" s="79" t="str">
        <f t="shared" si="95"/>
        <v>Fev11090</v>
      </c>
      <c r="AF664" s="80">
        <f>IF(N664="","",IF(N664="SIM",VLOOKUP($I664&amp;$J664&amp;N$1,Pesos!$A:$I,7,FALSE),VLOOKUP($I664&amp;$J664&amp;N$1,Pesos!$A:$I,9,FALSE)))</f>
        <v>0.8</v>
      </c>
      <c r="AG664" s="80">
        <f>IF(O664="","",IF(O664="SIM",VLOOKUP($I664&amp;$J664&amp;O$1,Pesos!$A:$I,7,FALSE),VLOOKUP($I664&amp;$J664&amp;O$1,Pesos!$A:$I,9,FALSE)))</f>
        <v>0.8</v>
      </c>
      <c r="AH664" s="80">
        <f>IF(P664="","",IF(P664="SIM",VLOOKUP($I664&amp;$J664&amp;P$1,Pesos!$A:$I,7,FALSE),VLOOKUP($I664&amp;$J664&amp;P$1,Pesos!$A:$I,9,FALSE)))</f>
        <v>1.2</v>
      </c>
      <c r="AI664" s="80">
        <f>IF(Q664="","",IF(Q664="SIM",VLOOKUP($I664&amp;$J664&amp;Q$1,Pesos!$A:$I,7,FALSE),VLOOKUP($I664&amp;$J664&amp;Q$1,Pesos!$A:$I,9,FALSE)))</f>
        <v>0.8</v>
      </c>
      <c r="AJ664" s="80">
        <f>IF(R664="","",IF(R664="SIM",VLOOKUP($I664&amp;$J664&amp;R$1,Pesos!$A:$I,7,FALSE),VLOOKUP($I664&amp;$J664&amp;R$1,Pesos!$A:$I,9,FALSE)))</f>
        <v>0.8</v>
      </c>
      <c r="AK664" s="80">
        <f>IF(S664="","",IF(S664="SIM",VLOOKUP($I664&amp;$J664&amp;S$1,Pesos!$A:$I,7,FALSE),VLOOKUP($I664&amp;$J664&amp;S$1,Pesos!$A:$I,9,FALSE)))</f>
        <v>0.8</v>
      </c>
      <c r="AL664" s="80">
        <f t="shared" si="98"/>
        <v>5.1999999999999993</v>
      </c>
      <c r="AM664" s="80">
        <f>IF(T664="","",IF(T664="SIM",VLOOKUP($I664&amp;$J664&amp;T$1,Pesos!$A:$I,7,FALSE),VLOOKUP($I664&amp;$J664&amp;T$1,Pesos!$A:$I,9,FALSE)))</f>
        <v>0.8</v>
      </c>
      <c r="AN664" s="80">
        <f>IF(U664="","",IF(U664="SIM",VLOOKUP($I664&amp;$J664&amp;U$1,Pesos!$A:$I,7,FALSE),VLOOKUP($I664&amp;$J664&amp;U$1,Pesos!$A:$I,9,FALSE)))</f>
        <v>0.8</v>
      </c>
      <c r="AO664" s="80">
        <f>IF(V664="","",IF(V664="SIM",VLOOKUP($I664&amp;$J664&amp;V$1,Pesos!$A:$I,7,FALSE),VLOOKUP($I664&amp;$J664&amp;V$1,Pesos!$A:$I,9,FALSE)))</f>
        <v>0.8</v>
      </c>
      <c r="AP664" s="80">
        <f>IF(W664="","",IF(W664="SIM",VLOOKUP($I664&amp;$J664&amp;W$1,Pesos!$A:$I,7,FALSE),VLOOKUP($I664&amp;$J664&amp;W$1,Pesos!$A:$I,9,FALSE)))</f>
        <v>0.8</v>
      </c>
      <c r="AQ664" s="80">
        <f>IF(X664="","",IF(X664="SIM",VLOOKUP($I664&amp;$J664&amp;X$1,Pesos!$A:$I,7,FALSE),VLOOKUP($I664&amp;$J664&amp;X$1,Pesos!$A:$I,9,FALSE)))</f>
        <v>0.8</v>
      </c>
      <c r="AR664" s="80">
        <f>IF(Y664="","",IF(Y664="SIM",VLOOKUP($I664&amp;$J664&amp;Y$1,Pesos!$A:$I,7,FALSE),VLOOKUP($I664&amp;$J664&amp;Y$1,Pesos!$A:$I,9,FALSE)))</f>
        <v>0.8</v>
      </c>
      <c r="AS664" s="81">
        <f>IFERROR(Z664*VLOOKUP(J664,'BD Campos'!$Y$1:$Z$12,2,FALSE),"0")</f>
        <v>10</v>
      </c>
    </row>
    <row r="665" spans="1:45" x14ac:dyDescent="0.35">
      <c r="A665" s="68" t="str">
        <f t="shared" si="96"/>
        <v>Fev202511093ReceptivaTRANSFERÊNCIA</v>
      </c>
      <c r="B665" s="114" t="str">
        <f t="shared" si="97"/>
        <v>Fev2025110935TRANSFERÊNCIAPADRÃO</v>
      </c>
      <c r="C665" s="70">
        <v>1</v>
      </c>
      <c r="D665" s="71">
        <v>45701.713611921296</v>
      </c>
      <c r="E665" s="112" t="s">
        <v>338</v>
      </c>
      <c r="F665" s="72">
        <v>11093</v>
      </c>
      <c r="G665" s="69" t="s">
        <v>420</v>
      </c>
      <c r="H665" s="73">
        <v>5</v>
      </c>
      <c r="I665" s="69" t="s">
        <v>6</v>
      </c>
      <c r="J665" s="69" t="s">
        <v>98</v>
      </c>
      <c r="K665" s="69" t="s">
        <v>106</v>
      </c>
      <c r="L665" s="74"/>
      <c r="M665" s="75">
        <v>1.0879629629629629E-3</v>
      </c>
      <c r="N665" s="76" t="s">
        <v>79</v>
      </c>
      <c r="O665" s="76" t="s">
        <v>79</v>
      </c>
      <c r="P665" s="76" t="s">
        <v>79</v>
      </c>
      <c r="Q665" s="76" t="s">
        <v>79</v>
      </c>
      <c r="R665" s="76" t="s">
        <v>79</v>
      </c>
      <c r="S665" s="76" t="s">
        <v>79</v>
      </c>
      <c r="T665" s="76" t="s">
        <v>79</v>
      </c>
      <c r="U665" s="76" t="s">
        <v>79</v>
      </c>
      <c r="V665" s="76" t="s">
        <v>79</v>
      </c>
      <c r="W665" s="76" t="s">
        <v>79</v>
      </c>
      <c r="X665" s="76" t="s">
        <v>79</v>
      </c>
      <c r="Y665" s="76" t="s">
        <v>79</v>
      </c>
      <c r="Z665" s="77">
        <f t="shared" si="79"/>
        <v>10</v>
      </c>
      <c r="AA665" s="78"/>
      <c r="AB665" s="78"/>
      <c r="AC665" s="72" t="s">
        <v>47</v>
      </c>
      <c r="AE665" s="79" t="str">
        <f t="shared" si="95"/>
        <v>Fev11093</v>
      </c>
      <c r="AF665" s="80">
        <f>IF(N665="","",IF(N665="SIM",VLOOKUP($I665&amp;$J665&amp;N$1,Pesos!$A:$I,7,FALSE),VLOOKUP($I665&amp;$J665&amp;N$1,Pesos!$A:$I,9,FALSE)))</f>
        <v>0.8</v>
      </c>
      <c r="AG665" s="80">
        <f>IF(O665="","",IF(O665="SIM",VLOOKUP($I665&amp;$J665&amp;O$1,Pesos!$A:$I,7,FALSE),VLOOKUP($I665&amp;$J665&amp;O$1,Pesos!$A:$I,9,FALSE)))</f>
        <v>0.8</v>
      </c>
      <c r="AH665" s="80">
        <f>IF(P665="","",IF(P665="SIM",VLOOKUP($I665&amp;$J665&amp;P$1,Pesos!$A:$I,7,FALSE),VLOOKUP($I665&amp;$J665&amp;P$1,Pesos!$A:$I,9,FALSE)))</f>
        <v>1.2</v>
      </c>
      <c r="AI665" s="80">
        <f>IF(Q665="","",IF(Q665="SIM",VLOOKUP($I665&amp;$J665&amp;Q$1,Pesos!$A:$I,7,FALSE),VLOOKUP($I665&amp;$J665&amp;Q$1,Pesos!$A:$I,9,FALSE)))</f>
        <v>0.8</v>
      </c>
      <c r="AJ665" s="80">
        <f>IF(R665="","",IF(R665="SIM",VLOOKUP($I665&amp;$J665&amp;R$1,Pesos!$A:$I,7,FALSE),VLOOKUP($I665&amp;$J665&amp;R$1,Pesos!$A:$I,9,FALSE)))</f>
        <v>0.8</v>
      </c>
      <c r="AK665" s="80">
        <f>IF(S665="","",IF(S665="SIM",VLOOKUP($I665&amp;$J665&amp;S$1,Pesos!$A:$I,7,FALSE),VLOOKUP($I665&amp;$J665&amp;S$1,Pesos!$A:$I,9,FALSE)))</f>
        <v>0.8</v>
      </c>
      <c r="AL665" s="80">
        <f t="shared" si="98"/>
        <v>5.1999999999999993</v>
      </c>
      <c r="AM665" s="80">
        <f>IF(T665="","",IF(T665="SIM",VLOOKUP($I665&amp;$J665&amp;T$1,Pesos!$A:$I,7,FALSE),VLOOKUP($I665&amp;$J665&amp;T$1,Pesos!$A:$I,9,FALSE)))</f>
        <v>0.8</v>
      </c>
      <c r="AN665" s="80">
        <f>IF(U665="","",IF(U665="SIM",VLOOKUP($I665&amp;$J665&amp;U$1,Pesos!$A:$I,7,FALSE),VLOOKUP($I665&amp;$J665&amp;U$1,Pesos!$A:$I,9,FALSE)))</f>
        <v>0.8</v>
      </c>
      <c r="AO665" s="80">
        <f>IF(V665="","",IF(V665="SIM",VLOOKUP($I665&amp;$J665&amp;V$1,Pesos!$A:$I,7,FALSE),VLOOKUP($I665&amp;$J665&amp;V$1,Pesos!$A:$I,9,FALSE)))</f>
        <v>0.8</v>
      </c>
      <c r="AP665" s="80">
        <f>IF(W665="","",IF(W665="SIM",VLOOKUP($I665&amp;$J665&amp;W$1,Pesos!$A:$I,7,FALSE),VLOOKUP($I665&amp;$J665&amp;W$1,Pesos!$A:$I,9,FALSE)))</f>
        <v>0.8</v>
      </c>
      <c r="AQ665" s="80">
        <f>IF(X665="","",IF(X665="SIM",VLOOKUP($I665&amp;$J665&amp;X$1,Pesos!$A:$I,7,FALSE),VLOOKUP($I665&amp;$J665&amp;X$1,Pesos!$A:$I,9,FALSE)))</f>
        <v>0.8</v>
      </c>
      <c r="AR665" s="80">
        <f>IF(Y665="","",IF(Y665="SIM",VLOOKUP($I665&amp;$J665&amp;Y$1,Pesos!$A:$I,7,FALSE),VLOOKUP($I665&amp;$J665&amp;Y$1,Pesos!$A:$I,9,FALSE)))</f>
        <v>0.8</v>
      </c>
      <c r="AS665" s="81">
        <f>IFERROR(Z665*VLOOKUP(J665,'BD Campos'!$Y$1:$Z$12,2,FALSE),"0")</f>
        <v>10</v>
      </c>
    </row>
    <row r="666" spans="1:45" x14ac:dyDescent="0.35">
      <c r="A666" s="68" t="str">
        <f t="shared" si="96"/>
        <v>Fev202510857MotoristaTRANSFERÊNCIA</v>
      </c>
      <c r="B666" s="114" t="str">
        <f t="shared" si="97"/>
        <v>Fev2025108571TRANSFERÊNCIAPADRÃO</v>
      </c>
      <c r="C666" s="70">
        <v>1</v>
      </c>
      <c r="D666" s="71">
        <v>45702.344724537033</v>
      </c>
      <c r="E666" s="112" t="s">
        <v>338</v>
      </c>
      <c r="F666" s="72">
        <v>10857</v>
      </c>
      <c r="G666" s="69" t="s">
        <v>169</v>
      </c>
      <c r="H666" s="73">
        <v>1</v>
      </c>
      <c r="I666" s="69" t="s">
        <v>123</v>
      </c>
      <c r="J666" s="69" t="s">
        <v>122</v>
      </c>
      <c r="K666" s="69" t="s">
        <v>106</v>
      </c>
      <c r="L666" s="74">
        <v>31098398</v>
      </c>
      <c r="M666" s="75">
        <v>1.9444444444444442E-3</v>
      </c>
      <c r="N666" s="76" t="s">
        <v>79</v>
      </c>
      <c r="O666" s="76" t="s">
        <v>79</v>
      </c>
      <c r="P666" s="76" t="s">
        <v>79</v>
      </c>
      <c r="Q666" s="76" t="s">
        <v>79</v>
      </c>
      <c r="R666" s="76" t="s">
        <v>79</v>
      </c>
      <c r="S666" s="76" t="s">
        <v>83</v>
      </c>
      <c r="T666" s="76" t="s">
        <v>79</v>
      </c>
      <c r="U666" s="76" t="s">
        <v>79</v>
      </c>
      <c r="V666" s="76" t="s">
        <v>83</v>
      </c>
      <c r="W666" s="76" t="s">
        <v>83</v>
      </c>
      <c r="X666" s="76"/>
      <c r="Y666" s="76"/>
      <c r="Z666" s="77">
        <f t="shared" si="79"/>
        <v>6.8500000000000005</v>
      </c>
      <c r="AA666" s="78"/>
      <c r="AB666" s="78" t="s">
        <v>1712</v>
      </c>
      <c r="AC666" s="72" t="s">
        <v>47</v>
      </c>
      <c r="AE666" s="79" t="str">
        <f t="shared" ref="AE666:AE679" si="99">E666&amp;F666</f>
        <v>Fev10857</v>
      </c>
      <c r="AF666" s="80">
        <f>IF(N666="","",IF(N666="SIM",VLOOKUP($I666&amp;$J666&amp;N$1,Pesos!$A:$I,7,FALSE),VLOOKUP($I666&amp;$J666&amp;N$1,Pesos!$A:$I,9,FALSE)))</f>
        <v>1</v>
      </c>
      <c r="AG666" s="80">
        <f>IF(O666="","",IF(O666="SIM",VLOOKUP($I666&amp;$J666&amp;O$1,Pesos!$A:$I,7,FALSE),VLOOKUP($I666&amp;$J666&amp;O$1,Pesos!$A:$I,9,FALSE)))</f>
        <v>1</v>
      </c>
      <c r="AH666" s="80">
        <f>IF(P666="","",IF(P666="SIM",VLOOKUP($I666&amp;$J666&amp;P$1,Pesos!$A:$I,7,FALSE),VLOOKUP($I666&amp;$J666&amp;P$1,Pesos!$A:$I,9,FALSE)))</f>
        <v>1</v>
      </c>
      <c r="AI666" s="80">
        <f>IF(Q666="","",IF(Q666="SIM",VLOOKUP($I666&amp;$J666&amp;Q$1,Pesos!$A:$I,7,FALSE),VLOOKUP($I666&amp;$J666&amp;Q$1,Pesos!$A:$I,9,FALSE)))</f>
        <v>1</v>
      </c>
      <c r="AJ666" s="80">
        <f>IF(R666="","",IF(R666="SIM",VLOOKUP($I666&amp;$J666&amp;R$1,Pesos!$A:$I,7,FALSE),VLOOKUP($I666&amp;$J666&amp;R$1,Pesos!$A:$I,9,FALSE)))</f>
        <v>1</v>
      </c>
      <c r="AK666" s="80">
        <f>IF(S666="","",IF(S666="SIM",VLOOKUP($I666&amp;$J666&amp;S$1,Pesos!$A:$I,7,FALSE),VLOOKUP($I666&amp;$J666&amp;S$1,Pesos!$A:$I,9,FALSE)))</f>
        <v>-0.05</v>
      </c>
      <c r="AL666" s="80">
        <f t="shared" si="98"/>
        <v>4.95</v>
      </c>
      <c r="AM666" s="80">
        <f>IF(T666="","",IF(T666="SIM",VLOOKUP($I666&amp;$J666&amp;T$1,Pesos!$A:$I,7,FALSE),VLOOKUP($I666&amp;$J666&amp;T$1,Pesos!$A:$I,9,FALSE)))</f>
        <v>1</v>
      </c>
      <c r="AN666" s="80">
        <f>IF(U666="","",IF(U666="SIM",VLOOKUP($I666&amp;$J666&amp;U$1,Pesos!$A:$I,7,FALSE),VLOOKUP($I666&amp;$J666&amp;U$1,Pesos!$A:$I,9,FALSE)))</f>
        <v>1</v>
      </c>
      <c r="AO666" s="80">
        <f>IF(V666="","",IF(V666="SIM",VLOOKUP($I666&amp;$J666&amp;V$1,Pesos!$A:$I,7,FALSE),VLOOKUP($I666&amp;$J666&amp;V$1,Pesos!$A:$I,9,FALSE)))</f>
        <v>-0.05</v>
      </c>
      <c r="AP666" s="80">
        <f>IF(W666="","",IF(W666="SIM",VLOOKUP($I666&amp;$J666&amp;W$1,Pesos!$A:$I,7,FALSE),VLOOKUP($I666&amp;$J666&amp;W$1,Pesos!$A:$I,9,FALSE)))</f>
        <v>-0.05</v>
      </c>
      <c r="AQ666" s="80" t="str">
        <f>IF(X666="","",IF(X666="SIM",VLOOKUP($I666&amp;$J666&amp;X$1,Pesos!$A:$I,7,FALSE),VLOOKUP($I666&amp;$J666&amp;X$1,Pesos!$A:$I,9,FALSE)))</f>
        <v/>
      </c>
      <c r="AR666" s="80" t="str">
        <f>IF(Y666="","",IF(Y666="SIM",VLOOKUP($I666&amp;$J666&amp;Y$1,Pesos!$A:$I,7,FALSE),VLOOKUP($I666&amp;$J666&amp;Y$1,Pesos!$A:$I,9,FALSE)))</f>
        <v/>
      </c>
      <c r="AS666" s="81">
        <f>IFERROR(Z666*VLOOKUP(J666,'BD Campos'!$Y$1:$Z$12,2,FALSE),"0")</f>
        <v>6.8500000000000005</v>
      </c>
    </row>
    <row r="667" spans="1:45" x14ac:dyDescent="0.35">
      <c r="A667" s="68" t="str">
        <f t="shared" si="96"/>
        <v>Fev202511053MotoristaTRANSFERÊNCIA</v>
      </c>
      <c r="B667" s="114" t="str">
        <f t="shared" si="97"/>
        <v>Fev2025110531TRANSFERÊNCIAPADRÃO</v>
      </c>
      <c r="C667" s="70">
        <v>1</v>
      </c>
      <c r="D667" s="71">
        <v>45702.352526967596</v>
      </c>
      <c r="E667" s="112" t="s">
        <v>338</v>
      </c>
      <c r="F667" s="72">
        <v>11053</v>
      </c>
      <c r="G667" s="69" t="s">
        <v>378</v>
      </c>
      <c r="H667" s="73">
        <v>1</v>
      </c>
      <c r="I667" s="69" t="s">
        <v>123</v>
      </c>
      <c r="J667" s="69" t="s">
        <v>122</v>
      </c>
      <c r="K667" s="69" t="s">
        <v>106</v>
      </c>
      <c r="L667" s="74">
        <v>31074138</v>
      </c>
      <c r="M667" s="75">
        <v>1.2731481481481483E-3</v>
      </c>
      <c r="N667" s="76" t="s">
        <v>79</v>
      </c>
      <c r="O667" s="76" t="s">
        <v>79</v>
      </c>
      <c r="P667" s="76" t="s">
        <v>79</v>
      </c>
      <c r="Q667" s="76" t="s">
        <v>79</v>
      </c>
      <c r="R667" s="76" t="s">
        <v>79</v>
      </c>
      <c r="S667" s="76" t="s">
        <v>79</v>
      </c>
      <c r="T667" s="76" t="s">
        <v>79</v>
      </c>
      <c r="U667" s="76" t="s">
        <v>79</v>
      </c>
      <c r="V667" s="76" t="s">
        <v>83</v>
      </c>
      <c r="W667" s="76" t="s">
        <v>83</v>
      </c>
      <c r="X667" s="76"/>
      <c r="Y667" s="76"/>
      <c r="Z667" s="77">
        <f t="shared" si="79"/>
        <v>7.9</v>
      </c>
      <c r="AA667" s="78"/>
      <c r="AB667" s="78" t="s">
        <v>1713</v>
      </c>
      <c r="AC667" s="72" t="s">
        <v>47</v>
      </c>
      <c r="AE667" s="79" t="str">
        <f t="shared" si="99"/>
        <v>Fev11053</v>
      </c>
      <c r="AF667" s="80">
        <f>IF(N667="","",IF(N667="SIM",VLOOKUP($I667&amp;$J667&amp;N$1,Pesos!$A:$I,7,FALSE),VLOOKUP($I667&amp;$J667&amp;N$1,Pesos!$A:$I,9,FALSE)))</f>
        <v>1</v>
      </c>
      <c r="AG667" s="80">
        <f>IF(O667="","",IF(O667="SIM",VLOOKUP($I667&amp;$J667&amp;O$1,Pesos!$A:$I,7,FALSE),VLOOKUP($I667&amp;$J667&amp;O$1,Pesos!$A:$I,9,FALSE)))</f>
        <v>1</v>
      </c>
      <c r="AH667" s="80">
        <f>IF(P667="","",IF(P667="SIM",VLOOKUP($I667&amp;$J667&amp;P$1,Pesos!$A:$I,7,FALSE),VLOOKUP($I667&amp;$J667&amp;P$1,Pesos!$A:$I,9,FALSE)))</f>
        <v>1</v>
      </c>
      <c r="AI667" s="80">
        <f>IF(Q667="","",IF(Q667="SIM",VLOOKUP($I667&amp;$J667&amp;Q$1,Pesos!$A:$I,7,FALSE),VLOOKUP($I667&amp;$J667&amp;Q$1,Pesos!$A:$I,9,FALSE)))</f>
        <v>1</v>
      </c>
      <c r="AJ667" s="80">
        <f>IF(R667="","",IF(R667="SIM",VLOOKUP($I667&amp;$J667&amp;R$1,Pesos!$A:$I,7,FALSE),VLOOKUP($I667&amp;$J667&amp;R$1,Pesos!$A:$I,9,FALSE)))</f>
        <v>1</v>
      </c>
      <c r="AK667" s="80">
        <f>IF(S667="","",IF(S667="SIM",VLOOKUP($I667&amp;$J667&amp;S$1,Pesos!$A:$I,7,FALSE),VLOOKUP($I667&amp;$J667&amp;S$1,Pesos!$A:$I,9,FALSE)))</f>
        <v>1</v>
      </c>
      <c r="AL667" s="80">
        <f t="shared" si="98"/>
        <v>6</v>
      </c>
      <c r="AM667" s="80">
        <f>IF(T667="","",IF(T667="SIM",VLOOKUP($I667&amp;$J667&amp;T$1,Pesos!$A:$I,7,FALSE),VLOOKUP($I667&amp;$J667&amp;T$1,Pesos!$A:$I,9,FALSE)))</f>
        <v>1</v>
      </c>
      <c r="AN667" s="80">
        <f>IF(U667="","",IF(U667="SIM",VLOOKUP($I667&amp;$J667&amp;U$1,Pesos!$A:$I,7,FALSE),VLOOKUP($I667&amp;$J667&amp;U$1,Pesos!$A:$I,9,FALSE)))</f>
        <v>1</v>
      </c>
      <c r="AO667" s="80">
        <f>IF(V667="","",IF(V667="SIM",VLOOKUP($I667&amp;$J667&amp;V$1,Pesos!$A:$I,7,FALSE),VLOOKUP($I667&amp;$J667&amp;V$1,Pesos!$A:$I,9,FALSE)))</f>
        <v>-0.05</v>
      </c>
      <c r="AP667" s="80">
        <f>IF(W667="","",IF(W667="SIM",VLOOKUP($I667&amp;$J667&amp;W$1,Pesos!$A:$I,7,FALSE),VLOOKUP($I667&amp;$J667&amp;W$1,Pesos!$A:$I,9,FALSE)))</f>
        <v>-0.05</v>
      </c>
      <c r="AQ667" s="80" t="str">
        <f>IF(X667="","",IF(X667="SIM",VLOOKUP($I667&amp;$J667&amp;X$1,Pesos!$A:$I,7,FALSE),VLOOKUP($I667&amp;$J667&amp;X$1,Pesos!$A:$I,9,FALSE)))</f>
        <v/>
      </c>
      <c r="AR667" s="80" t="str">
        <f>IF(Y667="","",IF(Y667="SIM",VLOOKUP($I667&amp;$J667&amp;Y$1,Pesos!$A:$I,7,FALSE),VLOOKUP($I667&amp;$J667&amp;Y$1,Pesos!$A:$I,9,FALSE)))</f>
        <v/>
      </c>
      <c r="AS667" s="81">
        <f>IFERROR(Z667*VLOOKUP(J667,'BD Campos'!$Y$1:$Z$12,2,FALSE),"0")</f>
        <v>7.9</v>
      </c>
    </row>
    <row r="668" spans="1:45" x14ac:dyDescent="0.35">
      <c r="A668" s="68" t="str">
        <f t="shared" si="96"/>
        <v>Fev202510939MotoristaTRANSFERÊNCIA</v>
      </c>
      <c r="B668" s="114" t="str">
        <f t="shared" si="97"/>
        <v>Fev2025109391TRANSFERÊNCIAPADRÃO</v>
      </c>
      <c r="C668" s="70">
        <v>1</v>
      </c>
      <c r="D668" s="71">
        <v>45702.361288541666</v>
      </c>
      <c r="E668" s="112" t="s">
        <v>338</v>
      </c>
      <c r="F668" s="72">
        <v>10939</v>
      </c>
      <c r="G668" s="69" t="s">
        <v>110</v>
      </c>
      <c r="H668" s="73">
        <v>1</v>
      </c>
      <c r="I668" s="69" t="s">
        <v>121</v>
      </c>
      <c r="J668" s="69" t="s">
        <v>122</v>
      </c>
      <c r="K668" s="69" t="s">
        <v>106</v>
      </c>
      <c r="L668" s="74">
        <v>31088518</v>
      </c>
      <c r="M668" s="75">
        <v>2.5694444444444445E-3</v>
      </c>
      <c r="N668" s="76" t="s">
        <v>79</v>
      </c>
      <c r="O668" s="76" t="s">
        <v>79</v>
      </c>
      <c r="P668" s="76" t="s">
        <v>79</v>
      </c>
      <c r="Q668" s="76" t="s">
        <v>79</v>
      </c>
      <c r="R668" s="76" t="s">
        <v>79</v>
      </c>
      <c r="S668" s="76" t="s">
        <v>79</v>
      </c>
      <c r="T668" s="76" t="s">
        <v>79</v>
      </c>
      <c r="U668" s="76" t="s">
        <v>79</v>
      </c>
      <c r="V668" s="76" t="s">
        <v>79</v>
      </c>
      <c r="W668" s="76" t="s">
        <v>79</v>
      </c>
      <c r="X668" s="76" t="s">
        <v>83</v>
      </c>
      <c r="Y668" s="76"/>
      <c r="Z668" s="77">
        <f t="shared" si="79"/>
        <v>9.0025000000000013</v>
      </c>
      <c r="AA668" s="78"/>
      <c r="AB668" s="78" t="s">
        <v>1714</v>
      </c>
      <c r="AC668" s="72" t="s">
        <v>47</v>
      </c>
      <c r="AE668" s="79" t="str">
        <f t="shared" si="99"/>
        <v>Fev10939</v>
      </c>
      <c r="AF668" s="80">
        <f>IF(N668="","",IF(N668="SIM",VLOOKUP($I668&amp;$J668&amp;N$1,Pesos!$A:$I,7,FALSE),VLOOKUP($I668&amp;$J668&amp;N$1,Pesos!$A:$I,9,FALSE)))</f>
        <v>0.89999999999999991</v>
      </c>
      <c r="AG668" s="80">
        <f>IF(O668="","",IF(O668="SIM",VLOOKUP($I668&amp;$J668&amp;O$1,Pesos!$A:$I,7,FALSE),VLOOKUP($I668&amp;$J668&amp;O$1,Pesos!$A:$I,9,FALSE)))</f>
        <v>0.89999999999999991</v>
      </c>
      <c r="AH668" s="80">
        <f>IF(P668="","",IF(P668="SIM",VLOOKUP($I668&amp;$J668&amp;P$1,Pesos!$A:$I,7,FALSE),VLOOKUP($I668&amp;$J668&amp;P$1,Pesos!$A:$I,9,FALSE)))</f>
        <v>0.89999999999999991</v>
      </c>
      <c r="AI668" s="80">
        <f>IF(Q668="","",IF(Q668="SIM",VLOOKUP($I668&amp;$J668&amp;Q$1,Pesos!$A:$I,7,FALSE),VLOOKUP($I668&amp;$J668&amp;Q$1,Pesos!$A:$I,9,FALSE)))</f>
        <v>0.89999999999999991</v>
      </c>
      <c r="AJ668" s="80">
        <f>IF(R668="","",IF(R668="SIM",VLOOKUP($I668&amp;$J668&amp;R$1,Pesos!$A:$I,7,FALSE),VLOOKUP($I668&amp;$J668&amp;R$1,Pesos!$A:$I,9,FALSE)))</f>
        <v>0.89999999999999991</v>
      </c>
      <c r="AK668" s="80">
        <f>IF(S668="","",IF(S668="SIM",VLOOKUP($I668&amp;$J668&amp;S$1,Pesos!$A:$I,7,FALSE),VLOOKUP($I668&amp;$J668&amp;S$1,Pesos!$A:$I,9,FALSE)))</f>
        <v>0.89999999999999991</v>
      </c>
      <c r="AL668" s="80">
        <f t="shared" si="98"/>
        <v>5.4</v>
      </c>
      <c r="AM668" s="80">
        <f>IF(T668="","",IF(T668="SIM",VLOOKUP($I668&amp;$J668&amp;T$1,Pesos!$A:$I,7,FALSE),VLOOKUP($I668&amp;$J668&amp;T$1,Pesos!$A:$I,9,FALSE)))</f>
        <v>0.89999999999999991</v>
      </c>
      <c r="AN668" s="80">
        <f>IF(U668="","",IF(U668="SIM",VLOOKUP($I668&amp;$J668&amp;U$1,Pesos!$A:$I,7,FALSE),VLOOKUP($I668&amp;$J668&amp;U$1,Pesos!$A:$I,9,FALSE)))</f>
        <v>0.92500000000000004</v>
      </c>
      <c r="AO668" s="80">
        <f>IF(V668="","",IF(V668="SIM",VLOOKUP($I668&amp;$J668&amp;V$1,Pesos!$A:$I,7,FALSE),VLOOKUP($I668&amp;$J668&amp;V$1,Pesos!$A:$I,9,FALSE)))</f>
        <v>0.92500000000000004</v>
      </c>
      <c r="AP668" s="80">
        <f>IF(W668="","",IF(W668="SIM",VLOOKUP($I668&amp;$J668&amp;W$1,Pesos!$A:$I,7,FALSE),VLOOKUP($I668&amp;$J668&amp;W$1,Pesos!$A:$I,9,FALSE)))</f>
        <v>0.89999999999999991</v>
      </c>
      <c r="AQ668" s="80">
        <f>IF(X668="","",IF(X668="SIM",VLOOKUP($I668&amp;$J668&amp;X$1,Pesos!$A:$I,7,FALSE),VLOOKUP($I668&amp;$J668&amp;X$1,Pesos!$A:$I,9,FALSE)))</f>
        <v>-4.7500000000000001E-2</v>
      </c>
      <c r="AR668" s="80" t="str">
        <f>IF(Y668="","",IF(Y668="SIM",VLOOKUP($I668&amp;$J668&amp;Y$1,Pesos!$A:$I,7,FALSE),VLOOKUP($I668&amp;$J668&amp;Y$1,Pesos!$A:$I,9,FALSE)))</f>
        <v/>
      </c>
      <c r="AS668" s="81">
        <f>IFERROR(Z668*VLOOKUP(J668,'BD Campos'!$Y$1:$Z$12,2,FALSE),"0")</f>
        <v>9.0025000000000013</v>
      </c>
    </row>
    <row r="669" spans="1:45" x14ac:dyDescent="0.35">
      <c r="A669" s="68" t="str">
        <f t="shared" si="96"/>
        <v>Fev202510954MotoristaTRANSFERÊNCIA</v>
      </c>
      <c r="B669" s="114" t="str">
        <f t="shared" si="97"/>
        <v>Fev2025109541TRANSFERÊNCIAPADRÃO</v>
      </c>
      <c r="C669" s="70">
        <v>1</v>
      </c>
      <c r="D669" s="71">
        <v>45702.364778587966</v>
      </c>
      <c r="E669" s="112" t="s">
        <v>338</v>
      </c>
      <c r="F669" s="72">
        <v>10954</v>
      </c>
      <c r="G669" s="69" t="s">
        <v>117</v>
      </c>
      <c r="H669" s="73">
        <v>1</v>
      </c>
      <c r="I669" s="69" t="s">
        <v>121</v>
      </c>
      <c r="J669" s="69" t="s">
        <v>122</v>
      </c>
      <c r="K669" s="69" t="s">
        <v>106</v>
      </c>
      <c r="L669" s="74">
        <v>31145762</v>
      </c>
      <c r="M669" s="75">
        <v>1.8171296296296297E-3</v>
      </c>
      <c r="N669" s="76" t="s">
        <v>79</v>
      </c>
      <c r="O669" s="76" t="s">
        <v>79</v>
      </c>
      <c r="P669" s="76" t="s">
        <v>79</v>
      </c>
      <c r="Q669" s="76" t="s">
        <v>79</v>
      </c>
      <c r="R669" s="76" t="s">
        <v>79</v>
      </c>
      <c r="S669" s="76" t="s">
        <v>79</v>
      </c>
      <c r="T669" s="76" t="s">
        <v>79</v>
      </c>
      <c r="U669" s="76" t="s">
        <v>79</v>
      </c>
      <c r="V669" s="76" t="s">
        <v>79</v>
      </c>
      <c r="W669" s="76" t="s">
        <v>79</v>
      </c>
      <c r="X669" s="76" t="s">
        <v>79</v>
      </c>
      <c r="Y669" s="76"/>
      <c r="Z669" s="77">
        <f t="shared" si="79"/>
        <v>10</v>
      </c>
      <c r="AA669" s="78"/>
      <c r="AB669" s="78" t="s">
        <v>1715</v>
      </c>
      <c r="AC669" s="72" t="s">
        <v>47</v>
      </c>
      <c r="AE669" s="79" t="str">
        <f t="shared" si="99"/>
        <v>Fev10954</v>
      </c>
      <c r="AF669" s="80">
        <f>IF(N669="","",IF(N669="SIM",VLOOKUP($I669&amp;$J669&amp;N$1,Pesos!$A:$I,7,FALSE),VLOOKUP($I669&amp;$J669&amp;N$1,Pesos!$A:$I,9,FALSE)))</f>
        <v>0.89999999999999991</v>
      </c>
      <c r="AG669" s="80">
        <f>IF(O669="","",IF(O669="SIM",VLOOKUP($I669&amp;$J669&amp;O$1,Pesos!$A:$I,7,FALSE),VLOOKUP($I669&amp;$J669&amp;O$1,Pesos!$A:$I,9,FALSE)))</f>
        <v>0.89999999999999991</v>
      </c>
      <c r="AH669" s="80">
        <f>IF(P669="","",IF(P669="SIM",VLOOKUP($I669&amp;$J669&amp;P$1,Pesos!$A:$I,7,FALSE),VLOOKUP($I669&amp;$J669&amp;P$1,Pesos!$A:$I,9,FALSE)))</f>
        <v>0.89999999999999991</v>
      </c>
      <c r="AI669" s="80">
        <f>IF(Q669="","",IF(Q669="SIM",VLOOKUP($I669&amp;$J669&amp;Q$1,Pesos!$A:$I,7,FALSE),VLOOKUP($I669&amp;$J669&amp;Q$1,Pesos!$A:$I,9,FALSE)))</f>
        <v>0.89999999999999991</v>
      </c>
      <c r="AJ669" s="80">
        <f>IF(R669="","",IF(R669="SIM",VLOOKUP($I669&amp;$J669&amp;R$1,Pesos!$A:$I,7,FALSE),VLOOKUP($I669&amp;$J669&amp;R$1,Pesos!$A:$I,9,FALSE)))</f>
        <v>0.89999999999999991</v>
      </c>
      <c r="AK669" s="80">
        <f>IF(S669="","",IF(S669="SIM",VLOOKUP($I669&amp;$J669&amp;S$1,Pesos!$A:$I,7,FALSE),VLOOKUP($I669&amp;$J669&amp;S$1,Pesos!$A:$I,9,FALSE)))</f>
        <v>0.89999999999999991</v>
      </c>
      <c r="AL669" s="80">
        <f t="shared" si="98"/>
        <v>5.4</v>
      </c>
      <c r="AM669" s="80">
        <f>IF(T669="","",IF(T669="SIM",VLOOKUP($I669&amp;$J669&amp;T$1,Pesos!$A:$I,7,FALSE),VLOOKUP($I669&amp;$J669&amp;T$1,Pesos!$A:$I,9,FALSE)))</f>
        <v>0.89999999999999991</v>
      </c>
      <c r="AN669" s="80">
        <f>IF(U669="","",IF(U669="SIM",VLOOKUP($I669&amp;$J669&amp;U$1,Pesos!$A:$I,7,FALSE),VLOOKUP($I669&amp;$J669&amp;U$1,Pesos!$A:$I,9,FALSE)))</f>
        <v>0.92500000000000004</v>
      </c>
      <c r="AO669" s="80">
        <f>IF(V669="","",IF(V669="SIM",VLOOKUP($I669&amp;$J669&amp;V$1,Pesos!$A:$I,7,FALSE),VLOOKUP($I669&amp;$J669&amp;V$1,Pesos!$A:$I,9,FALSE)))</f>
        <v>0.92500000000000004</v>
      </c>
      <c r="AP669" s="80">
        <f>IF(W669="","",IF(W669="SIM",VLOOKUP($I669&amp;$J669&amp;W$1,Pesos!$A:$I,7,FALSE),VLOOKUP($I669&amp;$J669&amp;W$1,Pesos!$A:$I,9,FALSE)))</f>
        <v>0.89999999999999991</v>
      </c>
      <c r="AQ669" s="80">
        <f>IF(X669="","",IF(X669="SIM",VLOOKUP($I669&amp;$J669&amp;X$1,Pesos!$A:$I,7,FALSE),VLOOKUP($I669&amp;$J669&amp;X$1,Pesos!$A:$I,9,FALSE)))</f>
        <v>0.95</v>
      </c>
      <c r="AR669" s="80" t="str">
        <f>IF(Y669="","",IF(Y669="SIM",VLOOKUP($I669&amp;$J669&amp;Y$1,Pesos!$A:$I,7,FALSE),VLOOKUP($I669&amp;$J669&amp;Y$1,Pesos!$A:$I,9,FALSE)))</f>
        <v/>
      </c>
      <c r="AS669" s="81">
        <f>IFERROR(Z669*VLOOKUP(J669,'BD Campos'!$Y$1:$Z$12,2,FALSE),"0")</f>
        <v>10</v>
      </c>
    </row>
    <row r="670" spans="1:45" x14ac:dyDescent="0.35">
      <c r="A670" s="68" t="str">
        <f t="shared" si="96"/>
        <v>Fev202510957MotoristaTRANSFERÊNCIA</v>
      </c>
      <c r="B670" s="114" t="str">
        <f t="shared" si="97"/>
        <v>Fev2025109571TRANSFERÊNCIAPADRÃO</v>
      </c>
      <c r="C670" s="70">
        <v>1</v>
      </c>
      <c r="D670" s="71">
        <v>45702.371165046294</v>
      </c>
      <c r="E670" s="112" t="s">
        <v>338</v>
      </c>
      <c r="F670" s="72">
        <v>10957</v>
      </c>
      <c r="G670" s="69" t="s">
        <v>116</v>
      </c>
      <c r="H670" s="73">
        <v>1</v>
      </c>
      <c r="I670" s="69" t="s">
        <v>121</v>
      </c>
      <c r="J670" s="69" t="s">
        <v>122</v>
      </c>
      <c r="K670" s="69" t="s">
        <v>106</v>
      </c>
      <c r="L670" s="74">
        <v>31114877</v>
      </c>
      <c r="M670" s="75">
        <v>1.0763888888888889E-3</v>
      </c>
      <c r="N670" s="76" t="s">
        <v>79</v>
      </c>
      <c r="O670" s="76" t="s">
        <v>79</v>
      </c>
      <c r="P670" s="76" t="s">
        <v>79</v>
      </c>
      <c r="Q670" s="76" t="s">
        <v>79</v>
      </c>
      <c r="R670" s="76" t="s">
        <v>79</v>
      </c>
      <c r="S670" s="76" t="s">
        <v>83</v>
      </c>
      <c r="T670" s="76" t="s">
        <v>79</v>
      </c>
      <c r="U670" s="76" t="s">
        <v>79</v>
      </c>
      <c r="V670" s="76" t="s">
        <v>83</v>
      </c>
      <c r="W670" s="76" t="s">
        <v>79</v>
      </c>
      <c r="X670" s="76" t="s">
        <v>83</v>
      </c>
      <c r="Y670" s="76"/>
      <c r="Z670" s="77">
        <f t="shared" si="79"/>
        <v>7.0862500000000006</v>
      </c>
      <c r="AA670" s="78"/>
      <c r="AB670" s="78" t="s">
        <v>1716</v>
      </c>
      <c r="AC670" s="72" t="s">
        <v>47</v>
      </c>
      <c r="AE670" s="79" t="str">
        <f t="shared" si="99"/>
        <v>Fev10957</v>
      </c>
      <c r="AF670" s="80">
        <f>IF(N670="","",IF(N670="SIM",VLOOKUP($I670&amp;$J670&amp;N$1,Pesos!$A:$I,7,FALSE),VLOOKUP($I670&amp;$J670&amp;N$1,Pesos!$A:$I,9,FALSE)))</f>
        <v>0.89999999999999991</v>
      </c>
      <c r="AG670" s="80">
        <f>IF(O670="","",IF(O670="SIM",VLOOKUP($I670&amp;$J670&amp;O$1,Pesos!$A:$I,7,FALSE),VLOOKUP($I670&amp;$J670&amp;O$1,Pesos!$A:$I,9,FALSE)))</f>
        <v>0.89999999999999991</v>
      </c>
      <c r="AH670" s="80">
        <f>IF(P670="","",IF(P670="SIM",VLOOKUP($I670&amp;$J670&amp;P$1,Pesos!$A:$I,7,FALSE),VLOOKUP($I670&amp;$J670&amp;P$1,Pesos!$A:$I,9,FALSE)))</f>
        <v>0.89999999999999991</v>
      </c>
      <c r="AI670" s="80">
        <f>IF(Q670="","",IF(Q670="SIM",VLOOKUP($I670&amp;$J670&amp;Q$1,Pesos!$A:$I,7,FALSE),VLOOKUP($I670&amp;$J670&amp;Q$1,Pesos!$A:$I,9,FALSE)))</f>
        <v>0.89999999999999991</v>
      </c>
      <c r="AJ670" s="80">
        <f>IF(R670="","",IF(R670="SIM",VLOOKUP($I670&amp;$J670&amp;R$1,Pesos!$A:$I,7,FALSE),VLOOKUP($I670&amp;$J670&amp;R$1,Pesos!$A:$I,9,FALSE)))</f>
        <v>0.89999999999999991</v>
      </c>
      <c r="AK670" s="80">
        <f>IF(S670="","",IF(S670="SIM",VLOOKUP($I670&amp;$J670&amp;S$1,Pesos!$A:$I,7,FALSE),VLOOKUP($I670&amp;$J670&amp;S$1,Pesos!$A:$I,9,FALSE)))</f>
        <v>-4.4999999999999998E-2</v>
      </c>
      <c r="AL670" s="80">
        <f t="shared" si="98"/>
        <v>4.4550000000000001</v>
      </c>
      <c r="AM670" s="80">
        <f>IF(T670="","",IF(T670="SIM",VLOOKUP($I670&amp;$J670&amp;T$1,Pesos!$A:$I,7,FALSE),VLOOKUP($I670&amp;$J670&amp;T$1,Pesos!$A:$I,9,FALSE)))</f>
        <v>0.89999999999999991</v>
      </c>
      <c r="AN670" s="80">
        <f>IF(U670="","",IF(U670="SIM",VLOOKUP($I670&amp;$J670&amp;U$1,Pesos!$A:$I,7,FALSE),VLOOKUP($I670&amp;$J670&amp;U$1,Pesos!$A:$I,9,FALSE)))</f>
        <v>0.92500000000000004</v>
      </c>
      <c r="AO670" s="80">
        <f>IF(V670="","",IF(V670="SIM",VLOOKUP($I670&amp;$J670&amp;V$1,Pesos!$A:$I,7,FALSE),VLOOKUP($I670&amp;$J670&amp;V$1,Pesos!$A:$I,9,FALSE)))</f>
        <v>-4.6250000000000006E-2</v>
      </c>
      <c r="AP670" s="80">
        <f>IF(W670="","",IF(W670="SIM",VLOOKUP($I670&amp;$J670&amp;W$1,Pesos!$A:$I,7,FALSE),VLOOKUP($I670&amp;$J670&amp;W$1,Pesos!$A:$I,9,FALSE)))</f>
        <v>0.89999999999999991</v>
      </c>
      <c r="AQ670" s="80">
        <f>IF(X670="","",IF(X670="SIM",VLOOKUP($I670&amp;$J670&amp;X$1,Pesos!$A:$I,7,FALSE),VLOOKUP($I670&amp;$J670&amp;X$1,Pesos!$A:$I,9,FALSE)))</f>
        <v>-4.7500000000000001E-2</v>
      </c>
      <c r="AR670" s="80" t="str">
        <f>IF(Y670="","",IF(Y670="SIM",VLOOKUP($I670&amp;$J670&amp;Y$1,Pesos!$A:$I,7,FALSE),VLOOKUP($I670&amp;$J670&amp;Y$1,Pesos!$A:$I,9,FALSE)))</f>
        <v/>
      </c>
      <c r="AS670" s="81">
        <f>IFERROR(Z670*VLOOKUP(J670,'BD Campos'!$Y$1:$Z$12,2,FALSE),"0")</f>
        <v>7.0862500000000006</v>
      </c>
    </row>
    <row r="671" spans="1:45" x14ac:dyDescent="0.35">
      <c r="A671" s="68" t="str">
        <f t="shared" si="96"/>
        <v>Fev202511187PoliciaTRANSFERÊNCIA</v>
      </c>
      <c r="B671" s="114" t="str">
        <f t="shared" si="97"/>
        <v>Fev2025111871TRANSFERÊNCIAPADRÃO</v>
      </c>
      <c r="C671" s="70">
        <v>1</v>
      </c>
      <c r="D671" s="71">
        <v>45702.376935185188</v>
      </c>
      <c r="E671" s="112" t="s">
        <v>338</v>
      </c>
      <c r="F671" s="72">
        <v>11187</v>
      </c>
      <c r="G671" s="69" t="s">
        <v>1362</v>
      </c>
      <c r="H671" s="73">
        <v>1</v>
      </c>
      <c r="I671" s="69" t="s">
        <v>123</v>
      </c>
      <c r="J671" s="69" t="s">
        <v>146</v>
      </c>
      <c r="K671" s="69" t="s">
        <v>106</v>
      </c>
      <c r="L671" s="74">
        <v>31096709</v>
      </c>
      <c r="M671" s="75">
        <v>2.6504629629629625E-3</v>
      </c>
      <c r="N671" s="76" t="s">
        <v>79</v>
      </c>
      <c r="O671" s="76" t="s">
        <v>79</v>
      </c>
      <c r="P671" s="76" t="s">
        <v>79</v>
      </c>
      <c r="Q671" s="76" t="s">
        <v>79</v>
      </c>
      <c r="R671" s="76" t="s">
        <v>79</v>
      </c>
      <c r="S671" s="76" t="s">
        <v>79</v>
      </c>
      <c r="T671" s="76" t="s">
        <v>83</v>
      </c>
      <c r="U671" s="76" t="s">
        <v>79</v>
      </c>
      <c r="V671" s="76" t="s">
        <v>79</v>
      </c>
      <c r="W671" s="76" t="s">
        <v>79</v>
      </c>
      <c r="X671" s="76" t="s">
        <v>79</v>
      </c>
      <c r="Y671" s="76" t="s">
        <v>79</v>
      </c>
      <c r="Z671" s="77">
        <f t="shared" si="79"/>
        <v>9.16</v>
      </c>
      <c r="AA671" s="78"/>
      <c r="AB671" s="78" t="s">
        <v>1717</v>
      </c>
      <c r="AC671" s="72" t="s">
        <v>47</v>
      </c>
      <c r="AE671" s="79" t="str">
        <f>E671&amp;F671</f>
        <v>Fev11187</v>
      </c>
      <c r="AF671" s="80">
        <f>IF(N671="","",IF(N671="SIM",VLOOKUP($I671&amp;$J671&amp;N$1,Pesos!$A:$I,7,FALSE),VLOOKUP($I671&amp;$J671&amp;N$1,Pesos!$A:$I,9,FALSE)))</f>
        <v>0.8</v>
      </c>
      <c r="AG671" s="80">
        <f>IF(O671="","",IF(O671="SIM",VLOOKUP($I671&amp;$J671&amp;O$1,Pesos!$A:$I,7,FALSE),VLOOKUP($I671&amp;$J671&amp;O$1,Pesos!$A:$I,9,FALSE)))</f>
        <v>0.8</v>
      </c>
      <c r="AH671" s="80">
        <f>IF(P671="","",IF(P671="SIM",VLOOKUP($I671&amp;$J671&amp;P$1,Pesos!$A:$I,7,FALSE),VLOOKUP($I671&amp;$J671&amp;P$1,Pesos!$A:$I,9,FALSE)))</f>
        <v>0.8</v>
      </c>
      <c r="AI671" s="80">
        <f>IF(Q671="","",IF(Q671="SIM",VLOOKUP($I671&amp;$J671&amp;Q$1,Pesos!$A:$I,7,FALSE),VLOOKUP($I671&amp;$J671&amp;Q$1,Pesos!$A:$I,9,FALSE)))</f>
        <v>0.8</v>
      </c>
      <c r="AJ671" s="80">
        <f>IF(R671="","",IF(R671="SIM",VLOOKUP($I671&amp;$J671&amp;R$1,Pesos!$A:$I,7,FALSE),VLOOKUP($I671&amp;$J671&amp;R$1,Pesos!$A:$I,9,FALSE)))</f>
        <v>0.8</v>
      </c>
      <c r="AK671" s="80">
        <f>IF(S671="","",IF(S671="SIM",VLOOKUP($I671&amp;$J671&amp;S$1,Pesos!$A:$I,7,FALSE),VLOOKUP($I671&amp;$J671&amp;S$1,Pesos!$A:$I,9,FALSE)))</f>
        <v>0.8</v>
      </c>
      <c r="AL671" s="80">
        <f>SUM(AF671:AK671)</f>
        <v>4.8</v>
      </c>
      <c r="AM671" s="80">
        <f>IF(T671="","",IF(T671="SIM",VLOOKUP($I671&amp;$J671&amp;T$1,Pesos!$A:$I,7,FALSE),VLOOKUP($I671&amp;$J671&amp;T$1,Pesos!$A:$I,9,FALSE)))</f>
        <v>-4.0000000000000008E-2</v>
      </c>
      <c r="AN671" s="80">
        <f>IF(U671="","",IF(U671="SIM",VLOOKUP($I671&amp;$J671&amp;U$1,Pesos!$A:$I,7,FALSE),VLOOKUP($I671&amp;$J671&amp;U$1,Pesos!$A:$I,9,FALSE)))</f>
        <v>0.8</v>
      </c>
      <c r="AO671" s="80">
        <f>IF(V671="","",IF(V671="SIM",VLOOKUP($I671&amp;$J671&amp;V$1,Pesos!$A:$I,7,FALSE),VLOOKUP($I671&amp;$J671&amp;V$1,Pesos!$A:$I,9,FALSE)))</f>
        <v>0.8</v>
      </c>
      <c r="AP671" s="80">
        <f>IF(W671="","",IF(W671="SIM",VLOOKUP($I671&amp;$J671&amp;W$1,Pesos!$A:$I,7,FALSE),VLOOKUP($I671&amp;$J671&amp;W$1,Pesos!$A:$I,9,FALSE)))</f>
        <v>0.8</v>
      </c>
      <c r="AQ671" s="80">
        <f>IF(X671="","",IF(X671="SIM",VLOOKUP($I671&amp;$J671&amp;X$1,Pesos!$A:$I,7,FALSE),VLOOKUP($I671&amp;$J671&amp;X$1,Pesos!$A:$I,9,FALSE)))</f>
        <v>1</v>
      </c>
      <c r="AR671" s="80">
        <f>IF(Y671="","",IF(Y671="SIM",VLOOKUP($I671&amp;$J671&amp;Y$1,Pesos!$A:$I,7,FALSE),VLOOKUP($I671&amp;$J671&amp;Y$1,Pesos!$A:$I,9,FALSE)))</f>
        <v>1</v>
      </c>
      <c r="AS671" s="81">
        <f>IFERROR(Z671*VLOOKUP(J671,'BD Campos'!$Y$1:$Z$12,2,FALSE),"0")</f>
        <v>9.16</v>
      </c>
    </row>
    <row r="672" spans="1:45" x14ac:dyDescent="0.35">
      <c r="A672" s="68" t="str">
        <f t="shared" si="96"/>
        <v>Fev202511196MotoristaTRANSFERÊNCIA</v>
      </c>
      <c r="B672" s="114" t="str">
        <f t="shared" si="97"/>
        <v>Fev2025111961TRANSFERÊNCIAPADRÃO</v>
      </c>
      <c r="C672" s="70">
        <v>1</v>
      </c>
      <c r="D672" s="71">
        <v>45702.384826388887</v>
      </c>
      <c r="E672" s="112" t="s">
        <v>338</v>
      </c>
      <c r="F672" s="72">
        <v>11196</v>
      </c>
      <c r="G672" s="69" t="s">
        <v>1384</v>
      </c>
      <c r="H672" s="73">
        <v>1</v>
      </c>
      <c r="I672" s="69" t="s">
        <v>121</v>
      </c>
      <c r="J672" s="69" t="s">
        <v>122</v>
      </c>
      <c r="K672" s="69" t="s">
        <v>106</v>
      </c>
      <c r="L672" s="74">
        <v>31139881</v>
      </c>
      <c r="M672" s="75">
        <v>1.5393518518518519E-3</v>
      </c>
      <c r="N672" s="76" t="s">
        <v>79</v>
      </c>
      <c r="O672" s="76" t="s">
        <v>79</v>
      </c>
      <c r="P672" s="76" t="s">
        <v>79</v>
      </c>
      <c r="Q672" s="76" t="s">
        <v>79</v>
      </c>
      <c r="R672" s="76" t="s">
        <v>79</v>
      </c>
      <c r="S672" s="76" t="s">
        <v>79</v>
      </c>
      <c r="T672" s="76" t="s">
        <v>79</v>
      </c>
      <c r="U672" s="76" t="s">
        <v>79</v>
      </c>
      <c r="V672" s="76" t="s">
        <v>79</v>
      </c>
      <c r="W672" s="76" t="s">
        <v>79</v>
      </c>
      <c r="X672" s="76" t="s">
        <v>83</v>
      </c>
      <c r="Y672" s="76"/>
      <c r="Z672" s="77">
        <f t="shared" si="79"/>
        <v>9.0025000000000013</v>
      </c>
      <c r="AA672" s="78"/>
      <c r="AB672" s="78" t="s">
        <v>1718</v>
      </c>
      <c r="AC672" s="72" t="s">
        <v>47</v>
      </c>
      <c r="AE672" s="79" t="str">
        <f t="shared" si="99"/>
        <v>Fev11196</v>
      </c>
      <c r="AF672" s="80">
        <f>IF(N672="","",IF(N672="SIM",VLOOKUP($I672&amp;$J672&amp;N$1,Pesos!$A:$I,7,FALSE),VLOOKUP($I672&amp;$J672&amp;N$1,Pesos!$A:$I,9,FALSE)))</f>
        <v>0.89999999999999991</v>
      </c>
      <c r="AG672" s="80">
        <f>IF(O672="","",IF(O672="SIM",VLOOKUP($I672&amp;$J672&amp;O$1,Pesos!$A:$I,7,FALSE),VLOOKUP($I672&amp;$J672&amp;O$1,Pesos!$A:$I,9,FALSE)))</f>
        <v>0.89999999999999991</v>
      </c>
      <c r="AH672" s="80">
        <f>IF(P672="","",IF(P672="SIM",VLOOKUP($I672&amp;$J672&amp;P$1,Pesos!$A:$I,7,FALSE),VLOOKUP($I672&amp;$J672&amp;P$1,Pesos!$A:$I,9,FALSE)))</f>
        <v>0.89999999999999991</v>
      </c>
      <c r="AI672" s="80">
        <f>IF(Q672="","",IF(Q672="SIM",VLOOKUP($I672&amp;$J672&amp;Q$1,Pesos!$A:$I,7,FALSE),VLOOKUP($I672&amp;$J672&amp;Q$1,Pesos!$A:$I,9,FALSE)))</f>
        <v>0.89999999999999991</v>
      </c>
      <c r="AJ672" s="80">
        <f>IF(R672="","",IF(R672="SIM",VLOOKUP($I672&amp;$J672&amp;R$1,Pesos!$A:$I,7,FALSE),VLOOKUP($I672&amp;$J672&amp;R$1,Pesos!$A:$I,9,FALSE)))</f>
        <v>0.89999999999999991</v>
      </c>
      <c r="AK672" s="80">
        <f>IF(S672="","",IF(S672="SIM",VLOOKUP($I672&amp;$J672&amp;S$1,Pesos!$A:$I,7,FALSE),VLOOKUP($I672&amp;$J672&amp;S$1,Pesos!$A:$I,9,FALSE)))</f>
        <v>0.89999999999999991</v>
      </c>
      <c r="AL672" s="80">
        <f t="shared" si="98"/>
        <v>5.4</v>
      </c>
      <c r="AM672" s="80">
        <f>IF(T672="","",IF(T672="SIM",VLOOKUP($I672&amp;$J672&amp;T$1,Pesos!$A:$I,7,FALSE),VLOOKUP($I672&amp;$J672&amp;T$1,Pesos!$A:$I,9,FALSE)))</f>
        <v>0.89999999999999991</v>
      </c>
      <c r="AN672" s="80">
        <f>IF(U672="","",IF(U672="SIM",VLOOKUP($I672&amp;$J672&amp;U$1,Pesos!$A:$I,7,FALSE),VLOOKUP($I672&amp;$J672&amp;U$1,Pesos!$A:$I,9,FALSE)))</f>
        <v>0.92500000000000004</v>
      </c>
      <c r="AO672" s="80">
        <f>IF(V672="","",IF(V672="SIM",VLOOKUP($I672&amp;$J672&amp;V$1,Pesos!$A:$I,7,FALSE),VLOOKUP($I672&amp;$J672&amp;V$1,Pesos!$A:$I,9,FALSE)))</f>
        <v>0.92500000000000004</v>
      </c>
      <c r="AP672" s="80">
        <f>IF(W672="","",IF(W672="SIM",VLOOKUP($I672&amp;$J672&amp;W$1,Pesos!$A:$I,7,FALSE),VLOOKUP($I672&amp;$J672&amp;W$1,Pesos!$A:$I,9,FALSE)))</f>
        <v>0.89999999999999991</v>
      </c>
      <c r="AQ672" s="80">
        <f>IF(X672="","",IF(X672="SIM",VLOOKUP($I672&amp;$J672&amp;X$1,Pesos!$A:$I,7,FALSE),VLOOKUP($I672&amp;$J672&amp;X$1,Pesos!$A:$I,9,FALSE)))</f>
        <v>-4.7500000000000001E-2</v>
      </c>
      <c r="AR672" s="80" t="str">
        <f>IF(Y672="","",IF(Y672="SIM",VLOOKUP($I672&amp;$J672&amp;Y$1,Pesos!$A:$I,7,FALSE),VLOOKUP($I672&amp;$J672&amp;Y$1,Pesos!$A:$I,9,FALSE)))</f>
        <v/>
      </c>
      <c r="AS672" s="81">
        <f>IFERROR(Z672*VLOOKUP(J672,'BD Campos'!$Y$1:$Z$12,2,FALSE),"0")</f>
        <v>9.0025000000000013</v>
      </c>
    </row>
    <row r="673" spans="1:45" x14ac:dyDescent="0.35">
      <c r="A673" s="68" t="str">
        <f t="shared" si="96"/>
        <v>Fev202511094MotoristaTRANSFERÊNCIA</v>
      </c>
      <c r="B673" s="114" t="str">
        <f t="shared" si="97"/>
        <v>Fev2025110941TRANSFERÊNCIAPADRÃO</v>
      </c>
      <c r="C673" s="70">
        <v>1</v>
      </c>
      <c r="D673" s="71">
        <v>45702.397938194445</v>
      </c>
      <c r="E673" s="112" t="s">
        <v>338</v>
      </c>
      <c r="F673" s="72">
        <v>11094</v>
      </c>
      <c r="G673" s="69" t="s">
        <v>418</v>
      </c>
      <c r="H673" s="73">
        <v>1</v>
      </c>
      <c r="I673" s="69" t="s">
        <v>123</v>
      </c>
      <c r="J673" s="69" t="s">
        <v>122</v>
      </c>
      <c r="K673" s="69" t="s">
        <v>106</v>
      </c>
      <c r="L673" s="74">
        <v>31102068</v>
      </c>
      <c r="M673" s="75">
        <v>2.0717592592592593E-3</v>
      </c>
      <c r="N673" s="76" t="s">
        <v>79</v>
      </c>
      <c r="O673" s="76" t="s">
        <v>79</v>
      </c>
      <c r="P673" s="76" t="s">
        <v>79</v>
      </c>
      <c r="Q673" s="76" t="s">
        <v>79</v>
      </c>
      <c r="R673" s="76" t="s">
        <v>79</v>
      </c>
      <c r="S673" s="76" t="s">
        <v>79</v>
      </c>
      <c r="T673" s="76" t="s">
        <v>79</v>
      </c>
      <c r="U673" s="76" t="s">
        <v>79</v>
      </c>
      <c r="V673" s="76" t="s">
        <v>79</v>
      </c>
      <c r="W673" s="76" t="s">
        <v>79</v>
      </c>
      <c r="X673" s="76"/>
      <c r="Y673" s="76"/>
      <c r="Z673" s="77">
        <f t="shared" si="79"/>
        <v>10</v>
      </c>
      <c r="AA673" s="78"/>
      <c r="AB673" s="78" t="s">
        <v>1719</v>
      </c>
      <c r="AC673" s="72" t="s">
        <v>47</v>
      </c>
      <c r="AE673" s="79" t="str">
        <f t="shared" si="99"/>
        <v>Fev11094</v>
      </c>
      <c r="AF673" s="80">
        <f>IF(N673="","",IF(N673="SIM",VLOOKUP($I673&amp;$J673&amp;N$1,Pesos!$A:$I,7,FALSE),VLOOKUP($I673&amp;$J673&amp;N$1,Pesos!$A:$I,9,FALSE)))</f>
        <v>1</v>
      </c>
      <c r="AG673" s="80">
        <f>IF(O673="","",IF(O673="SIM",VLOOKUP($I673&amp;$J673&amp;O$1,Pesos!$A:$I,7,FALSE),VLOOKUP($I673&amp;$J673&amp;O$1,Pesos!$A:$I,9,FALSE)))</f>
        <v>1</v>
      </c>
      <c r="AH673" s="80">
        <f>IF(P673="","",IF(P673="SIM",VLOOKUP($I673&amp;$J673&amp;P$1,Pesos!$A:$I,7,FALSE),VLOOKUP($I673&amp;$J673&amp;P$1,Pesos!$A:$I,9,FALSE)))</f>
        <v>1</v>
      </c>
      <c r="AI673" s="80">
        <f>IF(Q673="","",IF(Q673="SIM",VLOOKUP($I673&amp;$J673&amp;Q$1,Pesos!$A:$I,7,FALSE),VLOOKUP($I673&amp;$J673&amp;Q$1,Pesos!$A:$I,9,FALSE)))</f>
        <v>1</v>
      </c>
      <c r="AJ673" s="80">
        <f>IF(R673="","",IF(R673="SIM",VLOOKUP($I673&amp;$J673&amp;R$1,Pesos!$A:$I,7,FALSE),VLOOKUP($I673&amp;$J673&amp;R$1,Pesos!$A:$I,9,FALSE)))</f>
        <v>1</v>
      </c>
      <c r="AK673" s="80">
        <f>IF(S673="","",IF(S673="SIM",VLOOKUP($I673&amp;$J673&amp;S$1,Pesos!$A:$I,7,FALSE),VLOOKUP($I673&amp;$J673&amp;S$1,Pesos!$A:$I,9,FALSE)))</f>
        <v>1</v>
      </c>
      <c r="AL673" s="80">
        <f t="shared" si="98"/>
        <v>6</v>
      </c>
      <c r="AM673" s="80">
        <f>IF(T673="","",IF(T673="SIM",VLOOKUP($I673&amp;$J673&amp;T$1,Pesos!$A:$I,7,FALSE),VLOOKUP($I673&amp;$J673&amp;T$1,Pesos!$A:$I,9,FALSE)))</f>
        <v>1</v>
      </c>
      <c r="AN673" s="80">
        <f>IF(U673="","",IF(U673="SIM",VLOOKUP($I673&amp;$J673&amp;U$1,Pesos!$A:$I,7,FALSE),VLOOKUP($I673&amp;$J673&amp;U$1,Pesos!$A:$I,9,FALSE)))</f>
        <v>1</v>
      </c>
      <c r="AO673" s="80">
        <f>IF(V673="","",IF(V673="SIM",VLOOKUP($I673&amp;$J673&amp;V$1,Pesos!$A:$I,7,FALSE),VLOOKUP($I673&amp;$J673&amp;V$1,Pesos!$A:$I,9,FALSE)))</f>
        <v>1</v>
      </c>
      <c r="AP673" s="80">
        <f>IF(W673="","",IF(W673="SIM",VLOOKUP($I673&amp;$J673&amp;W$1,Pesos!$A:$I,7,FALSE),VLOOKUP($I673&amp;$J673&amp;W$1,Pesos!$A:$I,9,FALSE)))</f>
        <v>1</v>
      </c>
      <c r="AQ673" s="80" t="str">
        <f>IF(X673="","",IF(X673="SIM",VLOOKUP($I673&amp;$J673&amp;X$1,Pesos!$A:$I,7,FALSE),VLOOKUP($I673&amp;$J673&amp;X$1,Pesos!$A:$I,9,FALSE)))</f>
        <v/>
      </c>
      <c r="AR673" s="80" t="str">
        <f>IF(Y673="","",IF(Y673="SIM",VLOOKUP($I673&amp;$J673&amp;Y$1,Pesos!$A:$I,7,FALSE),VLOOKUP($I673&amp;$J673&amp;Y$1,Pesos!$A:$I,9,FALSE)))</f>
        <v/>
      </c>
      <c r="AS673" s="81">
        <f>IFERROR(Z673*VLOOKUP(J673,'BD Campos'!$Y$1:$Z$12,2,FALSE),"0")</f>
        <v>10</v>
      </c>
    </row>
    <row r="674" spans="1:45" x14ac:dyDescent="0.35">
      <c r="A674" s="68" t="str">
        <f t="shared" si="96"/>
        <v>Fev202511051MotoristaTRANSFERÊNCIA</v>
      </c>
      <c r="B674" s="114" t="str">
        <f t="shared" si="97"/>
        <v>Fev2025110511TRANSFERÊNCIAPADRÃO</v>
      </c>
      <c r="C674" s="70">
        <v>1</v>
      </c>
      <c r="D674" s="71">
        <v>45702.40539039352</v>
      </c>
      <c r="E674" s="112" t="s">
        <v>338</v>
      </c>
      <c r="F674" s="72">
        <v>11051</v>
      </c>
      <c r="G674" s="69" t="s">
        <v>380</v>
      </c>
      <c r="H674" s="73">
        <v>1</v>
      </c>
      <c r="I674" s="69" t="s">
        <v>147</v>
      </c>
      <c r="J674" s="69" t="s">
        <v>122</v>
      </c>
      <c r="K674" s="69" t="s">
        <v>106</v>
      </c>
      <c r="L674" s="74">
        <v>31085102</v>
      </c>
      <c r="M674" s="75">
        <v>1.7939814814814815E-3</v>
      </c>
      <c r="N674" s="76" t="s">
        <v>79</v>
      </c>
      <c r="O674" s="76" t="s">
        <v>79</v>
      </c>
      <c r="P674" s="76" t="s">
        <v>79</v>
      </c>
      <c r="Q674" s="76" t="s">
        <v>79</v>
      </c>
      <c r="R674" s="76" t="s">
        <v>79</v>
      </c>
      <c r="S674" s="76" t="s">
        <v>79</v>
      </c>
      <c r="T674" s="76" t="s">
        <v>79</v>
      </c>
      <c r="U674" s="76" t="s">
        <v>79</v>
      </c>
      <c r="V674" s="76"/>
      <c r="W674" s="76"/>
      <c r="X674" s="76"/>
      <c r="Y674" s="76"/>
      <c r="Z674" s="77">
        <f t="shared" si="79"/>
        <v>10</v>
      </c>
      <c r="AA674" s="78"/>
      <c r="AB674" s="78" t="s">
        <v>1720</v>
      </c>
      <c r="AC674" s="72" t="s">
        <v>47</v>
      </c>
      <c r="AE674" s="79" t="str">
        <f t="shared" si="99"/>
        <v>Fev11051</v>
      </c>
      <c r="AF674" s="80">
        <f>IF(N674="","",IF(N674="SIM",VLOOKUP($I674&amp;$J674&amp;N$1,Pesos!$A:$I,7,FALSE),VLOOKUP($I674&amp;$J674&amp;N$1,Pesos!$A:$I,9,FALSE)))</f>
        <v>1.1000000000000001</v>
      </c>
      <c r="AG674" s="80">
        <f>IF(O674="","",IF(O674="SIM",VLOOKUP($I674&amp;$J674&amp;O$1,Pesos!$A:$I,7,FALSE),VLOOKUP($I674&amp;$J674&amp;O$1,Pesos!$A:$I,9,FALSE)))</f>
        <v>1.1000000000000001</v>
      </c>
      <c r="AH674" s="80">
        <f>IF(P674="","",IF(P674="SIM",VLOOKUP($I674&amp;$J674&amp;P$1,Pesos!$A:$I,7,FALSE),VLOOKUP($I674&amp;$J674&amp;P$1,Pesos!$A:$I,9,FALSE)))</f>
        <v>1.1000000000000001</v>
      </c>
      <c r="AI674" s="80">
        <f>IF(Q674="","",IF(Q674="SIM",VLOOKUP($I674&amp;$J674&amp;Q$1,Pesos!$A:$I,7,FALSE),VLOOKUP($I674&amp;$J674&amp;Q$1,Pesos!$A:$I,9,FALSE)))</f>
        <v>1.1000000000000001</v>
      </c>
      <c r="AJ674" s="80">
        <f>IF(R674="","",IF(R674="SIM",VLOOKUP($I674&amp;$J674&amp;R$1,Pesos!$A:$I,7,FALSE),VLOOKUP($I674&amp;$J674&amp;R$1,Pesos!$A:$I,9,FALSE)))</f>
        <v>1.1000000000000001</v>
      </c>
      <c r="AK674" s="80">
        <f>IF(S674="","",IF(S674="SIM",VLOOKUP($I674&amp;$J674&amp;S$1,Pesos!$A:$I,7,FALSE),VLOOKUP($I674&amp;$J674&amp;S$1,Pesos!$A:$I,9,FALSE)))</f>
        <v>1.6</v>
      </c>
      <c r="AL674" s="80">
        <f t="shared" si="98"/>
        <v>7.1</v>
      </c>
      <c r="AM674" s="80">
        <f>IF(T674="","",IF(T674="SIM",VLOOKUP($I674&amp;$J674&amp;T$1,Pesos!$A:$I,7,FALSE),VLOOKUP($I674&amp;$J674&amp;T$1,Pesos!$A:$I,9,FALSE)))</f>
        <v>1.2</v>
      </c>
      <c r="AN674" s="80">
        <f>IF(U674="","",IF(U674="SIM",VLOOKUP($I674&amp;$J674&amp;U$1,Pesos!$A:$I,7,FALSE),VLOOKUP($I674&amp;$J674&amp;U$1,Pesos!$A:$I,9,FALSE)))</f>
        <v>1.7000000000000002</v>
      </c>
      <c r="AO674" s="80" t="str">
        <f>IF(V674="","",IF(V674="SIM",VLOOKUP($I674&amp;$J674&amp;V$1,Pesos!$A:$I,7,FALSE),VLOOKUP($I674&amp;$J674&amp;V$1,Pesos!$A:$I,9,FALSE)))</f>
        <v/>
      </c>
      <c r="AP674" s="80" t="str">
        <f>IF(W674="","",IF(W674="SIM",VLOOKUP($I674&amp;$J674&amp;W$1,Pesos!$A:$I,7,FALSE),VLOOKUP($I674&amp;$J674&amp;W$1,Pesos!$A:$I,9,FALSE)))</f>
        <v/>
      </c>
      <c r="AQ674" s="80" t="str">
        <f>IF(X674="","",IF(X674="SIM",VLOOKUP($I674&amp;$J674&amp;X$1,Pesos!$A:$I,7,FALSE),VLOOKUP($I674&amp;$J674&amp;X$1,Pesos!$A:$I,9,FALSE)))</f>
        <v/>
      </c>
      <c r="AR674" s="80" t="str">
        <f>IF(Y674="","",IF(Y674="SIM",VLOOKUP($I674&amp;$J674&amp;Y$1,Pesos!$A:$I,7,FALSE),VLOOKUP($I674&amp;$J674&amp;Y$1,Pesos!$A:$I,9,FALSE)))</f>
        <v/>
      </c>
      <c r="AS674" s="81">
        <f>IFERROR(Z674*VLOOKUP(J674,'BD Campos'!$Y$1:$Z$12,2,FALSE),"0")</f>
        <v>10</v>
      </c>
    </row>
    <row r="675" spans="1:45" x14ac:dyDescent="0.35">
      <c r="A675" s="68" t="str">
        <f t="shared" si="96"/>
        <v>Fev202511124ClienteTRANSFERÊNCIA</v>
      </c>
      <c r="B675" s="114" t="str">
        <f t="shared" si="97"/>
        <v>Fev2025111241TRANSFERÊNCIAPADRÃO</v>
      </c>
      <c r="C675" s="70">
        <v>1</v>
      </c>
      <c r="D675" s="71">
        <v>45702.411588194445</v>
      </c>
      <c r="E675" s="112" t="s">
        <v>338</v>
      </c>
      <c r="F675" s="72">
        <v>11124</v>
      </c>
      <c r="G675" s="69" t="s">
        <v>434</v>
      </c>
      <c r="H675" s="73">
        <v>1</v>
      </c>
      <c r="I675" s="69" t="s">
        <v>123</v>
      </c>
      <c r="J675" s="69" t="s">
        <v>124</v>
      </c>
      <c r="K675" s="69" t="s">
        <v>106</v>
      </c>
      <c r="L675" s="74">
        <v>31079941</v>
      </c>
      <c r="M675" s="75">
        <v>1.6550925925925926E-3</v>
      </c>
      <c r="N675" s="76" t="s">
        <v>79</v>
      </c>
      <c r="O675" s="76" t="s">
        <v>79</v>
      </c>
      <c r="P675" s="76" t="s">
        <v>79</v>
      </c>
      <c r="Q675" s="76" t="s">
        <v>79</v>
      </c>
      <c r="R675" s="76" t="s">
        <v>79</v>
      </c>
      <c r="S675" s="76" t="s">
        <v>79</v>
      </c>
      <c r="T675" s="76" t="s">
        <v>79</v>
      </c>
      <c r="U675" s="76" t="s">
        <v>79</v>
      </c>
      <c r="V675" s="76" t="s">
        <v>79</v>
      </c>
      <c r="W675" s="76" t="s">
        <v>79</v>
      </c>
      <c r="X675" s="76" t="s">
        <v>79</v>
      </c>
      <c r="Y675" s="76"/>
      <c r="Z675" s="77">
        <f t="shared" si="79"/>
        <v>10.000000000000002</v>
      </c>
      <c r="AA675" s="78"/>
      <c r="AB675" s="78" t="s">
        <v>1721</v>
      </c>
      <c r="AC675" s="72" t="s">
        <v>47</v>
      </c>
      <c r="AE675" s="79" t="str">
        <f t="shared" si="99"/>
        <v>Fev11124</v>
      </c>
      <c r="AF675" s="80">
        <f>IF(N675="","",IF(N675="SIM",VLOOKUP($I675&amp;$J675&amp;N$1,Pesos!$A:$I,7,FALSE),VLOOKUP($I675&amp;$J675&amp;N$1,Pesos!$A:$I,9,FALSE)))</f>
        <v>0.89999999999999991</v>
      </c>
      <c r="AG675" s="80">
        <f>IF(O675="","",IF(O675="SIM",VLOOKUP($I675&amp;$J675&amp;O$1,Pesos!$A:$I,7,FALSE),VLOOKUP($I675&amp;$J675&amp;O$1,Pesos!$A:$I,9,FALSE)))</f>
        <v>0.89999999999999991</v>
      </c>
      <c r="AH675" s="80">
        <f>IF(P675="","",IF(P675="SIM",VLOOKUP($I675&amp;$J675&amp;P$1,Pesos!$A:$I,7,FALSE),VLOOKUP($I675&amp;$J675&amp;P$1,Pesos!$A:$I,9,FALSE)))</f>
        <v>0.89999999999999991</v>
      </c>
      <c r="AI675" s="80">
        <f>IF(Q675="","",IF(Q675="SIM",VLOOKUP($I675&amp;$J675&amp;Q$1,Pesos!$A:$I,7,FALSE),VLOOKUP($I675&amp;$J675&amp;Q$1,Pesos!$A:$I,9,FALSE)))</f>
        <v>0.89999999999999991</v>
      </c>
      <c r="AJ675" s="80">
        <f>IF(R675="","",IF(R675="SIM",VLOOKUP($I675&amp;$J675&amp;R$1,Pesos!$A:$I,7,FALSE),VLOOKUP($I675&amp;$J675&amp;R$1,Pesos!$A:$I,9,FALSE)))</f>
        <v>0.89999999999999991</v>
      </c>
      <c r="AK675" s="80">
        <f>IF(S675="","",IF(S675="SIM",VLOOKUP($I675&amp;$J675&amp;S$1,Pesos!$A:$I,7,FALSE),VLOOKUP($I675&amp;$J675&amp;S$1,Pesos!$A:$I,9,FALSE)))</f>
        <v>0.89999999999999991</v>
      </c>
      <c r="AL675" s="80">
        <f t="shared" si="98"/>
        <v>5.4</v>
      </c>
      <c r="AM675" s="80">
        <f>IF(T675="","",IF(T675="SIM",VLOOKUP($I675&amp;$J675&amp;T$1,Pesos!$A:$I,7,FALSE),VLOOKUP($I675&amp;$J675&amp;T$1,Pesos!$A:$I,9,FALSE)))</f>
        <v>0.89999999999999991</v>
      </c>
      <c r="AN675" s="80">
        <f>IF(U675="","",IF(U675="SIM",VLOOKUP($I675&amp;$J675&amp;U$1,Pesos!$A:$I,7,FALSE),VLOOKUP($I675&amp;$J675&amp;U$1,Pesos!$A:$I,9,FALSE)))</f>
        <v>0.95</v>
      </c>
      <c r="AO675" s="80">
        <f>IF(V675="","",IF(V675="SIM",VLOOKUP($I675&amp;$J675&amp;V$1,Pesos!$A:$I,7,FALSE),VLOOKUP($I675&amp;$J675&amp;V$1,Pesos!$A:$I,9,FALSE)))</f>
        <v>0.95</v>
      </c>
      <c r="AP675" s="80">
        <f>IF(W675="","",IF(W675="SIM",VLOOKUP($I675&amp;$J675&amp;W$1,Pesos!$A:$I,7,FALSE),VLOOKUP($I675&amp;$J675&amp;W$1,Pesos!$A:$I,9,FALSE)))</f>
        <v>0.89999999999999991</v>
      </c>
      <c r="AQ675" s="80">
        <f>IF(X675="","",IF(X675="SIM",VLOOKUP($I675&amp;$J675&amp;X$1,Pesos!$A:$I,7,FALSE),VLOOKUP($I675&amp;$J675&amp;X$1,Pesos!$A:$I,9,FALSE)))</f>
        <v>0.89999999999999991</v>
      </c>
      <c r="AR675" s="80" t="str">
        <f>IF(Y675="","",IF(Y675="SIM",VLOOKUP($I675&amp;$J675&amp;Y$1,Pesos!$A:$I,7,FALSE),VLOOKUP($I675&amp;$J675&amp;Y$1,Pesos!$A:$I,9,FALSE)))</f>
        <v/>
      </c>
      <c r="AS675" s="81">
        <f>IFERROR(Z675*VLOOKUP(J675,'BD Campos'!$Y$1:$Z$12,2,FALSE),"0")</f>
        <v>10.000000000000002</v>
      </c>
    </row>
    <row r="676" spans="1:45" x14ac:dyDescent="0.35">
      <c r="A676" s="68" t="str">
        <f t="shared" si="96"/>
        <v>Fev202510946MotoristaTRANSFERÊNCIA</v>
      </c>
      <c r="B676" s="114" t="str">
        <f t="shared" si="97"/>
        <v>Fev2025109461TRANSFERÊNCIAPADRÃO</v>
      </c>
      <c r="C676" s="70">
        <v>1</v>
      </c>
      <c r="D676" s="71">
        <v>45702.414228935188</v>
      </c>
      <c r="E676" s="112" t="s">
        <v>338</v>
      </c>
      <c r="F676" s="72">
        <v>10946</v>
      </c>
      <c r="G676" s="69" t="s">
        <v>135</v>
      </c>
      <c r="H676" s="73">
        <v>1</v>
      </c>
      <c r="I676" s="69" t="s">
        <v>147</v>
      </c>
      <c r="J676" s="69" t="s">
        <v>122</v>
      </c>
      <c r="K676" s="69" t="s">
        <v>106</v>
      </c>
      <c r="L676" s="74">
        <v>31073686</v>
      </c>
      <c r="M676" s="75">
        <v>1.712962962962963E-3</v>
      </c>
      <c r="N676" s="76" t="s">
        <v>79</v>
      </c>
      <c r="O676" s="76" t="s">
        <v>79</v>
      </c>
      <c r="P676" s="76" t="s">
        <v>79</v>
      </c>
      <c r="Q676" s="76" t="s">
        <v>79</v>
      </c>
      <c r="R676" s="76" t="s">
        <v>79</v>
      </c>
      <c r="S676" s="76" t="s">
        <v>79</v>
      </c>
      <c r="T676" s="76" t="s">
        <v>79</v>
      </c>
      <c r="U676" s="76" t="s">
        <v>79</v>
      </c>
      <c r="V676" s="76"/>
      <c r="W676" s="76"/>
      <c r="X676" s="76"/>
      <c r="Y676" s="76"/>
      <c r="Z676" s="77">
        <f t="shared" si="79"/>
        <v>10</v>
      </c>
      <c r="AA676" s="78"/>
      <c r="AB676" s="78" t="s">
        <v>1722</v>
      </c>
      <c r="AC676" s="72" t="s">
        <v>47</v>
      </c>
      <c r="AE676" s="79" t="str">
        <f t="shared" si="99"/>
        <v>Fev10946</v>
      </c>
      <c r="AF676" s="80">
        <f>IF(N676="","",IF(N676="SIM",VLOOKUP($I676&amp;$J676&amp;N$1,Pesos!$A:$I,7,FALSE),VLOOKUP($I676&amp;$J676&amp;N$1,Pesos!$A:$I,9,FALSE)))</f>
        <v>1.1000000000000001</v>
      </c>
      <c r="AG676" s="80">
        <f>IF(O676="","",IF(O676="SIM",VLOOKUP($I676&amp;$J676&amp;O$1,Pesos!$A:$I,7,FALSE),VLOOKUP($I676&amp;$J676&amp;O$1,Pesos!$A:$I,9,FALSE)))</f>
        <v>1.1000000000000001</v>
      </c>
      <c r="AH676" s="80">
        <f>IF(P676="","",IF(P676="SIM",VLOOKUP($I676&amp;$J676&amp;P$1,Pesos!$A:$I,7,FALSE),VLOOKUP($I676&amp;$J676&amp;P$1,Pesos!$A:$I,9,FALSE)))</f>
        <v>1.1000000000000001</v>
      </c>
      <c r="AI676" s="80">
        <f>IF(Q676="","",IF(Q676="SIM",VLOOKUP($I676&amp;$J676&amp;Q$1,Pesos!$A:$I,7,FALSE),VLOOKUP($I676&amp;$J676&amp;Q$1,Pesos!$A:$I,9,FALSE)))</f>
        <v>1.1000000000000001</v>
      </c>
      <c r="AJ676" s="80">
        <f>IF(R676="","",IF(R676="SIM",VLOOKUP($I676&amp;$J676&amp;R$1,Pesos!$A:$I,7,FALSE),VLOOKUP($I676&amp;$J676&amp;R$1,Pesos!$A:$I,9,FALSE)))</f>
        <v>1.1000000000000001</v>
      </c>
      <c r="AK676" s="80">
        <f>IF(S676="","",IF(S676="SIM",VLOOKUP($I676&amp;$J676&amp;S$1,Pesos!$A:$I,7,FALSE),VLOOKUP($I676&amp;$J676&amp;S$1,Pesos!$A:$I,9,FALSE)))</f>
        <v>1.6</v>
      </c>
      <c r="AL676" s="80">
        <f t="shared" si="98"/>
        <v>7.1</v>
      </c>
      <c r="AM676" s="80">
        <f>IF(T676="","",IF(T676="SIM",VLOOKUP($I676&amp;$J676&amp;T$1,Pesos!$A:$I,7,FALSE),VLOOKUP($I676&amp;$J676&amp;T$1,Pesos!$A:$I,9,FALSE)))</f>
        <v>1.2</v>
      </c>
      <c r="AN676" s="80">
        <f>IF(U676="","",IF(U676="SIM",VLOOKUP($I676&amp;$J676&amp;U$1,Pesos!$A:$I,7,FALSE),VLOOKUP($I676&amp;$J676&amp;U$1,Pesos!$A:$I,9,FALSE)))</f>
        <v>1.7000000000000002</v>
      </c>
      <c r="AO676" s="80" t="str">
        <f>IF(V676="","",IF(V676="SIM",VLOOKUP($I676&amp;$J676&amp;V$1,Pesos!$A:$I,7,FALSE),VLOOKUP($I676&amp;$J676&amp;V$1,Pesos!$A:$I,9,FALSE)))</f>
        <v/>
      </c>
      <c r="AP676" s="80" t="str">
        <f>IF(W676="","",IF(W676="SIM",VLOOKUP($I676&amp;$J676&amp;W$1,Pesos!$A:$I,7,FALSE),VLOOKUP($I676&amp;$J676&amp;W$1,Pesos!$A:$I,9,FALSE)))</f>
        <v/>
      </c>
      <c r="AQ676" s="80" t="str">
        <f>IF(X676="","",IF(X676="SIM",VLOOKUP($I676&amp;$J676&amp;X$1,Pesos!$A:$I,7,FALSE),VLOOKUP($I676&amp;$J676&amp;X$1,Pesos!$A:$I,9,FALSE)))</f>
        <v/>
      </c>
      <c r="AR676" s="80" t="str">
        <f>IF(Y676="","",IF(Y676="SIM",VLOOKUP($I676&amp;$J676&amp;Y$1,Pesos!$A:$I,7,FALSE),VLOOKUP($I676&amp;$J676&amp;Y$1,Pesos!$A:$I,9,FALSE)))</f>
        <v/>
      </c>
      <c r="AS676" s="81">
        <f>IFERROR(Z676*VLOOKUP(J676,'BD Campos'!$Y$1:$Z$12,2,FALSE),"0")</f>
        <v>10</v>
      </c>
    </row>
    <row r="677" spans="1:45" x14ac:dyDescent="0.35">
      <c r="A677" s="68" t="str">
        <f t="shared" si="96"/>
        <v>Fev202511148MotoristaTRANSFERÊNCIA</v>
      </c>
      <c r="B677" s="114" t="str">
        <f t="shared" si="97"/>
        <v>Fev2025111481TRANSFERÊNCIAPADRÃO</v>
      </c>
      <c r="C677" s="70">
        <v>1</v>
      </c>
      <c r="D677" s="71">
        <v>45702.418151851853</v>
      </c>
      <c r="E677" s="112" t="s">
        <v>338</v>
      </c>
      <c r="F677" s="72">
        <v>11148</v>
      </c>
      <c r="G677" s="69" t="s">
        <v>435</v>
      </c>
      <c r="H677" s="73">
        <v>1</v>
      </c>
      <c r="I677" s="69" t="s">
        <v>123</v>
      </c>
      <c r="J677" s="69" t="s">
        <v>122</v>
      </c>
      <c r="K677" s="69" t="s">
        <v>106</v>
      </c>
      <c r="L677" s="74">
        <v>31146437</v>
      </c>
      <c r="M677" s="75">
        <v>2.3148148148148151E-3</v>
      </c>
      <c r="N677" s="76" t="s">
        <v>79</v>
      </c>
      <c r="O677" s="76" t="s">
        <v>79</v>
      </c>
      <c r="P677" s="76" t="s">
        <v>79</v>
      </c>
      <c r="Q677" s="76" t="s">
        <v>79</v>
      </c>
      <c r="R677" s="76" t="s">
        <v>79</v>
      </c>
      <c r="S677" s="76" t="s">
        <v>79</v>
      </c>
      <c r="T677" s="76" t="s">
        <v>79</v>
      </c>
      <c r="U677" s="76" t="s">
        <v>79</v>
      </c>
      <c r="V677" s="76" t="s">
        <v>79</v>
      </c>
      <c r="W677" s="76" t="s">
        <v>83</v>
      </c>
      <c r="X677" s="76"/>
      <c r="Y677" s="76"/>
      <c r="Z677" s="77">
        <f t="shared" si="79"/>
        <v>8.9499999999999993</v>
      </c>
      <c r="AA677" s="78"/>
      <c r="AB677" s="78" t="s">
        <v>1723</v>
      </c>
      <c r="AC677" s="72" t="s">
        <v>47</v>
      </c>
      <c r="AE677" s="79" t="str">
        <f t="shared" si="99"/>
        <v>Fev11148</v>
      </c>
      <c r="AF677" s="80">
        <f>IF(N677="","",IF(N677="SIM",VLOOKUP($I677&amp;$J677&amp;N$1,Pesos!$A:$I,7,FALSE),VLOOKUP($I677&amp;$J677&amp;N$1,Pesos!$A:$I,9,FALSE)))</f>
        <v>1</v>
      </c>
      <c r="AG677" s="80">
        <f>IF(O677="","",IF(O677="SIM",VLOOKUP($I677&amp;$J677&amp;O$1,Pesos!$A:$I,7,FALSE),VLOOKUP($I677&amp;$J677&amp;O$1,Pesos!$A:$I,9,FALSE)))</f>
        <v>1</v>
      </c>
      <c r="AH677" s="80">
        <f>IF(P677="","",IF(P677="SIM",VLOOKUP($I677&amp;$J677&amp;P$1,Pesos!$A:$I,7,FALSE),VLOOKUP($I677&amp;$J677&amp;P$1,Pesos!$A:$I,9,FALSE)))</f>
        <v>1</v>
      </c>
      <c r="AI677" s="80">
        <f>IF(Q677="","",IF(Q677="SIM",VLOOKUP($I677&amp;$J677&amp;Q$1,Pesos!$A:$I,7,FALSE),VLOOKUP($I677&amp;$J677&amp;Q$1,Pesos!$A:$I,9,FALSE)))</f>
        <v>1</v>
      </c>
      <c r="AJ677" s="80">
        <f>IF(R677="","",IF(R677="SIM",VLOOKUP($I677&amp;$J677&amp;R$1,Pesos!$A:$I,7,FALSE),VLOOKUP($I677&amp;$J677&amp;R$1,Pesos!$A:$I,9,FALSE)))</f>
        <v>1</v>
      </c>
      <c r="AK677" s="80">
        <f>IF(S677="","",IF(S677="SIM",VLOOKUP($I677&amp;$J677&amp;S$1,Pesos!$A:$I,7,FALSE),VLOOKUP($I677&amp;$J677&amp;S$1,Pesos!$A:$I,9,FALSE)))</f>
        <v>1</v>
      </c>
      <c r="AL677" s="80">
        <f t="shared" si="98"/>
        <v>6</v>
      </c>
      <c r="AM677" s="80">
        <f>IF(T677="","",IF(T677="SIM",VLOOKUP($I677&amp;$J677&amp;T$1,Pesos!$A:$I,7,FALSE),VLOOKUP($I677&amp;$J677&amp;T$1,Pesos!$A:$I,9,FALSE)))</f>
        <v>1</v>
      </c>
      <c r="AN677" s="80">
        <f>IF(U677="","",IF(U677="SIM",VLOOKUP($I677&amp;$J677&amp;U$1,Pesos!$A:$I,7,FALSE),VLOOKUP($I677&amp;$J677&amp;U$1,Pesos!$A:$I,9,FALSE)))</f>
        <v>1</v>
      </c>
      <c r="AO677" s="80">
        <f>IF(V677="","",IF(V677="SIM",VLOOKUP($I677&amp;$J677&amp;V$1,Pesos!$A:$I,7,FALSE),VLOOKUP($I677&amp;$J677&amp;V$1,Pesos!$A:$I,9,FALSE)))</f>
        <v>1</v>
      </c>
      <c r="AP677" s="80">
        <f>IF(W677="","",IF(W677="SIM",VLOOKUP($I677&amp;$J677&amp;W$1,Pesos!$A:$I,7,FALSE),VLOOKUP($I677&amp;$J677&amp;W$1,Pesos!$A:$I,9,FALSE)))</f>
        <v>-0.05</v>
      </c>
      <c r="AQ677" s="80" t="str">
        <f>IF(X677="","",IF(X677="SIM",VLOOKUP($I677&amp;$J677&amp;X$1,Pesos!$A:$I,7,FALSE),VLOOKUP($I677&amp;$J677&amp;X$1,Pesos!$A:$I,9,FALSE)))</f>
        <v/>
      </c>
      <c r="AR677" s="80" t="str">
        <f>IF(Y677="","",IF(Y677="SIM",VLOOKUP($I677&amp;$J677&amp;Y$1,Pesos!$A:$I,7,FALSE),VLOOKUP($I677&amp;$J677&amp;Y$1,Pesos!$A:$I,9,FALSE)))</f>
        <v/>
      </c>
      <c r="AS677" s="81">
        <f>IFERROR(Z677*VLOOKUP(J677,'BD Campos'!$Y$1:$Z$12,2,FALSE),"0")</f>
        <v>8.9499999999999993</v>
      </c>
    </row>
    <row r="678" spans="1:45" x14ac:dyDescent="0.35">
      <c r="A678" s="68" t="str">
        <f t="shared" si="96"/>
        <v>Fev202511257MotoristaTRANSFERÊNCIA</v>
      </c>
      <c r="B678" s="114" t="str">
        <f t="shared" si="97"/>
        <v>Fev2025112571TRANSFERÊNCIAPADRÃO</v>
      </c>
      <c r="C678" s="70">
        <v>1</v>
      </c>
      <c r="D678" s="71">
        <v>45702.423245717589</v>
      </c>
      <c r="E678" s="112" t="s">
        <v>338</v>
      </c>
      <c r="F678" s="72">
        <v>11257</v>
      </c>
      <c r="G678" s="69" t="s">
        <v>1710</v>
      </c>
      <c r="H678" s="73">
        <v>1</v>
      </c>
      <c r="I678" s="69" t="s">
        <v>123</v>
      </c>
      <c r="J678" s="69" t="s">
        <v>122</v>
      </c>
      <c r="K678" s="69" t="s">
        <v>106</v>
      </c>
      <c r="L678" s="74">
        <v>31113367</v>
      </c>
      <c r="M678" s="75">
        <v>1.2962962962962963E-3</v>
      </c>
      <c r="N678" s="76"/>
      <c r="O678" s="76"/>
      <c r="P678" s="76"/>
      <c r="Q678" s="76"/>
      <c r="R678" s="76"/>
      <c r="S678" s="76"/>
      <c r="T678" s="76"/>
      <c r="U678" s="76"/>
      <c r="V678" s="76"/>
      <c r="W678" s="76"/>
      <c r="X678" s="76"/>
      <c r="Y678" s="76"/>
      <c r="Z678" s="77">
        <f t="shared" si="79"/>
        <v>0</v>
      </c>
      <c r="AA678" s="78" t="s">
        <v>1725</v>
      </c>
      <c r="AB678" s="78" t="s">
        <v>1724</v>
      </c>
      <c r="AC678" s="72" t="s">
        <v>47</v>
      </c>
      <c r="AE678" s="79" t="str">
        <f t="shared" si="99"/>
        <v>Fev11257</v>
      </c>
      <c r="AF678" s="80" t="str">
        <f>IF(N678="","",IF(N678="SIM",VLOOKUP($I678&amp;$J678&amp;N$1,Pesos!$A:$I,7,FALSE),VLOOKUP($I678&amp;$J678&amp;N$1,Pesos!$A:$I,9,FALSE)))</f>
        <v/>
      </c>
      <c r="AG678" s="80" t="str">
        <f>IF(O678="","",IF(O678="SIM",VLOOKUP($I678&amp;$J678&amp;O$1,Pesos!$A:$I,7,FALSE),VLOOKUP($I678&amp;$J678&amp;O$1,Pesos!$A:$I,9,FALSE)))</f>
        <v/>
      </c>
      <c r="AH678" s="80" t="str">
        <f>IF(P678="","",IF(P678="SIM",VLOOKUP($I678&amp;$J678&amp;P$1,Pesos!$A:$I,7,FALSE),VLOOKUP($I678&amp;$J678&amp;P$1,Pesos!$A:$I,9,FALSE)))</f>
        <v/>
      </c>
      <c r="AI678" s="80" t="str">
        <f>IF(Q678="","",IF(Q678="SIM",VLOOKUP($I678&amp;$J678&amp;Q$1,Pesos!$A:$I,7,FALSE),VLOOKUP($I678&amp;$J678&amp;Q$1,Pesos!$A:$I,9,FALSE)))</f>
        <v/>
      </c>
      <c r="AJ678" s="80" t="str">
        <f>IF(R678="","",IF(R678="SIM",VLOOKUP($I678&amp;$J678&amp;R$1,Pesos!$A:$I,7,FALSE),VLOOKUP($I678&amp;$J678&amp;R$1,Pesos!$A:$I,9,FALSE)))</f>
        <v/>
      </c>
      <c r="AK678" s="80" t="str">
        <f>IF(S678="","",IF(S678="SIM",VLOOKUP($I678&amp;$J678&amp;S$1,Pesos!$A:$I,7,FALSE),VLOOKUP($I678&amp;$J678&amp;S$1,Pesos!$A:$I,9,FALSE)))</f>
        <v/>
      </c>
      <c r="AL678" s="80">
        <f t="shared" si="98"/>
        <v>0</v>
      </c>
      <c r="AM678" s="80" t="str">
        <f>IF(T678="","",IF(T678="SIM",VLOOKUP($I678&amp;$J678&amp;T$1,Pesos!$A:$I,7,FALSE),VLOOKUP($I678&amp;$J678&amp;T$1,Pesos!$A:$I,9,FALSE)))</f>
        <v/>
      </c>
      <c r="AN678" s="80" t="str">
        <f>IF(U678="","",IF(U678="SIM",VLOOKUP($I678&amp;$J678&amp;U$1,Pesos!$A:$I,7,FALSE),VLOOKUP($I678&amp;$J678&amp;U$1,Pesos!$A:$I,9,FALSE)))</f>
        <v/>
      </c>
      <c r="AO678" s="80" t="str">
        <f>IF(V678="","",IF(V678="SIM",VLOOKUP($I678&amp;$J678&amp;V$1,Pesos!$A:$I,7,FALSE),VLOOKUP($I678&amp;$J678&amp;V$1,Pesos!$A:$I,9,FALSE)))</f>
        <v/>
      </c>
      <c r="AP678" s="80" t="str">
        <f>IF(W678="","",IF(W678="SIM",VLOOKUP($I678&amp;$J678&amp;W$1,Pesos!$A:$I,7,FALSE),VLOOKUP($I678&amp;$J678&amp;W$1,Pesos!$A:$I,9,FALSE)))</f>
        <v/>
      </c>
      <c r="AQ678" s="80" t="str">
        <f>IF(X678="","",IF(X678="SIM",VLOOKUP($I678&amp;$J678&amp;X$1,Pesos!$A:$I,7,FALSE),VLOOKUP($I678&amp;$J678&amp;X$1,Pesos!$A:$I,9,FALSE)))</f>
        <v/>
      </c>
      <c r="AR678" s="80" t="str">
        <f>IF(Y678="","",IF(Y678="SIM",VLOOKUP($I678&amp;$J678&amp;Y$1,Pesos!$A:$I,7,FALSE),VLOOKUP($I678&amp;$J678&amp;Y$1,Pesos!$A:$I,9,FALSE)))</f>
        <v/>
      </c>
      <c r="AS678" s="81">
        <f>IFERROR(Z678*VLOOKUP(J678,'BD Campos'!$Y$1:$Z$12,2,FALSE),"0")</f>
        <v>0</v>
      </c>
    </row>
    <row r="679" spans="1:45" x14ac:dyDescent="0.35">
      <c r="A679" s="68" t="str">
        <f t="shared" si="96"/>
        <v>Fev202511258MotoristaTRANSFERÊNCIA</v>
      </c>
      <c r="B679" s="114" t="str">
        <f t="shared" si="97"/>
        <v>Fev2025112581TRANSFERÊNCIAPADRÃO</v>
      </c>
      <c r="C679" s="70">
        <v>1</v>
      </c>
      <c r="D679" s="71">
        <v>45702.429495370372</v>
      </c>
      <c r="E679" s="112" t="s">
        <v>338</v>
      </c>
      <c r="F679" s="72">
        <v>11258</v>
      </c>
      <c r="G679" s="69" t="s">
        <v>1711</v>
      </c>
      <c r="H679" s="73">
        <v>1</v>
      </c>
      <c r="I679" s="69" t="s">
        <v>121</v>
      </c>
      <c r="J679" s="69" t="s">
        <v>122</v>
      </c>
      <c r="K679" s="69" t="s">
        <v>106</v>
      </c>
      <c r="L679" s="74">
        <v>31169482</v>
      </c>
      <c r="M679" s="75">
        <v>2.2337962962962967E-3</v>
      </c>
      <c r="N679" s="76" t="s">
        <v>79</v>
      </c>
      <c r="O679" s="76" t="s">
        <v>79</v>
      </c>
      <c r="P679" s="76" t="s">
        <v>79</v>
      </c>
      <c r="Q679" s="76" t="s">
        <v>79</v>
      </c>
      <c r="R679" s="76" t="s">
        <v>79</v>
      </c>
      <c r="S679" s="76" t="s">
        <v>79</v>
      </c>
      <c r="T679" s="76" t="s">
        <v>79</v>
      </c>
      <c r="U679" s="76" t="s">
        <v>79</v>
      </c>
      <c r="V679" s="76" t="s">
        <v>79</v>
      </c>
      <c r="W679" s="76" t="s">
        <v>79</v>
      </c>
      <c r="X679" s="76" t="s">
        <v>79</v>
      </c>
      <c r="Y679" s="76"/>
      <c r="Z679" s="77">
        <f t="shared" si="79"/>
        <v>10</v>
      </c>
      <c r="AA679" s="78"/>
      <c r="AB679" s="78" t="s">
        <v>1726</v>
      </c>
      <c r="AC679" s="72" t="s">
        <v>47</v>
      </c>
      <c r="AE679" s="79" t="str">
        <f t="shared" si="99"/>
        <v>Fev11258</v>
      </c>
      <c r="AF679" s="80">
        <f>IF(N679="","",IF(N679="SIM",VLOOKUP($I679&amp;$J679&amp;N$1,Pesos!$A:$I,7,FALSE),VLOOKUP($I679&amp;$J679&amp;N$1,Pesos!$A:$I,9,FALSE)))</f>
        <v>0.89999999999999991</v>
      </c>
      <c r="AG679" s="80">
        <f>IF(O679="","",IF(O679="SIM",VLOOKUP($I679&amp;$J679&amp;O$1,Pesos!$A:$I,7,FALSE),VLOOKUP($I679&amp;$J679&amp;O$1,Pesos!$A:$I,9,FALSE)))</f>
        <v>0.89999999999999991</v>
      </c>
      <c r="AH679" s="80">
        <f>IF(P679="","",IF(P679="SIM",VLOOKUP($I679&amp;$J679&amp;P$1,Pesos!$A:$I,7,FALSE),VLOOKUP($I679&amp;$J679&amp;P$1,Pesos!$A:$I,9,FALSE)))</f>
        <v>0.89999999999999991</v>
      </c>
      <c r="AI679" s="80">
        <f>IF(Q679="","",IF(Q679="SIM",VLOOKUP($I679&amp;$J679&amp;Q$1,Pesos!$A:$I,7,FALSE),VLOOKUP($I679&amp;$J679&amp;Q$1,Pesos!$A:$I,9,FALSE)))</f>
        <v>0.89999999999999991</v>
      </c>
      <c r="AJ679" s="80">
        <f>IF(R679="","",IF(R679="SIM",VLOOKUP($I679&amp;$J679&amp;R$1,Pesos!$A:$I,7,FALSE),VLOOKUP($I679&amp;$J679&amp;R$1,Pesos!$A:$I,9,FALSE)))</f>
        <v>0.89999999999999991</v>
      </c>
      <c r="AK679" s="80">
        <f>IF(S679="","",IF(S679="SIM",VLOOKUP($I679&amp;$J679&amp;S$1,Pesos!$A:$I,7,FALSE),VLOOKUP($I679&amp;$J679&amp;S$1,Pesos!$A:$I,9,FALSE)))</f>
        <v>0.89999999999999991</v>
      </c>
      <c r="AL679" s="80">
        <f t="shared" si="98"/>
        <v>5.4</v>
      </c>
      <c r="AM679" s="80">
        <f>IF(T679="","",IF(T679="SIM",VLOOKUP($I679&amp;$J679&amp;T$1,Pesos!$A:$I,7,FALSE),VLOOKUP($I679&amp;$J679&amp;T$1,Pesos!$A:$I,9,FALSE)))</f>
        <v>0.89999999999999991</v>
      </c>
      <c r="AN679" s="80">
        <f>IF(U679="","",IF(U679="SIM",VLOOKUP($I679&amp;$J679&amp;U$1,Pesos!$A:$I,7,FALSE),VLOOKUP($I679&amp;$J679&amp;U$1,Pesos!$A:$I,9,FALSE)))</f>
        <v>0.92500000000000004</v>
      </c>
      <c r="AO679" s="80">
        <f>IF(V679="","",IF(V679="SIM",VLOOKUP($I679&amp;$J679&amp;V$1,Pesos!$A:$I,7,FALSE),VLOOKUP($I679&amp;$J679&amp;V$1,Pesos!$A:$I,9,FALSE)))</f>
        <v>0.92500000000000004</v>
      </c>
      <c r="AP679" s="80">
        <f>IF(W679="","",IF(W679="SIM",VLOOKUP($I679&amp;$J679&amp;W$1,Pesos!$A:$I,7,FALSE),VLOOKUP($I679&amp;$J679&amp;W$1,Pesos!$A:$I,9,FALSE)))</f>
        <v>0.89999999999999991</v>
      </c>
      <c r="AQ679" s="80">
        <f>IF(X679="","",IF(X679="SIM",VLOOKUP($I679&amp;$J679&amp;X$1,Pesos!$A:$I,7,FALSE),VLOOKUP($I679&amp;$J679&amp;X$1,Pesos!$A:$I,9,FALSE)))</f>
        <v>0.95</v>
      </c>
      <c r="AR679" s="80" t="str">
        <f>IF(Y679="","",IF(Y679="SIM",VLOOKUP($I679&amp;$J679&amp;Y$1,Pesos!$A:$I,7,FALSE),VLOOKUP($I679&amp;$J679&amp;Y$1,Pesos!$A:$I,9,FALSE)))</f>
        <v/>
      </c>
      <c r="AS679" s="81">
        <f>IFERROR(Z679*VLOOKUP(J679,'BD Campos'!$Y$1:$Z$12,2,FALSE),"0")</f>
        <v>10</v>
      </c>
    </row>
    <row r="680" spans="1:45" x14ac:dyDescent="0.35">
      <c r="A680" s="68" t="str">
        <f t="shared" ref="A680:A743" si="100">E680&amp;YEAR(D680)&amp;F680&amp;J680&amp;K680&amp;""</f>
        <v>Fev202511048MotoristaTRANSFERÊNCIA</v>
      </c>
      <c r="B680" s="114" t="str">
        <f t="shared" ref="B680:B743" si="101">E680&amp;YEAR(D680)&amp;F680&amp;H680&amp;K680&amp;AC680</f>
        <v>Fev2025110481TRANSFERÊNCIAPADRÃO</v>
      </c>
      <c r="C680" s="70">
        <v>1</v>
      </c>
      <c r="D680" s="71">
        <v>45702.447632291667</v>
      </c>
      <c r="E680" s="112" t="s">
        <v>338</v>
      </c>
      <c r="F680" s="72">
        <v>11048</v>
      </c>
      <c r="G680" s="69" t="s">
        <v>381</v>
      </c>
      <c r="H680" s="73">
        <v>1</v>
      </c>
      <c r="I680" s="69" t="s">
        <v>123</v>
      </c>
      <c r="J680" s="69" t="s">
        <v>122</v>
      </c>
      <c r="K680" s="69" t="s">
        <v>106</v>
      </c>
      <c r="L680" s="74">
        <v>31100590</v>
      </c>
      <c r="M680" s="75">
        <v>1.9328703703703704E-3</v>
      </c>
      <c r="N680" s="76" t="s">
        <v>79</v>
      </c>
      <c r="O680" s="76" t="s">
        <v>79</v>
      </c>
      <c r="P680" s="76" t="s">
        <v>79</v>
      </c>
      <c r="Q680" s="76" t="s">
        <v>79</v>
      </c>
      <c r="R680" s="76" t="s">
        <v>79</v>
      </c>
      <c r="S680" s="76" t="s">
        <v>79</v>
      </c>
      <c r="T680" s="76" t="s">
        <v>79</v>
      </c>
      <c r="U680" s="76" t="s">
        <v>79</v>
      </c>
      <c r="V680" s="76" t="s">
        <v>79</v>
      </c>
      <c r="W680" s="76" t="s">
        <v>83</v>
      </c>
      <c r="X680" s="76"/>
      <c r="Y680" s="76"/>
      <c r="Z680" s="77">
        <f t="shared" si="79"/>
        <v>8.9499999999999993</v>
      </c>
      <c r="AA680" s="78"/>
      <c r="AB680" s="78" t="s">
        <v>1727</v>
      </c>
      <c r="AC680" s="72" t="s">
        <v>47</v>
      </c>
      <c r="AE680" s="79" t="str">
        <f t="shared" ref="AE680:AE689" si="102">E680&amp;F680</f>
        <v>Fev11048</v>
      </c>
      <c r="AF680" s="80">
        <f>IF(N680="","",IF(N680="SIM",VLOOKUP($I680&amp;$J680&amp;N$1,Pesos!$A:$I,7,FALSE),VLOOKUP($I680&amp;$J680&amp;N$1,Pesos!$A:$I,9,FALSE)))</f>
        <v>1</v>
      </c>
      <c r="AG680" s="80">
        <f>IF(O680="","",IF(O680="SIM",VLOOKUP($I680&amp;$J680&amp;O$1,Pesos!$A:$I,7,FALSE),VLOOKUP($I680&amp;$J680&amp;O$1,Pesos!$A:$I,9,FALSE)))</f>
        <v>1</v>
      </c>
      <c r="AH680" s="80">
        <f>IF(P680="","",IF(P680="SIM",VLOOKUP($I680&amp;$J680&amp;P$1,Pesos!$A:$I,7,FALSE),VLOOKUP($I680&amp;$J680&amp;P$1,Pesos!$A:$I,9,FALSE)))</f>
        <v>1</v>
      </c>
      <c r="AI680" s="80">
        <f>IF(Q680="","",IF(Q680="SIM",VLOOKUP($I680&amp;$J680&amp;Q$1,Pesos!$A:$I,7,FALSE),VLOOKUP($I680&amp;$J680&amp;Q$1,Pesos!$A:$I,9,FALSE)))</f>
        <v>1</v>
      </c>
      <c r="AJ680" s="80">
        <f>IF(R680="","",IF(R680="SIM",VLOOKUP($I680&amp;$J680&amp;R$1,Pesos!$A:$I,7,FALSE),VLOOKUP($I680&amp;$J680&amp;R$1,Pesos!$A:$I,9,FALSE)))</f>
        <v>1</v>
      </c>
      <c r="AK680" s="80">
        <f>IF(S680="","",IF(S680="SIM",VLOOKUP($I680&amp;$J680&amp;S$1,Pesos!$A:$I,7,FALSE),VLOOKUP($I680&amp;$J680&amp;S$1,Pesos!$A:$I,9,FALSE)))</f>
        <v>1</v>
      </c>
      <c r="AL680" s="80">
        <f t="shared" si="98"/>
        <v>6</v>
      </c>
      <c r="AM680" s="80">
        <f>IF(T680="","",IF(T680="SIM",VLOOKUP($I680&amp;$J680&amp;T$1,Pesos!$A:$I,7,FALSE),VLOOKUP($I680&amp;$J680&amp;T$1,Pesos!$A:$I,9,FALSE)))</f>
        <v>1</v>
      </c>
      <c r="AN680" s="80">
        <f>IF(U680="","",IF(U680="SIM",VLOOKUP($I680&amp;$J680&amp;U$1,Pesos!$A:$I,7,FALSE),VLOOKUP($I680&amp;$J680&amp;U$1,Pesos!$A:$I,9,FALSE)))</f>
        <v>1</v>
      </c>
      <c r="AO680" s="80">
        <f>IF(V680="","",IF(V680="SIM",VLOOKUP($I680&amp;$J680&amp;V$1,Pesos!$A:$I,7,FALSE),VLOOKUP($I680&amp;$J680&amp;V$1,Pesos!$A:$I,9,FALSE)))</f>
        <v>1</v>
      </c>
      <c r="AP680" s="80">
        <f>IF(W680="","",IF(W680="SIM",VLOOKUP($I680&amp;$J680&amp;W$1,Pesos!$A:$I,7,FALSE),VLOOKUP($I680&amp;$J680&amp;W$1,Pesos!$A:$I,9,FALSE)))</f>
        <v>-0.05</v>
      </c>
      <c r="AQ680" s="80" t="str">
        <f>IF(X680="","",IF(X680="SIM",VLOOKUP($I680&amp;$J680&amp;X$1,Pesos!$A:$I,7,FALSE),VLOOKUP($I680&amp;$J680&amp;X$1,Pesos!$A:$I,9,FALSE)))</f>
        <v/>
      </c>
      <c r="AR680" s="80" t="str">
        <f>IF(Y680="","",IF(Y680="SIM",VLOOKUP($I680&amp;$J680&amp;Y$1,Pesos!$A:$I,7,FALSE),VLOOKUP($I680&amp;$J680&amp;Y$1,Pesos!$A:$I,9,FALSE)))</f>
        <v/>
      </c>
      <c r="AS680" s="81">
        <f>IFERROR(Z680*VLOOKUP(J680,'BD Campos'!$Y$1:$Z$12,2,FALSE),"0")</f>
        <v>8.9499999999999993</v>
      </c>
    </row>
    <row r="681" spans="1:45" x14ac:dyDescent="0.35">
      <c r="A681" s="68" t="str">
        <f t="shared" si="100"/>
        <v>Fev202511243MotoristaTRANSFERÊNCIA</v>
      </c>
      <c r="B681" s="114" t="str">
        <f t="shared" si="101"/>
        <v>Fev2025112431TRANSFERÊNCIAPADRÃO</v>
      </c>
      <c r="C681" s="70">
        <v>1</v>
      </c>
      <c r="D681" s="71">
        <v>45702.450223263892</v>
      </c>
      <c r="E681" s="112" t="s">
        <v>338</v>
      </c>
      <c r="F681" s="72">
        <v>11243</v>
      </c>
      <c r="G681" s="69" t="s">
        <v>1441</v>
      </c>
      <c r="H681" s="73">
        <v>1</v>
      </c>
      <c r="I681" s="69" t="s">
        <v>123</v>
      </c>
      <c r="J681" s="69" t="s">
        <v>122</v>
      </c>
      <c r="K681" s="69" t="s">
        <v>106</v>
      </c>
      <c r="L681" s="74">
        <v>31113367</v>
      </c>
      <c r="M681" s="75">
        <v>1.2847222222222223E-3</v>
      </c>
      <c r="N681" s="76"/>
      <c r="O681" s="76"/>
      <c r="P681" s="76"/>
      <c r="Q681" s="76"/>
      <c r="R681" s="76"/>
      <c r="S681" s="76"/>
      <c r="T681" s="76"/>
      <c r="U681" s="76"/>
      <c r="V681" s="76"/>
      <c r="W681" s="76"/>
      <c r="X681" s="76"/>
      <c r="Y681" s="76"/>
      <c r="Z681" s="77">
        <f t="shared" si="79"/>
        <v>0</v>
      </c>
      <c r="AA681" s="78" t="s">
        <v>1725</v>
      </c>
      <c r="AB681" s="78" t="s">
        <v>1728</v>
      </c>
      <c r="AC681" s="72" t="s">
        <v>47</v>
      </c>
      <c r="AE681" s="79" t="str">
        <f t="shared" si="102"/>
        <v>Fev11243</v>
      </c>
      <c r="AF681" s="80" t="str">
        <f>IF(N681="","",IF(N681="SIM",VLOOKUP($I681&amp;$J681&amp;N$1,Pesos!$A:$I,7,FALSE),VLOOKUP($I681&amp;$J681&amp;N$1,Pesos!$A:$I,9,FALSE)))</f>
        <v/>
      </c>
      <c r="AG681" s="80" t="str">
        <f>IF(O681="","",IF(O681="SIM",VLOOKUP($I681&amp;$J681&amp;O$1,Pesos!$A:$I,7,FALSE),VLOOKUP($I681&amp;$J681&amp;O$1,Pesos!$A:$I,9,FALSE)))</f>
        <v/>
      </c>
      <c r="AH681" s="80" t="str">
        <f>IF(P681="","",IF(P681="SIM",VLOOKUP($I681&amp;$J681&amp;P$1,Pesos!$A:$I,7,FALSE),VLOOKUP($I681&amp;$J681&amp;P$1,Pesos!$A:$I,9,FALSE)))</f>
        <v/>
      </c>
      <c r="AI681" s="80" t="str">
        <f>IF(Q681="","",IF(Q681="SIM",VLOOKUP($I681&amp;$J681&amp;Q$1,Pesos!$A:$I,7,FALSE),VLOOKUP($I681&amp;$J681&amp;Q$1,Pesos!$A:$I,9,FALSE)))</f>
        <v/>
      </c>
      <c r="AJ681" s="80" t="str">
        <f>IF(R681="","",IF(R681="SIM",VLOOKUP($I681&amp;$J681&amp;R$1,Pesos!$A:$I,7,FALSE),VLOOKUP($I681&amp;$J681&amp;R$1,Pesos!$A:$I,9,FALSE)))</f>
        <v/>
      </c>
      <c r="AK681" s="80" t="str">
        <f>IF(S681="","",IF(S681="SIM",VLOOKUP($I681&amp;$J681&amp;S$1,Pesos!$A:$I,7,FALSE),VLOOKUP($I681&amp;$J681&amp;S$1,Pesos!$A:$I,9,FALSE)))</f>
        <v/>
      </c>
      <c r="AL681" s="80">
        <f t="shared" si="98"/>
        <v>0</v>
      </c>
      <c r="AM681" s="80" t="str">
        <f>IF(T681="","",IF(T681="SIM",VLOOKUP($I681&amp;$J681&amp;T$1,Pesos!$A:$I,7,FALSE),VLOOKUP($I681&amp;$J681&amp;T$1,Pesos!$A:$I,9,FALSE)))</f>
        <v/>
      </c>
      <c r="AN681" s="80" t="str">
        <f>IF(U681="","",IF(U681="SIM",VLOOKUP($I681&amp;$J681&amp;U$1,Pesos!$A:$I,7,FALSE),VLOOKUP($I681&amp;$J681&amp;U$1,Pesos!$A:$I,9,FALSE)))</f>
        <v/>
      </c>
      <c r="AO681" s="80" t="str">
        <f>IF(V681="","",IF(V681="SIM",VLOOKUP($I681&amp;$J681&amp;V$1,Pesos!$A:$I,7,FALSE),VLOOKUP($I681&amp;$J681&amp;V$1,Pesos!$A:$I,9,FALSE)))</f>
        <v/>
      </c>
      <c r="AP681" s="80" t="str">
        <f>IF(W681="","",IF(W681="SIM",VLOOKUP($I681&amp;$J681&amp;W$1,Pesos!$A:$I,7,FALSE),VLOOKUP($I681&amp;$J681&amp;W$1,Pesos!$A:$I,9,FALSE)))</f>
        <v/>
      </c>
      <c r="AQ681" s="80" t="str">
        <f>IF(X681="","",IF(X681="SIM",VLOOKUP($I681&amp;$J681&amp;X$1,Pesos!$A:$I,7,FALSE),VLOOKUP($I681&amp;$J681&amp;X$1,Pesos!$A:$I,9,FALSE)))</f>
        <v/>
      </c>
      <c r="AR681" s="80" t="str">
        <f>IF(Y681="","",IF(Y681="SIM",VLOOKUP($I681&amp;$J681&amp;Y$1,Pesos!$A:$I,7,FALSE),VLOOKUP($I681&amp;$J681&amp;Y$1,Pesos!$A:$I,9,FALSE)))</f>
        <v/>
      </c>
      <c r="AS681" s="81">
        <f>IFERROR(Z681*VLOOKUP(J681,'BD Campos'!$Y$1:$Z$12,2,FALSE),"0")</f>
        <v>0</v>
      </c>
    </row>
    <row r="682" spans="1:45" x14ac:dyDescent="0.35">
      <c r="A682" s="68" t="str">
        <f t="shared" si="100"/>
        <v>Fev202511123ClienteTRANSFERÊNCIA</v>
      </c>
      <c r="B682" s="114" t="str">
        <f t="shared" si="101"/>
        <v>Fev2025111231TRANSFERÊNCIAPADRÃO</v>
      </c>
      <c r="C682" s="70">
        <v>1</v>
      </c>
      <c r="D682" s="71">
        <v>45702.460133912035</v>
      </c>
      <c r="E682" s="112" t="s">
        <v>338</v>
      </c>
      <c r="F682" s="72">
        <v>11123</v>
      </c>
      <c r="G682" s="69" t="s">
        <v>433</v>
      </c>
      <c r="H682" s="73">
        <v>1</v>
      </c>
      <c r="I682" s="69" t="s">
        <v>123</v>
      </c>
      <c r="J682" s="69" t="s">
        <v>124</v>
      </c>
      <c r="K682" s="69" t="s">
        <v>106</v>
      </c>
      <c r="L682" s="74">
        <v>31137835</v>
      </c>
      <c r="M682" s="75">
        <v>2.0254629629629629E-3</v>
      </c>
      <c r="N682" s="76" t="s">
        <v>79</v>
      </c>
      <c r="O682" s="76" t="s">
        <v>79</v>
      </c>
      <c r="P682" s="76" t="s">
        <v>79</v>
      </c>
      <c r="Q682" s="76" t="s">
        <v>79</v>
      </c>
      <c r="R682" s="76" t="s">
        <v>79</v>
      </c>
      <c r="S682" s="76" t="s">
        <v>79</v>
      </c>
      <c r="T682" s="76" t="s">
        <v>79</v>
      </c>
      <c r="U682" s="76" t="s">
        <v>79</v>
      </c>
      <c r="V682" s="76" t="s">
        <v>79</v>
      </c>
      <c r="W682" s="76" t="s">
        <v>83</v>
      </c>
      <c r="X682" s="76" t="s">
        <v>83</v>
      </c>
      <c r="Y682" s="76"/>
      <c r="Z682" s="77">
        <f t="shared" si="79"/>
        <v>8.1100000000000012</v>
      </c>
      <c r="AA682" s="78"/>
      <c r="AB682" s="78" t="s">
        <v>1729</v>
      </c>
      <c r="AC682" s="72" t="s">
        <v>47</v>
      </c>
      <c r="AE682" s="79" t="str">
        <f t="shared" si="102"/>
        <v>Fev11123</v>
      </c>
      <c r="AF682" s="80">
        <f>IF(N682="","",IF(N682="SIM",VLOOKUP($I682&amp;$J682&amp;N$1,Pesos!$A:$I,7,FALSE),VLOOKUP($I682&amp;$J682&amp;N$1,Pesos!$A:$I,9,FALSE)))</f>
        <v>0.89999999999999991</v>
      </c>
      <c r="AG682" s="80">
        <f>IF(O682="","",IF(O682="SIM",VLOOKUP($I682&amp;$J682&amp;O$1,Pesos!$A:$I,7,FALSE),VLOOKUP($I682&amp;$J682&amp;O$1,Pesos!$A:$I,9,FALSE)))</f>
        <v>0.89999999999999991</v>
      </c>
      <c r="AH682" s="80">
        <f>IF(P682="","",IF(P682="SIM",VLOOKUP($I682&amp;$J682&amp;P$1,Pesos!$A:$I,7,FALSE),VLOOKUP($I682&amp;$J682&amp;P$1,Pesos!$A:$I,9,FALSE)))</f>
        <v>0.89999999999999991</v>
      </c>
      <c r="AI682" s="80">
        <f>IF(Q682="","",IF(Q682="SIM",VLOOKUP($I682&amp;$J682&amp;Q$1,Pesos!$A:$I,7,FALSE),VLOOKUP($I682&amp;$J682&amp;Q$1,Pesos!$A:$I,9,FALSE)))</f>
        <v>0.89999999999999991</v>
      </c>
      <c r="AJ682" s="80">
        <f>IF(R682="","",IF(R682="SIM",VLOOKUP($I682&amp;$J682&amp;R$1,Pesos!$A:$I,7,FALSE),VLOOKUP($I682&amp;$J682&amp;R$1,Pesos!$A:$I,9,FALSE)))</f>
        <v>0.89999999999999991</v>
      </c>
      <c r="AK682" s="80">
        <f>IF(S682="","",IF(S682="SIM",VLOOKUP($I682&amp;$J682&amp;S$1,Pesos!$A:$I,7,FALSE),VLOOKUP($I682&amp;$J682&amp;S$1,Pesos!$A:$I,9,FALSE)))</f>
        <v>0.89999999999999991</v>
      </c>
      <c r="AL682" s="80">
        <f t="shared" si="98"/>
        <v>5.4</v>
      </c>
      <c r="AM682" s="80">
        <f>IF(T682="","",IF(T682="SIM",VLOOKUP($I682&amp;$J682&amp;T$1,Pesos!$A:$I,7,FALSE),VLOOKUP($I682&amp;$J682&amp;T$1,Pesos!$A:$I,9,FALSE)))</f>
        <v>0.89999999999999991</v>
      </c>
      <c r="AN682" s="80">
        <f>IF(U682="","",IF(U682="SIM",VLOOKUP($I682&amp;$J682&amp;U$1,Pesos!$A:$I,7,FALSE),VLOOKUP($I682&amp;$J682&amp;U$1,Pesos!$A:$I,9,FALSE)))</f>
        <v>0.95</v>
      </c>
      <c r="AO682" s="80">
        <f>IF(V682="","",IF(V682="SIM",VLOOKUP($I682&amp;$J682&amp;V$1,Pesos!$A:$I,7,FALSE),VLOOKUP($I682&amp;$J682&amp;V$1,Pesos!$A:$I,9,FALSE)))</f>
        <v>0.95</v>
      </c>
      <c r="AP682" s="80">
        <f>IF(W682="","",IF(W682="SIM",VLOOKUP($I682&amp;$J682&amp;W$1,Pesos!$A:$I,7,FALSE),VLOOKUP($I682&amp;$J682&amp;W$1,Pesos!$A:$I,9,FALSE)))</f>
        <v>-4.4999999999999998E-2</v>
      </c>
      <c r="AQ682" s="80">
        <f>IF(X682="","",IF(X682="SIM",VLOOKUP($I682&amp;$J682&amp;X$1,Pesos!$A:$I,7,FALSE),VLOOKUP($I682&amp;$J682&amp;X$1,Pesos!$A:$I,9,FALSE)))</f>
        <v>-4.4999999999999998E-2</v>
      </c>
      <c r="AR682" s="80" t="str">
        <f>IF(Y682="","",IF(Y682="SIM",VLOOKUP($I682&amp;$J682&amp;Y$1,Pesos!$A:$I,7,FALSE),VLOOKUP($I682&amp;$J682&amp;Y$1,Pesos!$A:$I,9,FALSE)))</f>
        <v/>
      </c>
      <c r="AS682" s="81">
        <f>IFERROR(Z682*VLOOKUP(J682,'BD Campos'!$Y$1:$Z$12,2,FALSE),"0")</f>
        <v>8.1100000000000012</v>
      </c>
    </row>
    <row r="683" spans="1:45" x14ac:dyDescent="0.35">
      <c r="A683" s="68" t="str">
        <f t="shared" si="100"/>
        <v>Fev202511225ClienteTRANSFERÊNCIA</v>
      </c>
      <c r="B683" s="114" t="str">
        <f t="shared" si="101"/>
        <v>Fev2025112251TRANSFERÊNCIAPADRÃO</v>
      </c>
      <c r="C683" s="70">
        <v>1</v>
      </c>
      <c r="D683" s="71">
        <v>45702.466178009257</v>
      </c>
      <c r="E683" s="112" t="s">
        <v>338</v>
      </c>
      <c r="F683" s="72">
        <v>11225</v>
      </c>
      <c r="G683" s="69" t="s">
        <v>1392</v>
      </c>
      <c r="H683" s="73">
        <v>1</v>
      </c>
      <c r="I683" s="69" t="s">
        <v>123</v>
      </c>
      <c r="J683" s="69" t="s">
        <v>124</v>
      </c>
      <c r="K683" s="69" t="s">
        <v>106</v>
      </c>
      <c r="L683" s="74">
        <v>31072255</v>
      </c>
      <c r="M683" s="75">
        <v>4.2592592592592595E-3</v>
      </c>
      <c r="N683" s="76" t="s">
        <v>79</v>
      </c>
      <c r="O683" s="76" t="s">
        <v>79</v>
      </c>
      <c r="P683" s="76" t="s">
        <v>79</v>
      </c>
      <c r="Q683" s="76" t="s">
        <v>79</v>
      </c>
      <c r="R683" s="76" t="s">
        <v>79</v>
      </c>
      <c r="S683" s="76" t="s">
        <v>79</v>
      </c>
      <c r="T683" s="76" t="s">
        <v>79</v>
      </c>
      <c r="U683" s="76" t="s">
        <v>79</v>
      </c>
      <c r="V683" s="76" t="s">
        <v>83</v>
      </c>
      <c r="W683" s="76" t="s">
        <v>79</v>
      </c>
      <c r="X683" s="76" t="s">
        <v>83</v>
      </c>
      <c r="Y683" s="76"/>
      <c r="Z683" s="77">
        <f t="shared" si="79"/>
        <v>8.057500000000001</v>
      </c>
      <c r="AA683" s="78"/>
      <c r="AB683" s="78" t="s">
        <v>1730</v>
      </c>
      <c r="AC683" s="72" t="s">
        <v>47</v>
      </c>
      <c r="AE683" s="79" t="str">
        <f t="shared" si="102"/>
        <v>Fev11225</v>
      </c>
      <c r="AF683" s="80">
        <f>IF(N683="","",IF(N683="SIM",VLOOKUP($I683&amp;$J683&amp;N$1,Pesos!$A:$I,7,FALSE),VLOOKUP($I683&amp;$J683&amp;N$1,Pesos!$A:$I,9,FALSE)))</f>
        <v>0.89999999999999991</v>
      </c>
      <c r="AG683" s="80">
        <f>IF(O683="","",IF(O683="SIM",VLOOKUP($I683&amp;$J683&amp;O$1,Pesos!$A:$I,7,FALSE),VLOOKUP($I683&amp;$J683&amp;O$1,Pesos!$A:$I,9,FALSE)))</f>
        <v>0.89999999999999991</v>
      </c>
      <c r="AH683" s="80">
        <f>IF(P683="","",IF(P683="SIM",VLOOKUP($I683&amp;$J683&amp;P$1,Pesos!$A:$I,7,FALSE),VLOOKUP($I683&amp;$J683&amp;P$1,Pesos!$A:$I,9,FALSE)))</f>
        <v>0.89999999999999991</v>
      </c>
      <c r="AI683" s="80">
        <f>IF(Q683="","",IF(Q683="SIM",VLOOKUP($I683&amp;$J683&amp;Q$1,Pesos!$A:$I,7,FALSE),VLOOKUP($I683&amp;$J683&amp;Q$1,Pesos!$A:$I,9,FALSE)))</f>
        <v>0.89999999999999991</v>
      </c>
      <c r="AJ683" s="80">
        <f>IF(R683="","",IF(R683="SIM",VLOOKUP($I683&amp;$J683&amp;R$1,Pesos!$A:$I,7,FALSE),VLOOKUP($I683&amp;$J683&amp;R$1,Pesos!$A:$I,9,FALSE)))</f>
        <v>0.89999999999999991</v>
      </c>
      <c r="AK683" s="80">
        <f>IF(S683="","",IF(S683="SIM",VLOOKUP($I683&amp;$J683&amp;S$1,Pesos!$A:$I,7,FALSE),VLOOKUP($I683&amp;$J683&amp;S$1,Pesos!$A:$I,9,FALSE)))</f>
        <v>0.89999999999999991</v>
      </c>
      <c r="AL683" s="80">
        <f t="shared" si="98"/>
        <v>5.4</v>
      </c>
      <c r="AM683" s="80">
        <f>IF(T683="","",IF(T683="SIM",VLOOKUP($I683&amp;$J683&amp;T$1,Pesos!$A:$I,7,FALSE),VLOOKUP($I683&amp;$J683&amp;T$1,Pesos!$A:$I,9,FALSE)))</f>
        <v>0.89999999999999991</v>
      </c>
      <c r="AN683" s="80">
        <f>IF(U683="","",IF(U683="SIM",VLOOKUP($I683&amp;$J683&amp;U$1,Pesos!$A:$I,7,FALSE),VLOOKUP($I683&amp;$J683&amp;U$1,Pesos!$A:$I,9,FALSE)))</f>
        <v>0.95</v>
      </c>
      <c r="AO683" s="80">
        <f>IF(V683="","",IF(V683="SIM",VLOOKUP($I683&amp;$J683&amp;V$1,Pesos!$A:$I,7,FALSE),VLOOKUP($I683&amp;$J683&amp;V$1,Pesos!$A:$I,9,FALSE)))</f>
        <v>-4.7500000000000001E-2</v>
      </c>
      <c r="AP683" s="80">
        <f>IF(W683="","",IF(W683="SIM",VLOOKUP($I683&amp;$J683&amp;W$1,Pesos!$A:$I,7,FALSE),VLOOKUP($I683&amp;$J683&amp;W$1,Pesos!$A:$I,9,FALSE)))</f>
        <v>0.89999999999999991</v>
      </c>
      <c r="AQ683" s="80">
        <f>IF(X683="","",IF(X683="SIM",VLOOKUP($I683&amp;$J683&amp;X$1,Pesos!$A:$I,7,FALSE),VLOOKUP($I683&amp;$J683&amp;X$1,Pesos!$A:$I,9,FALSE)))</f>
        <v>-4.4999999999999998E-2</v>
      </c>
      <c r="AR683" s="80" t="str">
        <f>IF(Y683="","",IF(Y683="SIM",VLOOKUP($I683&amp;$J683&amp;Y$1,Pesos!$A:$I,7,FALSE),VLOOKUP($I683&amp;$J683&amp;Y$1,Pesos!$A:$I,9,FALSE)))</f>
        <v/>
      </c>
      <c r="AS683" s="81">
        <f>IFERROR(Z683*VLOOKUP(J683,'BD Campos'!$Y$1:$Z$12,2,FALSE),"0")</f>
        <v>8.057500000000001</v>
      </c>
    </row>
    <row r="684" spans="1:45" x14ac:dyDescent="0.35">
      <c r="A684" s="68" t="str">
        <f t="shared" si="100"/>
        <v>Fev202510976Ponto de ApoioTRANSFERÊNCIA</v>
      </c>
      <c r="B684" s="114" t="str">
        <f t="shared" si="101"/>
        <v>Fev2025109761TRANSFERÊNCIAPADRÃO</v>
      </c>
      <c r="C684" s="70">
        <v>1</v>
      </c>
      <c r="D684" s="71">
        <v>45702.472542013886</v>
      </c>
      <c r="E684" s="112" t="s">
        <v>338</v>
      </c>
      <c r="F684" s="72">
        <v>10976</v>
      </c>
      <c r="G684" s="69" t="s">
        <v>138</v>
      </c>
      <c r="H684" s="73">
        <v>1</v>
      </c>
      <c r="I684" s="69" t="s">
        <v>123</v>
      </c>
      <c r="J684" s="69" t="s">
        <v>125</v>
      </c>
      <c r="K684" s="69" t="s">
        <v>106</v>
      </c>
      <c r="L684" s="74">
        <v>31057622</v>
      </c>
      <c r="M684" s="75">
        <v>1.5277777777777779E-3</v>
      </c>
      <c r="N684" s="76" t="s">
        <v>79</v>
      </c>
      <c r="O684" s="76" t="s">
        <v>79</v>
      </c>
      <c r="P684" s="76" t="s">
        <v>79</v>
      </c>
      <c r="Q684" s="76" t="s">
        <v>79</v>
      </c>
      <c r="R684" s="76" t="s">
        <v>79</v>
      </c>
      <c r="S684" s="76" t="s">
        <v>79</v>
      </c>
      <c r="T684" s="76" t="s">
        <v>79</v>
      </c>
      <c r="U684" s="76" t="s">
        <v>79</v>
      </c>
      <c r="V684" s="76" t="s">
        <v>79</v>
      </c>
      <c r="W684" s="76" t="s">
        <v>79</v>
      </c>
      <c r="X684" s="76"/>
      <c r="Y684" s="76"/>
      <c r="Z684" s="77">
        <f t="shared" si="79"/>
        <v>10</v>
      </c>
      <c r="AA684" s="78"/>
      <c r="AB684" s="78" t="s">
        <v>1731</v>
      </c>
      <c r="AC684" s="72" t="s">
        <v>47</v>
      </c>
      <c r="AE684" s="79" t="str">
        <f t="shared" si="102"/>
        <v>Fev10976</v>
      </c>
      <c r="AF684" s="80">
        <f>IF(N684="","",IF(N684="SIM",VLOOKUP($I684&amp;$J684&amp;N$1,Pesos!$A:$I,7,FALSE),VLOOKUP($I684&amp;$J684&amp;N$1,Pesos!$A:$I,9,FALSE)))</f>
        <v>1</v>
      </c>
      <c r="AG684" s="80">
        <f>IF(O684="","",IF(O684="SIM",VLOOKUP($I684&amp;$J684&amp;O$1,Pesos!$A:$I,7,FALSE),VLOOKUP($I684&amp;$J684&amp;O$1,Pesos!$A:$I,9,FALSE)))</f>
        <v>1</v>
      </c>
      <c r="AH684" s="80">
        <f>IF(P684="","",IF(P684="SIM",VLOOKUP($I684&amp;$J684&amp;P$1,Pesos!$A:$I,7,FALSE),VLOOKUP($I684&amp;$J684&amp;P$1,Pesos!$A:$I,9,FALSE)))</f>
        <v>1</v>
      </c>
      <c r="AI684" s="80">
        <f>IF(Q684="","",IF(Q684="SIM",VLOOKUP($I684&amp;$J684&amp;Q$1,Pesos!$A:$I,7,FALSE),VLOOKUP($I684&amp;$J684&amp;Q$1,Pesos!$A:$I,9,FALSE)))</f>
        <v>1</v>
      </c>
      <c r="AJ684" s="80">
        <f>IF(R684="","",IF(R684="SIM",VLOOKUP($I684&amp;$J684&amp;R$1,Pesos!$A:$I,7,FALSE),VLOOKUP($I684&amp;$J684&amp;R$1,Pesos!$A:$I,9,FALSE)))</f>
        <v>1</v>
      </c>
      <c r="AK684" s="80">
        <f>IF(S684="","",IF(S684="SIM",VLOOKUP($I684&amp;$J684&amp;S$1,Pesos!$A:$I,7,FALSE),VLOOKUP($I684&amp;$J684&amp;S$1,Pesos!$A:$I,9,FALSE)))</f>
        <v>1</v>
      </c>
      <c r="AL684" s="80">
        <f t="shared" si="98"/>
        <v>6</v>
      </c>
      <c r="AM684" s="80">
        <f>IF(T684="","",IF(T684="SIM",VLOOKUP($I684&amp;$J684&amp;T$1,Pesos!$A:$I,7,FALSE),VLOOKUP($I684&amp;$J684&amp;T$1,Pesos!$A:$I,9,FALSE)))</f>
        <v>1</v>
      </c>
      <c r="AN684" s="80">
        <f>IF(U684="","",IF(U684="SIM",VLOOKUP($I684&amp;$J684&amp;U$1,Pesos!$A:$I,7,FALSE),VLOOKUP($I684&amp;$J684&amp;U$1,Pesos!$A:$I,9,FALSE)))</f>
        <v>1</v>
      </c>
      <c r="AO684" s="80">
        <f>IF(V684="","",IF(V684="SIM",VLOOKUP($I684&amp;$J684&amp;V$1,Pesos!$A:$I,7,FALSE),VLOOKUP($I684&amp;$J684&amp;V$1,Pesos!$A:$I,9,FALSE)))</f>
        <v>1</v>
      </c>
      <c r="AP684" s="80">
        <f>IF(W684="","",IF(W684="SIM",VLOOKUP($I684&amp;$J684&amp;W$1,Pesos!$A:$I,7,FALSE),VLOOKUP($I684&amp;$J684&amp;W$1,Pesos!$A:$I,9,FALSE)))</f>
        <v>1</v>
      </c>
      <c r="AQ684" s="80" t="str">
        <f>IF(X684="","",IF(X684="SIM",VLOOKUP($I684&amp;$J684&amp;X$1,Pesos!$A:$I,7,FALSE),VLOOKUP($I684&amp;$J684&amp;X$1,Pesos!$A:$I,9,FALSE)))</f>
        <v/>
      </c>
      <c r="AR684" s="80" t="str">
        <f>IF(Y684="","",IF(Y684="SIM",VLOOKUP($I684&amp;$J684&amp;Y$1,Pesos!$A:$I,7,FALSE),VLOOKUP($I684&amp;$J684&amp;Y$1,Pesos!$A:$I,9,FALSE)))</f>
        <v/>
      </c>
      <c r="AS684" s="81">
        <f>IFERROR(Z684*VLOOKUP(J684,'BD Campos'!$Y$1:$Z$12,2,FALSE),"0")</f>
        <v>10</v>
      </c>
    </row>
    <row r="685" spans="1:45" x14ac:dyDescent="0.35">
      <c r="A685" s="68" t="str">
        <f t="shared" si="100"/>
        <v>Fev202510982MotoristaTRANSFERÊNCIA</v>
      </c>
      <c r="B685" s="114" t="str">
        <f t="shared" si="101"/>
        <v>Fev2025109821TRANSFERÊNCIAPADRÃO</v>
      </c>
      <c r="C685" s="70">
        <v>1</v>
      </c>
      <c r="D685" s="71">
        <v>45702.476998842591</v>
      </c>
      <c r="E685" s="112" t="s">
        <v>338</v>
      </c>
      <c r="F685" s="72">
        <v>10982</v>
      </c>
      <c r="G685" s="69" t="s">
        <v>139</v>
      </c>
      <c r="H685" s="73">
        <v>1</v>
      </c>
      <c r="I685" s="69" t="s">
        <v>123</v>
      </c>
      <c r="J685" s="69" t="s">
        <v>122</v>
      </c>
      <c r="K685" s="69" t="s">
        <v>106</v>
      </c>
      <c r="L685" s="74">
        <v>31159532</v>
      </c>
      <c r="M685" s="75">
        <v>2.615740740740741E-3</v>
      </c>
      <c r="N685" s="76" t="s">
        <v>79</v>
      </c>
      <c r="O685" s="76" t="s">
        <v>79</v>
      </c>
      <c r="P685" s="76" t="s">
        <v>79</v>
      </c>
      <c r="Q685" s="76" t="s">
        <v>79</v>
      </c>
      <c r="R685" s="76" t="s">
        <v>79</v>
      </c>
      <c r="S685" s="76" t="s">
        <v>79</v>
      </c>
      <c r="T685" s="76" t="s">
        <v>79</v>
      </c>
      <c r="U685" s="76" t="s">
        <v>79</v>
      </c>
      <c r="V685" s="76" t="s">
        <v>83</v>
      </c>
      <c r="W685" s="76" t="s">
        <v>79</v>
      </c>
      <c r="X685" s="76"/>
      <c r="Y685" s="76"/>
      <c r="Z685" s="77">
        <f t="shared" si="79"/>
        <v>8.9499999999999993</v>
      </c>
      <c r="AA685" s="78"/>
      <c r="AB685" s="78" t="s">
        <v>1732</v>
      </c>
      <c r="AC685" s="72" t="s">
        <v>47</v>
      </c>
      <c r="AE685" s="79" t="str">
        <f t="shared" si="102"/>
        <v>Fev10982</v>
      </c>
      <c r="AF685" s="80">
        <f>IF(N685="","",IF(N685="SIM",VLOOKUP($I685&amp;$J685&amp;N$1,Pesos!$A:$I,7,FALSE),VLOOKUP($I685&amp;$J685&amp;N$1,Pesos!$A:$I,9,FALSE)))</f>
        <v>1</v>
      </c>
      <c r="AG685" s="80">
        <f>IF(O685="","",IF(O685="SIM",VLOOKUP($I685&amp;$J685&amp;O$1,Pesos!$A:$I,7,FALSE),VLOOKUP($I685&amp;$J685&amp;O$1,Pesos!$A:$I,9,FALSE)))</f>
        <v>1</v>
      </c>
      <c r="AH685" s="80">
        <f>IF(P685="","",IF(P685="SIM",VLOOKUP($I685&amp;$J685&amp;P$1,Pesos!$A:$I,7,FALSE),VLOOKUP($I685&amp;$J685&amp;P$1,Pesos!$A:$I,9,FALSE)))</f>
        <v>1</v>
      </c>
      <c r="AI685" s="80">
        <f>IF(Q685="","",IF(Q685="SIM",VLOOKUP($I685&amp;$J685&amp;Q$1,Pesos!$A:$I,7,FALSE),VLOOKUP($I685&amp;$J685&amp;Q$1,Pesos!$A:$I,9,FALSE)))</f>
        <v>1</v>
      </c>
      <c r="AJ685" s="80">
        <f>IF(R685="","",IF(R685="SIM",VLOOKUP($I685&amp;$J685&amp;R$1,Pesos!$A:$I,7,FALSE),VLOOKUP($I685&amp;$J685&amp;R$1,Pesos!$A:$I,9,FALSE)))</f>
        <v>1</v>
      </c>
      <c r="AK685" s="80">
        <f>IF(S685="","",IF(S685="SIM",VLOOKUP($I685&amp;$J685&amp;S$1,Pesos!$A:$I,7,FALSE),VLOOKUP($I685&amp;$J685&amp;S$1,Pesos!$A:$I,9,FALSE)))</f>
        <v>1</v>
      </c>
      <c r="AL685" s="80">
        <f t="shared" si="98"/>
        <v>6</v>
      </c>
      <c r="AM685" s="80">
        <f>IF(T685="","",IF(T685="SIM",VLOOKUP($I685&amp;$J685&amp;T$1,Pesos!$A:$I,7,FALSE),VLOOKUP($I685&amp;$J685&amp;T$1,Pesos!$A:$I,9,FALSE)))</f>
        <v>1</v>
      </c>
      <c r="AN685" s="80">
        <f>IF(U685="","",IF(U685="SIM",VLOOKUP($I685&amp;$J685&amp;U$1,Pesos!$A:$I,7,FALSE),VLOOKUP($I685&amp;$J685&amp;U$1,Pesos!$A:$I,9,FALSE)))</f>
        <v>1</v>
      </c>
      <c r="AO685" s="80">
        <f>IF(V685="","",IF(V685="SIM",VLOOKUP($I685&amp;$J685&amp;V$1,Pesos!$A:$I,7,FALSE),VLOOKUP($I685&amp;$J685&amp;V$1,Pesos!$A:$I,9,FALSE)))</f>
        <v>-0.05</v>
      </c>
      <c r="AP685" s="80">
        <f>IF(W685="","",IF(W685="SIM",VLOOKUP($I685&amp;$J685&amp;W$1,Pesos!$A:$I,7,FALSE),VLOOKUP($I685&amp;$J685&amp;W$1,Pesos!$A:$I,9,FALSE)))</f>
        <v>1</v>
      </c>
      <c r="AQ685" s="80" t="str">
        <f>IF(X685="","",IF(X685="SIM",VLOOKUP($I685&amp;$J685&amp;X$1,Pesos!$A:$I,7,FALSE),VLOOKUP($I685&amp;$J685&amp;X$1,Pesos!$A:$I,9,FALSE)))</f>
        <v/>
      </c>
      <c r="AR685" s="80" t="str">
        <f>IF(Y685="","",IF(Y685="SIM",VLOOKUP($I685&amp;$J685&amp;Y$1,Pesos!$A:$I,7,FALSE),VLOOKUP($I685&amp;$J685&amp;Y$1,Pesos!$A:$I,9,FALSE)))</f>
        <v/>
      </c>
      <c r="AS685" s="81">
        <f>IFERROR(Z685*VLOOKUP(J685,'BD Campos'!$Y$1:$Z$12,2,FALSE),"0")</f>
        <v>8.9499999999999993</v>
      </c>
    </row>
    <row r="686" spans="1:45" x14ac:dyDescent="0.35">
      <c r="A686" s="68" t="str">
        <f t="shared" si="100"/>
        <v>Fev202510862MotoristaTRANSFERÊNCIA</v>
      </c>
      <c r="B686" s="114" t="str">
        <f t="shared" si="101"/>
        <v>Fev2025108621TRANSFERÊNCIAPADRÃO</v>
      </c>
      <c r="C686" s="70">
        <v>1</v>
      </c>
      <c r="D686" s="71">
        <v>45702.567320023147</v>
      </c>
      <c r="E686" s="112" t="s">
        <v>338</v>
      </c>
      <c r="F686" s="72">
        <v>10862</v>
      </c>
      <c r="G686" s="69" t="s">
        <v>132</v>
      </c>
      <c r="H686" s="73">
        <v>1</v>
      </c>
      <c r="I686" s="69" t="s">
        <v>121</v>
      </c>
      <c r="J686" s="69" t="s">
        <v>122</v>
      </c>
      <c r="K686" s="69" t="s">
        <v>106</v>
      </c>
      <c r="L686" s="74">
        <v>31068651</v>
      </c>
      <c r="M686" s="75">
        <v>2.4652777777777776E-3</v>
      </c>
      <c r="N686" s="76" t="s">
        <v>79</v>
      </c>
      <c r="O686" s="76" t="s">
        <v>79</v>
      </c>
      <c r="P686" s="76" t="s">
        <v>79</v>
      </c>
      <c r="Q686" s="76" t="s">
        <v>79</v>
      </c>
      <c r="R686" s="76" t="s">
        <v>79</v>
      </c>
      <c r="S686" s="76" t="s">
        <v>79</v>
      </c>
      <c r="T686" s="76" t="s">
        <v>79</v>
      </c>
      <c r="U686" s="76" t="s">
        <v>79</v>
      </c>
      <c r="V686" s="76" t="s">
        <v>79</v>
      </c>
      <c r="W686" s="76" t="s">
        <v>79</v>
      </c>
      <c r="X686" s="76" t="s">
        <v>83</v>
      </c>
      <c r="Y686" s="76"/>
      <c r="Z686" s="77">
        <f t="shared" si="79"/>
        <v>9.0025000000000013</v>
      </c>
      <c r="AA686" s="78"/>
      <c r="AB686" s="78" t="s">
        <v>1733</v>
      </c>
      <c r="AC686" s="72" t="s">
        <v>47</v>
      </c>
      <c r="AE686" s="79" t="str">
        <f t="shared" si="102"/>
        <v>Fev10862</v>
      </c>
      <c r="AF686" s="80">
        <f>IF(N686="","",IF(N686="SIM",VLOOKUP($I686&amp;$J686&amp;N$1,Pesos!$A:$I,7,FALSE),VLOOKUP($I686&amp;$J686&amp;N$1,Pesos!$A:$I,9,FALSE)))</f>
        <v>0.89999999999999991</v>
      </c>
      <c r="AG686" s="80">
        <f>IF(O686="","",IF(O686="SIM",VLOOKUP($I686&amp;$J686&amp;O$1,Pesos!$A:$I,7,FALSE),VLOOKUP($I686&amp;$J686&amp;O$1,Pesos!$A:$I,9,FALSE)))</f>
        <v>0.89999999999999991</v>
      </c>
      <c r="AH686" s="80">
        <f>IF(P686="","",IF(P686="SIM",VLOOKUP($I686&amp;$J686&amp;P$1,Pesos!$A:$I,7,FALSE),VLOOKUP($I686&amp;$J686&amp;P$1,Pesos!$A:$I,9,FALSE)))</f>
        <v>0.89999999999999991</v>
      </c>
      <c r="AI686" s="80">
        <f>IF(Q686="","",IF(Q686="SIM",VLOOKUP($I686&amp;$J686&amp;Q$1,Pesos!$A:$I,7,FALSE),VLOOKUP($I686&amp;$J686&amp;Q$1,Pesos!$A:$I,9,FALSE)))</f>
        <v>0.89999999999999991</v>
      </c>
      <c r="AJ686" s="80">
        <f>IF(R686="","",IF(R686="SIM",VLOOKUP($I686&amp;$J686&amp;R$1,Pesos!$A:$I,7,FALSE),VLOOKUP($I686&amp;$J686&amp;R$1,Pesos!$A:$I,9,FALSE)))</f>
        <v>0.89999999999999991</v>
      </c>
      <c r="AK686" s="80">
        <f>IF(S686="","",IF(S686="SIM",VLOOKUP($I686&amp;$J686&amp;S$1,Pesos!$A:$I,7,FALSE),VLOOKUP($I686&amp;$J686&amp;S$1,Pesos!$A:$I,9,FALSE)))</f>
        <v>0.89999999999999991</v>
      </c>
      <c r="AL686" s="80">
        <f t="shared" si="98"/>
        <v>5.4</v>
      </c>
      <c r="AM686" s="80">
        <f>IF(T686="","",IF(T686="SIM",VLOOKUP($I686&amp;$J686&amp;T$1,Pesos!$A:$I,7,FALSE),VLOOKUP($I686&amp;$J686&amp;T$1,Pesos!$A:$I,9,FALSE)))</f>
        <v>0.89999999999999991</v>
      </c>
      <c r="AN686" s="80">
        <f>IF(U686="","",IF(U686="SIM",VLOOKUP($I686&amp;$J686&amp;U$1,Pesos!$A:$I,7,FALSE),VLOOKUP($I686&amp;$J686&amp;U$1,Pesos!$A:$I,9,FALSE)))</f>
        <v>0.92500000000000004</v>
      </c>
      <c r="AO686" s="80">
        <f>IF(V686="","",IF(V686="SIM",VLOOKUP($I686&amp;$J686&amp;V$1,Pesos!$A:$I,7,FALSE),VLOOKUP($I686&amp;$J686&amp;V$1,Pesos!$A:$I,9,FALSE)))</f>
        <v>0.92500000000000004</v>
      </c>
      <c r="AP686" s="80">
        <f>IF(W686="","",IF(W686="SIM",VLOOKUP($I686&amp;$J686&amp;W$1,Pesos!$A:$I,7,FALSE),VLOOKUP($I686&amp;$J686&amp;W$1,Pesos!$A:$I,9,FALSE)))</f>
        <v>0.89999999999999991</v>
      </c>
      <c r="AQ686" s="80">
        <f>IF(X686="","",IF(X686="SIM",VLOOKUP($I686&amp;$J686&amp;X$1,Pesos!$A:$I,7,FALSE),VLOOKUP($I686&amp;$J686&amp;X$1,Pesos!$A:$I,9,FALSE)))</f>
        <v>-4.7500000000000001E-2</v>
      </c>
      <c r="AR686" s="80" t="str">
        <f>IF(Y686="","",IF(Y686="SIM",VLOOKUP($I686&amp;$J686&amp;Y$1,Pesos!$A:$I,7,FALSE),VLOOKUP($I686&amp;$J686&amp;Y$1,Pesos!$A:$I,9,FALSE)))</f>
        <v/>
      </c>
      <c r="AS686" s="81">
        <f>IFERROR(Z686*VLOOKUP(J686,'BD Campos'!$Y$1:$Z$12,2,FALSE),"0")</f>
        <v>9.0025000000000013</v>
      </c>
    </row>
    <row r="687" spans="1:45" x14ac:dyDescent="0.35">
      <c r="A687" s="68" t="str">
        <f t="shared" si="100"/>
        <v>Fev202511235MotoristaTRANSFERÊNCIA</v>
      </c>
      <c r="B687" s="114" t="str">
        <f t="shared" si="101"/>
        <v>Fev2025112351TRANSFERÊNCIAPADRÃO</v>
      </c>
      <c r="C687" s="70">
        <v>1</v>
      </c>
      <c r="D687" s="71">
        <v>45702.570047453701</v>
      </c>
      <c r="E687" s="112" t="s">
        <v>338</v>
      </c>
      <c r="F687" s="72">
        <v>11235</v>
      </c>
      <c r="G687" s="69" t="s">
        <v>1440</v>
      </c>
      <c r="H687" s="73">
        <v>1</v>
      </c>
      <c r="I687" s="69" t="s">
        <v>147</v>
      </c>
      <c r="J687" s="69" t="s">
        <v>122</v>
      </c>
      <c r="K687" s="69" t="s">
        <v>106</v>
      </c>
      <c r="L687" s="74">
        <v>31077131</v>
      </c>
      <c r="M687" s="75">
        <v>2.8703703703703708E-3</v>
      </c>
      <c r="N687" s="76" t="s">
        <v>79</v>
      </c>
      <c r="O687" s="76" t="s">
        <v>79</v>
      </c>
      <c r="P687" s="76" t="s">
        <v>79</v>
      </c>
      <c r="Q687" s="76" t="s">
        <v>79</v>
      </c>
      <c r="R687" s="76" t="s">
        <v>79</v>
      </c>
      <c r="S687" s="76" t="s">
        <v>79</v>
      </c>
      <c r="T687" s="76" t="s">
        <v>79</v>
      </c>
      <c r="U687" s="76" t="s">
        <v>79</v>
      </c>
      <c r="V687" s="76"/>
      <c r="W687" s="76"/>
      <c r="X687" s="76"/>
      <c r="Y687" s="76"/>
      <c r="Z687" s="77">
        <f t="shared" si="79"/>
        <v>10</v>
      </c>
      <c r="AA687" s="78"/>
      <c r="AB687" s="78" t="s">
        <v>1734</v>
      </c>
      <c r="AC687" s="72" t="s">
        <v>47</v>
      </c>
      <c r="AE687" s="79" t="str">
        <f t="shared" si="102"/>
        <v>Fev11235</v>
      </c>
      <c r="AF687" s="80">
        <f>IF(N687="","",IF(N687="SIM",VLOOKUP($I687&amp;$J687&amp;N$1,Pesos!$A:$I,7,FALSE),VLOOKUP($I687&amp;$J687&amp;N$1,Pesos!$A:$I,9,FALSE)))</f>
        <v>1.1000000000000001</v>
      </c>
      <c r="AG687" s="80">
        <f>IF(O687="","",IF(O687="SIM",VLOOKUP($I687&amp;$J687&amp;O$1,Pesos!$A:$I,7,FALSE),VLOOKUP($I687&amp;$J687&amp;O$1,Pesos!$A:$I,9,FALSE)))</f>
        <v>1.1000000000000001</v>
      </c>
      <c r="AH687" s="80">
        <f>IF(P687="","",IF(P687="SIM",VLOOKUP($I687&amp;$J687&amp;P$1,Pesos!$A:$I,7,FALSE),VLOOKUP($I687&amp;$J687&amp;P$1,Pesos!$A:$I,9,FALSE)))</f>
        <v>1.1000000000000001</v>
      </c>
      <c r="AI687" s="80">
        <f>IF(Q687="","",IF(Q687="SIM",VLOOKUP($I687&amp;$J687&amp;Q$1,Pesos!$A:$I,7,FALSE),VLOOKUP($I687&amp;$J687&amp;Q$1,Pesos!$A:$I,9,FALSE)))</f>
        <v>1.1000000000000001</v>
      </c>
      <c r="AJ687" s="80">
        <f>IF(R687="","",IF(R687="SIM",VLOOKUP($I687&amp;$J687&amp;R$1,Pesos!$A:$I,7,FALSE),VLOOKUP($I687&amp;$J687&amp;R$1,Pesos!$A:$I,9,FALSE)))</f>
        <v>1.1000000000000001</v>
      </c>
      <c r="AK687" s="80">
        <f>IF(S687="","",IF(S687="SIM",VLOOKUP($I687&amp;$J687&amp;S$1,Pesos!$A:$I,7,FALSE),VLOOKUP($I687&amp;$J687&amp;S$1,Pesos!$A:$I,9,FALSE)))</f>
        <v>1.6</v>
      </c>
      <c r="AL687" s="80">
        <f t="shared" si="98"/>
        <v>7.1</v>
      </c>
      <c r="AM687" s="80">
        <f>IF(T687="","",IF(T687="SIM",VLOOKUP($I687&amp;$J687&amp;T$1,Pesos!$A:$I,7,FALSE),VLOOKUP($I687&amp;$J687&amp;T$1,Pesos!$A:$I,9,FALSE)))</f>
        <v>1.2</v>
      </c>
      <c r="AN687" s="80">
        <f>IF(U687="","",IF(U687="SIM",VLOOKUP($I687&amp;$J687&amp;U$1,Pesos!$A:$I,7,FALSE),VLOOKUP($I687&amp;$J687&amp;U$1,Pesos!$A:$I,9,FALSE)))</f>
        <v>1.7000000000000002</v>
      </c>
      <c r="AO687" s="80" t="str">
        <f>IF(V687="","",IF(V687="SIM",VLOOKUP($I687&amp;$J687&amp;V$1,Pesos!$A:$I,7,FALSE),VLOOKUP($I687&amp;$J687&amp;V$1,Pesos!$A:$I,9,FALSE)))</f>
        <v/>
      </c>
      <c r="AP687" s="80" t="str">
        <f>IF(W687="","",IF(W687="SIM",VLOOKUP($I687&amp;$J687&amp;W$1,Pesos!$A:$I,7,FALSE),VLOOKUP($I687&amp;$J687&amp;W$1,Pesos!$A:$I,9,FALSE)))</f>
        <v/>
      </c>
      <c r="AQ687" s="80" t="str">
        <f>IF(X687="","",IF(X687="SIM",VLOOKUP($I687&amp;$J687&amp;X$1,Pesos!$A:$I,7,FALSE),VLOOKUP($I687&amp;$J687&amp;X$1,Pesos!$A:$I,9,FALSE)))</f>
        <v/>
      </c>
      <c r="AR687" s="80" t="str">
        <f>IF(Y687="","",IF(Y687="SIM",VLOOKUP($I687&amp;$J687&amp;Y$1,Pesos!$A:$I,7,FALSE),VLOOKUP($I687&amp;$J687&amp;Y$1,Pesos!$A:$I,9,FALSE)))</f>
        <v/>
      </c>
      <c r="AS687" s="81">
        <f>IFERROR(Z687*VLOOKUP(J687,'BD Campos'!$Y$1:$Z$12,2,FALSE),"0")</f>
        <v>10</v>
      </c>
    </row>
    <row r="688" spans="1:45" x14ac:dyDescent="0.35">
      <c r="A688" s="68" t="str">
        <f t="shared" si="100"/>
        <v>Fev202511090MotoristaTRANSFERÊNCIA</v>
      </c>
      <c r="B688" s="114" t="str">
        <f t="shared" si="101"/>
        <v>Fev2025110901TRANSFERÊNCIAPADRÃO</v>
      </c>
      <c r="C688" s="70">
        <v>1</v>
      </c>
      <c r="D688" s="71">
        <v>45702.574139814817</v>
      </c>
      <c r="E688" s="112" t="s">
        <v>338</v>
      </c>
      <c r="F688" s="72">
        <v>11090</v>
      </c>
      <c r="G688" s="69" t="s">
        <v>419</v>
      </c>
      <c r="H688" s="73">
        <v>1</v>
      </c>
      <c r="I688" s="69" t="s">
        <v>123</v>
      </c>
      <c r="J688" s="69" t="s">
        <v>122</v>
      </c>
      <c r="K688" s="69" t="s">
        <v>106</v>
      </c>
      <c r="L688" s="74">
        <v>31100794</v>
      </c>
      <c r="M688" s="75">
        <v>9.2592592592592585E-4</v>
      </c>
      <c r="N688" s="76" t="s">
        <v>79</v>
      </c>
      <c r="O688" s="76" t="s">
        <v>79</v>
      </c>
      <c r="P688" s="76" t="s">
        <v>79</v>
      </c>
      <c r="Q688" s="76" t="s">
        <v>79</v>
      </c>
      <c r="R688" s="76" t="s">
        <v>79</v>
      </c>
      <c r="S688" s="76" t="s">
        <v>83</v>
      </c>
      <c r="T688" s="76" t="s">
        <v>79</v>
      </c>
      <c r="U688" s="76" t="s">
        <v>83</v>
      </c>
      <c r="V688" s="76" t="s">
        <v>79</v>
      </c>
      <c r="W688" s="76" t="s">
        <v>83</v>
      </c>
      <c r="X688" s="76"/>
      <c r="Y688" s="76"/>
      <c r="Z688" s="77">
        <f t="shared" si="79"/>
        <v>6.8500000000000005</v>
      </c>
      <c r="AA688" s="78"/>
      <c r="AB688" s="78" t="s">
        <v>1735</v>
      </c>
      <c r="AC688" s="72" t="s">
        <v>47</v>
      </c>
      <c r="AE688" s="79" t="str">
        <f t="shared" si="102"/>
        <v>Fev11090</v>
      </c>
      <c r="AF688" s="80">
        <f>IF(N688="","",IF(N688="SIM",VLOOKUP($I688&amp;$J688&amp;N$1,Pesos!$A:$I,7,FALSE),VLOOKUP($I688&amp;$J688&amp;N$1,Pesos!$A:$I,9,FALSE)))</f>
        <v>1</v>
      </c>
      <c r="AG688" s="80">
        <f>IF(O688="","",IF(O688="SIM",VLOOKUP($I688&amp;$J688&amp;O$1,Pesos!$A:$I,7,FALSE),VLOOKUP($I688&amp;$J688&amp;O$1,Pesos!$A:$I,9,FALSE)))</f>
        <v>1</v>
      </c>
      <c r="AH688" s="80">
        <f>IF(P688="","",IF(P688="SIM",VLOOKUP($I688&amp;$J688&amp;P$1,Pesos!$A:$I,7,FALSE),VLOOKUP($I688&amp;$J688&amp;P$1,Pesos!$A:$I,9,FALSE)))</f>
        <v>1</v>
      </c>
      <c r="AI688" s="80">
        <f>IF(Q688="","",IF(Q688="SIM",VLOOKUP($I688&amp;$J688&amp;Q$1,Pesos!$A:$I,7,FALSE),VLOOKUP($I688&amp;$J688&amp;Q$1,Pesos!$A:$I,9,FALSE)))</f>
        <v>1</v>
      </c>
      <c r="AJ688" s="80">
        <f>IF(R688="","",IF(R688="SIM",VLOOKUP($I688&amp;$J688&amp;R$1,Pesos!$A:$I,7,FALSE),VLOOKUP($I688&amp;$J688&amp;R$1,Pesos!$A:$I,9,FALSE)))</f>
        <v>1</v>
      </c>
      <c r="AK688" s="80">
        <f>IF(S688="","",IF(S688="SIM",VLOOKUP($I688&amp;$J688&amp;S$1,Pesos!$A:$I,7,FALSE),VLOOKUP($I688&amp;$J688&amp;S$1,Pesos!$A:$I,9,FALSE)))</f>
        <v>-0.05</v>
      </c>
      <c r="AL688" s="80">
        <f t="shared" si="98"/>
        <v>4.95</v>
      </c>
      <c r="AM688" s="80">
        <f>IF(T688="","",IF(T688="SIM",VLOOKUP($I688&amp;$J688&amp;T$1,Pesos!$A:$I,7,FALSE),VLOOKUP($I688&amp;$J688&amp;T$1,Pesos!$A:$I,9,FALSE)))</f>
        <v>1</v>
      </c>
      <c r="AN688" s="80">
        <f>IF(U688="","",IF(U688="SIM",VLOOKUP($I688&amp;$J688&amp;U$1,Pesos!$A:$I,7,FALSE),VLOOKUP($I688&amp;$J688&amp;U$1,Pesos!$A:$I,9,FALSE)))</f>
        <v>-0.05</v>
      </c>
      <c r="AO688" s="80">
        <f>IF(V688="","",IF(V688="SIM",VLOOKUP($I688&amp;$J688&amp;V$1,Pesos!$A:$I,7,FALSE),VLOOKUP($I688&amp;$J688&amp;V$1,Pesos!$A:$I,9,FALSE)))</f>
        <v>1</v>
      </c>
      <c r="AP688" s="80">
        <f>IF(W688="","",IF(W688="SIM",VLOOKUP($I688&amp;$J688&amp;W$1,Pesos!$A:$I,7,FALSE),VLOOKUP($I688&amp;$J688&amp;W$1,Pesos!$A:$I,9,FALSE)))</f>
        <v>-0.05</v>
      </c>
      <c r="AQ688" s="80" t="str">
        <f>IF(X688="","",IF(X688="SIM",VLOOKUP($I688&amp;$J688&amp;X$1,Pesos!$A:$I,7,FALSE),VLOOKUP($I688&amp;$J688&amp;X$1,Pesos!$A:$I,9,FALSE)))</f>
        <v/>
      </c>
      <c r="AR688" s="80" t="str">
        <f>IF(Y688="","",IF(Y688="SIM",VLOOKUP($I688&amp;$J688&amp;Y$1,Pesos!$A:$I,7,FALSE),VLOOKUP($I688&amp;$J688&amp;Y$1,Pesos!$A:$I,9,FALSE)))</f>
        <v/>
      </c>
      <c r="AS688" s="81">
        <f>IFERROR(Z688*VLOOKUP(J688,'BD Campos'!$Y$1:$Z$12,2,FALSE),"0")</f>
        <v>6.8500000000000005</v>
      </c>
    </row>
    <row r="689" spans="1:45" x14ac:dyDescent="0.35">
      <c r="A689" s="68" t="str">
        <f t="shared" si="100"/>
        <v>Fev202511093MotoristaTRANSFERÊNCIA</v>
      </c>
      <c r="B689" s="114" t="str">
        <f t="shared" si="101"/>
        <v>Fev2025110931TRANSFERÊNCIAPADRÃO</v>
      </c>
      <c r="C689" s="70">
        <v>1</v>
      </c>
      <c r="D689" s="71">
        <v>45702.576869675926</v>
      </c>
      <c r="E689" s="112" t="s">
        <v>338</v>
      </c>
      <c r="F689" s="72">
        <v>11093</v>
      </c>
      <c r="G689" s="69" t="s">
        <v>420</v>
      </c>
      <c r="H689" s="73">
        <v>1</v>
      </c>
      <c r="I689" s="69" t="s">
        <v>121</v>
      </c>
      <c r="J689" s="69" t="s">
        <v>122</v>
      </c>
      <c r="K689" s="69" t="s">
        <v>106</v>
      </c>
      <c r="L689" s="74">
        <v>31125551</v>
      </c>
      <c r="M689" s="75">
        <v>1.4814814814814814E-3</v>
      </c>
      <c r="N689" s="76" t="s">
        <v>79</v>
      </c>
      <c r="O689" s="76" t="s">
        <v>79</v>
      </c>
      <c r="P689" s="76" t="s">
        <v>79</v>
      </c>
      <c r="Q689" s="76" t="s">
        <v>79</v>
      </c>
      <c r="R689" s="76" t="s">
        <v>79</v>
      </c>
      <c r="S689" s="76" t="s">
        <v>79</v>
      </c>
      <c r="T689" s="76" t="s">
        <v>79</v>
      </c>
      <c r="U689" s="76" t="s">
        <v>79</v>
      </c>
      <c r="V689" s="76" t="s">
        <v>79</v>
      </c>
      <c r="W689" s="76" t="s">
        <v>83</v>
      </c>
      <c r="X689" s="76" t="s">
        <v>79</v>
      </c>
      <c r="Y689" s="76"/>
      <c r="Z689" s="77">
        <f t="shared" si="79"/>
        <v>9.0549999999999997</v>
      </c>
      <c r="AA689" s="78"/>
      <c r="AB689" s="78" t="s">
        <v>1736</v>
      </c>
      <c r="AC689" s="72" t="s">
        <v>47</v>
      </c>
      <c r="AE689" s="79" t="str">
        <f t="shared" si="102"/>
        <v>Fev11093</v>
      </c>
      <c r="AF689" s="80">
        <f>IF(N689="","",IF(N689="SIM",VLOOKUP($I689&amp;$J689&amp;N$1,Pesos!$A:$I,7,FALSE),VLOOKUP($I689&amp;$J689&amp;N$1,Pesos!$A:$I,9,FALSE)))</f>
        <v>0.89999999999999991</v>
      </c>
      <c r="AG689" s="80">
        <f>IF(O689="","",IF(O689="SIM",VLOOKUP($I689&amp;$J689&amp;O$1,Pesos!$A:$I,7,FALSE),VLOOKUP($I689&amp;$J689&amp;O$1,Pesos!$A:$I,9,FALSE)))</f>
        <v>0.89999999999999991</v>
      </c>
      <c r="AH689" s="80">
        <f>IF(P689="","",IF(P689="SIM",VLOOKUP($I689&amp;$J689&amp;P$1,Pesos!$A:$I,7,FALSE),VLOOKUP($I689&amp;$J689&amp;P$1,Pesos!$A:$I,9,FALSE)))</f>
        <v>0.89999999999999991</v>
      </c>
      <c r="AI689" s="80">
        <f>IF(Q689="","",IF(Q689="SIM",VLOOKUP($I689&amp;$J689&amp;Q$1,Pesos!$A:$I,7,FALSE),VLOOKUP($I689&amp;$J689&amp;Q$1,Pesos!$A:$I,9,FALSE)))</f>
        <v>0.89999999999999991</v>
      </c>
      <c r="AJ689" s="80">
        <f>IF(R689="","",IF(R689="SIM",VLOOKUP($I689&amp;$J689&amp;R$1,Pesos!$A:$I,7,FALSE),VLOOKUP($I689&amp;$J689&amp;R$1,Pesos!$A:$I,9,FALSE)))</f>
        <v>0.89999999999999991</v>
      </c>
      <c r="AK689" s="80">
        <f>IF(S689="","",IF(S689="SIM",VLOOKUP($I689&amp;$J689&amp;S$1,Pesos!$A:$I,7,FALSE),VLOOKUP($I689&amp;$J689&amp;S$1,Pesos!$A:$I,9,FALSE)))</f>
        <v>0.89999999999999991</v>
      </c>
      <c r="AL689" s="80">
        <f t="shared" si="98"/>
        <v>5.4</v>
      </c>
      <c r="AM689" s="80">
        <f>IF(T689="","",IF(T689="SIM",VLOOKUP($I689&amp;$J689&amp;T$1,Pesos!$A:$I,7,FALSE),VLOOKUP($I689&amp;$J689&amp;T$1,Pesos!$A:$I,9,FALSE)))</f>
        <v>0.89999999999999991</v>
      </c>
      <c r="AN689" s="80">
        <f>IF(U689="","",IF(U689="SIM",VLOOKUP($I689&amp;$J689&amp;U$1,Pesos!$A:$I,7,FALSE),VLOOKUP($I689&amp;$J689&amp;U$1,Pesos!$A:$I,9,FALSE)))</f>
        <v>0.92500000000000004</v>
      </c>
      <c r="AO689" s="80">
        <f>IF(V689="","",IF(V689="SIM",VLOOKUP($I689&amp;$J689&amp;V$1,Pesos!$A:$I,7,FALSE),VLOOKUP($I689&amp;$J689&amp;V$1,Pesos!$A:$I,9,FALSE)))</f>
        <v>0.92500000000000004</v>
      </c>
      <c r="AP689" s="80">
        <f>IF(W689="","",IF(W689="SIM",VLOOKUP($I689&amp;$J689&amp;W$1,Pesos!$A:$I,7,FALSE),VLOOKUP($I689&amp;$J689&amp;W$1,Pesos!$A:$I,9,FALSE)))</f>
        <v>-4.4999999999999998E-2</v>
      </c>
      <c r="AQ689" s="80">
        <f>IF(X689="","",IF(X689="SIM",VLOOKUP($I689&amp;$J689&amp;X$1,Pesos!$A:$I,7,FALSE),VLOOKUP($I689&amp;$J689&amp;X$1,Pesos!$A:$I,9,FALSE)))</f>
        <v>0.95</v>
      </c>
      <c r="AR689" s="80" t="str">
        <f>IF(Y689="","",IF(Y689="SIM",VLOOKUP($I689&amp;$J689&amp;Y$1,Pesos!$A:$I,7,FALSE),VLOOKUP($I689&amp;$J689&amp;Y$1,Pesos!$A:$I,9,FALSE)))</f>
        <v/>
      </c>
      <c r="AS689" s="81">
        <f>IFERROR(Z689*VLOOKUP(J689,'BD Campos'!$Y$1:$Z$12,2,FALSE),"0")</f>
        <v>9.0549999999999997</v>
      </c>
    </row>
    <row r="690" spans="1:45" x14ac:dyDescent="0.35">
      <c r="A690" s="68" t="str">
        <f t="shared" si="100"/>
        <v>Fev202510984MotoristaTRANSFERÊNCIA</v>
      </c>
      <c r="B690" s="114" t="str">
        <f t="shared" si="101"/>
        <v>Fev2025109841TRANSFERÊNCIAPADRÃO</v>
      </c>
      <c r="C690" s="70">
        <v>1</v>
      </c>
      <c r="D690" s="71">
        <v>45705.34577511574</v>
      </c>
      <c r="E690" s="112" t="s">
        <v>338</v>
      </c>
      <c r="F690" s="72">
        <v>10984</v>
      </c>
      <c r="G690" s="69" t="s">
        <v>161</v>
      </c>
      <c r="H690" s="73">
        <v>1</v>
      </c>
      <c r="I690" s="69" t="s">
        <v>123</v>
      </c>
      <c r="J690" s="69" t="s">
        <v>122</v>
      </c>
      <c r="K690" s="69" t="s">
        <v>106</v>
      </c>
      <c r="L690" s="74">
        <v>31165142</v>
      </c>
      <c r="M690" s="75">
        <v>2.685185185185185E-3</v>
      </c>
      <c r="N690" s="76" t="s">
        <v>79</v>
      </c>
      <c r="O690" s="76" t="s">
        <v>79</v>
      </c>
      <c r="P690" s="76" t="s">
        <v>79</v>
      </c>
      <c r="Q690" s="76" t="s">
        <v>79</v>
      </c>
      <c r="R690" s="76" t="s">
        <v>79</v>
      </c>
      <c r="S690" s="76" t="s">
        <v>79</v>
      </c>
      <c r="T690" s="76" t="s">
        <v>79</v>
      </c>
      <c r="U690" s="76" t="s">
        <v>79</v>
      </c>
      <c r="V690" s="76" t="s">
        <v>83</v>
      </c>
      <c r="W690" s="76" t="s">
        <v>79</v>
      </c>
      <c r="X690" s="76"/>
      <c r="Y690" s="76"/>
      <c r="Z690" s="77">
        <f t="shared" si="79"/>
        <v>8.9499999999999993</v>
      </c>
      <c r="AA690" s="78"/>
      <c r="AB690" s="78" t="s">
        <v>1737</v>
      </c>
      <c r="AC690" s="72" t="s">
        <v>47</v>
      </c>
      <c r="AE690" s="79" t="str">
        <f t="shared" ref="AE690:AE724" si="103">E690&amp;F690</f>
        <v>Fev10984</v>
      </c>
      <c r="AF690" s="80">
        <f>IF(N690="","",IF(N690="SIM",VLOOKUP($I690&amp;$J690&amp;N$1,Pesos!$A:$I,7,FALSE),VLOOKUP($I690&amp;$J690&amp;N$1,Pesos!$A:$I,9,FALSE)))</f>
        <v>1</v>
      </c>
      <c r="AG690" s="80">
        <f>IF(O690="","",IF(O690="SIM",VLOOKUP($I690&amp;$J690&amp;O$1,Pesos!$A:$I,7,FALSE),VLOOKUP($I690&amp;$J690&amp;O$1,Pesos!$A:$I,9,FALSE)))</f>
        <v>1</v>
      </c>
      <c r="AH690" s="80">
        <f>IF(P690="","",IF(P690="SIM",VLOOKUP($I690&amp;$J690&amp;P$1,Pesos!$A:$I,7,FALSE),VLOOKUP($I690&amp;$J690&amp;P$1,Pesos!$A:$I,9,FALSE)))</f>
        <v>1</v>
      </c>
      <c r="AI690" s="80">
        <f>IF(Q690="","",IF(Q690="SIM",VLOOKUP($I690&amp;$J690&amp;Q$1,Pesos!$A:$I,7,FALSE),VLOOKUP($I690&amp;$J690&amp;Q$1,Pesos!$A:$I,9,FALSE)))</f>
        <v>1</v>
      </c>
      <c r="AJ690" s="80">
        <f>IF(R690="","",IF(R690="SIM",VLOOKUP($I690&amp;$J690&amp;R$1,Pesos!$A:$I,7,FALSE),VLOOKUP($I690&amp;$J690&amp;R$1,Pesos!$A:$I,9,FALSE)))</f>
        <v>1</v>
      </c>
      <c r="AK690" s="80">
        <f>IF(S690="","",IF(S690="SIM",VLOOKUP($I690&amp;$J690&amp;S$1,Pesos!$A:$I,7,FALSE),VLOOKUP($I690&amp;$J690&amp;S$1,Pesos!$A:$I,9,FALSE)))</f>
        <v>1</v>
      </c>
      <c r="AL690" s="80">
        <f t="shared" si="98"/>
        <v>6</v>
      </c>
      <c r="AM690" s="80">
        <f>IF(T690="","",IF(T690="SIM",VLOOKUP($I690&amp;$J690&amp;T$1,Pesos!$A:$I,7,FALSE),VLOOKUP($I690&amp;$J690&amp;T$1,Pesos!$A:$I,9,FALSE)))</f>
        <v>1</v>
      </c>
      <c r="AN690" s="80">
        <f>IF(U690="","",IF(U690="SIM",VLOOKUP($I690&amp;$J690&amp;U$1,Pesos!$A:$I,7,FALSE),VLOOKUP($I690&amp;$J690&amp;U$1,Pesos!$A:$I,9,FALSE)))</f>
        <v>1</v>
      </c>
      <c r="AO690" s="80">
        <f>IF(V690="","",IF(V690="SIM",VLOOKUP($I690&amp;$J690&amp;V$1,Pesos!$A:$I,7,FALSE),VLOOKUP($I690&amp;$J690&amp;V$1,Pesos!$A:$I,9,FALSE)))</f>
        <v>-0.05</v>
      </c>
      <c r="AP690" s="80">
        <f>IF(W690="","",IF(W690="SIM",VLOOKUP($I690&amp;$J690&amp;W$1,Pesos!$A:$I,7,FALSE),VLOOKUP($I690&amp;$J690&amp;W$1,Pesos!$A:$I,9,FALSE)))</f>
        <v>1</v>
      </c>
      <c r="AQ690" s="80" t="str">
        <f>IF(X690="","",IF(X690="SIM",VLOOKUP($I690&amp;$J690&amp;X$1,Pesos!$A:$I,7,FALSE),VLOOKUP($I690&amp;$J690&amp;X$1,Pesos!$A:$I,9,FALSE)))</f>
        <v/>
      </c>
      <c r="AR690" s="80" t="str">
        <f>IF(Y690="","",IF(Y690="SIM",VLOOKUP($I690&amp;$J690&amp;Y$1,Pesos!$A:$I,7,FALSE),VLOOKUP($I690&amp;$J690&amp;Y$1,Pesos!$A:$I,9,FALSE)))</f>
        <v/>
      </c>
      <c r="AS690" s="81">
        <f>IFERROR(Z690*VLOOKUP(J690,'BD Campos'!$Y$1:$Z$12,2,FALSE),"0")</f>
        <v>8.9499999999999993</v>
      </c>
    </row>
    <row r="691" spans="1:45" x14ac:dyDescent="0.35">
      <c r="A691" s="68" t="str">
        <f t="shared" si="100"/>
        <v>Fev202511184MotoristaTRANSFERÊNCIA</v>
      </c>
      <c r="B691" s="114" t="str">
        <f t="shared" si="101"/>
        <v>Fev2025111841TRANSFERÊNCIAPADRÃO</v>
      </c>
      <c r="C691" s="70">
        <v>1</v>
      </c>
      <c r="D691" s="71">
        <v>45705.352843055553</v>
      </c>
      <c r="E691" s="112" t="s">
        <v>338</v>
      </c>
      <c r="F691" s="72">
        <v>11184</v>
      </c>
      <c r="G691" s="69" t="s">
        <v>1394</v>
      </c>
      <c r="H691" s="73">
        <v>1</v>
      </c>
      <c r="I691" s="69" t="s">
        <v>121</v>
      </c>
      <c r="J691" s="69" t="s">
        <v>122</v>
      </c>
      <c r="K691" s="69" t="s">
        <v>106</v>
      </c>
      <c r="L691" s="74">
        <v>31181427</v>
      </c>
      <c r="M691" s="75">
        <v>1.5740740740740741E-3</v>
      </c>
      <c r="N691" s="76" t="s">
        <v>79</v>
      </c>
      <c r="O691" s="76" t="s">
        <v>79</v>
      </c>
      <c r="P691" s="76" t="s">
        <v>79</v>
      </c>
      <c r="Q691" s="76" t="s">
        <v>79</v>
      </c>
      <c r="R691" s="76" t="s">
        <v>79</v>
      </c>
      <c r="S691" s="76" t="s">
        <v>79</v>
      </c>
      <c r="T691" s="76" t="s">
        <v>79</v>
      </c>
      <c r="U691" s="76" t="s">
        <v>83</v>
      </c>
      <c r="V691" s="76" t="s">
        <v>79</v>
      </c>
      <c r="W691" s="76" t="s">
        <v>79</v>
      </c>
      <c r="X691" s="76" t="s">
        <v>79</v>
      </c>
      <c r="Y691" s="76"/>
      <c r="Z691" s="77">
        <f t="shared" si="79"/>
        <v>9.0287500000000005</v>
      </c>
      <c r="AA691" s="78"/>
      <c r="AB691" s="78" t="s">
        <v>1738</v>
      </c>
      <c r="AC691" s="72" t="s">
        <v>47</v>
      </c>
      <c r="AE691" s="79" t="str">
        <f t="shared" si="103"/>
        <v>Fev11184</v>
      </c>
      <c r="AF691" s="80">
        <f>IF(N691="","",IF(N691="SIM",VLOOKUP($I691&amp;$J691&amp;N$1,Pesos!$A:$I,7,FALSE),VLOOKUP($I691&amp;$J691&amp;N$1,Pesos!$A:$I,9,FALSE)))</f>
        <v>0.89999999999999991</v>
      </c>
      <c r="AG691" s="80">
        <f>IF(O691="","",IF(O691="SIM",VLOOKUP($I691&amp;$J691&amp;O$1,Pesos!$A:$I,7,FALSE),VLOOKUP($I691&amp;$J691&amp;O$1,Pesos!$A:$I,9,FALSE)))</f>
        <v>0.89999999999999991</v>
      </c>
      <c r="AH691" s="80">
        <f>IF(P691="","",IF(P691="SIM",VLOOKUP($I691&amp;$J691&amp;P$1,Pesos!$A:$I,7,FALSE),VLOOKUP($I691&amp;$J691&amp;P$1,Pesos!$A:$I,9,FALSE)))</f>
        <v>0.89999999999999991</v>
      </c>
      <c r="AI691" s="80">
        <f>IF(Q691="","",IF(Q691="SIM",VLOOKUP($I691&amp;$J691&amp;Q$1,Pesos!$A:$I,7,FALSE),VLOOKUP($I691&amp;$J691&amp;Q$1,Pesos!$A:$I,9,FALSE)))</f>
        <v>0.89999999999999991</v>
      </c>
      <c r="AJ691" s="80">
        <f>IF(R691="","",IF(R691="SIM",VLOOKUP($I691&amp;$J691&amp;R$1,Pesos!$A:$I,7,FALSE),VLOOKUP($I691&amp;$J691&amp;R$1,Pesos!$A:$I,9,FALSE)))</f>
        <v>0.89999999999999991</v>
      </c>
      <c r="AK691" s="80">
        <f>IF(S691="","",IF(S691="SIM",VLOOKUP($I691&amp;$J691&amp;S$1,Pesos!$A:$I,7,FALSE),VLOOKUP($I691&amp;$J691&amp;S$1,Pesos!$A:$I,9,FALSE)))</f>
        <v>0.89999999999999991</v>
      </c>
      <c r="AL691" s="80">
        <f t="shared" si="98"/>
        <v>5.4</v>
      </c>
      <c r="AM691" s="80">
        <f>IF(T691="","",IF(T691="SIM",VLOOKUP($I691&amp;$J691&amp;T$1,Pesos!$A:$I,7,FALSE),VLOOKUP($I691&amp;$J691&amp;T$1,Pesos!$A:$I,9,FALSE)))</f>
        <v>0.89999999999999991</v>
      </c>
      <c r="AN691" s="80">
        <f>IF(U691="","",IF(U691="SIM",VLOOKUP($I691&amp;$J691&amp;U$1,Pesos!$A:$I,7,FALSE),VLOOKUP($I691&amp;$J691&amp;U$1,Pesos!$A:$I,9,FALSE)))</f>
        <v>-4.6250000000000006E-2</v>
      </c>
      <c r="AO691" s="80">
        <f>IF(V691="","",IF(V691="SIM",VLOOKUP($I691&amp;$J691&amp;V$1,Pesos!$A:$I,7,FALSE),VLOOKUP($I691&amp;$J691&amp;V$1,Pesos!$A:$I,9,FALSE)))</f>
        <v>0.92500000000000004</v>
      </c>
      <c r="AP691" s="80">
        <f>IF(W691="","",IF(W691="SIM",VLOOKUP($I691&amp;$J691&amp;W$1,Pesos!$A:$I,7,FALSE),VLOOKUP($I691&amp;$J691&amp;W$1,Pesos!$A:$I,9,FALSE)))</f>
        <v>0.89999999999999991</v>
      </c>
      <c r="AQ691" s="80">
        <f>IF(X691="","",IF(X691="SIM",VLOOKUP($I691&amp;$J691&amp;X$1,Pesos!$A:$I,7,FALSE),VLOOKUP($I691&amp;$J691&amp;X$1,Pesos!$A:$I,9,FALSE)))</f>
        <v>0.95</v>
      </c>
      <c r="AR691" s="80" t="str">
        <f>IF(Y691="","",IF(Y691="SIM",VLOOKUP($I691&amp;$J691&amp;Y$1,Pesos!$A:$I,7,FALSE),VLOOKUP($I691&amp;$J691&amp;Y$1,Pesos!$A:$I,9,FALSE)))</f>
        <v/>
      </c>
      <c r="AS691" s="81">
        <f>IFERROR(Z691*VLOOKUP(J691,'BD Campos'!$Y$1:$Z$12,2,FALSE),"0")</f>
        <v>9.0287500000000005</v>
      </c>
    </row>
    <row r="692" spans="1:45" x14ac:dyDescent="0.35">
      <c r="A692" s="68" t="str">
        <f t="shared" si="100"/>
        <v>Fev202511050MotoristaTRANSFERÊNCIA</v>
      </c>
      <c r="B692" s="114" t="str">
        <f t="shared" si="101"/>
        <v>Fev2025110501TRANSFERÊNCIAPADRÃO</v>
      </c>
      <c r="C692" s="70">
        <v>1</v>
      </c>
      <c r="D692" s="71">
        <v>45705.361174652775</v>
      </c>
      <c r="E692" s="112" t="s">
        <v>338</v>
      </c>
      <c r="F692" s="72">
        <v>11050</v>
      </c>
      <c r="G692" s="69" t="s">
        <v>379</v>
      </c>
      <c r="H692" s="73">
        <v>1</v>
      </c>
      <c r="I692" s="69" t="s">
        <v>121</v>
      </c>
      <c r="J692" s="69" t="s">
        <v>122</v>
      </c>
      <c r="K692" s="69" t="s">
        <v>106</v>
      </c>
      <c r="L692" s="74">
        <v>31070949</v>
      </c>
      <c r="M692" s="75">
        <v>2.8935185185185188E-3</v>
      </c>
      <c r="N692" s="76" t="s">
        <v>79</v>
      </c>
      <c r="O692" s="76" t="s">
        <v>79</v>
      </c>
      <c r="P692" s="76" t="s">
        <v>79</v>
      </c>
      <c r="Q692" s="76" t="s">
        <v>79</v>
      </c>
      <c r="R692" s="76" t="s">
        <v>79</v>
      </c>
      <c r="S692" s="76" t="s">
        <v>79</v>
      </c>
      <c r="T692" s="76" t="s">
        <v>79</v>
      </c>
      <c r="U692" s="76" t="s">
        <v>79</v>
      </c>
      <c r="V692" s="76" t="s">
        <v>79</v>
      </c>
      <c r="W692" s="76" t="s">
        <v>79</v>
      </c>
      <c r="X692" s="76" t="s">
        <v>79</v>
      </c>
      <c r="Y692" s="76"/>
      <c r="Z692" s="77">
        <f t="shared" si="79"/>
        <v>10</v>
      </c>
      <c r="AA692" s="78"/>
      <c r="AB692" s="78" t="s">
        <v>1739</v>
      </c>
      <c r="AC692" s="72" t="s">
        <v>47</v>
      </c>
      <c r="AE692" s="79" t="str">
        <f t="shared" si="103"/>
        <v>Fev11050</v>
      </c>
      <c r="AF692" s="80">
        <f>IF(N692="","",IF(N692="SIM",VLOOKUP($I692&amp;$J692&amp;N$1,Pesos!$A:$I,7,FALSE),VLOOKUP($I692&amp;$J692&amp;N$1,Pesos!$A:$I,9,FALSE)))</f>
        <v>0.89999999999999991</v>
      </c>
      <c r="AG692" s="80">
        <f>IF(O692="","",IF(O692="SIM",VLOOKUP($I692&amp;$J692&amp;O$1,Pesos!$A:$I,7,FALSE),VLOOKUP($I692&amp;$J692&amp;O$1,Pesos!$A:$I,9,FALSE)))</f>
        <v>0.89999999999999991</v>
      </c>
      <c r="AH692" s="80">
        <f>IF(P692="","",IF(P692="SIM",VLOOKUP($I692&amp;$J692&amp;P$1,Pesos!$A:$I,7,FALSE),VLOOKUP($I692&amp;$J692&amp;P$1,Pesos!$A:$I,9,FALSE)))</f>
        <v>0.89999999999999991</v>
      </c>
      <c r="AI692" s="80">
        <f>IF(Q692="","",IF(Q692="SIM",VLOOKUP($I692&amp;$J692&amp;Q$1,Pesos!$A:$I,7,FALSE),VLOOKUP($I692&amp;$J692&amp;Q$1,Pesos!$A:$I,9,FALSE)))</f>
        <v>0.89999999999999991</v>
      </c>
      <c r="AJ692" s="80">
        <f>IF(R692="","",IF(R692="SIM",VLOOKUP($I692&amp;$J692&amp;R$1,Pesos!$A:$I,7,FALSE),VLOOKUP($I692&amp;$J692&amp;R$1,Pesos!$A:$I,9,FALSE)))</f>
        <v>0.89999999999999991</v>
      </c>
      <c r="AK692" s="80">
        <f>IF(S692="","",IF(S692="SIM",VLOOKUP($I692&amp;$J692&amp;S$1,Pesos!$A:$I,7,FALSE),VLOOKUP($I692&amp;$J692&amp;S$1,Pesos!$A:$I,9,FALSE)))</f>
        <v>0.89999999999999991</v>
      </c>
      <c r="AL692" s="80">
        <f t="shared" si="98"/>
        <v>5.4</v>
      </c>
      <c r="AM692" s="80">
        <f>IF(T692="","",IF(T692="SIM",VLOOKUP($I692&amp;$J692&amp;T$1,Pesos!$A:$I,7,FALSE),VLOOKUP($I692&amp;$J692&amp;T$1,Pesos!$A:$I,9,FALSE)))</f>
        <v>0.89999999999999991</v>
      </c>
      <c r="AN692" s="80">
        <f>IF(U692="","",IF(U692="SIM",VLOOKUP($I692&amp;$J692&amp;U$1,Pesos!$A:$I,7,FALSE),VLOOKUP($I692&amp;$J692&amp;U$1,Pesos!$A:$I,9,FALSE)))</f>
        <v>0.92500000000000004</v>
      </c>
      <c r="AO692" s="80">
        <f>IF(V692="","",IF(V692="SIM",VLOOKUP($I692&amp;$J692&amp;V$1,Pesos!$A:$I,7,FALSE),VLOOKUP($I692&amp;$J692&amp;V$1,Pesos!$A:$I,9,FALSE)))</f>
        <v>0.92500000000000004</v>
      </c>
      <c r="AP692" s="80">
        <f>IF(W692="","",IF(W692="SIM",VLOOKUP($I692&amp;$J692&amp;W$1,Pesos!$A:$I,7,FALSE),VLOOKUP($I692&amp;$J692&amp;W$1,Pesos!$A:$I,9,FALSE)))</f>
        <v>0.89999999999999991</v>
      </c>
      <c r="AQ692" s="80">
        <f>IF(X692="","",IF(X692="SIM",VLOOKUP($I692&amp;$J692&amp;X$1,Pesos!$A:$I,7,FALSE),VLOOKUP($I692&amp;$J692&amp;X$1,Pesos!$A:$I,9,FALSE)))</f>
        <v>0.95</v>
      </c>
      <c r="AR692" s="80" t="str">
        <f>IF(Y692="","",IF(Y692="SIM",VLOOKUP($I692&amp;$J692&amp;Y$1,Pesos!$A:$I,7,FALSE),VLOOKUP($I692&amp;$J692&amp;Y$1,Pesos!$A:$I,9,FALSE)))</f>
        <v/>
      </c>
      <c r="AS692" s="81">
        <f>IFERROR(Z692*VLOOKUP(J692,'BD Campos'!$Y$1:$Z$12,2,FALSE),"0")</f>
        <v>10</v>
      </c>
    </row>
    <row r="693" spans="1:45" x14ac:dyDescent="0.35">
      <c r="A693" s="68" t="str">
        <f t="shared" si="100"/>
        <v>Fev202510876Receptiva 2CADASTRO</v>
      </c>
      <c r="B693" s="114" t="str">
        <f t="shared" si="101"/>
        <v>Fev2025108766CADASTROPADRÃO</v>
      </c>
      <c r="C693" s="70">
        <v>1</v>
      </c>
      <c r="D693" s="71">
        <v>45705.366396759258</v>
      </c>
      <c r="E693" s="112" t="s">
        <v>338</v>
      </c>
      <c r="F693" s="72">
        <v>10876</v>
      </c>
      <c r="G693" s="69" t="s">
        <v>431</v>
      </c>
      <c r="H693" s="73">
        <v>6</v>
      </c>
      <c r="I693" s="69" t="s">
        <v>76</v>
      </c>
      <c r="J693" s="69" t="s">
        <v>100</v>
      </c>
      <c r="K693" s="69" t="s">
        <v>78</v>
      </c>
      <c r="L693" s="74"/>
      <c r="M693" s="75">
        <v>2.7430555555555559E-3</v>
      </c>
      <c r="N693" s="76" t="s">
        <v>79</v>
      </c>
      <c r="O693" s="76" t="s">
        <v>79</v>
      </c>
      <c r="P693" s="76" t="s">
        <v>79</v>
      </c>
      <c r="Q693" s="76" t="s">
        <v>79</v>
      </c>
      <c r="R693" s="76" t="s">
        <v>79</v>
      </c>
      <c r="S693" s="76" t="s">
        <v>79</v>
      </c>
      <c r="T693" s="76" t="s">
        <v>79</v>
      </c>
      <c r="U693" s="76" t="s">
        <v>79</v>
      </c>
      <c r="V693" s="76" t="s">
        <v>79</v>
      </c>
      <c r="W693" s="76" t="s">
        <v>79</v>
      </c>
      <c r="X693" s="76" t="s">
        <v>79</v>
      </c>
      <c r="Y693" s="76" t="s">
        <v>79</v>
      </c>
      <c r="Z693" s="77">
        <f t="shared" si="79"/>
        <v>10</v>
      </c>
      <c r="AA693" s="78"/>
      <c r="AB693" s="78"/>
      <c r="AC693" s="72" t="s">
        <v>47</v>
      </c>
      <c r="AE693" s="79" t="str">
        <f t="shared" si="103"/>
        <v>Fev10876</v>
      </c>
      <c r="AF693" s="80">
        <f>IF(N693="","",IF(N693="SIM",VLOOKUP($I693&amp;$J693&amp;N$1,Pesos!$A:$I,7,FALSE),VLOOKUP($I693&amp;$J693&amp;N$1,Pesos!$A:$I,9,FALSE)))</f>
        <v>0.8</v>
      </c>
      <c r="AG693" s="80">
        <f>IF(O693="","",IF(O693="SIM",VLOOKUP($I693&amp;$J693&amp;O$1,Pesos!$A:$I,7,FALSE),VLOOKUP($I693&amp;$J693&amp;O$1,Pesos!$A:$I,9,FALSE)))</f>
        <v>0.8</v>
      </c>
      <c r="AH693" s="80">
        <f>IF(P693="","",IF(P693="SIM",VLOOKUP($I693&amp;$J693&amp;P$1,Pesos!$A:$I,7,FALSE),VLOOKUP($I693&amp;$J693&amp;P$1,Pesos!$A:$I,9,FALSE)))</f>
        <v>1.2</v>
      </c>
      <c r="AI693" s="80">
        <f>IF(Q693="","",IF(Q693="SIM",VLOOKUP($I693&amp;$J693&amp;Q$1,Pesos!$A:$I,7,FALSE),VLOOKUP($I693&amp;$J693&amp;Q$1,Pesos!$A:$I,9,FALSE)))</f>
        <v>0.8</v>
      </c>
      <c r="AJ693" s="80">
        <f>IF(R693="","",IF(R693="SIM",VLOOKUP($I693&amp;$J693&amp;R$1,Pesos!$A:$I,7,FALSE),VLOOKUP($I693&amp;$J693&amp;R$1,Pesos!$A:$I,9,FALSE)))</f>
        <v>0.8</v>
      </c>
      <c r="AK693" s="80">
        <f>IF(S693="","",IF(S693="SIM",VLOOKUP($I693&amp;$J693&amp;S$1,Pesos!$A:$I,7,FALSE),VLOOKUP($I693&amp;$J693&amp;S$1,Pesos!$A:$I,9,FALSE)))</f>
        <v>0.8</v>
      </c>
      <c r="AL693" s="80">
        <f t="shared" si="98"/>
        <v>5.1999999999999993</v>
      </c>
      <c r="AM693" s="80">
        <f>IF(T693="","",IF(T693="SIM",VLOOKUP($I693&amp;$J693&amp;T$1,Pesos!$A:$I,7,FALSE),VLOOKUP($I693&amp;$J693&amp;T$1,Pesos!$A:$I,9,FALSE)))</f>
        <v>0.8</v>
      </c>
      <c r="AN693" s="80">
        <f>IF(U693="","",IF(U693="SIM",VLOOKUP($I693&amp;$J693&amp;U$1,Pesos!$A:$I,7,FALSE),VLOOKUP($I693&amp;$J693&amp;U$1,Pesos!$A:$I,9,FALSE)))</f>
        <v>0.8</v>
      </c>
      <c r="AO693" s="80">
        <f>IF(V693="","",IF(V693="SIM",VLOOKUP($I693&amp;$J693&amp;V$1,Pesos!$A:$I,7,FALSE),VLOOKUP($I693&amp;$J693&amp;V$1,Pesos!$A:$I,9,FALSE)))</f>
        <v>0.8</v>
      </c>
      <c r="AP693" s="80">
        <f>IF(W693="","",IF(W693="SIM",VLOOKUP($I693&amp;$J693&amp;W$1,Pesos!$A:$I,7,FALSE),VLOOKUP($I693&amp;$J693&amp;W$1,Pesos!$A:$I,9,FALSE)))</f>
        <v>0.8</v>
      </c>
      <c r="AQ693" s="80">
        <f>IF(X693="","",IF(X693="SIM",VLOOKUP($I693&amp;$J693&amp;X$1,Pesos!$A:$I,7,FALSE),VLOOKUP($I693&amp;$J693&amp;X$1,Pesos!$A:$I,9,FALSE)))</f>
        <v>0.8</v>
      </c>
      <c r="AR693" s="80">
        <f>IF(Y693="","",IF(Y693="SIM",VLOOKUP($I693&amp;$J693&amp;Y$1,Pesos!$A:$I,7,FALSE),VLOOKUP($I693&amp;$J693&amp;Y$1,Pesos!$A:$I,9,FALSE)))</f>
        <v>0.8</v>
      </c>
      <c r="AS693" s="81">
        <f>IFERROR(Z693*VLOOKUP(J693,'BD Campos'!$Y$1:$Z$12,2,FALSE),"0")</f>
        <v>10</v>
      </c>
    </row>
    <row r="694" spans="1:45" x14ac:dyDescent="0.35">
      <c r="A694" s="68" t="str">
        <f t="shared" si="100"/>
        <v>Fev202511214Receptiva 2CADASTRO</v>
      </c>
      <c r="B694" s="114" t="str">
        <f t="shared" si="101"/>
        <v>Fev2025112146CADASTROPADRÃO</v>
      </c>
      <c r="C694" s="70">
        <v>1</v>
      </c>
      <c r="D694" s="71">
        <v>45705.370296990739</v>
      </c>
      <c r="E694" s="112" t="s">
        <v>338</v>
      </c>
      <c r="F694" s="72">
        <v>11214</v>
      </c>
      <c r="G694" s="69" t="s">
        <v>1389</v>
      </c>
      <c r="H694" s="73">
        <v>6</v>
      </c>
      <c r="I694" s="69" t="s">
        <v>76</v>
      </c>
      <c r="J694" s="69" t="s">
        <v>100</v>
      </c>
      <c r="K694" s="69" t="s">
        <v>78</v>
      </c>
      <c r="L694" s="74"/>
      <c r="M694" s="75">
        <v>2.8935185185185188E-3</v>
      </c>
      <c r="N694" s="76" t="s">
        <v>79</v>
      </c>
      <c r="O694" s="76" t="s">
        <v>79</v>
      </c>
      <c r="P694" s="76" t="s">
        <v>79</v>
      </c>
      <c r="Q694" s="76" t="s">
        <v>79</v>
      </c>
      <c r="R694" s="76" t="s">
        <v>79</v>
      </c>
      <c r="S694" s="76" t="s">
        <v>79</v>
      </c>
      <c r="T694" s="76" t="s">
        <v>83</v>
      </c>
      <c r="U694" s="76" t="s">
        <v>79</v>
      </c>
      <c r="V694" s="76" t="s">
        <v>79</v>
      </c>
      <c r="W694" s="76" t="s">
        <v>79</v>
      </c>
      <c r="X694" s="76" t="s">
        <v>79</v>
      </c>
      <c r="Y694" s="76" t="s">
        <v>79</v>
      </c>
      <c r="Z694" s="77">
        <f t="shared" si="79"/>
        <v>9.16</v>
      </c>
      <c r="AA694" s="78"/>
      <c r="AB694" s="78"/>
      <c r="AC694" s="72" t="s">
        <v>47</v>
      </c>
      <c r="AE694" s="79" t="str">
        <f t="shared" si="103"/>
        <v>Fev11214</v>
      </c>
      <c r="AF694" s="80">
        <f>IF(N694="","",IF(N694="SIM",VLOOKUP($I694&amp;$J694&amp;N$1,Pesos!$A:$I,7,FALSE),VLOOKUP($I694&amp;$J694&amp;N$1,Pesos!$A:$I,9,FALSE)))</f>
        <v>0.8</v>
      </c>
      <c r="AG694" s="80">
        <f>IF(O694="","",IF(O694="SIM",VLOOKUP($I694&amp;$J694&amp;O$1,Pesos!$A:$I,7,FALSE),VLOOKUP($I694&amp;$J694&amp;O$1,Pesos!$A:$I,9,FALSE)))</f>
        <v>0.8</v>
      </c>
      <c r="AH694" s="80">
        <f>IF(P694="","",IF(P694="SIM",VLOOKUP($I694&amp;$J694&amp;P$1,Pesos!$A:$I,7,FALSE),VLOOKUP($I694&amp;$J694&amp;P$1,Pesos!$A:$I,9,FALSE)))</f>
        <v>1.2</v>
      </c>
      <c r="AI694" s="80">
        <f>IF(Q694="","",IF(Q694="SIM",VLOOKUP($I694&amp;$J694&amp;Q$1,Pesos!$A:$I,7,FALSE),VLOOKUP($I694&amp;$J694&amp;Q$1,Pesos!$A:$I,9,FALSE)))</f>
        <v>0.8</v>
      </c>
      <c r="AJ694" s="80">
        <f>IF(R694="","",IF(R694="SIM",VLOOKUP($I694&amp;$J694&amp;R$1,Pesos!$A:$I,7,FALSE),VLOOKUP($I694&amp;$J694&amp;R$1,Pesos!$A:$I,9,FALSE)))</f>
        <v>0.8</v>
      </c>
      <c r="AK694" s="80">
        <f>IF(S694="","",IF(S694="SIM",VLOOKUP($I694&amp;$J694&amp;S$1,Pesos!$A:$I,7,FALSE),VLOOKUP($I694&amp;$J694&amp;S$1,Pesos!$A:$I,9,FALSE)))</f>
        <v>0.8</v>
      </c>
      <c r="AL694" s="80">
        <f t="shared" si="98"/>
        <v>5.1999999999999993</v>
      </c>
      <c r="AM694" s="80">
        <f>IF(T694="","",IF(T694="SIM",VLOOKUP($I694&amp;$J694&amp;T$1,Pesos!$A:$I,7,FALSE),VLOOKUP($I694&amp;$J694&amp;T$1,Pesos!$A:$I,9,FALSE)))</f>
        <v>-4.0000000000000008E-2</v>
      </c>
      <c r="AN694" s="80">
        <f>IF(U694="","",IF(U694="SIM",VLOOKUP($I694&amp;$J694&amp;U$1,Pesos!$A:$I,7,FALSE),VLOOKUP($I694&amp;$J694&amp;U$1,Pesos!$A:$I,9,FALSE)))</f>
        <v>0.8</v>
      </c>
      <c r="AO694" s="80">
        <f>IF(V694="","",IF(V694="SIM",VLOOKUP($I694&amp;$J694&amp;V$1,Pesos!$A:$I,7,FALSE),VLOOKUP($I694&amp;$J694&amp;V$1,Pesos!$A:$I,9,FALSE)))</f>
        <v>0.8</v>
      </c>
      <c r="AP694" s="80">
        <f>IF(W694="","",IF(W694="SIM",VLOOKUP($I694&amp;$J694&amp;W$1,Pesos!$A:$I,7,FALSE),VLOOKUP($I694&amp;$J694&amp;W$1,Pesos!$A:$I,9,FALSE)))</f>
        <v>0.8</v>
      </c>
      <c r="AQ694" s="80">
        <f>IF(X694="","",IF(X694="SIM",VLOOKUP($I694&amp;$J694&amp;X$1,Pesos!$A:$I,7,FALSE),VLOOKUP($I694&amp;$J694&amp;X$1,Pesos!$A:$I,9,FALSE)))</f>
        <v>0.8</v>
      </c>
      <c r="AR694" s="80">
        <f>IF(Y694="","",IF(Y694="SIM",VLOOKUP($I694&amp;$J694&amp;Y$1,Pesos!$A:$I,7,FALSE),VLOOKUP($I694&amp;$J694&amp;Y$1,Pesos!$A:$I,9,FALSE)))</f>
        <v>0.8</v>
      </c>
      <c r="AS694" s="81">
        <f>IFERROR(Z694*VLOOKUP(J694,'BD Campos'!$Y$1:$Z$12,2,FALSE),"0")</f>
        <v>9.16</v>
      </c>
    </row>
    <row r="695" spans="1:45" x14ac:dyDescent="0.35">
      <c r="A695" s="68" t="str">
        <f t="shared" si="100"/>
        <v>Fev202511254Receptiva 2CADASTRO</v>
      </c>
      <c r="B695" s="114" t="str">
        <f t="shared" si="101"/>
        <v>Fev2025112546CADASTROPADRÃO</v>
      </c>
      <c r="C695" s="70">
        <v>1</v>
      </c>
      <c r="D695" s="71">
        <v>45705.394830787038</v>
      </c>
      <c r="E695" s="112" t="s">
        <v>338</v>
      </c>
      <c r="F695" s="72">
        <v>11254</v>
      </c>
      <c r="G695" s="69" t="s">
        <v>1614</v>
      </c>
      <c r="H695" s="73">
        <v>6</v>
      </c>
      <c r="I695" s="69" t="s">
        <v>76</v>
      </c>
      <c r="J695" s="69" t="s">
        <v>100</v>
      </c>
      <c r="K695" s="69" t="s">
        <v>78</v>
      </c>
      <c r="L695" s="74"/>
      <c r="M695" s="75">
        <v>4.363425925925926E-3</v>
      </c>
      <c r="N695" s="76" t="s">
        <v>79</v>
      </c>
      <c r="O695" s="76" t="s">
        <v>79</v>
      </c>
      <c r="P695" s="76" t="s">
        <v>79</v>
      </c>
      <c r="Q695" s="76" t="s">
        <v>79</v>
      </c>
      <c r="R695" s="76" t="s">
        <v>79</v>
      </c>
      <c r="S695" s="76" t="s">
        <v>79</v>
      </c>
      <c r="T695" s="76" t="s">
        <v>79</v>
      </c>
      <c r="U695" s="76" t="s">
        <v>79</v>
      </c>
      <c r="V695" s="76" t="s">
        <v>79</v>
      </c>
      <c r="W695" s="76" t="s">
        <v>79</v>
      </c>
      <c r="X695" s="76" t="s">
        <v>79</v>
      </c>
      <c r="Y695" s="76" t="s">
        <v>79</v>
      </c>
      <c r="Z695" s="77">
        <f t="shared" si="79"/>
        <v>10</v>
      </c>
      <c r="AA695" s="78"/>
      <c r="AB695" s="78"/>
      <c r="AC695" s="72" t="s">
        <v>47</v>
      </c>
      <c r="AE695" s="79" t="str">
        <f t="shared" si="103"/>
        <v>Fev11254</v>
      </c>
      <c r="AF695" s="80">
        <f>IF(N695="","",IF(N695="SIM",VLOOKUP($I695&amp;$J695&amp;N$1,Pesos!$A:$I,7,FALSE),VLOOKUP($I695&amp;$J695&amp;N$1,Pesos!$A:$I,9,FALSE)))</f>
        <v>0.8</v>
      </c>
      <c r="AG695" s="80">
        <f>IF(O695="","",IF(O695="SIM",VLOOKUP($I695&amp;$J695&amp;O$1,Pesos!$A:$I,7,FALSE),VLOOKUP($I695&amp;$J695&amp;O$1,Pesos!$A:$I,9,FALSE)))</f>
        <v>0.8</v>
      </c>
      <c r="AH695" s="80">
        <f>IF(P695="","",IF(P695="SIM",VLOOKUP($I695&amp;$J695&amp;P$1,Pesos!$A:$I,7,FALSE),VLOOKUP($I695&amp;$J695&amp;P$1,Pesos!$A:$I,9,FALSE)))</f>
        <v>1.2</v>
      </c>
      <c r="AI695" s="80">
        <f>IF(Q695="","",IF(Q695="SIM",VLOOKUP($I695&amp;$J695&amp;Q$1,Pesos!$A:$I,7,FALSE),VLOOKUP($I695&amp;$J695&amp;Q$1,Pesos!$A:$I,9,FALSE)))</f>
        <v>0.8</v>
      </c>
      <c r="AJ695" s="80">
        <f>IF(R695="","",IF(R695="SIM",VLOOKUP($I695&amp;$J695&amp;R$1,Pesos!$A:$I,7,FALSE),VLOOKUP($I695&amp;$J695&amp;R$1,Pesos!$A:$I,9,FALSE)))</f>
        <v>0.8</v>
      </c>
      <c r="AK695" s="80">
        <f>IF(S695="","",IF(S695="SIM",VLOOKUP($I695&amp;$J695&amp;S$1,Pesos!$A:$I,7,FALSE),VLOOKUP($I695&amp;$J695&amp;S$1,Pesos!$A:$I,9,FALSE)))</f>
        <v>0.8</v>
      </c>
      <c r="AL695" s="80">
        <f t="shared" si="98"/>
        <v>5.1999999999999993</v>
      </c>
      <c r="AM695" s="80">
        <f>IF(T695="","",IF(T695="SIM",VLOOKUP($I695&amp;$J695&amp;T$1,Pesos!$A:$I,7,FALSE),VLOOKUP($I695&amp;$J695&amp;T$1,Pesos!$A:$I,9,FALSE)))</f>
        <v>0.8</v>
      </c>
      <c r="AN695" s="80">
        <f>IF(U695="","",IF(U695="SIM",VLOOKUP($I695&amp;$J695&amp;U$1,Pesos!$A:$I,7,FALSE),VLOOKUP($I695&amp;$J695&amp;U$1,Pesos!$A:$I,9,FALSE)))</f>
        <v>0.8</v>
      </c>
      <c r="AO695" s="80">
        <f>IF(V695="","",IF(V695="SIM",VLOOKUP($I695&amp;$J695&amp;V$1,Pesos!$A:$I,7,FALSE),VLOOKUP($I695&amp;$J695&amp;V$1,Pesos!$A:$I,9,FALSE)))</f>
        <v>0.8</v>
      </c>
      <c r="AP695" s="80">
        <f>IF(W695="","",IF(W695="SIM",VLOOKUP($I695&amp;$J695&amp;W$1,Pesos!$A:$I,7,FALSE),VLOOKUP($I695&amp;$J695&amp;W$1,Pesos!$A:$I,9,FALSE)))</f>
        <v>0.8</v>
      </c>
      <c r="AQ695" s="80">
        <f>IF(X695="","",IF(X695="SIM",VLOOKUP($I695&amp;$J695&amp;X$1,Pesos!$A:$I,7,FALSE),VLOOKUP($I695&amp;$J695&amp;X$1,Pesos!$A:$I,9,FALSE)))</f>
        <v>0.8</v>
      </c>
      <c r="AR695" s="80">
        <f>IF(Y695="","",IF(Y695="SIM",VLOOKUP($I695&amp;$J695&amp;Y$1,Pesos!$A:$I,7,FALSE),VLOOKUP($I695&amp;$J695&amp;Y$1,Pesos!$A:$I,9,FALSE)))</f>
        <v>0.8</v>
      </c>
      <c r="AS695" s="81">
        <f>IFERROR(Z695*VLOOKUP(J695,'BD Campos'!$Y$1:$Z$12,2,FALSE),"0")</f>
        <v>10</v>
      </c>
    </row>
    <row r="696" spans="1:45" x14ac:dyDescent="0.35">
      <c r="A696" s="68" t="str">
        <f t="shared" si="100"/>
        <v>Fev202510783MotoristaDISTRIBUIÇÃO</v>
      </c>
      <c r="B696" s="114" t="str">
        <f t="shared" si="101"/>
        <v>Fev2025107831DISTRIBUIÇÃOPADRÃO</v>
      </c>
      <c r="C696" s="70">
        <v>1</v>
      </c>
      <c r="D696" s="71">
        <v>45705.413242939816</v>
      </c>
      <c r="E696" s="112" t="s">
        <v>338</v>
      </c>
      <c r="F696" s="72">
        <v>10783</v>
      </c>
      <c r="G696" s="69" t="s">
        <v>236</v>
      </c>
      <c r="H696" s="73">
        <v>1</v>
      </c>
      <c r="I696" s="69" t="s">
        <v>123</v>
      </c>
      <c r="J696" s="69" t="s">
        <v>122</v>
      </c>
      <c r="K696" s="69" t="s">
        <v>23</v>
      </c>
      <c r="L696" s="74">
        <v>31149174</v>
      </c>
      <c r="M696" s="75">
        <v>7.9861111111111105E-4</v>
      </c>
      <c r="N696" s="76" t="s">
        <v>79</v>
      </c>
      <c r="O696" s="76" t="s">
        <v>79</v>
      </c>
      <c r="P696" s="76" t="s">
        <v>79</v>
      </c>
      <c r="Q696" s="76" t="s">
        <v>79</v>
      </c>
      <c r="R696" s="76" t="s">
        <v>79</v>
      </c>
      <c r="S696" s="76" t="s">
        <v>79</v>
      </c>
      <c r="T696" s="76" t="s">
        <v>79</v>
      </c>
      <c r="U696" s="76" t="s">
        <v>79</v>
      </c>
      <c r="V696" s="76" t="s">
        <v>83</v>
      </c>
      <c r="W696" s="76" t="s">
        <v>79</v>
      </c>
      <c r="X696" s="76"/>
      <c r="Y696" s="76"/>
      <c r="Z696" s="77">
        <f t="shared" si="79"/>
        <v>8.9499999999999993</v>
      </c>
      <c r="AA696" s="78"/>
      <c r="AB696" s="78" t="s">
        <v>1740</v>
      </c>
      <c r="AC696" s="72" t="s">
        <v>47</v>
      </c>
      <c r="AE696" s="79" t="str">
        <f t="shared" si="103"/>
        <v>Fev10783</v>
      </c>
      <c r="AF696" s="80">
        <f>IF(N696="","",IF(N696="SIM",VLOOKUP($I696&amp;$J696&amp;N$1,Pesos!$A:$I,7,FALSE),VLOOKUP($I696&amp;$J696&amp;N$1,Pesos!$A:$I,9,FALSE)))</f>
        <v>1</v>
      </c>
      <c r="AG696" s="80">
        <f>IF(O696="","",IF(O696="SIM",VLOOKUP($I696&amp;$J696&amp;O$1,Pesos!$A:$I,7,FALSE),VLOOKUP($I696&amp;$J696&amp;O$1,Pesos!$A:$I,9,FALSE)))</f>
        <v>1</v>
      </c>
      <c r="AH696" s="80">
        <f>IF(P696="","",IF(P696="SIM",VLOOKUP($I696&amp;$J696&amp;P$1,Pesos!$A:$I,7,FALSE),VLOOKUP($I696&amp;$J696&amp;P$1,Pesos!$A:$I,9,FALSE)))</f>
        <v>1</v>
      </c>
      <c r="AI696" s="80">
        <f>IF(Q696="","",IF(Q696="SIM",VLOOKUP($I696&amp;$J696&amp;Q$1,Pesos!$A:$I,7,FALSE),VLOOKUP($I696&amp;$J696&amp;Q$1,Pesos!$A:$I,9,FALSE)))</f>
        <v>1</v>
      </c>
      <c r="AJ696" s="80">
        <f>IF(R696="","",IF(R696="SIM",VLOOKUP($I696&amp;$J696&amp;R$1,Pesos!$A:$I,7,FALSE),VLOOKUP($I696&amp;$J696&amp;R$1,Pesos!$A:$I,9,FALSE)))</f>
        <v>1</v>
      </c>
      <c r="AK696" s="80">
        <f>IF(S696="","",IF(S696="SIM",VLOOKUP($I696&amp;$J696&amp;S$1,Pesos!$A:$I,7,FALSE),VLOOKUP($I696&amp;$J696&amp;S$1,Pesos!$A:$I,9,FALSE)))</f>
        <v>1</v>
      </c>
      <c r="AL696" s="80">
        <f t="shared" si="98"/>
        <v>6</v>
      </c>
      <c r="AM696" s="80">
        <f>IF(T696="","",IF(T696="SIM",VLOOKUP($I696&amp;$J696&amp;T$1,Pesos!$A:$I,7,FALSE),VLOOKUP($I696&amp;$J696&amp;T$1,Pesos!$A:$I,9,FALSE)))</f>
        <v>1</v>
      </c>
      <c r="AN696" s="80">
        <f>IF(U696="","",IF(U696="SIM",VLOOKUP($I696&amp;$J696&amp;U$1,Pesos!$A:$I,7,FALSE),VLOOKUP($I696&amp;$J696&amp;U$1,Pesos!$A:$I,9,FALSE)))</f>
        <v>1</v>
      </c>
      <c r="AO696" s="80">
        <f>IF(V696="","",IF(V696="SIM",VLOOKUP($I696&amp;$J696&amp;V$1,Pesos!$A:$I,7,FALSE),VLOOKUP($I696&amp;$J696&amp;V$1,Pesos!$A:$I,9,FALSE)))</f>
        <v>-0.05</v>
      </c>
      <c r="AP696" s="80">
        <f>IF(W696="","",IF(W696="SIM",VLOOKUP($I696&amp;$J696&amp;W$1,Pesos!$A:$I,7,FALSE),VLOOKUP($I696&amp;$J696&amp;W$1,Pesos!$A:$I,9,FALSE)))</f>
        <v>1</v>
      </c>
      <c r="AQ696" s="80" t="str">
        <f>IF(X696="","",IF(X696="SIM",VLOOKUP($I696&amp;$J696&amp;X$1,Pesos!$A:$I,7,FALSE),VLOOKUP($I696&amp;$J696&amp;X$1,Pesos!$A:$I,9,FALSE)))</f>
        <v/>
      </c>
      <c r="AR696" s="80" t="str">
        <f>IF(Y696="","",IF(Y696="SIM",VLOOKUP($I696&amp;$J696&amp;Y$1,Pesos!$A:$I,7,FALSE),VLOOKUP($I696&amp;$J696&amp;Y$1,Pesos!$A:$I,9,FALSE)))</f>
        <v/>
      </c>
      <c r="AS696" s="81">
        <f>IFERROR(Z696*VLOOKUP(J696,'BD Campos'!$Y$1:$Z$12,2,FALSE),"0")</f>
        <v>8.9499999999999993</v>
      </c>
    </row>
    <row r="697" spans="1:45" x14ac:dyDescent="0.35">
      <c r="A697" s="68" t="str">
        <f t="shared" si="100"/>
        <v>Fev202510932MotoristaDISTRIBUIÇÃO</v>
      </c>
      <c r="B697" s="114" t="str">
        <f t="shared" si="101"/>
        <v>Fev2025109321DISTRIBUIÇÃOPADRÃO</v>
      </c>
      <c r="C697" s="70">
        <v>1</v>
      </c>
      <c r="D697" s="71">
        <v>45705.414913541666</v>
      </c>
      <c r="E697" s="112" t="s">
        <v>338</v>
      </c>
      <c r="F697" s="72">
        <v>10932</v>
      </c>
      <c r="G697" s="69" t="s">
        <v>245</v>
      </c>
      <c r="H697" s="73">
        <v>1</v>
      </c>
      <c r="I697" s="69" t="s">
        <v>123</v>
      </c>
      <c r="J697" s="69" t="s">
        <v>122</v>
      </c>
      <c r="K697" s="69" t="s">
        <v>23</v>
      </c>
      <c r="L697" s="74">
        <v>31177886</v>
      </c>
      <c r="M697" s="75">
        <v>6.3657407407407402E-4</v>
      </c>
      <c r="N697" s="76" t="s">
        <v>79</v>
      </c>
      <c r="O697" s="76" t="s">
        <v>79</v>
      </c>
      <c r="P697" s="76" t="s">
        <v>79</v>
      </c>
      <c r="Q697" s="76" t="s">
        <v>83</v>
      </c>
      <c r="R697" s="76" t="s">
        <v>79</v>
      </c>
      <c r="S697" s="76" t="s">
        <v>79</v>
      </c>
      <c r="T697" s="76" t="s">
        <v>79</v>
      </c>
      <c r="U697" s="76" t="s">
        <v>79</v>
      </c>
      <c r="V697" s="76" t="s">
        <v>79</v>
      </c>
      <c r="W697" s="76" t="s">
        <v>79</v>
      </c>
      <c r="X697" s="76"/>
      <c r="Y697" s="76"/>
      <c r="Z697" s="77">
        <f t="shared" si="79"/>
        <v>8.9499999999999993</v>
      </c>
      <c r="AA697" s="78" t="s">
        <v>1651</v>
      </c>
      <c r="AB697" s="78" t="s">
        <v>1741</v>
      </c>
      <c r="AC697" s="72" t="s">
        <v>47</v>
      </c>
      <c r="AE697" s="79" t="str">
        <f t="shared" si="103"/>
        <v>Fev10932</v>
      </c>
      <c r="AF697" s="80">
        <f>IF(N697="","",IF(N697="SIM",VLOOKUP($I697&amp;$J697&amp;N$1,Pesos!$A:$I,7,FALSE),VLOOKUP($I697&amp;$J697&amp;N$1,Pesos!$A:$I,9,FALSE)))</f>
        <v>1</v>
      </c>
      <c r="AG697" s="80">
        <f>IF(O697="","",IF(O697="SIM",VLOOKUP($I697&amp;$J697&amp;O$1,Pesos!$A:$I,7,FALSE),VLOOKUP($I697&amp;$J697&amp;O$1,Pesos!$A:$I,9,FALSE)))</f>
        <v>1</v>
      </c>
      <c r="AH697" s="80">
        <f>IF(P697="","",IF(P697="SIM",VLOOKUP($I697&amp;$J697&amp;P$1,Pesos!$A:$I,7,FALSE),VLOOKUP($I697&amp;$J697&amp;P$1,Pesos!$A:$I,9,FALSE)))</f>
        <v>1</v>
      </c>
      <c r="AI697" s="80">
        <f>IF(Q697="","",IF(Q697="SIM",VLOOKUP($I697&amp;$J697&amp;Q$1,Pesos!$A:$I,7,FALSE),VLOOKUP($I697&amp;$J697&amp;Q$1,Pesos!$A:$I,9,FALSE)))</f>
        <v>-0.05</v>
      </c>
      <c r="AJ697" s="80">
        <f>IF(R697="","",IF(R697="SIM",VLOOKUP($I697&amp;$J697&amp;R$1,Pesos!$A:$I,7,FALSE),VLOOKUP($I697&amp;$J697&amp;R$1,Pesos!$A:$I,9,FALSE)))</f>
        <v>1</v>
      </c>
      <c r="AK697" s="80">
        <f>IF(S697="","",IF(S697="SIM",VLOOKUP($I697&amp;$J697&amp;S$1,Pesos!$A:$I,7,FALSE),VLOOKUP($I697&amp;$J697&amp;S$1,Pesos!$A:$I,9,FALSE)))</f>
        <v>1</v>
      </c>
      <c r="AL697" s="80">
        <f t="shared" si="98"/>
        <v>4.95</v>
      </c>
      <c r="AM697" s="80">
        <f>IF(T697="","",IF(T697="SIM",VLOOKUP($I697&amp;$J697&amp;T$1,Pesos!$A:$I,7,FALSE),VLOOKUP($I697&amp;$J697&amp;T$1,Pesos!$A:$I,9,FALSE)))</f>
        <v>1</v>
      </c>
      <c r="AN697" s="80">
        <f>IF(U697="","",IF(U697="SIM",VLOOKUP($I697&amp;$J697&amp;U$1,Pesos!$A:$I,7,FALSE),VLOOKUP($I697&amp;$J697&amp;U$1,Pesos!$A:$I,9,FALSE)))</f>
        <v>1</v>
      </c>
      <c r="AO697" s="80">
        <f>IF(V697="","",IF(V697="SIM",VLOOKUP($I697&amp;$J697&amp;V$1,Pesos!$A:$I,7,FALSE),VLOOKUP($I697&amp;$J697&amp;V$1,Pesos!$A:$I,9,FALSE)))</f>
        <v>1</v>
      </c>
      <c r="AP697" s="80">
        <f>IF(W697="","",IF(W697="SIM",VLOOKUP($I697&amp;$J697&amp;W$1,Pesos!$A:$I,7,FALSE),VLOOKUP($I697&amp;$J697&amp;W$1,Pesos!$A:$I,9,FALSE)))</f>
        <v>1</v>
      </c>
      <c r="AQ697" s="80" t="str">
        <f>IF(X697="","",IF(X697="SIM",VLOOKUP($I697&amp;$J697&amp;X$1,Pesos!$A:$I,7,FALSE),VLOOKUP($I697&amp;$J697&amp;X$1,Pesos!$A:$I,9,FALSE)))</f>
        <v/>
      </c>
      <c r="AR697" s="80" t="str">
        <f>IF(Y697="","",IF(Y697="SIM",VLOOKUP($I697&amp;$J697&amp;Y$1,Pesos!$A:$I,7,FALSE),VLOOKUP($I697&amp;$J697&amp;Y$1,Pesos!$A:$I,9,FALSE)))</f>
        <v/>
      </c>
      <c r="AS697" s="81">
        <f>IFERROR(Z697*VLOOKUP(J697,'BD Campos'!$Y$1:$Z$12,2,FALSE),"0")</f>
        <v>8.9499999999999993</v>
      </c>
    </row>
    <row r="698" spans="1:45" x14ac:dyDescent="0.35">
      <c r="A698" s="68" t="str">
        <f t="shared" si="100"/>
        <v>Fev202510923MotoristaDISTRIBUIÇÃO</v>
      </c>
      <c r="B698" s="114" t="str">
        <f t="shared" si="101"/>
        <v>Fev2025109231DISTRIBUIÇÃOPADRÃO</v>
      </c>
      <c r="C698" s="70">
        <v>1</v>
      </c>
      <c r="D698" s="71">
        <v>45705.418009374996</v>
      </c>
      <c r="E698" s="112" t="s">
        <v>338</v>
      </c>
      <c r="F698" s="72">
        <v>10923</v>
      </c>
      <c r="G698" s="69" t="s">
        <v>250</v>
      </c>
      <c r="H698" s="73">
        <v>1</v>
      </c>
      <c r="I698" s="69" t="s">
        <v>123</v>
      </c>
      <c r="J698" s="69" t="s">
        <v>122</v>
      </c>
      <c r="K698" s="69" t="s">
        <v>23</v>
      </c>
      <c r="L698" s="74">
        <v>31187861</v>
      </c>
      <c r="M698" s="75">
        <v>1.1689814814814816E-3</v>
      </c>
      <c r="N698" s="76" t="s">
        <v>79</v>
      </c>
      <c r="O698" s="76" t="s">
        <v>79</v>
      </c>
      <c r="P698" s="76" t="s">
        <v>79</v>
      </c>
      <c r="Q698" s="76" t="s">
        <v>79</v>
      </c>
      <c r="R698" s="76" t="s">
        <v>79</v>
      </c>
      <c r="S698" s="76" t="s">
        <v>79</v>
      </c>
      <c r="T698" s="76" t="s">
        <v>79</v>
      </c>
      <c r="U698" s="76" t="s">
        <v>79</v>
      </c>
      <c r="V698" s="76" t="s">
        <v>79</v>
      </c>
      <c r="W698" s="76" t="s">
        <v>79</v>
      </c>
      <c r="X698" s="76"/>
      <c r="Y698" s="76"/>
      <c r="Z698" s="77">
        <f t="shared" si="79"/>
        <v>10</v>
      </c>
      <c r="AA698" s="78"/>
      <c r="AB698" s="78" t="s">
        <v>1742</v>
      </c>
      <c r="AC698" s="72" t="s">
        <v>47</v>
      </c>
      <c r="AE698" s="79" t="str">
        <f t="shared" si="103"/>
        <v>Fev10923</v>
      </c>
      <c r="AF698" s="80">
        <f>IF(N698="","",IF(N698="SIM",VLOOKUP($I698&amp;$J698&amp;N$1,Pesos!$A:$I,7,FALSE),VLOOKUP($I698&amp;$J698&amp;N$1,Pesos!$A:$I,9,FALSE)))</f>
        <v>1</v>
      </c>
      <c r="AG698" s="80">
        <f>IF(O698="","",IF(O698="SIM",VLOOKUP($I698&amp;$J698&amp;O$1,Pesos!$A:$I,7,FALSE),VLOOKUP($I698&amp;$J698&amp;O$1,Pesos!$A:$I,9,FALSE)))</f>
        <v>1</v>
      </c>
      <c r="AH698" s="80">
        <f>IF(P698="","",IF(P698="SIM",VLOOKUP($I698&amp;$J698&amp;P$1,Pesos!$A:$I,7,FALSE),VLOOKUP($I698&amp;$J698&amp;P$1,Pesos!$A:$I,9,FALSE)))</f>
        <v>1</v>
      </c>
      <c r="AI698" s="80">
        <f>IF(Q698="","",IF(Q698="SIM",VLOOKUP($I698&amp;$J698&amp;Q$1,Pesos!$A:$I,7,FALSE),VLOOKUP($I698&amp;$J698&amp;Q$1,Pesos!$A:$I,9,FALSE)))</f>
        <v>1</v>
      </c>
      <c r="AJ698" s="80">
        <f>IF(R698="","",IF(R698="SIM",VLOOKUP($I698&amp;$J698&amp;R$1,Pesos!$A:$I,7,FALSE),VLOOKUP($I698&amp;$J698&amp;R$1,Pesos!$A:$I,9,FALSE)))</f>
        <v>1</v>
      </c>
      <c r="AK698" s="80">
        <f>IF(S698="","",IF(S698="SIM",VLOOKUP($I698&amp;$J698&amp;S$1,Pesos!$A:$I,7,FALSE),VLOOKUP($I698&amp;$J698&amp;S$1,Pesos!$A:$I,9,FALSE)))</f>
        <v>1</v>
      </c>
      <c r="AL698" s="80">
        <f t="shared" si="98"/>
        <v>6</v>
      </c>
      <c r="AM698" s="80">
        <f>IF(T698="","",IF(T698="SIM",VLOOKUP($I698&amp;$J698&amp;T$1,Pesos!$A:$I,7,FALSE),VLOOKUP($I698&amp;$J698&amp;T$1,Pesos!$A:$I,9,FALSE)))</f>
        <v>1</v>
      </c>
      <c r="AN698" s="80">
        <f>IF(U698="","",IF(U698="SIM",VLOOKUP($I698&amp;$J698&amp;U$1,Pesos!$A:$I,7,FALSE),VLOOKUP($I698&amp;$J698&amp;U$1,Pesos!$A:$I,9,FALSE)))</f>
        <v>1</v>
      </c>
      <c r="AO698" s="80">
        <f>IF(V698="","",IF(V698="SIM",VLOOKUP($I698&amp;$J698&amp;V$1,Pesos!$A:$I,7,FALSE),VLOOKUP($I698&amp;$J698&amp;V$1,Pesos!$A:$I,9,FALSE)))</f>
        <v>1</v>
      </c>
      <c r="AP698" s="80">
        <f>IF(W698="","",IF(W698="SIM",VLOOKUP($I698&amp;$J698&amp;W$1,Pesos!$A:$I,7,FALSE),VLOOKUP($I698&amp;$J698&amp;W$1,Pesos!$A:$I,9,FALSE)))</f>
        <v>1</v>
      </c>
      <c r="AQ698" s="80" t="str">
        <f>IF(X698="","",IF(X698="SIM",VLOOKUP($I698&amp;$J698&amp;X$1,Pesos!$A:$I,7,FALSE),VLOOKUP($I698&amp;$J698&amp;X$1,Pesos!$A:$I,9,FALSE)))</f>
        <v/>
      </c>
      <c r="AR698" s="80" t="str">
        <f>IF(Y698="","",IF(Y698="SIM",VLOOKUP($I698&amp;$J698&amp;Y$1,Pesos!$A:$I,7,FALSE),VLOOKUP($I698&amp;$J698&amp;Y$1,Pesos!$A:$I,9,FALSE)))</f>
        <v/>
      </c>
      <c r="AS698" s="81">
        <f>IFERROR(Z698*VLOOKUP(J698,'BD Campos'!$Y$1:$Z$12,2,FALSE),"0")</f>
        <v>10</v>
      </c>
    </row>
    <row r="699" spans="1:45" x14ac:dyDescent="0.35">
      <c r="A699" s="68" t="str">
        <f t="shared" si="100"/>
        <v>Fev202511030MotoristaDISTRIBUIÇÃO</v>
      </c>
      <c r="B699" s="114" t="str">
        <f t="shared" si="101"/>
        <v>Fev2025110301DISTRIBUIÇÃOPADRÃO</v>
      </c>
      <c r="C699" s="70">
        <v>1</v>
      </c>
      <c r="D699" s="71">
        <v>45705.421599884263</v>
      </c>
      <c r="E699" s="112" t="s">
        <v>338</v>
      </c>
      <c r="F699" s="72">
        <v>11030</v>
      </c>
      <c r="G699" s="69" t="s">
        <v>343</v>
      </c>
      <c r="H699" s="73">
        <v>1</v>
      </c>
      <c r="I699" s="69" t="s">
        <v>123</v>
      </c>
      <c r="J699" s="69" t="s">
        <v>122</v>
      </c>
      <c r="K699" s="69" t="s">
        <v>23</v>
      </c>
      <c r="L699" s="74">
        <v>31159203</v>
      </c>
      <c r="M699" s="75">
        <v>1.8634259259259261E-3</v>
      </c>
      <c r="N699" s="76" t="s">
        <v>79</v>
      </c>
      <c r="O699" s="76" t="s">
        <v>79</v>
      </c>
      <c r="P699" s="76" t="s">
        <v>79</v>
      </c>
      <c r="Q699" s="76" t="s">
        <v>79</v>
      </c>
      <c r="R699" s="76" t="s">
        <v>79</v>
      </c>
      <c r="S699" s="76" t="s">
        <v>79</v>
      </c>
      <c r="T699" s="76" t="s">
        <v>79</v>
      </c>
      <c r="U699" s="76" t="s">
        <v>79</v>
      </c>
      <c r="V699" s="76" t="s">
        <v>79</v>
      </c>
      <c r="W699" s="76" t="s">
        <v>79</v>
      </c>
      <c r="X699" s="76"/>
      <c r="Y699" s="76"/>
      <c r="Z699" s="77">
        <f t="shared" si="79"/>
        <v>10</v>
      </c>
      <c r="AA699" s="78"/>
      <c r="AB699" s="78" t="s">
        <v>1743</v>
      </c>
      <c r="AC699" s="72" t="s">
        <v>47</v>
      </c>
      <c r="AE699" s="79" t="str">
        <f t="shared" si="103"/>
        <v>Fev11030</v>
      </c>
      <c r="AF699" s="80">
        <f>IF(N699="","",IF(N699="SIM",VLOOKUP($I699&amp;$J699&amp;N$1,Pesos!$A:$I,7,FALSE),VLOOKUP($I699&amp;$J699&amp;N$1,Pesos!$A:$I,9,FALSE)))</f>
        <v>1</v>
      </c>
      <c r="AG699" s="80">
        <f>IF(O699="","",IF(O699="SIM",VLOOKUP($I699&amp;$J699&amp;O$1,Pesos!$A:$I,7,FALSE),VLOOKUP($I699&amp;$J699&amp;O$1,Pesos!$A:$I,9,FALSE)))</f>
        <v>1</v>
      </c>
      <c r="AH699" s="80">
        <f>IF(P699="","",IF(P699="SIM",VLOOKUP($I699&amp;$J699&amp;P$1,Pesos!$A:$I,7,FALSE),VLOOKUP($I699&amp;$J699&amp;P$1,Pesos!$A:$I,9,FALSE)))</f>
        <v>1</v>
      </c>
      <c r="AI699" s="80">
        <f>IF(Q699="","",IF(Q699="SIM",VLOOKUP($I699&amp;$J699&amp;Q$1,Pesos!$A:$I,7,FALSE),VLOOKUP($I699&amp;$J699&amp;Q$1,Pesos!$A:$I,9,FALSE)))</f>
        <v>1</v>
      </c>
      <c r="AJ699" s="80">
        <f>IF(R699="","",IF(R699="SIM",VLOOKUP($I699&amp;$J699&amp;R$1,Pesos!$A:$I,7,FALSE),VLOOKUP($I699&amp;$J699&amp;R$1,Pesos!$A:$I,9,FALSE)))</f>
        <v>1</v>
      </c>
      <c r="AK699" s="80">
        <f>IF(S699="","",IF(S699="SIM",VLOOKUP($I699&amp;$J699&amp;S$1,Pesos!$A:$I,7,FALSE),VLOOKUP($I699&amp;$J699&amp;S$1,Pesos!$A:$I,9,FALSE)))</f>
        <v>1</v>
      </c>
      <c r="AL699" s="80">
        <f t="shared" si="98"/>
        <v>6</v>
      </c>
      <c r="AM699" s="80">
        <f>IF(T699="","",IF(T699="SIM",VLOOKUP($I699&amp;$J699&amp;T$1,Pesos!$A:$I,7,FALSE),VLOOKUP($I699&amp;$J699&amp;T$1,Pesos!$A:$I,9,FALSE)))</f>
        <v>1</v>
      </c>
      <c r="AN699" s="80">
        <f>IF(U699="","",IF(U699="SIM",VLOOKUP($I699&amp;$J699&amp;U$1,Pesos!$A:$I,7,FALSE),VLOOKUP($I699&amp;$J699&amp;U$1,Pesos!$A:$I,9,FALSE)))</f>
        <v>1</v>
      </c>
      <c r="AO699" s="80">
        <f>IF(V699="","",IF(V699="SIM",VLOOKUP($I699&amp;$J699&amp;V$1,Pesos!$A:$I,7,FALSE),VLOOKUP($I699&amp;$J699&amp;V$1,Pesos!$A:$I,9,FALSE)))</f>
        <v>1</v>
      </c>
      <c r="AP699" s="80">
        <f>IF(W699="","",IF(W699="SIM",VLOOKUP($I699&amp;$J699&amp;W$1,Pesos!$A:$I,7,FALSE),VLOOKUP($I699&amp;$J699&amp;W$1,Pesos!$A:$I,9,FALSE)))</f>
        <v>1</v>
      </c>
      <c r="AQ699" s="80" t="str">
        <f>IF(X699="","",IF(X699="SIM",VLOOKUP($I699&amp;$J699&amp;X$1,Pesos!$A:$I,7,FALSE),VLOOKUP($I699&amp;$J699&amp;X$1,Pesos!$A:$I,9,FALSE)))</f>
        <v/>
      </c>
      <c r="AR699" s="80" t="str">
        <f>IF(Y699="","",IF(Y699="SIM",VLOOKUP($I699&amp;$J699&amp;Y$1,Pesos!$A:$I,7,FALSE),VLOOKUP($I699&amp;$J699&amp;Y$1,Pesos!$A:$I,9,FALSE)))</f>
        <v/>
      </c>
      <c r="AS699" s="81">
        <f>IFERROR(Z699*VLOOKUP(J699,'BD Campos'!$Y$1:$Z$12,2,FALSE),"0")</f>
        <v>10</v>
      </c>
    </row>
    <row r="700" spans="1:45" x14ac:dyDescent="0.35">
      <c r="A700" s="68" t="str">
        <f t="shared" si="100"/>
        <v>Fev202511039MotoristaDISTRIBUIÇÃO</v>
      </c>
      <c r="B700" s="114" t="str">
        <f t="shared" si="101"/>
        <v>Fev2025110391DISTRIBUIÇÃOPADRÃO</v>
      </c>
      <c r="C700" s="70">
        <v>1</v>
      </c>
      <c r="D700" s="71">
        <v>45705.429574074071</v>
      </c>
      <c r="E700" s="112" t="s">
        <v>338</v>
      </c>
      <c r="F700" s="72">
        <v>11039</v>
      </c>
      <c r="G700" s="69" t="s">
        <v>351</v>
      </c>
      <c r="H700" s="73">
        <v>1</v>
      </c>
      <c r="I700" s="69" t="s">
        <v>123</v>
      </c>
      <c r="J700" s="69" t="s">
        <v>122</v>
      </c>
      <c r="K700" s="69" t="s">
        <v>23</v>
      </c>
      <c r="L700" s="74">
        <v>31187797</v>
      </c>
      <c r="M700" s="75">
        <v>7.9861111111111105E-4</v>
      </c>
      <c r="N700" s="76" t="s">
        <v>83</v>
      </c>
      <c r="O700" s="76" t="s">
        <v>79</v>
      </c>
      <c r="P700" s="76" t="s">
        <v>79</v>
      </c>
      <c r="Q700" s="76" t="s">
        <v>79</v>
      </c>
      <c r="R700" s="76" t="s">
        <v>79</v>
      </c>
      <c r="S700" s="76" t="s">
        <v>79</v>
      </c>
      <c r="T700" s="76" t="s">
        <v>79</v>
      </c>
      <c r="U700" s="76" t="s">
        <v>79</v>
      </c>
      <c r="V700" s="76" t="s">
        <v>79</v>
      </c>
      <c r="W700" s="76" t="s">
        <v>79</v>
      </c>
      <c r="X700" s="76"/>
      <c r="Y700" s="76"/>
      <c r="Z700" s="77">
        <f t="shared" si="79"/>
        <v>8.9499999999999993</v>
      </c>
      <c r="AA700" s="78" t="s">
        <v>1662</v>
      </c>
      <c r="AB700" s="78" t="s">
        <v>1744</v>
      </c>
      <c r="AC700" s="72" t="s">
        <v>47</v>
      </c>
      <c r="AE700" s="79" t="str">
        <f t="shared" si="103"/>
        <v>Fev11039</v>
      </c>
      <c r="AF700" s="80">
        <f>IF(N700="","",IF(N700="SIM",VLOOKUP($I700&amp;$J700&amp;N$1,Pesos!$A:$I,7,FALSE),VLOOKUP($I700&amp;$J700&amp;N$1,Pesos!$A:$I,9,FALSE)))</f>
        <v>-0.05</v>
      </c>
      <c r="AG700" s="80">
        <f>IF(O700="","",IF(O700="SIM",VLOOKUP($I700&amp;$J700&amp;O$1,Pesos!$A:$I,7,FALSE),VLOOKUP($I700&amp;$J700&amp;O$1,Pesos!$A:$I,9,FALSE)))</f>
        <v>1</v>
      </c>
      <c r="AH700" s="80">
        <f>IF(P700="","",IF(P700="SIM",VLOOKUP($I700&amp;$J700&amp;P$1,Pesos!$A:$I,7,FALSE),VLOOKUP($I700&amp;$J700&amp;P$1,Pesos!$A:$I,9,FALSE)))</f>
        <v>1</v>
      </c>
      <c r="AI700" s="80">
        <f>IF(Q700="","",IF(Q700="SIM",VLOOKUP($I700&amp;$J700&amp;Q$1,Pesos!$A:$I,7,FALSE),VLOOKUP($I700&amp;$J700&amp;Q$1,Pesos!$A:$I,9,FALSE)))</f>
        <v>1</v>
      </c>
      <c r="AJ700" s="80">
        <f>IF(R700="","",IF(R700="SIM",VLOOKUP($I700&amp;$J700&amp;R$1,Pesos!$A:$I,7,FALSE),VLOOKUP($I700&amp;$J700&amp;R$1,Pesos!$A:$I,9,FALSE)))</f>
        <v>1</v>
      </c>
      <c r="AK700" s="80">
        <f>IF(S700="","",IF(S700="SIM",VLOOKUP($I700&amp;$J700&amp;S$1,Pesos!$A:$I,7,FALSE),VLOOKUP($I700&amp;$J700&amp;S$1,Pesos!$A:$I,9,FALSE)))</f>
        <v>1</v>
      </c>
      <c r="AL700" s="80">
        <f t="shared" si="98"/>
        <v>4.95</v>
      </c>
      <c r="AM700" s="80">
        <f>IF(T700="","",IF(T700="SIM",VLOOKUP($I700&amp;$J700&amp;T$1,Pesos!$A:$I,7,FALSE),VLOOKUP($I700&amp;$J700&amp;T$1,Pesos!$A:$I,9,FALSE)))</f>
        <v>1</v>
      </c>
      <c r="AN700" s="80">
        <f>IF(U700="","",IF(U700="SIM",VLOOKUP($I700&amp;$J700&amp;U$1,Pesos!$A:$I,7,FALSE),VLOOKUP($I700&amp;$J700&amp;U$1,Pesos!$A:$I,9,FALSE)))</f>
        <v>1</v>
      </c>
      <c r="AO700" s="80">
        <f>IF(V700="","",IF(V700="SIM",VLOOKUP($I700&amp;$J700&amp;V$1,Pesos!$A:$I,7,FALSE),VLOOKUP($I700&amp;$J700&amp;V$1,Pesos!$A:$I,9,FALSE)))</f>
        <v>1</v>
      </c>
      <c r="AP700" s="80">
        <f>IF(W700="","",IF(W700="SIM",VLOOKUP($I700&amp;$J700&amp;W$1,Pesos!$A:$I,7,FALSE),VLOOKUP($I700&amp;$J700&amp;W$1,Pesos!$A:$I,9,FALSE)))</f>
        <v>1</v>
      </c>
      <c r="AQ700" s="80" t="str">
        <f>IF(X700="","",IF(X700="SIM",VLOOKUP($I700&amp;$J700&amp;X$1,Pesos!$A:$I,7,FALSE),VLOOKUP($I700&amp;$J700&amp;X$1,Pesos!$A:$I,9,FALSE)))</f>
        <v/>
      </c>
      <c r="AR700" s="80" t="str">
        <f>IF(Y700="","",IF(Y700="SIM",VLOOKUP($I700&amp;$J700&amp;Y$1,Pesos!$A:$I,7,FALSE),VLOOKUP($I700&amp;$J700&amp;Y$1,Pesos!$A:$I,9,FALSE)))</f>
        <v/>
      </c>
      <c r="AS700" s="81">
        <f>IFERROR(Z700*VLOOKUP(J700,'BD Campos'!$Y$1:$Z$12,2,FALSE),"0")</f>
        <v>8.9499999999999993</v>
      </c>
    </row>
    <row r="701" spans="1:45" x14ac:dyDescent="0.35">
      <c r="A701" s="68" t="str">
        <f t="shared" si="100"/>
        <v>Fev202510941MotoristaDISTRIBUIÇÃO</v>
      </c>
      <c r="B701" s="114" t="str">
        <f t="shared" si="101"/>
        <v>Fev2025109411DISTRIBUIÇÃOPADRÃO</v>
      </c>
      <c r="C701" s="70">
        <v>1</v>
      </c>
      <c r="D701" s="71">
        <v>45705.431861574078</v>
      </c>
      <c r="E701" s="112" t="s">
        <v>338</v>
      </c>
      <c r="F701" s="72">
        <v>10941</v>
      </c>
      <c r="G701" s="69" t="s">
        <v>102</v>
      </c>
      <c r="H701" s="73">
        <v>1</v>
      </c>
      <c r="I701" s="69" t="s">
        <v>147</v>
      </c>
      <c r="J701" s="69" t="s">
        <v>122</v>
      </c>
      <c r="K701" s="69" t="s">
        <v>23</v>
      </c>
      <c r="L701" s="74">
        <v>31143251</v>
      </c>
      <c r="M701" s="75">
        <v>1.1689814814814816E-3</v>
      </c>
      <c r="N701" s="76"/>
      <c r="O701" s="76"/>
      <c r="P701" s="76"/>
      <c r="Q701" s="76"/>
      <c r="R701" s="76"/>
      <c r="S701" s="76"/>
      <c r="T701" s="76"/>
      <c r="U701" s="76"/>
      <c r="V701" s="76"/>
      <c r="W701" s="76"/>
      <c r="X701" s="76"/>
      <c r="Y701" s="76"/>
      <c r="Z701" s="77">
        <f t="shared" si="79"/>
        <v>0</v>
      </c>
      <c r="AA701" s="78" t="s">
        <v>1620</v>
      </c>
      <c r="AB701" s="78" t="s">
        <v>1745</v>
      </c>
      <c r="AC701" s="72" t="s">
        <v>47</v>
      </c>
      <c r="AE701" s="79" t="str">
        <f t="shared" si="103"/>
        <v>Fev10941</v>
      </c>
      <c r="AF701" s="80" t="str">
        <f>IF(N701="","",IF(N701="SIM",VLOOKUP($I701&amp;$J701&amp;N$1,Pesos!$A:$I,7,FALSE),VLOOKUP($I701&amp;$J701&amp;N$1,Pesos!$A:$I,9,FALSE)))</f>
        <v/>
      </c>
      <c r="AG701" s="80" t="str">
        <f>IF(O701="","",IF(O701="SIM",VLOOKUP($I701&amp;$J701&amp;O$1,Pesos!$A:$I,7,FALSE),VLOOKUP($I701&amp;$J701&amp;O$1,Pesos!$A:$I,9,FALSE)))</f>
        <v/>
      </c>
      <c r="AH701" s="80" t="str">
        <f>IF(P701="","",IF(P701="SIM",VLOOKUP($I701&amp;$J701&amp;P$1,Pesos!$A:$I,7,FALSE),VLOOKUP($I701&amp;$J701&amp;P$1,Pesos!$A:$I,9,FALSE)))</f>
        <v/>
      </c>
      <c r="AI701" s="80" t="str">
        <f>IF(Q701="","",IF(Q701="SIM",VLOOKUP($I701&amp;$J701&amp;Q$1,Pesos!$A:$I,7,FALSE),VLOOKUP($I701&amp;$J701&amp;Q$1,Pesos!$A:$I,9,FALSE)))</f>
        <v/>
      </c>
      <c r="AJ701" s="80" t="str">
        <f>IF(R701="","",IF(R701="SIM",VLOOKUP($I701&amp;$J701&amp;R$1,Pesos!$A:$I,7,FALSE),VLOOKUP($I701&amp;$J701&amp;R$1,Pesos!$A:$I,9,FALSE)))</f>
        <v/>
      </c>
      <c r="AK701" s="80" t="str">
        <f>IF(S701="","",IF(S701="SIM",VLOOKUP($I701&amp;$J701&amp;S$1,Pesos!$A:$I,7,FALSE),VLOOKUP($I701&amp;$J701&amp;S$1,Pesos!$A:$I,9,FALSE)))</f>
        <v/>
      </c>
      <c r="AL701" s="80">
        <f t="shared" si="98"/>
        <v>0</v>
      </c>
      <c r="AM701" s="80" t="str">
        <f>IF(T701="","",IF(T701="SIM",VLOOKUP($I701&amp;$J701&amp;T$1,Pesos!$A:$I,7,FALSE),VLOOKUP($I701&amp;$J701&amp;T$1,Pesos!$A:$I,9,FALSE)))</f>
        <v/>
      </c>
      <c r="AN701" s="80" t="str">
        <f>IF(U701="","",IF(U701="SIM",VLOOKUP($I701&amp;$J701&amp;U$1,Pesos!$A:$I,7,FALSE),VLOOKUP($I701&amp;$J701&amp;U$1,Pesos!$A:$I,9,FALSE)))</f>
        <v/>
      </c>
      <c r="AO701" s="80" t="str">
        <f>IF(V701="","",IF(V701="SIM",VLOOKUP($I701&amp;$J701&amp;V$1,Pesos!$A:$I,7,FALSE),VLOOKUP($I701&amp;$J701&amp;V$1,Pesos!$A:$I,9,FALSE)))</f>
        <v/>
      </c>
      <c r="AP701" s="80" t="str">
        <f>IF(W701="","",IF(W701="SIM",VLOOKUP($I701&amp;$J701&amp;W$1,Pesos!$A:$I,7,FALSE),VLOOKUP($I701&amp;$J701&amp;W$1,Pesos!$A:$I,9,FALSE)))</f>
        <v/>
      </c>
      <c r="AQ701" s="80" t="str">
        <f>IF(X701="","",IF(X701="SIM",VLOOKUP($I701&amp;$J701&amp;X$1,Pesos!$A:$I,7,FALSE),VLOOKUP($I701&amp;$J701&amp;X$1,Pesos!$A:$I,9,FALSE)))</f>
        <v/>
      </c>
      <c r="AR701" s="80" t="str">
        <f>IF(Y701="","",IF(Y701="SIM",VLOOKUP($I701&amp;$J701&amp;Y$1,Pesos!$A:$I,7,FALSE),VLOOKUP($I701&amp;$J701&amp;Y$1,Pesos!$A:$I,9,FALSE)))</f>
        <v/>
      </c>
      <c r="AS701" s="81">
        <f>IFERROR(Z701*VLOOKUP(J701,'BD Campos'!$Y$1:$Z$12,2,FALSE),"0")</f>
        <v>0</v>
      </c>
    </row>
    <row r="702" spans="1:45" x14ac:dyDescent="0.35">
      <c r="A702" s="68" t="str">
        <f t="shared" si="100"/>
        <v>Fev202511091MotoristaDISTRIBUIÇÃO</v>
      </c>
      <c r="B702" s="114" t="str">
        <f t="shared" si="101"/>
        <v>Fev2025110911DISTRIBUIÇÃOPADRÃO</v>
      </c>
      <c r="C702" s="70">
        <v>1</v>
      </c>
      <c r="D702" s="71">
        <v>45705.437009027781</v>
      </c>
      <c r="E702" s="112" t="s">
        <v>338</v>
      </c>
      <c r="F702" s="72">
        <v>11091</v>
      </c>
      <c r="G702" s="69" t="s">
        <v>423</v>
      </c>
      <c r="H702" s="73">
        <v>1</v>
      </c>
      <c r="I702" s="69" t="s">
        <v>123</v>
      </c>
      <c r="J702" s="69" t="s">
        <v>122</v>
      </c>
      <c r="K702" s="69" t="s">
        <v>23</v>
      </c>
      <c r="L702" s="74">
        <v>31129644</v>
      </c>
      <c r="M702" s="75">
        <v>8.449074074074075E-4</v>
      </c>
      <c r="N702" s="76" t="s">
        <v>79</v>
      </c>
      <c r="O702" s="76" t="s">
        <v>79</v>
      </c>
      <c r="P702" s="76" t="s">
        <v>79</v>
      </c>
      <c r="Q702" s="76" t="s">
        <v>79</v>
      </c>
      <c r="R702" s="76" t="s">
        <v>79</v>
      </c>
      <c r="S702" s="76" t="s">
        <v>79</v>
      </c>
      <c r="T702" s="76" t="s">
        <v>79</v>
      </c>
      <c r="U702" s="76" t="s">
        <v>79</v>
      </c>
      <c r="V702" s="76" t="s">
        <v>79</v>
      </c>
      <c r="W702" s="76" t="s">
        <v>79</v>
      </c>
      <c r="X702" s="76"/>
      <c r="Y702" s="76"/>
      <c r="Z702" s="77">
        <f t="shared" si="79"/>
        <v>10</v>
      </c>
      <c r="AA702" s="78"/>
      <c r="AB702" s="78" t="s">
        <v>1746</v>
      </c>
      <c r="AC702" s="72" t="s">
        <v>47</v>
      </c>
      <c r="AE702" s="79" t="str">
        <f t="shared" si="103"/>
        <v>Fev11091</v>
      </c>
      <c r="AF702" s="80">
        <f>IF(N702="","",IF(N702="SIM",VLOOKUP($I702&amp;$J702&amp;N$1,Pesos!$A:$I,7,FALSE),VLOOKUP($I702&amp;$J702&amp;N$1,Pesos!$A:$I,9,FALSE)))</f>
        <v>1</v>
      </c>
      <c r="AG702" s="80">
        <f>IF(O702="","",IF(O702="SIM",VLOOKUP($I702&amp;$J702&amp;O$1,Pesos!$A:$I,7,FALSE),VLOOKUP($I702&amp;$J702&amp;O$1,Pesos!$A:$I,9,FALSE)))</f>
        <v>1</v>
      </c>
      <c r="AH702" s="80">
        <f>IF(P702="","",IF(P702="SIM",VLOOKUP($I702&amp;$J702&amp;P$1,Pesos!$A:$I,7,FALSE),VLOOKUP($I702&amp;$J702&amp;P$1,Pesos!$A:$I,9,FALSE)))</f>
        <v>1</v>
      </c>
      <c r="AI702" s="80">
        <f>IF(Q702="","",IF(Q702="SIM",VLOOKUP($I702&amp;$J702&amp;Q$1,Pesos!$A:$I,7,FALSE),VLOOKUP($I702&amp;$J702&amp;Q$1,Pesos!$A:$I,9,FALSE)))</f>
        <v>1</v>
      </c>
      <c r="AJ702" s="80">
        <f>IF(R702="","",IF(R702="SIM",VLOOKUP($I702&amp;$J702&amp;R$1,Pesos!$A:$I,7,FALSE),VLOOKUP($I702&amp;$J702&amp;R$1,Pesos!$A:$I,9,FALSE)))</f>
        <v>1</v>
      </c>
      <c r="AK702" s="80">
        <f>IF(S702="","",IF(S702="SIM",VLOOKUP($I702&amp;$J702&amp;S$1,Pesos!$A:$I,7,FALSE),VLOOKUP($I702&amp;$J702&amp;S$1,Pesos!$A:$I,9,FALSE)))</f>
        <v>1</v>
      </c>
      <c r="AL702" s="80">
        <f t="shared" si="98"/>
        <v>6</v>
      </c>
      <c r="AM702" s="80">
        <f>IF(T702="","",IF(T702="SIM",VLOOKUP($I702&amp;$J702&amp;T$1,Pesos!$A:$I,7,FALSE),VLOOKUP($I702&amp;$J702&amp;T$1,Pesos!$A:$I,9,FALSE)))</f>
        <v>1</v>
      </c>
      <c r="AN702" s="80">
        <f>IF(U702="","",IF(U702="SIM",VLOOKUP($I702&amp;$J702&amp;U$1,Pesos!$A:$I,7,FALSE),VLOOKUP($I702&amp;$J702&amp;U$1,Pesos!$A:$I,9,FALSE)))</f>
        <v>1</v>
      </c>
      <c r="AO702" s="80">
        <f>IF(V702="","",IF(V702="SIM",VLOOKUP($I702&amp;$J702&amp;V$1,Pesos!$A:$I,7,FALSE),VLOOKUP($I702&amp;$J702&amp;V$1,Pesos!$A:$I,9,FALSE)))</f>
        <v>1</v>
      </c>
      <c r="AP702" s="80">
        <f>IF(W702="","",IF(W702="SIM",VLOOKUP($I702&amp;$J702&amp;W$1,Pesos!$A:$I,7,FALSE),VLOOKUP($I702&amp;$J702&amp;W$1,Pesos!$A:$I,9,FALSE)))</f>
        <v>1</v>
      </c>
      <c r="AQ702" s="80" t="str">
        <f>IF(X702="","",IF(X702="SIM",VLOOKUP($I702&amp;$J702&amp;X$1,Pesos!$A:$I,7,FALSE),VLOOKUP($I702&amp;$J702&amp;X$1,Pesos!$A:$I,9,FALSE)))</f>
        <v/>
      </c>
      <c r="AR702" s="80" t="str">
        <f>IF(Y702="","",IF(Y702="SIM",VLOOKUP($I702&amp;$J702&amp;Y$1,Pesos!$A:$I,7,FALSE),VLOOKUP($I702&amp;$J702&amp;Y$1,Pesos!$A:$I,9,FALSE)))</f>
        <v/>
      </c>
      <c r="AS702" s="81">
        <f>IFERROR(Z702*VLOOKUP(J702,'BD Campos'!$Y$1:$Z$12,2,FALSE),"0")</f>
        <v>10</v>
      </c>
    </row>
    <row r="703" spans="1:45" x14ac:dyDescent="0.35">
      <c r="A703" s="68" t="str">
        <f t="shared" si="100"/>
        <v>Fev202511112MotoristaDISTRIBUIÇÃO</v>
      </c>
      <c r="B703" s="114" t="str">
        <f t="shared" si="101"/>
        <v>Fev2025111121DISTRIBUIÇÃOPADRÃO</v>
      </c>
      <c r="C703" s="70">
        <v>1</v>
      </c>
      <c r="D703" s="71">
        <v>45705.440480787038</v>
      </c>
      <c r="E703" s="112" t="s">
        <v>338</v>
      </c>
      <c r="F703" s="72">
        <v>11112</v>
      </c>
      <c r="G703" s="69" t="s">
        <v>1367</v>
      </c>
      <c r="H703" s="73">
        <v>1</v>
      </c>
      <c r="I703" s="69" t="s">
        <v>123</v>
      </c>
      <c r="J703" s="69" t="s">
        <v>122</v>
      </c>
      <c r="K703" s="69" t="s">
        <v>23</v>
      </c>
      <c r="L703" s="74">
        <v>31158689</v>
      </c>
      <c r="M703" s="75">
        <v>7.5231481481481471E-4</v>
      </c>
      <c r="N703" s="76" t="s">
        <v>79</v>
      </c>
      <c r="O703" s="76" t="s">
        <v>79</v>
      </c>
      <c r="P703" s="76" t="s">
        <v>79</v>
      </c>
      <c r="Q703" s="76" t="s">
        <v>79</v>
      </c>
      <c r="R703" s="76" t="s">
        <v>79</v>
      </c>
      <c r="S703" s="76" t="s">
        <v>79</v>
      </c>
      <c r="T703" s="76" t="s">
        <v>79</v>
      </c>
      <c r="U703" s="76" t="s">
        <v>83</v>
      </c>
      <c r="V703" s="76" t="s">
        <v>79</v>
      </c>
      <c r="W703" s="76" t="s">
        <v>79</v>
      </c>
      <c r="X703" s="76"/>
      <c r="Y703" s="76"/>
      <c r="Z703" s="77">
        <f t="shared" si="79"/>
        <v>8.9499999999999993</v>
      </c>
      <c r="AA703" s="78"/>
      <c r="AB703" s="78" t="s">
        <v>1747</v>
      </c>
      <c r="AC703" s="72" t="s">
        <v>47</v>
      </c>
      <c r="AE703" s="79" t="str">
        <f t="shared" si="103"/>
        <v>Fev11112</v>
      </c>
      <c r="AF703" s="80">
        <f>IF(N703="","",IF(N703="SIM",VLOOKUP($I703&amp;$J703&amp;N$1,Pesos!$A:$I,7,FALSE),VLOOKUP($I703&amp;$J703&amp;N$1,Pesos!$A:$I,9,FALSE)))</f>
        <v>1</v>
      </c>
      <c r="AG703" s="80">
        <f>IF(O703="","",IF(O703="SIM",VLOOKUP($I703&amp;$J703&amp;O$1,Pesos!$A:$I,7,FALSE),VLOOKUP($I703&amp;$J703&amp;O$1,Pesos!$A:$I,9,FALSE)))</f>
        <v>1</v>
      </c>
      <c r="AH703" s="80">
        <f>IF(P703="","",IF(P703="SIM",VLOOKUP($I703&amp;$J703&amp;P$1,Pesos!$A:$I,7,FALSE),VLOOKUP($I703&amp;$J703&amp;P$1,Pesos!$A:$I,9,FALSE)))</f>
        <v>1</v>
      </c>
      <c r="AI703" s="80">
        <f>IF(Q703="","",IF(Q703="SIM",VLOOKUP($I703&amp;$J703&amp;Q$1,Pesos!$A:$I,7,FALSE),VLOOKUP($I703&amp;$J703&amp;Q$1,Pesos!$A:$I,9,FALSE)))</f>
        <v>1</v>
      </c>
      <c r="AJ703" s="80">
        <f>IF(R703="","",IF(R703="SIM",VLOOKUP($I703&amp;$J703&amp;R$1,Pesos!$A:$I,7,FALSE),VLOOKUP($I703&amp;$J703&amp;R$1,Pesos!$A:$I,9,FALSE)))</f>
        <v>1</v>
      </c>
      <c r="AK703" s="80">
        <f>IF(S703="","",IF(S703="SIM",VLOOKUP($I703&amp;$J703&amp;S$1,Pesos!$A:$I,7,FALSE),VLOOKUP($I703&amp;$J703&amp;S$1,Pesos!$A:$I,9,FALSE)))</f>
        <v>1</v>
      </c>
      <c r="AL703" s="80">
        <f t="shared" si="98"/>
        <v>6</v>
      </c>
      <c r="AM703" s="80">
        <f>IF(T703="","",IF(T703="SIM",VLOOKUP($I703&amp;$J703&amp;T$1,Pesos!$A:$I,7,FALSE),VLOOKUP($I703&amp;$J703&amp;T$1,Pesos!$A:$I,9,FALSE)))</f>
        <v>1</v>
      </c>
      <c r="AN703" s="80">
        <f>IF(U703="","",IF(U703="SIM",VLOOKUP($I703&amp;$J703&amp;U$1,Pesos!$A:$I,7,FALSE),VLOOKUP($I703&amp;$J703&amp;U$1,Pesos!$A:$I,9,FALSE)))</f>
        <v>-0.05</v>
      </c>
      <c r="AO703" s="80">
        <f>IF(V703="","",IF(V703="SIM",VLOOKUP($I703&amp;$J703&amp;V$1,Pesos!$A:$I,7,FALSE),VLOOKUP($I703&amp;$J703&amp;V$1,Pesos!$A:$I,9,FALSE)))</f>
        <v>1</v>
      </c>
      <c r="AP703" s="80">
        <f>IF(W703="","",IF(W703="SIM",VLOOKUP($I703&amp;$J703&amp;W$1,Pesos!$A:$I,7,FALSE),VLOOKUP($I703&amp;$J703&amp;W$1,Pesos!$A:$I,9,FALSE)))</f>
        <v>1</v>
      </c>
      <c r="AQ703" s="80" t="str">
        <f>IF(X703="","",IF(X703="SIM",VLOOKUP($I703&amp;$J703&amp;X$1,Pesos!$A:$I,7,FALSE),VLOOKUP($I703&amp;$J703&amp;X$1,Pesos!$A:$I,9,FALSE)))</f>
        <v/>
      </c>
      <c r="AR703" s="80" t="str">
        <f>IF(Y703="","",IF(Y703="SIM",VLOOKUP($I703&amp;$J703&amp;Y$1,Pesos!$A:$I,7,FALSE),VLOOKUP($I703&amp;$J703&amp;Y$1,Pesos!$A:$I,9,FALSE)))</f>
        <v/>
      </c>
      <c r="AS703" s="81">
        <f>IFERROR(Z703*VLOOKUP(J703,'BD Campos'!$Y$1:$Z$12,2,FALSE),"0")</f>
        <v>8.9499999999999993</v>
      </c>
    </row>
    <row r="704" spans="1:45" x14ac:dyDescent="0.35">
      <c r="A704" s="68" t="str">
        <f t="shared" si="100"/>
        <v>Fev202511188MotoristaDISTRIBUIÇÃO</v>
      </c>
      <c r="B704" s="114" t="str">
        <f t="shared" si="101"/>
        <v>Fev2025111881DISTRIBUIÇÃOPADRÃO</v>
      </c>
      <c r="C704" s="70">
        <v>1</v>
      </c>
      <c r="D704" s="71">
        <v>45705.443070717592</v>
      </c>
      <c r="E704" s="112" t="s">
        <v>338</v>
      </c>
      <c r="F704" s="72">
        <v>11188</v>
      </c>
      <c r="G704" s="69" t="s">
        <v>1377</v>
      </c>
      <c r="H704" s="73">
        <v>1</v>
      </c>
      <c r="I704" s="69" t="s">
        <v>123</v>
      </c>
      <c r="J704" s="69" t="s">
        <v>122</v>
      </c>
      <c r="K704" s="69" t="s">
        <v>23</v>
      </c>
      <c r="L704" s="74">
        <v>31173919</v>
      </c>
      <c r="M704" s="75">
        <v>7.8703703703703705E-4</v>
      </c>
      <c r="N704" s="76" t="s">
        <v>79</v>
      </c>
      <c r="O704" s="76" t="s">
        <v>79</v>
      </c>
      <c r="P704" s="76" t="s">
        <v>79</v>
      </c>
      <c r="Q704" s="76" t="s">
        <v>79</v>
      </c>
      <c r="R704" s="76" t="s">
        <v>79</v>
      </c>
      <c r="S704" s="76" t="s">
        <v>79</v>
      </c>
      <c r="T704" s="76" t="s">
        <v>79</v>
      </c>
      <c r="U704" s="76" t="s">
        <v>79</v>
      </c>
      <c r="V704" s="76" t="s">
        <v>83</v>
      </c>
      <c r="W704" s="76" t="s">
        <v>79</v>
      </c>
      <c r="X704" s="76"/>
      <c r="Y704" s="76"/>
      <c r="Z704" s="77">
        <f t="shared" si="79"/>
        <v>8.9499999999999993</v>
      </c>
      <c r="AA704" s="78"/>
      <c r="AB704" s="78" t="s">
        <v>1748</v>
      </c>
      <c r="AC704" s="72" t="s">
        <v>47</v>
      </c>
      <c r="AE704" s="79" t="str">
        <f t="shared" si="103"/>
        <v>Fev11188</v>
      </c>
      <c r="AF704" s="80">
        <f>IF(N704="","",IF(N704="SIM",VLOOKUP($I704&amp;$J704&amp;N$1,Pesos!$A:$I,7,FALSE),VLOOKUP($I704&amp;$J704&amp;N$1,Pesos!$A:$I,9,FALSE)))</f>
        <v>1</v>
      </c>
      <c r="AG704" s="80">
        <f>IF(O704="","",IF(O704="SIM",VLOOKUP($I704&amp;$J704&amp;O$1,Pesos!$A:$I,7,FALSE),VLOOKUP($I704&amp;$J704&amp;O$1,Pesos!$A:$I,9,FALSE)))</f>
        <v>1</v>
      </c>
      <c r="AH704" s="80">
        <f>IF(P704="","",IF(P704="SIM",VLOOKUP($I704&amp;$J704&amp;P$1,Pesos!$A:$I,7,FALSE),VLOOKUP($I704&amp;$J704&amp;P$1,Pesos!$A:$I,9,FALSE)))</f>
        <v>1</v>
      </c>
      <c r="AI704" s="80">
        <f>IF(Q704="","",IF(Q704="SIM",VLOOKUP($I704&amp;$J704&amp;Q$1,Pesos!$A:$I,7,FALSE),VLOOKUP($I704&amp;$J704&amp;Q$1,Pesos!$A:$I,9,FALSE)))</f>
        <v>1</v>
      </c>
      <c r="AJ704" s="80">
        <f>IF(R704="","",IF(R704="SIM",VLOOKUP($I704&amp;$J704&amp;R$1,Pesos!$A:$I,7,FALSE),VLOOKUP($I704&amp;$J704&amp;R$1,Pesos!$A:$I,9,FALSE)))</f>
        <v>1</v>
      </c>
      <c r="AK704" s="80">
        <f>IF(S704="","",IF(S704="SIM",VLOOKUP($I704&amp;$J704&amp;S$1,Pesos!$A:$I,7,FALSE),VLOOKUP($I704&amp;$J704&amp;S$1,Pesos!$A:$I,9,FALSE)))</f>
        <v>1</v>
      </c>
      <c r="AL704" s="80">
        <f t="shared" si="98"/>
        <v>6</v>
      </c>
      <c r="AM704" s="80">
        <f>IF(T704="","",IF(T704="SIM",VLOOKUP($I704&amp;$J704&amp;T$1,Pesos!$A:$I,7,FALSE),VLOOKUP($I704&amp;$J704&amp;T$1,Pesos!$A:$I,9,FALSE)))</f>
        <v>1</v>
      </c>
      <c r="AN704" s="80">
        <f>IF(U704="","",IF(U704="SIM",VLOOKUP($I704&amp;$J704&amp;U$1,Pesos!$A:$I,7,FALSE),VLOOKUP($I704&amp;$J704&amp;U$1,Pesos!$A:$I,9,FALSE)))</f>
        <v>1</v>
      </c>
      <c r="AO704" s="80">
        <f>IF(V704="","",IF(V704="SIM",VLOOKUP($I704&amp;$J704&amp;V$1,Pesos!$A:$I,7,FALSE),VLOOKUP($I704&amp;$J704&amp;V$1,Pesos!$A:$I,9,FALSE)))</f>
        <v>-0.05</v>
      </c>
      <c r="AP704" s="80">
        <f>IF(W704="","",IF(W704="SIM",VLOOKUP($I704&amp;$J704&amp;W$1,Pesos!$A:$I,7,FALSE),VLOOKUP($I704&amp;$J704&amp;W$1,Pesos!$A:$I,9,FALSE)))</f>
        <v>1</v>
      </c>
      <c r="AQ704" s="80" t="str">
        <f>IF(X704="","",IF(X704="SIM",VLOOKUP($I704&amp;$J704&amp;X$1,Pesos!$A:$I,7,FALSE),VLOOKUP($I704&amp;$J704&amp;X$1,Pesos!$A:$I,9,FALSE)))</f>
        <v/>
      </c>
      <c r="AR704" s="80" t="str">
        <f>IF(Y704="","",IF(Y704="SIM",VLOOKUP($I704&amp;$J704&amp;Y$1,Pesos!$A:$I,7,FALSE),VLOOKUP($I704&amp;$J704&amp;Y$1,Pesos!$A:$I,9,FALSE)))</f>
        <v/>
      </c>
      <c r="AS704" s="81">
        <f>IFERROR(Z704*VLOOKUP(J704,'BD Campos'!$Y$1:$Z$12,2,FALSE),"0")</f>
        <v>8.9499999999999993</v>
      </c>
    </row>
    <row r="705" spans="1:45" x14ac:dyDescent="0.35">
      <c r="A705" s="68" t="str">
        <f t="shared" si="100"/>
        <v>Fev202511203MotoristaDISTRIBUIÇÃO</v>
      </c>
      <c r="B705" s="114" t="str">
        <f t="shared" si="101"/>
        <v>Fev2025112031DISTRIBUIÇÃOPADRÃO</v>
      </c>
      <c r="C705" s="70">
        <v>1</v>
      </c>
      <c r="D705" s="71">
        <v>45705.460497222222</v>
      </c>
      <c r="E705" s="112" t="s">
        <v>338</v>
      </c>
      <c r="F705" s="72">
        <v>11203</v>
      </c>
      <c r="G705" s="69" t="s">
        <v>1379</v>
      </c>
      <c r="H705" s="73">
        <v>1</v>
      </c>
      <c r="I705" s="69" t="s">
        <v>121</v>
      </c>
      <c r="J705" s="69" t="s">
        <v>122</v>
      </c>
      <c r="K705" s="69" t="s">
        <v>23</v>
      </c>
      <c r="L705" s="74">
        <v>31106039</v>
      </c>
      <c r="M705" s="75">
        <v>1.3310185185185185E-3</v>
      </c>
      <c r="N705" s="76" t="s">
        <v>79</v>
      </c>
      <c r="O705" s="76" t="s">
        <v>79</v>
      </c>
      <c r="P705" s="76" t="s">
        <v>79</v>
      </c>
      <c r="Q705" s="76" t="s">
        <v>79</v>
      </c>
      <c r="R705" s="76" t="s">
        <v>79</v>
      </c>
      <c r="S705" s="76" t="s">
        <v>83</v>
      </c>
      <c r="T705" s="76" t="s">
        <v>79</v>
      </c>
      <c r="U705" s="76" t="s">
        <v>79</v>
      </c>
      <c r="V705" s="76" t="s">
        <v>79</v>
      </c>
      <c r="W705" s="76" t="s">
        <v>83</v>
      </c>
      <c r="X705" s="76" t="s">
        <v>83</v>
      </c>
      <c r="Y705" s="76"/>
      <c r="Z705" s="77">
        <f t="shared" si="79"/>
        <v>7.1124999999999998</v>
      </c>
      <c r="AA705" s="78"/>
      <c r="AB705" s="78" t="s">
        <v>1749</v>
      </c>
      <c r="AC705" s="72" t="s">
        <v>47</v>
      </c>
      <c r="AE705" s="79" t="str">
        <f t="shared" si="103"/>
        <v>Fev11203</v>
      </c>
      <c r="AF705" s="80">
        <f>IF(N705="","",IF(N705="SIM",VLOOKUP($I705&amp;$J705&amp;N$1,Pesos!$A:$I,7,FALSE),VLOOKUP($I705&amp;$J705&amp;N$1,Pesos!$A:$I,9,FALSE)))</f>
        <v>0.89999999999999991</v>
      </c>
      <c r="AG705" s="80">
        <f>IF(O705="","",IF(O705="SIM",VLOOKUP($I705&amp;$J705&amp;O$1,Pesos!$A:$I,7,FALSE),VLOOKUP($I705&amp;$J705&amp;O$1,Pesos!$A:$I,9,FALSE)))</f>
        <v>0.89999999999999991</v>
      </c>
      <c r="AH705" s="80">
        <f>IF(P705="","",IF(P705="SIM",VLOOKUP($I705&amp;$J705&amp;P$1,Pesos!$A:$I,7,FALSE),VLOOKUP($I705&amp;$J705&amp;P$1,Pesos!$A:$I,9,FALSE)))</f>
        <v>0.89999999999999991</v>
      </c>
      <c r="AI705" s="80">
        <f>IF(Q705="","",IF(Q705="SIM",VLOOKUP($I705&amp;$J705&amp;Q$1,Pesos!$A:$I,7,FALSE),VLOOKUP($I705&amp;$J705&amp;Q$1,Pesos!$A:$I,9,FALSE)))</f>
        <v>0.89999999999999991</v>
      </c>
      <c r="AJ705" s="80">
        <f>IF(R705="","",IF(R705="SIM",VLOOKUP($I705&amp;$J705&amp;R$1,Pesos!$A:$I,7,FALSE),VLOOKUP($I705&amp;$J705&amp;R$1,Pesos!$A:$I,9,FALSE)))</f>
        <v>0.89999999999999991</v>
      </c>
      <c r="AK705" s="80">
        <f>IF(S705="","",IF(S705="SIM",VLOOKUP($I705&amp;$J705&amp;S$1,Pesos!$A:$I,7,FALSE),VLOOKUP($I705&amp;$J705&amp;S$1,Pesos!$A:$I,9,FALSE)))</f>
        <v>-4.4999999999999998E-2</v>
      </c>
      <c r="AL705" s="80">
        <f t="shared" si="98"/>
        <v>4.4550000000000001</v>
      </c>
      <c r="AM705" s="80">
        <f>IF(T705="","",IF(T705="SIM",VLOOKUP($I705&amp;$J705&amp;T$1,Pesos!$A:$I,7,FALSE),VLOOKUP($I705&amp;$J705&amp;T$1,Pesos!$A:$I,9,FALSE)))</f>
        <v>0.89999999999999991</v>
      </c>
      <c r="AN705" s="80">
        <f>IF(U705="","",IF(U705="SIM",VLOOKUP($I705&amp;$J705&amp;U$1,Pesos!$A:$I,7,FALSE),VLOOKUP($I705&amp;$J705&amp;U$1,Pesos!$A:$I,9,FALSE)))</f>
        <v>0.92500000000000004</v>
      </c>
      <c r="AO705" s="80">
        <f>IF(V705="","",IF(V705="SIM",VLOOKUP($I705&amp;$J705&amp;V$1,Pesos!$A:$I,7,FALSE),VLOOKUP($I705&amp;$J705&amp;V$1,Pesos!$A:$I,9,FALSE)))</f>
        <v>0.92500000000000004</v>
      </c>
      <c r="AP705" s="80">
        <f>IF(W705="","",IF(W705="SIM",VLOOKUP($I705&amp;$J705&amp;W$1,Pesos!$A:$I,7,FALSE),VLOOKUP($I705&amp;$J705&amp;W$1,Pesos!$A:$I,9,FALSE)))</f>
        <v>-4.4999999999999998E-2</v>
      </c>
      <c r="AQ705" s="80">
        <f>IF(X705="","",IF(X705="SIM",VLOOKUP($I705&amp;$J705&amp;X$1,Pesos!$A:$I,7,FALSE),VLOOKUP($I705&amp;$J705&amp;X$1,Pesos!$A:$I,9,FALSE)))</f>
        <v>-4.7500000000000001E-2</v>
      </c>
      <c r="AR705" s="80" t="str">
        <f>IF(Y705="","",IF(Y705="SIM",VLOOKUP($I705&amp;$J705&amp;Y$1,Pesos!$A:$I,7,FALSE),VLOOKUP($I705&amp;$J705&amp;Y$1,Pesos!$A:$I,9,FALSE)))</f>
        <v/>
      </c>
      <c r="AS705" s="81">
        <f>IFERROR(Z705*VLOOKUP(J705,'BD Campos'!$Y$1:$Z$12,2,FALSE),"0")</f>
        <v>7.1124999999999998</v>
      </c>
    </row>
    <row r="706" spans="1:45" x14ac:dyDescent="0.35">
      <c r="A706" s="68" t="str">
        <f t="shared" si="100"/>
        <v>Fev202510639MotoristaDISTRIBUIÇÃO</v>
      </c>
      <c r="B706" s="114" t="str">
        <f t="shared" si="101"/>
        <v>Fev2025106391DISTRIBUIÇÃOPADRÃO</v>
      </c>
      <c r="C706" s="70">
        <v>1</v>
      </c>
      <c r="D706" s="71">
        <v>45705.464781712966</v>
      </c>
      <c r="E706" s="112" t="s">
        <v>338</v>
      </c>
      <c r="F706" s="72">
        <v>10639</v>
      </c>
      <c r="G706" s="69" t="s">
        <v>452</v>
      </c>
      <c r="H706" s="73">
        <v>1</v>
      </c>
      <c r="I706" s="69" t="s">
        <v>147</v>
      </c>
      <c r="J706" s="69" t="s">
        <v>122</v>
      </c>
      <c r="K706" s="69" t="s">
        <v>23</v>
      </c>
      <c r="L706" s="74">
        <v>31202647</v>
      </c>
      <c r="M706" s="75">
        <v>2.7662037037037034E-3</v>
      </c>
      <c r="N706" s="76" t="s">
        <v>79</v>
      </c>
      <c r="O706" s="76" t="s">
        <v>79</v>
      </c>
      <c r="P706" s="76" t="s">
        <v>79</v>
      </c>
      <c r="Q706" s="76" t="s">
        <v>79</v>
      </c>
      <c r="R706" s="76" t="s">
        <v>79</v>
      </c>
      <c r="S706" s="76" t="s">
        <v>79</v>
      </c>
      <c r="T706" s="76" t="s">
        <v>79</v>
      </c>
      <c r="U706" s="76" t="s">
        <v>79</v>
      </c>
      <c r="V706" s="76"/>
      <c r="W706" s="76"/>
      <c r="X706" s="76"/>
      <c r="Y706" s="76"/>
      <c r="Z706" s="77">
        <f t="shared" si="79"/>
        <v>10</v>
      </c>
      <c r="AA706" s="78"/>
      <c r="AB706" s="78" t="s">
        <v>1750</v>
      </c>
      <c r="AC706" s="72" t="s">
        <v>47</v>
      </c>
      <c r="AE706" s="79" t="str">
        <f t="shared" si="103"/>
        <v>Fev10639</v>
      </c>
      <c r="AF706" s="80">
        <f>IF(N706="","",IF(N706="SIM",VLOOKUP($I706&amp;$J706&amp;N$1,Pesos!$A:$I,7,FALSE),VLOOKUP($I706&amp;$J706&amp;N$1,Pesos!$A:$I,9,FALSE)))</f>
        <v>1.1000000000000001</v>
      </c>
      <c r="AG706" s="80">
        <f>IF(O706="","",IF(O706="SIM",VLOOKUP($I706&amp;$J706&amp;O$1,Pesos!$A:$I,7,FALSE),VLOOKUP($I706&amp;$J706&amp;O$1,Pesos!$A:$I,9,FALSE)))</f>
        <v>1.1000000000000001</v>
      </c>
      <c r="AH706" s="80">
        <f>IF(P706="","",IF(P706="SIM",VLOOKUP($I706&amp;$J706&amp;P$1,Pesos!$A:$I,7,FALSE),VLOOKUP($I706&amp;$J706&amp;P$1,Pesos!$A:$I,9,FALSE)))</f>
        <v>1.1000000000000001</v>
      </c>
      <c r="AI706" s="80">
        <f>IF(Q706="","",IF(Q706="SIM",VLOOKUP($I706&amp;$J706&amp;Q$1,Pesos!$A:$I,7,FALSE),VLOOKUP($I706&amp;$J706&amp;Q$1,Pesos!$A:$I,9,FALSE)))</f>
        <v>1.1000000000000001</v>
      </c>
      <c r="AJ706" s="80">
        <f>IF(R706="","",IF(R706="SIM",VLOOKUP($I706&amp;$J706&amp;R$1,Pesos!$A:$I,7,FALSE),VLOOKUP($I706&amp;$J706&amp;R$1,Pesos!$A:$I,9,FALSE)))</f>
        <v>1.1000000000000001</v>
      </c>
      <c r="AK706" s="80">
        <f>IF(S706="","",IF(S706="SIM",VLOOKUP($I706&amp;$J706&amp;S$1,Pesos!$A:$I,7,FALSE),VLOOKUP($I706&amp;$J706&amp;S$1,Pesos!$A:$I,9,FALSE)))</f>
        <v>1.6</v>
      </c>
      <c r="AL706" s="80">
        <f t="shared" si="98"/>
        <v>7.1</v>
      </c>
      <c r="AM706" s="80">
        <f>IF(T706="","",IF(T706="SIM",VLOOKUP($I706&amp;$J706&amp;T$1,Pesos!$A:$I,7,FALSE),VLOOKUP($I706&amp;$J706&amp;T$1,Pesos!$A:$I,9,FALSE)))</f>
        <v>1.2</v>
      </c>
      <c r="AN706" s="80">
        <f>IF(U706="","",IF(U706="SIM",VLOOKUP($I706&amp;$J706&amp;U$1,Pesos!$A:$I,7,FALSE),VLOOKUP($I706&amp;$J706&amp;U$1,Pesos!$A:$I,9,FALSE)))</f>
        <v>1.7000000000000002</v>
      </c>
      <c r="AO706" s="80" t="str">
        <f>IF(V706="","",IF(V706="SIM",VLOOKUP($I706&amp;$J706&amp;V$1,Pesos!$A:$I,7,FALSE),VLOOKUP($I706&amp;$J706&amp;V$1,Pesos!$A:$I,9,FALSE)))</f>
        <v/>
      </c>
      <c r="AP706" s="80" t="str">
        <f>IF(W706="","",IF(W706="SIM",VLOOKUP($I706&amp;$J706&amp;W$1,Pesos!$A:$I,7,FALSE),VLOOKUP($I706&amp;$J706&amp;W$1,Pesos!$A:$I,9,FALSE)))</f>
        <v/>
      </c>
      <c r="AQ706" s="80" t="str">
        <f>IF(X706="","",IF(X706="SIM",VLOOKUP($I706&amp;$J706&amp;X$1,Pesos!$A:$I,7,FALSE),VLOOKUP($I706&amp;$J706&amp;X$1,Pesos!$A:$I,9,FALSE)))</f>
        <v/>
      </c>
      <c r="AR706" s="80" t="str">
        <f>IF(Y706="","",IF(Y706="SIM",VLOOKUP($I706&amp;$J706&amp;Y$1,Pesos!$A:$I,7,FALSE),VLOOKUP($I706&amp;$J706&amp;Y$1,Pesos!$A:$I,9,FALSE)))</f>
        <v/>
      </c>
      <c r="AS706" s="81">
        <f>IFERROR(Z706*VLOOKUP(J706,'BD Campos'!$Y$1:$Z$12,2,FALSE),"0")</f>
        <v>10</v>
      </c>
    </row>
    <row r="707" spans="1:45" x14ac:dyDescent="0.35">
      <c r="A707" s="68" t="str">
        <f t="shared" si="100"/>
        <v>Fev202511079MotoristaDISTRIBUIÇÃO</v>
      </c>
      <c r="B707" s="114" t="str">
        <f t="shared" si="101"/>
        <v>Fev2025110791DISTRIBUIÇÃOPADRÃO</v>
      </c>
      <c r="C707" s="70">
        <v>1</v>
      </c>
      <c r="D707" s="71">
        <v>45705.471524305554</v>
      </c>
      <c r="E707" s="112" t="s">
        <v>338</v>
      </c>
      <c r="F707" s="72">
        <v>11079</v>
      </c>
      <c r="G707" s="69" t="s">
        <v>410</v>
      </c>
      <c r="H707" s="73">
        <v>1</v>
      </c>
      <c r="I707" s="69" t="s">
        <v>121</v>
      </c>
      <c r="J707" s="69" t="s">
        <v>122</v>
      </c>
      <c r="K707" s="69" t="s">
        <v>23</v>
      </c>
      <c r="L707" s="74">
        <v>31157660</v>
      </c>
      <c r="M707" s="75">
        <v>2.1296296296296298E-3</v>
      </c>
      <c r="N707" s="76" t="s">
        <v>79</v>
      </c>
      <c r="O707" s="76" t="s">
        <v>79</v>
      </c>
      <c r="P707" s="76" t="s">
        <v>79</v>
      </c>
      <c r="Q707" s="76" t="s">
        <v>79</v>
      </c>
      <c r="R707" s="76" t="s">
        <v>79</v>
      </c>
      <c r="S707" s="76" t="s">
        <v>79</v>
      </c>
      <c r="T707" s="76" t="s">
        <v>79</v>
      </c>
      <c r="U707" s="76" t="s">
        <v>79</v>
      </c>
      <c r="V707" s="76" t="s">
        <v>79</v>
      </c>
      <c r="W707" s="76" t="s">
        <v>83</v>
      </c>
      <c r="X707" s="76" t="s">
        <v>79</v>
      </c>
      <c r="Y707" s="76"/>
      <c r="Z707" s="77">
        <f t="shared" si="79"/>
        <v>9.0549999999999997</v>
      </c>
      <c r="AA707" s="78"/>
      <c r="AB707" s="78" t="s">
        <v>1751</v>
      </c>
      <c r="AC707" s="72" t="s">
        <v>47</v>
      </c>
      <c r="AE707" s="79" t="str">
        <f t="shared" si="103"/>
        <v>Fev11079</v>
      </c>
      <c r="AF707" s="80">
        <f>IF(N707="","",IF(N707="SIM",VLOOKUP($I707&amp;$J707&amp;N$1,Pesos!$A:$I,7,FALSE),VLOOKUP($I707&amp;$J707&amp;N$1,Pesos!$A:$I,9,FALSE)))</f>
        <v>0.89999999999999991</v>
      </c>
      <c r="AG707" s="80">
        <f>IF(O707="","",IF(O707="SIM",VLOOKUP($I707&amp;$J707&amp;O$1,Pesos!$A:$I,7,FALSE),VLOOKUP($I707&amp;$J707&amp;O$1,Pesos!$A:$I,9,FALSE)))</f>
        <v>0.89999999999999991</v>
      </c>
      <c r="AH707" s="80">
        <f>IF(P707="","",IF(P707="SIM",VLOOKUP($I707&amp;$J707&amp;P$1,Pesos!$A:$I,7,FALSE),VLOOKUP($I707&amp;$J707&amp;P$1,Pesos!$A:$I,9,FALSE)))</f>
        <v>0.89999999999999991</v>
      </c>
      <c r="AI707" s="80">
        <f>IF(Q707="","",IF(Q707="SIM",VLOOKUP($I707&amp;$J707&amp;Q$1,Pesos!$A:$I,7,FALSE),VLOOKUP($I707&amp;$J707&amp;Q$1,Pesos!$A:$I,9,FALSE)))</f>
        <v>0.89999999999999991</v>
      </c>
      <c r="AJ707" s="80">
        <f>IF(R707="","",IF(R707="SIM",VLOOKUP($I707&amp;$J707&amp;R$1,Pesos!$A:$I,7,FALSE),VLOOKUP($I707&amp;$J707&amp;R$1,Pesos!$A:$I,9,FALSE)))</f>
        <v>0.89999999999999991</v>
      </c>
      <c r="AK707" s="80">
        <f>IF(S707="","",IF(S707="SIM",VLOOKUP($I707&amp;$J707&amp;S$1,Pesos!$A:$I,7,FALSE),VLOOKUP($I707&amp;$J707&amp;S$1,Pesos!$A:$I,9,FALSE)))</f>
        <v>0.89999999999999991</v>
      </c>
      <c r="AL707" s="80">
        <f t="shared" si="98"/>
        <v>5.4</v>
      </c>
      <c r="AM707" s="80">
        <f>IF(T707="","",IF(T707="SIM",VLOOKUP($I707&amp;$J707&amp;T$1,Pesos!$A:$I,7,FALSE),VLOOKUP($I707&amp;$J707&amp;T$1,Pesos!$A:$I,9,FALSE)))</f>
        <v>0.89999999999999991</v>
      </c>
      <c r="AN707" s="80">
        <f>IF(U707="","",IF(U707="SIM",VLOOKUP($I707&amp;$J707&amp;U$1,Pesos!$A:$I,7,FALSE),VLOOKUP($I707&amp;$J707&amp;U$1,Pesos!$A:$I,9,FALSE)))</f>
        <v>0.92500000000000004</v>
      </c>
      <c r="AO707" s="80">
        <f>IF(V707="","",IF(V707="SIM",VLOOKUP($I707&amp;$J707&amp;V$1,Pesos!$A:$I,7,FALSE),VLOOKUP($I707&amp;$J707&amp;V$1,Pesos!$A:$I,9,FALSE)))</f>
        <v>0.92500000000000004</v>
      </c>
      <c r="AP707" s="80">
        <f>IF(W707="","",IF(W707="SIM",VLOOKUP($I707&amp;$J707&amp;W$1,Pesos!$A:$I,7,FALSE),VLOOKUP($I707&amp;$J707&amp;W$1,Pesos!$A:$I,9,FALSE)))</f>
        <v>-4.4999999999999998E-2</v>
      </c>
      <c r="AQ707" s="80">
        <f>IF(X707="","",IF(X707="SIM",VLOOKUP($I707&amp;$J707&amp;X$1,Pesos!$A:$I,7,FALSE),VLOOKUP($I707&amp;$J707&amp;X$1,Pesos!$A:$I,9,FALSE)))</f>
        <v>0.95</v>
      </c>
      <c r="AR707" s="80" t="str">
        <f>IF(Y707="","",IF(Y707="SIM",VLOOKUP($I707&amp;$J707&amp;Y$1,Pesos!$A:$I,7,FALSE),VLOOKUP($I707&amp;$J707&amp;Y$1,Pesos!$A:$I,9,FALSE)))</f>
        <v/>
      </c>
      <c r="AS707" s="81">
        <f>IFERROR(Z707*VLOOKUP(J707,'BD Campos'!$Y$1:$Z$12,2,FALSE),"0")</f>
        <v>9.0549999999999997</v>
      </c>
    </row>
    <row r="708" spans="1:45" x14ac:dyDescent="0.35">
      <c r="A708" s="68" t="str">
        <f t="shared" si="100"/>
        <v>Fev202510971ReceptivaDISTRIBUIÇÃO</v>
      </c>
      <c r="B708" s="114" t="str">
        <f t="shared" si="101"/>
        <v>Fev2025109715DISTRIBUIÇÃOPADRÃO</v>
      </c>
      <c r="C708" s="70">
        <v>1</v>
      </c>
      <c r="D708" s="71">
        <v>45705.479657870368</v>
      </c>
      <c r="E708" s="112" t="s">
        <v>338</v>
      </c>
      <c r="F708" s="72">
        <v>10971</v>
      </c>
      <c r="G708" s="69" t="s">
        <v>264</v>
      </c>
      <c r="H708" s="73">
        <v>5</v>
      </c>
      <c r="I708" s="69" t="s">
        <v>6</v>
      </c>
      <c r="J708" s="69" t="s">
        <v>98</v>
      </c>
      <c r="K708" s="69" t="s">
        <v>23</v>
      </c>
      <c r="L708" s="74"/>
      <c r="M708" s="75">
        <v>1.5740740740740741E-3</v>
      </c>
      <c r="N708" s="76" t="s">
        <v>83</v>
      </c>
      <c r="O708" s="76" t="s">
        <v>79</v>
      </c>
      <c r="P708" s="76" t="s">
        <v>79</v>
      </c>
      <c r="Q708" s="76" t="s">
        <v>79</v>
      </c>
      <c r="R708" s="76" t="s">
        <v>79</v>
      </c>
      <c r="S708" s="76" t="s">
        <v>79</v>
      </c>
      <c r="T708" s="76" t="s">
        <v>79</v>
      </c>
      <c r="U708" s="76" t="s">
        <v>79</v>
      </c>
      <c r="V708" s="76" t="s">
        <v>79</v>
      </c>
      <c r="W708" s="76" t="s">
        <v>79</v>
      </c>
      <c r="X708" s="76" t="s">
        <v>79</v>
      </c>
      <c r="Y708" s="76" t="s">
        <v>79</v>
      </c>
      <c r="Z708" s="77">
        <f t="shared" si="79"/>
        <v>9.16</v>
      </c>
      <c r="AA708" s="78" t="s">
        <v>1616</v>
      </c>
      <c r="AB708" s="78"/>
      <c r="AC708" s="72" t="s">
        <v>47</v>
      </c>
      <c r="AE708" s="79" t="str">
        <f t="shared" si="103"/>
        <v>Fev10971</v>
      </c>
      <c r="AF708" s="80">
        <f>IF(N708="","",IF(N708="SIM",VLOOKUP($I708&amp;$J708&amp;N$1,Pesos!$A:$I,7,FALSE),VLOOKUP($I708&amp;$J708&amp;N$1,Pesos!$A:$I,9,FALSE)))</f>
        <v>-4.0000000000000008E-2</v>
      </c>
      <c r="AG708" s="80">
        <f>IF(O708="","",IF(O708="SIM",VLOOKUP($I708&amp;$J708&amp;O$1,Pesos!$A:$I,7,FALSE),VLOOKUP($I708&amp;$J708&amp;O$1,Pesos!$A:$I,9,FALSE)))</f>
        <v>0.8</v>
      </c>
      <c r="AH708" s="80">
        <f>IF(P708="","",IF(P708="SIM",VLOOKUP($I708&amp;$J708&amp;P$1,Pesos!$A:$I,7,FALSE),VLOOKUP($I708&amp;$J708&amp;P$1,Pesos!$A:$I,9,FALSE)))</f>
        <v>1.2</v>
      </c>
      <c r="AI708" s="80">
        <f>IF(Q708="","",IF(Q708="SIM",VLOOKUP($I708&amp;$J708&amp;Q$1,Pesos!$A:$I,7,FALSE),VLOOKUP($I708&amp;$J708&amp;Q$1,Pesos!$A:$I,9,FALSE)))</f>
        <v>0.8</v>
      </c>
      <c r="AJ708" s="80">
        <f>IF(R708="","",IF(R708="SIM",VLOOKUP($I708&amp;$J708&amp;R$1,Pesos!$A:$I,7,FALSE),VLOOKUP($I708&amp;$J708&amp;R$1,Pesos!$A:$I,9,FALSE)))</f>
        <v>0.8</v>
      </c>
      <c r="AK708" s="80">
        <f>IF(S708="","",IF(S708="SIM",VLOOKUP($I708&amp;$J708&amp;S$1,Pesos!$A:$I,7,FALSE),VLOOKUP($I708&amp;$J708&amp;S$1,Pesos!$A:$I,9,FALSE)))</f>
        <v>0.8</v>
      </c>
      <c r="AL708" s="80">
        <f t="shared" si="98"/>
        <v>4.3599999999999994</v>
      </c>
      <c r="AM708" s="80">
        <f>IF(T708="","",IF(T708="SIM",VLOOKUP($I708&amp;$J708&amp;T$1,Pesos!$A:$I,7,FALSE),VLOOKUP($I708&amp;$J708&amp;T$1,Pesos!$A:$I,9,FALSE)))</f>
        <v>0.8</v>
      </c>
      <c r="AN708" s="80">
        <f>IF(U708="","",IF(U708="SIM",VLOOKUP($I708&amp;$J708&amp;U$1,Pesos!$A:$I,7,FALSE),VLOOKUP($I708&amp;$J708&amp;U$1,Pesos!$A:$I,9,FALSE)))</f>
        <v>0.8</v>
      </c>
      <c r="AO708" s="80">
        <f>IF(V708="","",IF(V708="SIM",VLOOKUP($I708&amp;$J708&amp;V$1,Pesos!$A:$I,7,FALSE),VLOOKUP($I708&amp;$J708&amp;V$1,Pesos!$A:$I,9,FALSE)))</f>
        <v>0.8</v>
      </c>
      <c r="AP708" s="80">
        <f>IF(W708="","",IF(W708="SIM",VLOOKUP($I708&amp;$J708&amp;W$1,Pesos!$A:$I,7,FALSE),VLOOKUP($I708&amp;$J708&amp;W$1,Pesos!$A:$I,9,FALSE)))</f>
        <v>0.8</v>
      </c>
      <c r="AQ708" s="80">
        <f>IF(X708="","",IF(X708="SIM",VLOOKUP($I708&amp;$J708&amp;X$1,Pesos!$A:$I,7,FALSE),VLOOKUP($I708&amp;$J708&amp;X$1,Pesos!$A:$I,9,FALSE)))</f>
        <v>0.8</v>
      </c>
      <c r="AR708" s="80">
        <f>IF(Y708="","",IF(Y708="SIM",VLOOKUP($I708&amp;$J708&amp;Y$1,Pesos!$A:$I,7,FALSE),VLOOKUP($I708&amp;$J708&amp;Y$1,Pesos!$A:$I,9,FALSE)))</f>
        <v>0.8</v>
      </c>
      <c r="AS708" s="81">
        <f>IFERROR(Z708*VLOOKUP(J708,'BD Campos'!$Y$1:$Z$12,2,FALSE),"0")</f>
        <v>9.16</v>
      </c>
    </row>
    <row r="709" spans="1:45" x14ac:dyDescent="0.35">
      <c r="A709" s="68" t="str">
        <f t="shared" si="100"/>
        <v>Fev202511220MotoristaDISTRIBUIÇÃO</v>
      </c>
      <c r="B709" s="114" t="str">
        <f t="shared" si="101"/>
        <v>Fev2025112201DISTRIBUIÇÃOPADRÃO</v>
      </c>
      <c r="C709" s="70">
        <v>1</v>
      </c>
      <c r="D709" s="71">
        <v>45705.487578356478</v>
      </c>
      <c r="E709" s="112" t="s">
        <v>338</v>
      </c>
      <c r="F709" s="72">
        <v>11220</v>
      </c>
      <c r="G709" s="69" t="s">
        <v>1399</v>
      </c>
      <c r="H709" s="73">
        <v>1</v>
      </c>
      <c r="I709" s="69" t="s">
        <v>147</v>
      </c>
      <c r="J709" s="69" t="s">
        <v>122</v>
      </c>
      <c r="K709" s="69" t="s">
        <v>23</v>
      </c>
      <c r="L709" s="74">
        <v>31146465</v>
      </c>
      <c r="M709" s="75">
        <v>1.8750000000000001E-3</v>
      </c>
      <c r="N709" s="76"/>
      <c r="O709" s="76"/>
      <c r="P709" s="76"/>
      <c r="Q709" s="76"/>
      <c r="R709" s="76"/>
      <c r="S709" s="76"/>
      <c r="T709" s="76"/>
      <c r="U709" s="76"/>
      <c r="V709" s="76"/>
      <c r="W709" s="76"/>
      <c r="X709" s="76"/>
      <c r="Y709" s="76"/>
      <c r="Z709" s="77">
        <f t="shared" si="79"/>
        <v>0</v>
      </c>
      <c r="AA709" s="78" t="s">
        <v>1657</v>
      </c>
      <c r="AB709" s="78" t="s">
        <v>1752</v>
      </c>
      <c r="AC709" s="72" t="s">
        <v>47</v>
      </c>
      <c r="AE709" s="79" t="str">
        <f t="shared" si="103"/>
        <v>Fev11220</v>
      </c>
      <c r="AF709" s="80" t="str">
        <f>IF(N709="","",IF(N709="SIM",VLOOKUP($I709&amp;$J709&amp;N$1,Pesos!$A:$I,7,FALSE),VLOOKUP($I709&amp;$J709&amp;N$1,Pesos!$A:$I,9,FALSE)))</f>
        <v/>
      </c>
      <c r="AG709" s="80" t="str">
        <f>IF(O709="","",IF(O709="SIM",VLOOKUP($I709&amp;$J709&amp;O$1,Pesos!$A:$I,7,FALSE),VLOOKUP($I709&amp;$J709&amp;O$1,Pesos!$A:$I,9,FALSE)))</f>
        <v/>
      </c>
      <c r="AH709" s="80" t="str">
        <f>IF(P709="","",IF(P709="SIM",VLOOKUP($I709&amp;$J709&amp;P$1,Pesos!$A:$I,7,FALSE),VLOOKUP($I709&amp;$J709&amp;P$1,Pesos!$A:$I,9,FALSE)))</f>
        <v/>
      </c>
      <c r="AI709" s="80" t="str">
        <f>IF(Q709="","",IF(Q709="SIM",VLOOKUP($I709&amp;$J709&amp;Q$1,Pesos!$A:$I,7,FALSE),VLOOKUP($I709&amp;$J709&amp;Q$1,Pesos!$A:$I,9,FALSE)))</f>
        <v/>
      </c>
      <c r="AJ709" s="80" t="str">
        <f>IF(R709="","",IF(R709="SIM",VLOOKUP($I709&amp;$J709&amp;R$1,Pesos!$A:$I,7,FALSE),VLOOKUP($I709&amp;$J709&amp;R$1,Pesos!$A:$I,9,FALSE)))</f>
        <v/>
      </c>
      <c r="AK709" s="80" t="str">
        <f>IF(S709="","",IF(S709="SIM",VLOOKUP($I709&amp;$J709&amp;S$1,Pesos!$A:$I,7,FALSE),VLOOKUP($I709&amp;$J709&amp;S$1,Pesos!$A:$I,9,FALSE)))</f>
        <v/>
      </c>
      <c r="AL709" s="80">
        <f t="shared" si="98"/>
        <v>0</v>
      </c>
      <c r="AM709" s="80" t="str">
        <f>IF(T709="","",IF(T709="SIM",VLOOKUP($I709&amp;$J709&amp;T$1,Pesos!$A:$I,7,FALSE),VLOOKUP($I709&amp;$J709&amp;T$1,Pesos!$A:$I,9,FALSE)))</f>
        <v/>
      </c>
      <c r="AN709" s="80" t="str">
        <f>IF(U709="","",IF(U709="SIM",VLOOKUP($I709&amp;$J709&amp;U$1,Pesos!$A:$I,7,FALSE),VLOOKUP($I709&amp;$J709&amp;U$1,Pesos!$A:$I,9,FALSE)))</f>
        <v/>
      </c>
      <c r="AO709" s="80" t="str">
        <f>IF(V709="","",IF(V709="SIM",VLOOKUP($I709&amp;$J709&amp;V$1,Pesos!$A:$I,7,FALSE),VLOOKUP($I709&amp;$J709&amp;V$1,Pesos!$A:$I,9,FALSE)))</f>
        <v/>
      </c>
      <c r="AP709" s="80" t="str">
        <f>IF(W709="","",IF(W709="SIM",VLOOKUP($I709&amp;$J709&amp;W$1,Pesos!$A:$I,7,FALSE),VLOOKUP($I709&amp;$J709&amp;W$1,Pesos!$A:$I,9,FALSE)))</f>
        <v/>
      </c>
      <c r="AQ709" s="80" t="str">
        <f>IF(X709="","",IF(X709="SIM",VLOOKUP($I709&amp;$J709&amp;X$1,Pesos!$A:$I,7,FALSE),VLOOKUP($I709&amp;$J709&amp;X$1,Pesos!$A:$I,9,FALSE)))</f>
        <v/>
      </c>
      <c r="AR709" s="80" t="str">
        <f>IF(Y709="","",IF(Y709="SIM",VLOOKUP($I709&amp;$J709&amp;Y$1,Pesos!$A:$I,7,FALSE),VLOOKUP($I709&amp;$J709&amp;Y$1,Pesos!$A:$I,9,FALSE)))</f>
        <v/>
      </c>
      <c r="AS709" s="81">
        <f>IFERROR(Z709*VLOOKUP(J709,'BD Campos'!$Y$1:$Z$12,2,FALSE),"0")</f>
        <v>0</v>
      </c>
    </row>
    <row r="710" spans="1:45" x14ac:dyDescent="0.35">
      <c r="A710" s="68" t="str">
        <f t="shared" si="100"/>
        <v>Fev20254159MotoristaTRANSFERÊNCIA</v>
      </c>
      <c r="B710" s="114" t="str">
        <f t="shared" si="101"/>
        <v>Fev202541591TRANSFERÊNCIAPADRÃO</v>
      </c>
      <c r="C710" s="70">
        <v>1</v>
      </c>
      <c r="D710" s="71">
        <v>45705.491467824075</v>
      </c>
      <c r="E710" s="112" t="s">
        <v>338</v>
      </c>
      <c r="F710" s="72">
        <v>4159</v>
      </c>
      <c r="G710" s="69" t="s">
        <v>231</v>
      </c>
      <c r="H710" s="73">
        <v>1</v>
      </c>
      <c r="I710" s="69" t="s">
        <v>123</v>
      </c>
      <c r="J710" s="69" t="s">
        <v>122</v>
      </c>
      <c r="K710" s="69" t="s">
        <v>106</v>
      </c>
      <c r="L710" s="74">
        <v>31204466</v>
      </c>
      <c r="M710" s="75">
        <v>6.3657407407407402E-4</v>
      </c>
      <c r="N710" s="76" t="s">
        <v>79</v>
      </c>
      <c r="O710" s="76" t="s">
        <v>79</v>
      </c>
      <c r="P710" s="76" t="s">
        <v>79</v>
      </c>
      <c r="Q710" s="76" t="s">
        <v>79</v>
      </c>
      <c r="R710" s="76" t="s">
        <v>79</v>
      </c>
      <c r="S710" s="76" t="s">
        <v>79</v>
      </c>
      <c r="T710" s="76" t="s">
        <v>79</v>
      </c>
      <c r="U710" s="76" t="s">
        <v>79</v>
      </c>
      <c r="V710" s="76" t="s">
        <v>83</v>
      </c>
      <c r="W710" s="76" t="s">
        <v>79</v>
      </c>
      <c r="X710" s="76"/>
      <c r="Y710" s="76"/>
      <c r="Z710" s="77">
        <f t="shared" si="79"/>
        <v>8.9499999999999993</v>
      </c>
      <c r="AA710" s="78"/>
      <c r="AB710" s="78" t="s">
        <v>1753</v>
      </c>
      <c r="AC710" s="72" t="s">
        <v>47</v>
      </c>
      <c r="AE710" s="79" t="str">
        <f t="shared" si="103"/>
        <v>Fev4159</v>
      </c>
      <c r="AF710" s="80">
        <f>IF(N710="","",IF(N710="SIM",VLOOKUP($I710&amp;$J710&amp;N$1,Pesos!$A:$I,7,FALSE),VLOOKUP($I710&amp;$J710&amp;N$1,Pesos!$A:$I,9,FALSE)))</f>
        <v>1</v>
      </c>
      <c r="AG710" s="80">
        <f>IF(O710="","",IF(O710="SIM",VLOOKUP($I710&amp;$J710&amp;O$1,Pesos!$A:$I,7,FALSE),VLOOKUP($I710&amp;$J710&amp;O$1,Pesos!$A:$I,9,FALSE)))</f>
        <v>1</v>
      </c>
      <c r="AH710" s="80">
        <f>IF(P710="","",IF(P710="SIM",VLOOKUP($I710&amp;$J710&amp;P$1,Pesos!$A:$I,7,FALSE),VLOOKUP($I710&amp;$J710&amp;P$1,Pesos!$A:$I,9,FALSE)))</f>
        <v>1</v>
      </c>
      <c r="AI710" s="80">
        <f>IF(Q710="","",IF(Q710="SIM",VLOOKUP($I710&amp;$J710&amp;Q$1,Pesos!$A:$I,7,FALSE),VLOOKUP($I710&amp;$J710&amp;Q$1,Pesos!$A:$I,9,FALSE)))</f>
        <v>1</v>
      </c>
      <c r="AJ710" s="80">
        <f>IF(R710="","",IF(R710="SIM",VLOOKUP($I710&amp;$J710&amp;R$1,Pesos!$A:$I,7,FALSE),VLOOKUP($I710&amp;$J710&amp;R$1,Pesos!$A:$I,9,FALSE)))</f>
        <v>1</v>
      </c>
      <c r="AK710" s="80">
        <f>IF(S710="","",IF(S710="SIM",VLOOKUP($I710&amp;$J710&amp;S$1,Pesos!$A:$I,7,FALSE),VLOOKUP($I710&amp;$J710&amp;S$1,Pesos!$A:$I,9,FALSE)))</f>
        <v>1</v>
      </c>
      <c r="AL710" s="80">
        <f t="shared" si="98"/>
        <v>6</v>
      </c>
      <c r="AM710" s="80">
        <f>IF(T710="","",IF(T710="SIM",VLOOKUP($I710&amp;$J710&amp;T$1,Pesos!$A:$I,7,FALSE),VLOOKUP($I710&amp;$J710&amp;T$1,Pesos!$A:$I,9,FALSE)))</f>
        <v>1</v>
      </c>
      <c r="AN710" s="80">
        <f>IF(U710="","",IF(U710="SIM",VLOOKUP($I710&amp;$J710&amp;U$1,Pesos!$A:$I,7,FALSE),VLOOKUP($I710&amp;$J710&amp;U$1,Pesos!$A:$I,9,FALSE)))</f>
        <v>1</v>
      </c>
      <c r="AO710" s="80">
        <f>IF(V710="","",IF(V710="SIM",VLOOKUP($I710&amp;$J710&amp;V$1,Pesos!$A:$I,7,FALSE),VLOOKUP($I710&amp;$J710&amp;V$1,Pesos!$A:$I,9,FALSE)))</f>
        <v>-0.05</v>
      </c>
      <c r="AP710" s="80">
        <f>IF(W710="","",IF(W710="SIM",VLOOKUP($I710&amp;$J710&amp;W$1,Pesos!$A:$I,7,FALSE),VLOOKUP($I710&amp;$J710&amp;W$1,Pesos!$A:$I,9,FALSE)))</f>
        <v>1</v>
      </c>
      <c r="AQ710" s="80" t="str">
        <f>IF(X710="","",IF(X710="SIM",VLOOKUP($I710&amp;$J710&amp;X$1,Pesos!$A:$I,7,FALSE),VLOOKUP($I710&amp;$J710&amp;X$1,Pesos!$A:$I,9,FALSE)))</f>
        <v/>
      </c>
      <c r="AR710" s="80" t="str">
        <f>IF(Y710="","",IF(Y710="SIM",VLOOKUP($I710&amp;$J710&amp;Y$1,Pesos!$A:$I,7,FALSE),VLOOKUP($I710&amp;$J710&amp;Y$1,Pesos!$A:$I,9,FALSE)))</f>
        <v/>
      </c>
      <c r="AS710" s="81">
        <f>IFERROR(Z710*VLOOKUP(J710,'BD Campos'!$Y$1:$Z$12,2,FALSE),"0")</f>
        <v>8.9499999999999993</v>
      </c>
    </row>
    <row r="711" spans="1:45" x14ac:dyDescent="0.35">
      <c r="A711" s="68" t="str">
        <f t="shared" si="100"/>
        <v>Fev202510894MotoristaUTI</v>
      </c>
      <c r="B711" s="114" t="str">
        <f t="shared" si="101"/>
        <v>Fev2025108941UTIPADRÃO</v>
      </c>
      <c r="C711" s="70">
        <v>1</v>
      </c>
      <c r="D711" s="71">
        <v>45705.495923379633</v>
      </c>
      <c r="E711" s="112" t="s">
        <v>338</v>
      </c>
      <c r="F711" s="72">
        <v>10894</v>
      </c>
      <c r="G711" s="69" t="s">
        <v>243</v>
      </c>
      <c r="H711" s="73">
        <v>1</v>
      </c>
      <c r="I711" s="69" t="s">
        <v>126</v>
      </c>
      <c r="J711" s="69" t="s">
        <v>122</v>
      </c>
      <c r="K711" s="69" t="s">
        <v>131</v>
      </c>
      <c r="L711" s="74">
        <v>31153759</v>
      </c>
      <c r="M711" s="75">
        <v>4.409722222222222E-3</v>
      </c>
      <c r="N711" s="76" t="s">
        <v>79</v>
      </c>
      <c r="O711" s="76" t="s">
        <v>79</v>
      </c>
      <c r="P711" s="76" t="s">
        <v>79</v>
      </c>
      <c r="Q711" s="76" t="s">
        <v>79</v>
      </c>
      <c r="R711" s="76" t="s">
        <v>79</v>
      </c>
      <c r="S711" s="76" t="s">
        <v>79</v>
      </c>
      <c r="T711" s="76" t="s">
        <v>79</v>
      </c>
      <c r="U711" s="76" t="s">
        <v>79</v>
      </c>
      <c r="V711" s="76" t="s">
        <v>79</v>
      </c>
      <c r="W711" s="76" t="s">
        <v>79</v>
      </c>
      <c r="X711" s="76" t="s">
        <v>79</v>
      </c>
      <c r="Y711" s="76" t="s">
        <v>79</v>
      </c>
      <c r="Z711" s="77">
        <f t="shared" si="79"/>
        <v>10</v>
      </c>
      <c r="AA711" s="78"/>
      <c r="AB711" s="78" t="s">
        <v>1754</v>
      </c>
      <c r="AC711" s="72" t="s">
        <v>47</v>
      </c>
      <c r="AE711" s="79" t="str">
        <f t="shared" si="103"/>
        <v>Fev10894</v>
      </c>
      <c r="AF711" s="80">
        <f>IF(N711="","",IF(N711="SIM",VLOOKUP($I711&amp;$J711&amp;N$1,Pesos!$A:$I,7,FALSE),VLOOKUP($I711&amp;$J711&amp;N$1,Pesos!$A:$I,9,FALSE)))</f>
        <v>0.8</v>
      </c>
      <c r="AG711" s="80">
        <f>IF(O711="","",IF(O711="SIM",VLOOKUP($I711&amp;$J711&amp;O$1,Pesos!$A:$I,7,FALSE),VLOOKUP($I711&amp;$J711&amp;O$1,Pesos!$A:$I,9,FALSE)))</f>
        <v>0.8</v>
      </c>
      <c r="AH711" s="80">
        <f>IF(P711="","",IF(P711="SIM",VLOOKUP($I711&amp;$J711&amp;P$1,Pesos!$A:$I,7,FALSE),VLOOKUP($I711&amp;$J711&amp;P$1,Pesos!$A:$I,9,FALSE)))</f>
        <v>0.8</v>
      </c>
      <c r="AI711" s="80">
        <f>IF(Q711="","",IF(Q711="SIM",VLOOKUP($I711&amp;$J711&amp;Q$1,Pesos!$A:$I,7,FALSE),VLOOKUP($I711&amp;$J711&amp;Q$1,Pesos!$A:$I,9,FALSE)))</f>
        <v>0.8</v>
      </c>
      <c r="AJ711" s="80">
        <f>IF(R711="","",IF(R711="SIM",VLOOKUP($I711&amp;$J711&amp;R$1,Pesos!$A:$I,7,FALSE),VLOOKUP($I711&amp;$J711&amp;R$1,Pesos!$A:$I,9,FALSE)))</f>
        <v>0.8</v>
      </c>
      <c r="AK711" s="80">
        <f>IF(S711="","",IF(S711="SIM",VLOOKUP($I711&amp;$J711&amp;S$1,Pesos!$A:$I,7,FALSE),VLOOKUP($I711&amp;$J711&amp;S$1,Pesos!$A:$I,9,FALSE)))</f>
        <v>0.8</v>
      </c>
      <c r="AL711" s="80">
        <f t="shared" si="98"/>
        <v>4.8</v>
      </c>
      <c r="AM711" s="80">
        <f>IF(T711="","",IF(T711="SIM",VLOOKUP($I711&amp;$J711&amp;T$1,Pesos!$A:$I,7,FALSE),VLOOKUP($I711&amp;$J711&amp;T$1,Pesos!$A:$I,9,FALSE)))</f>
        <v>0.8</v>
      </c>
      <c r="AN711" s="80">
        <f>IF(U711="","",IF(U711="SIM",VLOOKUP($I711&amp;$J711&amp;U$1,Pesos!$A:$I,7,FALSE),VLOOKUP($I711&amp;$J711&amp;U$1,Pesos!$A:$I,9,FALSE)))</f>
        <v>0.8</v>
      </c>
      <c r="AO711" s="80">
        <f>IF(V711="","",IF(V711="SIM",VLOOKUP($I711&amp;$J711&amp;V$1,Pesos!$A:$I,7,FALSE),VLOOKUP($I711&amp;$J711&amp;V$1,Pesos!$A:$I,9,FALSE)))</f>
        <v>0.8</v>
      </c>
      <c r="AP711" s="80">
        <f>IF(W711="","",IF(W711="SIM",VLOOKUP($I711&amp;$J711&amp;W$1,Pesos!$A:$I,7,FALSE),VLOOKUP($I711&amp;$J711&amp;W$1,Pesos!$A:$I,9,FALSE)))</f>
        <v>0.8</v>
      </c>
      <c r="AQ711" s="80">
        <f>IF(X711="","",IF(X711="SIM",VLOOKUP($I711&amp;$J711&amp;X$1,Pesos!$A:$I,7,FALSE),VLOOKUP($I711&amp;$J711&amp;X$1,Pesos!$A:$I,9,FALSE)))</f>
        <v>1</v>
      </c>
      <c r="AR711" s="80">
        <f>IF(Y711="","",IF(Y711="SIM",VLOOKUP($I711&amp;$J711&amp;Y$1,Pesos!$A:$I,7,FALSE),VLOOKUP($I711&amp;$J711&amp;Y$1,Pesos!$A:$I,9,FALSE)))</f>
        <v>1</v>
      </c>
      <c r="AS711" s="81">
        <f>IFERROR(Z711*VLOOKUP(J711,'BD Campos'!$Y$1:$Z$12,2,FALSE),"0")</f>
        <v>10</v>
      </c>
    </row>
    <row r="712" spans="1:45" x14ac:dyDescent="0.35">
      <c r="A712" s="68" t="str">
        <f t="shared" si="100"/>
        <v>Fev202510924MotoristaUTI</v>
      </c>
      <c r="B712" s="114" t="str">
        <f t="shared" si="101"/>
        <v>Fev2025109241UTIPADRÃO</v>
      </c>
      <c r="C712" s="70">
        <v>1</v>
      </c>
      <c r="D712" s="71">
        <v>45705.500912384261</v>
      </c>
      <c r="E712" s="112" t="s">
        <v>338</v>
      </c>
      <c r="F712" s="72">
        <v>10924</v>
      </c>
      <c r="G712" s="69" t="s">
        <v>249</v>
      </c>
      <c r="H712" s="73">
        <v>1</v>
      </c>
      <c r="I712" s="69" t="s">
        <v>121</v>
      </c>
      <c r="J712" s="69" t="s">
        <v>122</v>
      </c>
      <c r="K712" s="69" t="s">
        <v>131</v>
      </c>
      <c r="L712" s="74">
        <v>31169119</v>
      </c>
      <c r="M712" s="75">
        <v>1.4699074074074074E-3</v>
      </c>
      <c r="N712" s="76" t="s">
        <v>79</v>
      </c>
      <c r="O712" s="76" t="s">
        <v>79</v>
      </c>
      <c r="P712" s="76" t="s">
        <v>79</v>
      </c>
      <c r="Q712" s="76" t="s">
        <v>79</v>
      </c>
      <c r="R712" s="76" t="s">
        <v>79</v>
      </c>
      <c r="S712" s="76" t="s">
        <v>79</v>
      </c>
      <c r="T712" s="76" t="s">
        <v>79</v>
      </c>
      <c r="U712" s="76" t="s">
        <v>79</v>
      </c>
      <c r="V712" s="76" t="s">
        <v>79</v>
      </c>
      <c r="W712" s="76" t="s">
        <v>79</v>
      </c>
      <c r="X712" s="76" t="s">
        <v>79</v>
      </c>
      <c r="Y712" s="76"/>
      <c r="Z712" s="77">
        <f t="shared" si="79"/>
        <v>10</v>
      </c>
      <c r="AA712" s="78"/>
      <c r="AB712" s="78" t="s">
        <v>1755</v>
      </c>
      <c r="AC712" s="72" t="s">
        <v>47</v>
      </c>
      <c r="AE712" s="79" t="str">
        <f t="shared" si="103"/>
        <v>Fev10924</v>
      </c>
      <c r="AF712" s="80">
        <f>IF(N712="","",IF(N712="SIM",VLOOKUP($I712&amp;$J712&amp;N$1,Pesos!$A:$I,7,FALSE),VLOOKUP($I712&amp;$J712&amp;N$1,Pesos!$A:$I,9,FALSE)))</f>
        <v>0.89999999999999991</v>
      </c>
      <c r="AG712" s="80">
        <f>IF(O712="","",IF(O712="SIM",VLOOKUP($I712&amp;$J712&amp;O$1,Pesos!$A:$I,7,FALSE),VLOOKUP($I712&amp;$J712&amp;O$1,Pesos!$A:$I,9,FALSE)))</f>
        <v>0.89999999999999991</v>
      </c>
      <c r="AH712" s="80">
        <f>IF(P712="","",IF(P712="SIM",VLOOKUP($I712&amp;$J712&amp;P$1,Pesos!$A:$I,7,FALSE),VLOOKUP($I712&amp;$J712&amp;P$1,Pesos!$A:$I,9,FALSE)))</f>
        <v>0.89999999999999991</v>
      </c>
      <c r="AI712" s="80">
        <f>IF(Q712="","",IF(Q712="SIM",VLOOKUP($I712&amp;$J712&amp;Q$1,Pesos!$A:$I,7,FALSE),VLOOKUP($I712&amp;$J712&amp;Q$1,Pesos!$A:$I,9,FALSE)))</f>
        <v>0.89999999999999991</v>
      </c>
      <c r="AJ712" s="80">
        <f>IF(R712="","",IF(R712="SIM",VLOOKUP($I712&amp;$J712&amp;R$1,Pesos!$A:$I,7,FALSE),VLOOKUP($I712&amp;$J712&amp;R$1,Pesos!$A:$I,9,FALSE)))</f>
        <v>0.89999999999999991</v>
      </c>
      <c r="AK712" s="80">
        <f>IF(S712="","",IF(S712="SIM",VLOOKUP($I712&amp;$J712&amp;S$1,Pesos!$A:$I,7,FALSE),VLOOKUP($I712&amp;$J712&amp;S$1,Pesos!$A:$I,9,FALSE)))</f>
        <v>0.89999999999999991</v>
      </c>
      <c r="AL712" s="80">
        <f t="shared" si="98"/>
        <v>5.4</v>
      </c>
      <c r="AM712" s="80">
        <f>IF(T712="","",IF(T712="SIM",VLOOKUP($I712&amp;$J712&amp;T$1,Pesos!$A:$I,7,FALSE),VLOOKUP($I712&amp;$J712&amp;T$1,Pesos!$A:$I,9,FALSE)))</f>
        <v>0.89999999999999991</v>
      </c>
      <c r="AN712" s="80">
        <f>IF(U712="","",IF(U712="SIM",VLOOKUP($I712&amp;$J712&amp;U$1,Pesos!$A:$I,7,FALSE),VLOOKUP($I712&amp;$J712&amp;U$1,Pesos!$A:$I,9,FALSE)))</f>
        <v>0.92500000000000004</v>
      </c>
      <c r="AO712" s="80">
        <f>IF(V712="","",IF(V712="SIM",VLOOKUP($I712&amp;$J712&amp;V$1,Pesos!$A:$I,7,FALSE),VLOOKUP($I712&amp;$J712&amp;V$1,Pesos!$A:$I,9,FALSE)))</f>
        <v>0.92500000000000004</v>
      </c>
      <c r="AP712" s="80">
        <f>IF(W712="","",IF(W712="SIM",VLOOKUP($I712&amp;$J712&amp;W$1,Pesos!$A:$I,7,FALSE),VLOOKUP($I712&amp;$J712&amp;W$1,Pesos!$A:$I,9,FALSE)))</f>
        <v>0.89999999999999991</v>
      </c>
      <c r="AQ712" s="80">
        <f>IF(X712="","",IF(X712="SIM",VLOOKUP($I712&amp;$J712&amp;X$1,Pesos!$A:$I,7,FALSE),VLOOKUP($I712&amp;$J712&amp;X$1,Pesos!$A:$I,9,FALSE)))</f>
        <v>0.95</v>
      </c>
      <c r="AR712" s="80" t="str">
        <f>IF(Y712="","",IF(Y712="SIM",VLOOKUP($I712&amp;$J712&amp;Y$1,Pesos!$A:$I,7,FALSE),VLOOKUP($I712&amp;$J712&amp;Y$1,Pesos!$A:$I,9,FALSE)))</f>
        <v/>
      </c>
      <c r="AS712" s="81">
        <f>IFERROR(Z712*VLOOKUP(J712,'BD Campos'!$Y$1:$Z$12,2,FALSE),"0")</f>
        <v>10</v>
      </c>
    </row>
    <row r="713" spans="1:45" x14ac:dyDescent="0.35">
      <c r="A713" s="68" t="str">
        <f t="shared" si="100"/>
        <v>Fev202510490ReceptivaUTI</v>
      </c>
      <c r="B713" s="114" t="str">
        <f t="shared" si="101"/>
        <v>Fev2025104905UTIPADRÃO</v>
      </c>
      <c r="C713" s="70">
        <v>1</v>
      </c>
      <c r="D713" s="71">
        <v>45705.505882754631</v>
      </c>
      <c r="E713" s="112" t="s">
        <v>338</v>
      </c>
      <c r="F713" s="72">
        <v>10490</v>
      </c>
      <c r="G713" s="69" t="s">
        <v>356</v>
      </c>
      <c r="H713" s="73">
        <v>5</v>
      </c>
      <c r="I713" s="69" t="s">
        <v>6</v>
      </c>
      <c r="J713" s="69" t="s">
        <v>98</v>
      </c>
      <c r="K713" s="69" t="s">
        <v>131</v>
      </c>
      <c r="L713" s="74"/>
      <c r="M713" s="75">
        <v>1.3194444444444443E-3</v>
      </c>
      <c r="N713" s="76" t="s">
        <v>79</v>
      </c>
      <c r="O713" s="76" t="s">
        <v>79</v>
      </c>
      <c r="P713" s="76" t="s">
        <v>79</v>
      </c>
      <c r="Q713" s="76" t="s">
        <v>79</v>
      </c>
      <c r="R713" s="76" t="s">
        <v>79</v>
      </c>
      <c r="S713" s="76" t="s">
        <v>79</v>
      </c>
      <c r="T713" s="76" t="s">
        <v>79</v>
      </c>
      <c r="U713" s="76" t="s">
        <v>79</v>
      </c>
      <c r="V713" s="76" t="s">
        <v>79</v>
      </c>
      <c r="W713" s="76" t="s">
        <v>79</v>
      </c>
      <c r="X713" s="76" t="s">
        <v>79</v>
      </c>
      <c r="Y713" s="76" t="s">
        <v>79</v>
      </c>
      <c r="Z713" s="77">
        <f t="shared" si="79"/>
        <v>10</v>
      </c>
      <c r="AA713" s="78"/>
      <c r="AB713" s="78"/>
      <c r="AC713" s="72" t="s">
        <v>47</v>
      </c>
      <c r="AE713" s="79" t="str">
        <f t="shared" si="103"/>
        <v>Fev10490</v>
      </c>
      <c r="AF713" s="80">
        <f>IF(N713="","",IF(N713="SIM",VLOOKUP($I713&amp;$J713&amp;N$1,Pesos!$A:$I,7,FALSE),VLOOKUP($I713&amp;$J713&amp;N$1,Pesos!$A:$I,9,FALSE)))</f>
        <v>0.8</v>
      </c>
      <c r="AG713" s="80">
        <f>IF(O713="","",IF(O713="SIM",VLOOKUP($I713&amp;$J713&amp;O$1,Pesos!$A:$I,7,FALSE),VLOOKUP($I713&amp;$J713&amp;O$1,Pesos!$A:$I,9,FALSE)))</f>
        <v>0.8</v>
      </c>
      <c r="AH713" s="80">
        <f>IF(P713="","",IF(P713="SIM",VLOOKUP($I713&amp;$J713&amp;P$1,Pesos!$A:$I,7,FALSE),VLOOKUP($I713&amp;$J713&amp;P$1,Pesos!$A:$I,9,FALSE)))</f>
        <v>1.2</v>
      </c>
      <c r="AI713" s="80">
        <f>IF(Q713="","",IF(Q713="SIM",VLOOKUP($I713&amp;$J713&amp;Q$1,Pesos!$A:$I,7,FALSE),VLOOKUP($I713&amp;$J713&amp;Q$1,Pesos!$A:$I,9,FALSE)))</f>
        <v>0.8</v>
      </c>
      <c r="AJ713" s="80">
        <f>IF(R713="","",IF(R713="SIM",VLOOKUP($I713&amp;$J713&amp;R$1,Pesos!$A:$I,7,FALSE),VLOOKUP($I713&amp;$J713&amp;R$1,Pesos!$A:$I,9,FALSE)))</f>
        <v>0.8</v>
      </c>
      <c r="AK713" s="80">
        <f>IF(S713="","",IF(S713="SIM",VLOOKUP($I713&amp;$J713&amp;S$1,Pesos!$A:$I,7,FALSE),VLOOKUP($I713&amp;$J713&amp;S$1,Pesos!$A:$I,9,FALSE)))</f>
        <v>0.8</v>
      </c>
      <c r="AL713" s="80">
        <f t="shared" si="98"/>
        <v>5.1999999999999993</v>
      </c>
      <c r="AM713" s="80">
        <f>IF(T713="","",IF(T713="SIM",VLOOKUP($I713&amp;$J713&amp;T$1,Pesos!$A:$I,7,FALSE),VLOOKUP($I713&amp;$J713&amp;T$1,Pesos!$A:$I,9,FALSE)))</f>
        <v>0.8</v>
      </c>
      <c r="AN713" s="80">
        <f>IF(U713="","",IF(U713="SIM",VLOOKUP($I713&amp;$J713&amp;U$1,Pesos!$A:$I,7,FALSE),VLOOKUP($I713&amp;$J713&amp;U$1,Pesos!$A:$I,9,FALSE)))</f>
        <v>0.8</v>
      </c>
      <c r="AO713" s="80">
        <f>IF(V713="","",IF(V713="SIM",VLOOKUP($I713&amp;$J713&amp;V$1,Pesos!$A:$I,7,FALSE),VLOOKUP($I713&amp;$J713&amp;V$1,Pesos!$A:$I,9,FALSE)))</f>
        <v>0.8</v>
      </c>
      <c r="AP713" s="80">
        <f>IF(W713="","",IF(W713="SIM",VLOOKUP($I713&amp;$J713&amp;W$1,Pesos!$A:$I,7,FALSE),VLOOKUP($I713&amp;$J713&amp;W$1,Pesos!$A:$I,9,FALSE)))</f>
        <v>0.8</v>
      </c>
      <c r="AQ713" s="80">
        <f>IF(X713="","",IF(X713="SIM",VLOOKUP($I713&amp;$J713&amp;X$1,Pesos!$A:$I,7,FALSE),VLOOKUP($I713&amp;$J713&amp;X$1,Pesos!$A:$I,9,FALSE)))</f>
        <v>0.8</v>
      </c>
      <c r="AR713" s="80">
        <f>IF(Y713="","",IF(Y713="SIM",VLOOKUP($I713&amp;$J713&amp;Y$1,Pesos!$A:$I,7,FALSE),VLOOKUP($I713&amp;$J713&amp;Y$1,Pesos!$A:$I,9,FALSE)))</f>
        <v>0.8</v>
      </c>
      <c r="AS713" s="81">
        <f>IFERROR(Z713*VLOOKUP(J713,'BD Campos'!$Y$1:$Z$12,2,FALSE),"0")</f>
        <v>10</v>
      </c>
    </row>
    <row r="714" spans="1:45" x14ac:dyDescent="0.35">
      <c r="A714" s="68" t="str">
        <f t="shared" si="100"/>
        <v>Fev202510892MotoristaUTI</v>
      </c>
      <c r="B714" s="114" t="str">
        <f t="shared" si="101"/>
        <v>Fev2025108921UTIPADRÃO</v>
      </c>
      <c r="C714" s="70">
        <v>1</v>
      </c>
      <c r="D714" s="71">
        <v>45705.518427083334</v>
      </c>
      <c r="E714" s="112" t="s">
        <v>338</v>
      </c>
      <c r="F714" s="72">
        <v>10892</v>
      </c>
      <c r="G714" s="69" t="s">
        <v>134</v>
      </c>
      <c r="H714" s="73">
        <v>1</v>
      </c>
      <c r="I714" s="69" t="s">
        <v>121</v>
      </c>
      <c r="J714" s="69" t="s">
        <v>122</v>
      </c>
      <c r="K714" s="69" t="s">
        <v>131</v>
      </c>
      <c r="L714" s="74">
        <v>31214839</v>
      </c>
      <c r="M714" s="75">
        <v>1.2268518518518518E-3</v>
      </c>
      <c r="N714" s="76" t="s">
        <v>79</v>
      </c>
      <c r="O714" s="76" t="s">
        <v>79</v>
      </c>
      <c r="P714" s="76" t="s">
        <v>79</v>
      </c>
      <c r="Q714" s="76" t="s">
        <v>79</v>
      </c>
      <c r="R714" s="76" t="s">
        <v>79</v>
      </c>
      <c r="S714" s="76" t="s">
        <v>83</v>
      </c>
      <c r="T714" s="76" t="s">
        <v>79</v>
      </c>
      <c r="U714" s="76" t="s">
        <v>79</v>
      </c>
      <c r="V714" s="76" t="s">
        <v>83</v>
      </c>
      <c r="W714" s="76" t="s">
        <v>79</v>
      </c>
      <c r="X714" s="76" t="s">
        <v>83</v>
      </c>
      <c r="Y714" s="76"/>
      <c r="Z714" s="77">
        <f t="shared" si="79"/>
        <v>7.0862500000000006</v>
      </c>
      <c r="AA714" s="78"/>
      <c r="AB714" s="78" t="s">
        <v>1756</v>
      </c>
      <c r="AC714" s="72" t="s">
        <v>47</v>
      </c>
      <c r="AE714" s="79" t="str">
        <f t="shared" si="103"/>
        <v>Fev10892</v>
      </c>
      <c r="AF714" s="80">
        <f>IF(N714="","",IF(N714="SIM",VLOOKUP($I714&amp;$J714&amp;N$1,Pesos!$A:$I,7,FALSE),VLOOKUP($I714&amp;$J714&amp;N$1,Pesos!$A:$I,9,FALSE)))</f>
        <v>0.89999999999999991</v>
      </c>
      <c r="AG714" s="80">
        <f>IF(O714="","",IF(O714="SIM",VLOOKUP($I714&amp;$J714&amp;O$1,Pesos!$A:$I,7,FALSE),VLOOKUP($I714&amp;$J714&amp;O$1,Pesos!$A:$I,9,FALSE)))</f>
        <v>0.89999999999999991</v>
      </c>
      <c r="AH714" s="80">
        <f>IF(P714="","",IF(P714="SIM",VLOOKUP($I714&amp;$J714&amp;P$1,Pesos!$A:$I,7,FALSE),VLOOKUP($I714&amp;$J714&amp;P$1,Pesos!$A:$I,9,FALSE)))</f>
        <v>0.89999999999999991</v>
      </c>
      <c r="AI714" s="80">
        <f>IF(Q714="","",IF(Q714="SIM",VLOOKUP($I714&amp;$J714&amp;Q$1,Pesos!$A:$I,7,FALSE),VLOOKUP($I714&amp;$J714&amp;Q$1,Pesos!$A:$I,9,FALSE)))</f>
        <v>0.89999999999999991</v>
      </c>
      <c r="AJ714" s="80">
        <f>IF(R714="","",IF(R714="SIM",VLOOKUP($I714&amp;$J714&amp;R$1,Pesos!$A:$I,7,FALSE),VLOOKUP($I714&amp;$J714&amp;R$1,Pesos!$A:$I,9,FALSE)))</f>
        <v>0.89999999999999991</v>
      </c>
      <c r="AK714" s="80">
        <f>IF(S714="","",IF(S714="SIM",VLOOKUP($I714&amp;$J714&amp;S$1,Pesos!$A:$I,7,FALSE),VLOOKUP($I714&amp;$J714&amp;S$1,Pesos!$A:$I,9,FALSE)))</f>
        <v>-4.4999999999999998E-2</v>
      </c>
      <c r="AL714" s="80">
        <f t="shared" si="98"/>
        <v>4.4550000000000001</v>
      </c>
      <c r="AM714" s="80">
        <f>IF(T714="","",IF(T714="SIM",VLOOKUP($I714&amp;$J714&amp;T$1,Pesos!$A:$I,7,FALSE),VLOOKUP($I714&amp;$J714&amp;T$1,Pesos!$A:$I,9,FALSE)))</f>
        <v>0.89999999999999991</v>
      </c>
      <c r="AN714" s="80">
        <f>IF(U714="","",IF(U714="SIM",VLOOKUP($I714&amp;$J714&amp;U$1,Pesos!$A:$I,7,FALSE),VLOOKUP($I714&amp;$J714&amp;U$1,Pesos!$A:$I,9,FALSE)))</f>
        <v>0.92500000000000004</v>
      </c>
      <c r="AO714" s="80">
        <f>IF(V714="","",IF(V714="SIM",VLOOKUP($I714&amp;$J714&amp;V$1,Pesos!$A:$I,7,FALSE),VLOOKUP($I714&amp;$J714&amp;V$1,Pesos!$A:$I,9,FALSE)))</f>
        <v>-4.6250000000000006E-2</v>
      </c>
      <c r="AP714" s="80">
        <f>IF(W714="","",IF(W714="SIM",VLOOKUP($I714&amp;$J714&amp;W$1,Pesos!$A:$I,7,FALSE),VLOOKUP($I714&amp;$J714&amp;W$1,Pesos!$A:$I,9,FALSE)))</f>
        <v>0.89999999999999991</v>
      </c>
      <c r="AQ714" s="80">
        <f>IF(X714="","",IF(X714="SIM",VLOOKUP($I714&amp;$J714&amp;X$1,Pesos!$A:$I,7,FALSE),VLOOKUP($I714&amp;$J714&amp;X$1,Pesos!$A:$I,9,FALSE)))</f>
        <v>-4.7500000000000001E-2</v>
      </c>
      <c r="AR714" s="80" t="str">
        <f>IF(Y714="","",IF(Y714="SIM",VLOOKUP($I714&amp;$J714&amp;Y$1,Pesos!$A:$I,7,FALSE),VLOOKUP($I714&amp;$J714&amp;Y$1,Pesos!$A:$I,9,FALSE)))</f>
        <v/>
      </c>
      <c r="AS714" s="81">
        <f>IFERROR(Z714*VLOOKUP(J714,'BD Campos'!$Y$1:$Z$12,2,FALSE),"0")</f>
        <v>7.0862500000000006</v>
      </c>
    </row>
    <row r="715" spans="1:45" x14ac:dyDescent="0.35">
      <c r="A715" s="68" t="str">
        <f t="shared" si="100"/>
        <v>Fev202510892ReceptivaUTI</v>
      </c>
      <c r="B715" s="114" t="str">
        <f t="shared" si="101"/>
        <v>Fev2025108925UTIPADRÃO</v>
      </c>
      <c r="C715" s="70">
        <v>1</v>
      </c>
      <c r="D715" s="71">
        <v>45705.591035185185</v>
      </c>
      <c r="E715" s="112" t="s">
        <v>338</v>
      </c>
      <c r="F715" s="72">
        <v>10892</v>
      </c>
      <c r="G715" s="69" t="s">
        <v>134</v>
      </c>
      <c r="H715" s="73">
        <v>5</v>
      </c>
      <c r="I715" s="69" t="s">
        <v>6</v>
      </c>
      <c r="J715" s="69" t="s">
        <v>98</v>
      </c>
      <c r="K715" s="69" t="s">
        <v>131</v>
      </c>
      <c r="L715" s="74"/>
      <c r="M715" s="75">
        <v>1.4814814814814814E-3</v>
      </c>
      <c r="N715" s="76" t="s">
        <v>79</v>
      </c>
      <c r="O715" s="76" t="s">
        <v>79</v>
      </c>
      <c r="P715" s="76" t="s">
        <v>79</v>
      </c>
      <c r="Q715" s="76" t="s">
        <v>79</v>
      </c>
      <c r="R715" s="76" t="s">
        <v>79</v>
      </c>
      <c r="S715" s="76" t="s">
        <v>79</v>
      </c>
      <c r="T715" s="76" t="s">
        <v>79</v>
      </c>
      <c r="U715" s="76" t="s">
        <v>79</v>
      </c>
      <c r="V715" s="76" t="s">
        <v>79</v>
      </c>
      <c r="W715" s="76" t="s">
        <v>79</v>
      </c>
      <c r="X715" s="76" t="s">
        <v>79</v>
      </c>
      <c r="Y715" s="76" t="s">
        <v>79</v>
      </c>
      <c r="Z715" s="77">
        <f t="shared" si="79"/>
        <v>10</v>
      </c>
      <c r="AA715" s="78"/>
      <c r="AB715" s="78"/>
      <c r="AC715" s="72" t="s">
        <v>47</v>
      </c>
      <c r="AE715" s="79" t="str">
        <f t="shared" si="103"/>
        <v>Fev10892</v>
      </c>
      <c r="AF715" s="80">
        <f>IF(N715="","",IF(N715="SIM",VLOOKUP($I715&amp;$J715&amp;N$1,Pesos!$A:$I,7,FALSE),VLOOKUP($I715&amp;$J715&amp;N$1,Pesos!$A:$I,9,FALSE)))</f>
        <v>0.8</v>
      </c>
      <c r="AG715" s="80">
        <f>IF(O715="","",IF(O715="SIM",VLOOKUP($I715&amp;$J715&amp;O$1,Pesos!$A:$I,7,FALSE),VLOOKUP($I715&amp;$J715&amp;O$1,Pesos!$A:$I,9,FALSE)))</f>
        <v>0.8</v>
      </c>
      <c r="AH715" s="80">
        <f>IF(P715="","",IF(P715="SIM",VLOOKUP($I715&amp;$J715&amp;P$1,Pesos!$A:$I,7,FALSE),VLOOKUP($I715&amp;$J715&amp;P$1,Pesos!$A:$I,9,FALSE)))</f>
        <v>1.2</v>
      </c>
      <c r="AI715" s="80">
        <f>IF(Q715="","",IF(Q715="SIM",VLOOKUP($I715&amp;$J715&amp;Q$1,Pesos!$A:$I,7,FALSE),VLOOKUP($I715&amp;$J715&amp;Q$1,Pesos!$A:$I,9,FALSE)))</f>
        <v>0.8</v>
      </c>
      <c r="AJ715" s="80">
        <f>IF(R715="","",IF(R715="SIM",VLOOKUP($I715&amp;$J715&amp;R$1,Pesos!$A:$I,7,FALSE),VLOOKUP($I715&amp;$J715&amp;R$1,Pesos!$A:$I,9,FALSE)))</f>
        <v>0.8</v>
      </c>
      <c r="AK715" s="80">
        <f>IF(S715="","",IF(S715="SIM",VLOOKUP($I715&amp;$J715&amp;S$1,Pesos!$A:$I,7,FALSE),VLOOKUP($I715&amp;$J715&amp;S$1,Pesos!$A:$I,9,FALSE)))</f>
        <v>0.8</v>
      </c>
      <c r="AL715" s="80">
        <f t="shared" si="98"/>
        <v>5.1999999999999993</v>
      </c>
      <c r="AM715" s="80">
        <f>IF(T715="","",IF(T715="SIM",VLOOKUP($I715&amp;$J715&amp;T$1,Pesos!$A:$I,7,FALSE),VLOOKUP($I715&amp;$J715&amp;T$1,Pesos!$A:$I,9,FALSE)))</f>
        <v>0.8</v>
      </c>
      <c r="AN715" s="80">
        <f>IF(U715="","",IF(U715="SIM",VLOOKUP($I715&amp;$J715&amp;U$1,Pesos!$A:$I,7,FALSE),VLOOKUP($I715&amp;$J715&amp;U$1,Pesos!$A:$I,9,FALSE)))</f>
        <v>0.8</v>
      </c>
      <c r="AO715" s="80">
        <f>IF(V715="","",IF(V715="SIM",VLOOKUP($I715&amp;$J715&amp;V$1,Pesos!$A:$I,7,FALSE),VLOOKUP($I715&amp;$J715&amp;V$1,Pesos!$A:$I,9,FALSE)))</f>
        <v>0.8</v>
      </c>
      <c r="AP715" s="80">
        <f>IF(W715="","",IF(W715="SIM",VLOOKUP($I715&amp;$J715&amp;W$1,Pesos!$A:$I,7,FALSE),VLOOKUP($I715&amp;$J715&amp;W$1,Pesos!$A:$I,9,FALSE)))</f>
        <v>0.8</v>
      </c>
      <c r="AQ715" s="80">
        <f>IF(X715="","",IF(X715="SIM",VLOOKUP($I715&amp;$J715&amp;X$1,Pesos!$A:$I,7,FALSE),VLOOKUP($I715&amp;$J715&amp;X$1,Pesos!$A:$I,9,FALSE)))</f>
        <v>0.8</v>
      </c>
      <c r="AR715" s="80">
        <f>IF(Y715="","",IF(Y715="SIM",VLOOKUP($I715&amp;$J715&amp;Y$1,Pesos!$A:$I,7,FALSE),VLOOKUP($I715&amp;$J715&amp;Y$1,Pesos!$A:$I,9,FALSE)))</f>
        <v>0.8</v>
      </c>
      <c r="AS715" s="81">
        <f>IFERROR(Z715*VLOOKUP(J715,'BD Campos'!$Y$1:$Z$12,2,FALSE),"0")</f>
        <v>10</v>
      </c>
    </row>
    <row r="716" spans="1:45" x14ac:dyDescent="0.35">
      <c r="A716" s="68" t="str">
        <f t="shared" si="100"/>
        <v>Fev20251962PoliciaBAS</v>
      </c>
      <c r="B716" s="114" t="str">
        <f t="shared" si="101"/>
        <v>Fev202519621BASPADRÃO</v>
      </c>
      <c r="C716" s="70">
        <v>1</v>
      </c>
      <c r="D716" s="71">
        <v>45705.596638310184</v>
      </c>
      <c r="E716" s="112" t="s">
        <v>338</v>
      </c>
      <c r="F716" s="72">
        <v>1962</v>
      </c>
      <c r="G716" s="69" t="s">
        <v>311</v>
      </c>
      <c r="H716" s="73">
        <v>1</v>
      </c>
      <c r="I716" s="69" t="s">
        <v>147</v>
      </c>
      <c r="J716" s="69" t="s">
        <v>146</v>
      </c>
      <c r="K716" s="69" t="s">
        <v>303</v>
      </c>
      <c r="L716" s="74">
        <v>31126071</v>
      </c>
      <c r="M716" s="75">
        <v>1.9328703703703704E-3</v>
      </c>
      <c r="N716" s="76" t="s">
        <v>79</v>
      </c>
      <c r="O716" s="76" t="s">
        <v>79</v>
      </c>
      <c r="P716" s="76" t="s">
        <v>79</v>
      </c>
      <c r="Q716" s="76" t="s">
        <v>79</v>
      </c>
      <c r="R716" s="76" t="s">
        <v>79</v>
      </c>
      <c r="S716" s="76" t="s">
        <v>79</v>
      </c>
      <c r="T716" s="76" t="s">
        <v>79</v>
      </c>
      <c r="U716" s="76" t="s">
        <v>79</v>
      </c>
      <c r="V716" s="76" t="s">
        <v>79</v>
      </c>
      <c r="W716" s="76" t="s">
        <v>79</v>
      </c>
      <c r="X716" s="76" t="s">
        <v>79</v>
      </c>
      <c r="Y716" s="76" t="s">
        <v>79</v>
      </c>
      <c r="Z716" s="77">
        <f t="shared" si="79"/>
        <v>10</v>
      </c>
      <c r="AA716" s="78"/>
      <c r="AB716" s="78" t="s">
        <v>1757</v>
      </c>
      <c r="AC716" s="72" t="s">
        <v>47</v>
      </c>
      <c r="AE716" s="79" t="str">
        <f t="shared" si="103"/>
        <v>Fev1962</v>
      </c>
      <c r="AF716" s="80">
        <f>IF(N716="","",IF(N716="SIM",VLOOKUP($I716&amp;$J716&amp;N$1,Pesos!$A:$I,7,FALSE),VLOOKUP($I716&amp;$J716&amp;N$1,Pesos!$A:$I,9,FALSE)))</f>
        <v>0.8</v>
      </c>
      <c r="AG716" s="80">
        <f>IF(O716="","",IF(O716="SIM",VLOOKUP($I716&amp;$J716&amp;O$1,Pesos!$A:$I,7,FALSE),VLOOKUP($I716&amp;$J716&amp;O$1,Pesos!$A:$I,9,FALSE)))</f>
        <v>0.8</v>
      </c>
      <c r="AH716" s="80">
        <f>IF(P716="","",IF(P716="SIM",VLOOKUP($I716&amp;$J716&amp;P$1,Pesos!$A:$I,7,FALSE),VLOOKUP($I716&amp;$J716&amp;P$1,Pesos!$A:$I,9,FALSE)))</f>
        <v>0.8</v>
      </c>
      <c r="AI716" s="80">
        <f>IF(Q716="","",IF(Q716="SIM",VLOOKUP($I716&amp;$J716&amp;Q$1,Pesos!$A:$I,7,FALSE),VLOOKUP($I716&amp;$J716&amp;Q$1,Pesos!$A:$I,9,FALSE)))</f>
        <v>0.8</v>
      </c>
      <c r="AJ716" s="80">
        <f>IF(R716="","",IF(R716="SIM",VLOOKUP($I716&amp;$J716&amp;R$1,Pesos!$A:$I,7,FALSE),VLOOKUP($I716&amp;$J716&amp;R$1,Pesos!$A:$I,9,FALSE)))</f>
        <v>0.8</v>
      </c>
      <c r="AK716" s="80">
        <f>IF(S716="","",IF(S716="SIM",VLOOKUP($I716&amp;$J716&amp;S$1,Pesos!$A:$I,7,FALSE),VLOOKUP($I716&amp;$J716&amp;S$1,Pesos!$A:$I,9,FALSE)))</f>
        <v>0.8</v>
      </c>
      <c r="AL716" s="80">
        <f t="shared" si="98"/>
        <v>4.8</v>
      </c>
      <c r="AM716" s="80">
        <f>IF(T716="","",IF(T716="SIM",VLOOKUP($I716&amp;$J716&amp;T$1,Pesos!$A:$I,7,FALSE),VLOOKUP($I716&amp;$J716&amp;T$1,Pesos!$A:$I,9,FALSE)))</f>
        <v>0.8</v>
      </c>
      <c r="AN716" s="80">
        <f>IF(U716="","",IF(U716="SIM",VLOOKUP($I716&amp;$J716&amp;U$1,Pesos!$A:$I,7,FALSE),VLOOKUP($I716&amp;$J716&amp;U$1,Pesos!$A:$I,9,FALSE)))</f>
        <v>0.8</v>
      </c>
      <c r="AO716" s="80">
        <f>IF(V716="","",IF(V716="SIM",VLOOKUP($I716&amp;$J716&amp;V$1,Pesos!$A:$I,7,FALSE),VLOOKUP($I716&amp;$J716&amp;V$1,Pesos!$A:$I,9,FALSE)))</f>
        <v>0.8</v>
      </c>
      <c r="AP716" s="80">
        <f>IF(W716="","",IF(W716="SIM",VLOOKUP($I716&amp;$J716&amp;W$1,Pesos!$A:$I,7,FALSE),VLOOKUP($I716&amp;$J716&amp;W$1,Pesos!$A:$I,9,FALSE)))</f>
        <v>0.8</v>
      </c>
      <c r="AQ716" s="80">
        <f>IF(X716="","",IF(X716="SIM",VLOOKUP($I716&amp;$J716&amp;X$1,Pesos!$A:$I,7,FALSE),VLOOKUP($I716&amp;$J716&amp;X$1,Pesos!$A:$I,9,FALSE)))</f>
        <v>1</v>
      </c>
      <c r="AR716" s="80">
        <f>IF(Y716="","",IF(Y716="SIM",VLOOKUP($I716&amp;$J716&amp;Y$1,Pesos!$A:$I,7,FALSE),VLOOKUP($I716&amp;$J716&amp;Y$1,Pesos!$A:$I,9,FALSE)))</f>
        <v>1</v>
      </c>
      <c r="AS716" s="81">
        <f>IFERROR(Z716*VLOOKUP(J716,'BD Campos'!$Y$1:$Z$12,2,FALSE),"0")</f>
        <v>10</v>
      </c>
    </row>
    <row r="717" spans="1:45" x14ac:dyDescent="0.35">
      <c r="A717" s="68" t="str">
        <f t="shared" si="100"/>
        <v>Fev20251962Policia 2BAS</v>
      </c>
      <c r="B717" s="114" t="str">
        <f t="shared" si="101"/>
        <v>Fev202519622BASPADRÃO</v>
      </c>
      <c r="C717" s="70">
        <v>1</v>
      </c>
      <c r="D717" s="71">
        <v>45705.599942129629</v>
      </c>
      <c r="E717" s="112" t="s">
        <v>338</v>
      </c>
      <c r="F717" s="72">
        <v>1962</v>
      </c>
      <c r="G717" s="69" t="s">
        <v>311</v>
      </c>
      <c r="H717" s="73">
        <v>2</v>
      </c>
      <c r="I717" s="69" t="s">
        <v>147</v>
      </c>
      <c r="J717" s="69" t="s">
        <v>304</v>
      </c>
      <c r="K717" s="69" t="s">
        <v>303</v>
      </c>
      <c r="L717" s="74">
        <v>31135931</v>
      </c>
      <c r="M717" s="75">
        <v>1.25E-3</v>
      </c>
      <c r="N717" s="76" t="s">
        <v>83</v>
      </c>
      <c r="O717" s="76" t="s">
        <v>79</v>
      </c>
      <c r="P717" s="76" t="s">
        <v>79</v>
      </c>
      <c r="Q717" s="76" t="s">
        <v>79</v>
      </c>
      <c r="R717" s="76" t="s">
        <v>79</v>
      </c>
      <c r="S717" s="76" t="s">
        <v>79</v>
      </c>
      <c r="T717" s="76" t="s">
        <v>79</v>
      </c>
      <c r="U717" s="76" t="s">
        <v>79</v>
      </c>
      <c r="V717" s="76" t="s">
        <v>79</v>
      </c>
      <c r="W717" s="76" t="s">
        <v>83</v>
      </c>
      <c r="X717" s="76" t="s">
        <v>83</v>
      </c>
      <c r="Y717" s="76" t="s">
        <v>79</v>
      </c>
      <c r="Z717" s="77">
        <f t="shared" si="79"/>
        <v>7.27</v>
      </c>
      <c r="AA717" s="78" t="s">
        <v>1662</v>
      </c>
      <c r="AB717" s="78" t="s">
        <v>1758</v>
      </c>
      <c r="AC717" s="72" t="s">
        <v>47</v>
      </c>
      <c r="AE717" s="79" t="str">
        <f t="shared" si="103"/>
        <v>Fev1962</v>
      </c>
      <c r="AF717" s="80">
        <f>IF(N717="","",IF(N717="SIM",VLOOKUP($I717&amp;$J717&amp;N$1,Pesos!$A:$I,7,FALSE),VLOOKUP($I717&amp;$J717&amp;N$1,Pesos!$A:$I,9,FALSE)))</f>
        <v>-4.0000000000000008E-2</v>
      </c>
      <c r="AG717" s="80">
        <f>IF(O717="","",IF(O717="SIM",VLOOKUP($I717&amp;$J717&amp;O$1,Pesos!$A:$I,7,FALSE),VLOOKUP($I717&amp;$J717&amp;O$1,Pesos!$A:$I,9,FALSE)))</f>
        <v>0.8</v>
      </c>
      <c r="AH717" s="80">
        <f>IF(P717="","",IF(P717="SIM",VLOOKUP($I717&amp;$J717&amp;P$1,Pesos!$A:$I,7,FALSE),VLOOKUP($I717&amp;$J717&amp;P$1,Pesos!$A:$I,9,FALSE)))</f>
        <v>0.8</v>
      </c>
      <c r="AI717" s="80">
        <f>IF(Q717="","",IF(Q717="SIM",VLOOKUP($I717&amp;$J717&amp;Q$1,Pesos!$A:$I,7,FALSE),VLOOKUP($I717&amp;$J717&amp;Q$1,Pesos!$A:$I,9,FALSE)))</f>
        <v>0.8</v>
      </c>
      <c r="AJ717" s="80">
        <f>IF(R717="","",IF(R717="SIM",VLOOKUP($I717&amp;$J717&amp;R$1,Pesos!$A:$I,7,FALSE),VLOOKUP($I717&amp;$J717&amp;R$1,Pesos!$A:$I,9,FALSE)))</f>
        <v>0.8</v>
      </c>
      <c r="AK717" s="80">
        <f>IF(S717="","",IF(S717="SIM",VLOOKUP($I717&amp;$J717&amp;S$1,Pesos!$A:$I,7,FALSE),VLOOKUP($I717&amp;$J717&amp;S$1,Pesos!$A:$I,9,FALSE)))</f>
        <v>0.8</v>
      </c>
      <c r="AL717" s="80">
        <f t="shared" si="98"/>
        <v>3.96</v>
      </c>
      <c r="AM717" s="80">
        <f>IF(T717="","",IF(T717="SIM",VLOOKUP($I717&amp;$J717&amp;T$1,Pesos!$A:$I,7,FALSE),VLOOKUP($I717&amp;$J717&amp;T$1,Pesos!$A:$I,9,FALSE)))</f>
        <v>0.8</v>
      </c>
      <c r="AN717" s="80">
        <f>IF(U717="","",IF(U717="SIM",VLOOKUP($I717&amp;$J717&amp;U$1,Pesos!$A:$I,7,FALSE),VLOOKUP($I717&amp;$J717&amp;U$1,Pesos!$A:$I,9,FALSE)))</f>
        <v>0.8</v>
      </c>
      <c r="AO717" s="80">
        <f>IF(V717="","",IF(V717="SIM",VLOOKUP($I717&amp;$J717&amp;V$1,Pesos!$A:$I,7,FALSE),VLOOKUP($I717&amp;$J717&amp;V$1,Pesos!$A:$I,9,FALSE)))</f>
        <v>0.8</v>
      </c>
      <c r="AP717" s="80">
        <f>IF(W717="","",IF(W717="SIM",VLOOKUP($I717&amp;$J717&amp;W$1,Pesos!$A:$I,7,FALSE),VLOOKUP($I717&amp;$J717&amp;W$1,Pesos!$A:$I,9,FALSE)))</f>
        <v>-4.0000000000000008E-2</v>
      </c>
      <c r="AQ717" s="80">
        <f>IF(X717="","",IF(X717="SIM",VLOOKUP($I717&amp;$J717&amp;X$1,Pesos!$A:$I,7,FALSE),VLOOKUP($I717&amp;$J717&amp;X$1,Pesos!$A:$I,9,FALSE)))</f>
        <v>-0.05</v>
      </c>
      <c r="AR717" s="80">
        <f>IF(Y717="","",IF(Y717="SIM",VLOOKUP($I717&amp;$J717&amp;Y$1,Pesos!$A:$I,7,FALSE),VLOOKUP($I717&amp;$J717&amp;Y$1,Pesos!$A:$I,9,FALSE)))</f>
        <v>1</v>
      </c>
      <c r="AS717" s="81" t="str">
        <f>IFERROR(Z717*VLOOKUP(J717,'BD Campos'!$Y$1:$Z$12,2,FALSE),"0")</f>
        <v>0</v>
      </c>
    </row>
    <row r="718" spans="1:45" x14ac:dyDescent="0.35">
      <c r="A718" s="68" t="str">
        <f t="shared" si="100"/>
        <v>Fev202510489MotoristaLOGÍSTICA</v>
      </c>
      <c r="B718" s="114" t="str">
        <f t="shared" si="101"/>
        <v>Fev2025104891LOGÍSTICAPADRÃO</v>
      </c>
      <c r="C718" s="70">
        <v>1</v>
      </c>
      <c r="D718" s="71">
        <v>45705.603397569444</v>
      </c>
      <c r="E718" s="112" t="s">
        <v>338</v>
      </c>
      <c r="F718" s="72">
        <v>10489</v>
      </c>
      <c r="G718" s="69" t="s">
        <v>205</v>
      </c>
      <c r="H718" s="73">
        <v>1</v>
      </c>
      <c r="I718" s="69" t="s">
        <v>1373</v>
      </c>
      <c r="J718" s="69" t="s">
        <v>122</v>
      </c>
      <c r="K718" s="69" t="s">
        <v>184</v>
      </c>
      <c r="L718" s="74"/>
      <c r="M718" s="75">
        <v>7.6388888888888893E-4</v>
      </c>
      <c r="N718" s="76" t="s">
        <v>79</v>
      </c>
      <c r="O718" s="76" t="s">
        <v>79</v>
      </c>
      <c r="P718" s="76" t="s">
        <v>79</v>
      </c>
      <c r="Q718" s="76" t="s">
        <v>79</v>
      </c>
      <c r="R718" s="76" t="s">
        <v>79</v>
      </c>
      <c r="S718" s="76" t="s">
        <v>79</v>
      </c>
      <c r="T718" s="76" t="s">
        <v>79</v>
      </c>
      <c r="U718" s="76" t="s">
        <v>79</v>
      </c>
      <c r="V718" s="76"/>
      <c r="W718" s="76"/>
      <c r="X718" s="76"/>
      <c r="Y718" s="76"/>
      <c r="Z718" s="77">
        <f t="shared" si="79"/>
        <v>10</v>
      </c>
      <c r="AA718" s="78"/>
      <c r="AB718" s="78"/>
      <c r="AC718" s="72" t="s">
        <v>47</v>
      </c>
      <c r="AE718" s="79" t="str">
        <f t="shared" si="103"/>
        <v>Fev10489</v>
      </c>
      <c r="AF718" s="80">
        <f>IF(N718="","",IF(N718="SIM",VLOOKUP($I718&amp;$J718&amp;N$1,Pesos!$A:$I,7,FALSE),VLOOKUP($I718&amp;$J718&amp;N$1,Pesos!$A:$I,9,FALSE)))</f>
        <v>1.1000000000000001</v>
      </c>
      <c r="AG718" s="80">
        <f>IF(O718="","",IF(O718="SIM",VLOOKUP($I718&amp;$J718&amp;O$1,Pesos!$A:$I,7,FALSE),VLOOKUP($I718&amp;$J718&amp;O$1,Pesos!$A:$I,9,FALSE)))</f>
        <v>1.1000000000000001</v>
      </c>
      <c r="AH718" s="80">
        <f>IF(P718="","",IF(P718="SIM",VLOOKUP($I718&amp;$J718&amp;P$1,Pesos!$A:$I,7,FALSE),VLOOKUP($I718&amp;$J718&amp;P$1,Pesos!$A:$I,9,FALSE)))</f>
        <v>1.1000000000000001</v>
      </c>
      <c r="AI718" s="80">
        <f>IF(Q718="","",IF(Q718="SIM",VLOOKUP($I718&amp;$J718&amp;Q$1,Pesos!$A:$I,7,FALSE),VLOOKUP($I718&amp;$J718&amp;Q$1,Pesos!$A:$I,9,FALSE)))</f>
        <v>1.1000000000000001</v>
      </c>
      <c r="AJ718" s="80">
        <f>IF(R718="","",IF(R718="SIM",VLOOKUP($I718&amp;$J718&amp;R$1,Pesos!$A:$I,7,FALSE),VLOOKUP($I718&amp;$J718&amp;R$1,Pesos!$A:$I,9,FALSE)))</f>
        <v>1.1000000000000001</v>
      </c>
      <c r="AK718" s="80">
        <f>IF(S718="","",IF(S718="SIM",VLOOKUP($I718&amp;$J718&amp;S$1,Pesos!$A:$I,7,FALSE),VLOOKUP($I718&amp;$J718&amp;S$1,Pesos!$A:$I,9,FALSE)))</f>
        <v>1.5</v>
      </c>
      <c r="AL718" s="80">
        <f t="shared" si="98"/>
        <v>7</v>
      </c>
      <c r="AM718" s="80">
        <f>IF(T718="","",IF(T718="SIM",VLOOKUP($I718&amp;$J718&amp;T$1,Pesos!$A:$I,7,FALSE),VLOOKUP($I718&amp;$J718&amp;T$1,Pesos!$A:$I,9,FALSE)))</f>
        <v>1.5</v>
      </c>
      <c r="AN718" s="80">
        <f>IF(U718="","",IF(U718="SIM",VLOOKUP($I718&amp;$J718&amp;U$1,Pesos!$A:$I,7,FALSE),VLOOKUP($I718&amp;$J718&amp;U$1,Pesos!$A:$I,9,FALSE)))</f>
        <v>1.5</v>
      </c>
      <c r="AO718" s="80" t="str">
        <f>IF(V718="","",IF(V718="SIM",VLOOKUP($I718&amp;$J718&amp;V$1,Pesos!$A:$I,7,FALSE),VLOOKUP($I718&amp;$J718&amp;V$1,Pesos!$A:$I,9,FALSE)))</f>
        <v/>
      </c>
      <c r="AP718" s="80" t="str">
        <f>IF(W718="","",IF(W718="SIM",VLOOKUP($I718&amp;$J718&amp;W$1,Pesos!$A:$I,7,FALSE),VLOOKUP($I718&amp;$J718&amp;W$1,Pesos!$A:$I,9,FALSE)))</f>
        <v/>
      </c>
      <c r="AQ718" s="80" t="str">
        <f>IF(X718="","",IF(X718="SIM",VLOOKUP($I718&amp;$J718&amp;X$1,Pesos!$A:$I,7,FALSE),VLOOKUP($I718&amp;$J718&amp;X$1,Pesos!$A:$I,9,FALSE)))</f>
        <v/>
      </c>
      <c r="AR718" s="80" t="str">
        <f>IF(Y718="","",IF(Y718="SIM",VLOOKUP($I718&amp;$J718&amp;Y$1,Pesos!$A:$I,7,FALSE),VLOOKUP($I718&amp;$J718&amp;Y$1,Pesos!$A:$I,9,FALSE)))</f>
        <v/>
      </c>
      <c r="AS718" s="81">
        <f>IFERROR(Z718*VLOOKUP(J718,'BD Campos'!$Y$1:$Z$12,2,FALSE),"0")</f>
        <v>10</v>
      </c>
    </row>
    <row r="719" spans="1:45" x14ac:dyDescent="0.35">
      <c r="A719" s="68" t="str">
        <f t="shared" si="100"/>
        <v>Fev202511218Motorista 2LOGÍSTICA</v>
      </c>
      <c r="B719" s="114" t="str">
        <f t="shared" si="101"/>
        <v>Fev2025112182LOGÍSTICAPADRÃO</v>
      </c>
      <c r="C719" s="70">
        <v>1</v>
      </c>
      <c r="D719" s="71">
        <v>45705.609188194445</v>
      </c>
      <c r="E719" s="112" t="s">
        <v>338</v>
      </c>
      <c r="F719" s="72">
        <v>11218</v>
      </c>
      <c r="G719" s="69" t="s">
        <v>1401</v>
      </c>
      <c r="H719" s="73">
        <v>2</v>
      </c>
      <c r="I719" s="69" t="s">
        <v>1373</v>
      </c>
      <c r="J719" s="69" t="s">
        <v>204</v>
      </c>
      <c r="K719" s="69" t="s">
        <v>184</v>
      </c>
      <c r="L719" s="74"/>
      <c r="M719" s="75">
        <v>1.1111111111111111E-3</v>
      </c>
      <c r="N719" s="76" t="s">
        <v>79</v>
      </c>
      <c r="O719" s="76" t="s">
        <v>79</v>
      </c>
      <c r="P719" s="76" t="s">
        <v>79</v>
      </c>
      <c r="Q719" s="76" t="s">
        <v>79</v>
      </c>
      <c r="R719" s="76" t="s">
        <v>79</v>
      </c>
      <c r="S719" s="76" t="s">
        <v>79</v>
      </c>
      <c r="T719" s="76" t="s">
        <v>79</v>
      </c>
      <c r="U719" s="76" t="s">
        <v>79</v>
      </c>
      <c r="V719" s="76"/>
      <c r="W719" s="76"/>
      <c r="X719" s="76"/>
      <c r="Y719" s="76"/>
      <c r="Z719" s="77">
        <f t="shared" si="79"/>
        <v>10</v>
      </c>
      <c r="AA719" s="78"/>
      <c r="AB719" s="78"/>
      <c r="AC719" s="72" t="s">
        <v>47</v>
      </c>
      <c r="AE719" s="79" t="str">
        <f t="shared" si="103"/>
        <v>Fev11218</v>
      </c>
      <c r="AF719" s="80">
        <f>IF(N719="","",IF(N719="SIM",VLOOKUP($I719&amp;$J719&amp;N$1,Pesos!$A:$I,7,FALSE),VLOOKUP($I719&amp;$J719&amp;N$1,Pesos!$A:$I,9,FALSE)))</f>
        <v>1.1000000000000001</v>
      </c>
      <c r="AG719" s="80">
        <f>IF(O719="","",IF(O719="SIM",VLOOKUP($I719&amp;$J719&amp;O$1,Pesos!$A:$I,7,FALSE),VLOOKUP($I719&amp;$J719&amp;O$1,Pesos!$A:$I,9,FALSE)))</f>
        <v>1.1000000000000001</v>
      </c>
      <c r="AH719" s="80">
        <f>IF(P719="","",IF(P719="SIM",VLOOKUP($I719&amp;$J719&amp;P$1,Pesos!$A:$I,7,FALSE),VLOOKUP($I719&amp;$J719&amp;P$1,Pesos!$A:$I,9,FALSE)))</f>
        <v>1.1000000000000001</v>
      </c>
      <c r="AI719" s="80">
        <f>IF(Q719="","",IF(Q719="SIM",VLOOKUP($I719&amp;$J719&amp;Q$1,Pesos!$A:$I,7,FALSE),VLOOKUP($I719&amp;$J719&amp;Q$1,Pesos!$A:$I,9,FALSE)))</f>
        <v>1.1000000000000001</v>
      </c>
      <c r="AJ719" s="80">
        <f>IF(R719="","",IF(R719="SIM",VLOOKUP($I719&amp;$J719&amp;R$1,Pesos!$A:$I,7,FALSE),VLOOKUP($I719&amp;$J719&amp;R$1,Pesos!$A:$I,9,FALSE)))</f>
        <v>1.1000000000000001</v>
      </c>
      <c r="AK719" s="80">
        <f>IF(S719="","",IF(S719="SIM",VLOOKUP($I719&amp;$J719&amp;S$1,Pesos!$A:$I,7,FALSE),VLOOKUP($I719&amp;$J719&amp;S$1,Pesos!$A:$I,9,FALSE)))</f>
        <v>1.5</v>
      </c>
      <c r="AL719" s="80">
        <f t="shared" si="98"/>
        <v>7</v>
      </c>
      <c r="AM719" s="80">
        <f>IF(T719="","",IF(T719="SIM",VLOOKUP($I719&amp;$J719&amp;T$1,Pesos!$A:$I,7,FALSE),VLOOKUP($I719&amp;$J719&amp;T$1,Pesos!$A:$I,9,FALSE)))</f>
        <v>1.5</v>
      </c>
      <c r="AN719" s="80">
        <f>IF(U719="","",IF(U719="SIM",VLOOKUP($I719&amp;$J719&amp;U$1,Pesos!$A:$I,7,FALSE),VLOOKUP($I719&amp;$J719&amp;U$1,Pesos!$A:$I,9,FALSE)))</f>
        <v>1.5</v>
      </c>
      <c r="AO719" s="80" t="str">
        <f>IF(V719="","",IF(V719="SIM",VLOOKUP($I719&amp;$J719&amp;V$1,Pesos!$A:$I,7,FALSE),VLOOKUP($I719&amp;$J719&amp;V$1,Pesos!$A:$I,9,FALSE)))</f>
        <v/>
      </c>
      <c r="AP719" s="80" t="str">
        <f>IF(W719="","",IF(W719="SIM",VLOOKUP($I719&amp;$J719&amp;W$1,Pesos!$A:$I,7,FALSE),VLOOKUP($I719&amp;$J719&amp;W$1,Pesos!$A:$I,9,FALSE)))</f>
        <v/>
      </c>
      <c r="AQ719" s="80" t="str">
        <f>IF(X719="","",IF(X719="SIM",VLOOKUP($I719&amp;$J719&amp;X$1,Pesos!$A:$I,7,FALSE),VLOOKUP($I719&amp;$J719&amp;X$1,Pesos!$A:$I,9,FALSE)))</f>
        <v/>
      </c>
      <c r="AR719" s="80" t="str">
        <f>IF(Y719="","",IF(Y719="SIM",VLOOKUP($I719&amp;$J719&amp;Y$1,Pesos!$A:$I,7,FALSE),VLOOKUP($I719&amp;$J719&amp;Y$1,Pesos!$A:$I,9,FALSE)))</f>
        <v/>
      </c>
      <c r="AS719" s="81">
        <f>IFERROR(Z719*VLOOKUP(J719,'BD Campos'!$Y$1:$Z$12,2,FALSE),"0")</f>
        <v>10</v>
      </c>
    </row>
    <row r="720" spans="1:45" x14ac:dyDescent="0.35">
      <c r="A720" s="68" t="str">
        <f t="shared" si="100"/>
        <v>Fev202511183MotoristaTRANSFERÊNCIA</v>
      </c>
      <c r="B720" s="114" t="str">
        <f t="shared" si="101"/>
        <v>Fev2025111831TRANSFERÊNCIAPADRÃO</v>
      </c>
      <c r="C720" s="70">
        <v>1</v>
      </c>
      <c r="D720" s="71">
        <v>45705.621757638888</v>
      </c>
      <c r="E720" s="112" t="s">
        <v>338</v>
      </c>
      <c r="F720" s="72">
        <v>11183</v>
      </c>
      <c r="G720" s="69" t="s">
        <v>1359</v>
      </c>
      <c r="H720" s="73">
        <v>1</v>
      </c>
      <c r="I720" s="69" t="s">
        <v>147</v>
      </c>
      <c r="J720" s="69" t="s">
        <v>122</v>
      </c>
      <c r="K720" s="69" t="s">
        <v>106</v>
      </c>
      <c r="L720" s="74">
        <v>31110921</v>
      </c>
      <c r="M720" s="75">
        <v>1.689814814814815E-3</v>
      </c>
      <c r="N720" s="76"/>
      <c r="O720" s="76"/>
      <c r="P720" s="76"/>
      <c r="Q720" s="76"/>
      <c r="R720" s="76"/>
      <c r="S720" s="76"/>
      <c r="T720" s="76"/>
      <c r="U720" s="76"/>
      <c r="V720" s="76"/>
      <c r="W720" s="76"/>
      <c r="X720" s="76"/>
      <c r="Y720" s="76"/>
      <c r="Z720" s="77">
        <f t="shared" si="79"/>
        <v>0</v>
      </c>
      <c r="AA720" s="78" t="s">
        <v>1684</v>
      </c>
      <c r="AB720" s="78" t="s">
        <v>1759</v>
      </c>
      <c r="AC720" s="72" t="s">
        <v>47</v>
      </c>
      <c r="AE720" s="79" t="str">
        <f t="shared" si="103"/>
        <v>Fev11183</v>
      </c>
      <c r="AF720" s="80" t="str">
        <f>IF(N720="","",IF(N720="SIM",VLOOKUP($I720&amp;$J720&amp;N$1,Pesos!$A:$I,7,FALSE),VLOOKUP($I720&amp;$J720&amp;N$1,Pesos!$A:$I,9,FALSE)))</f>
        <v/>
      </c>
      <c r="AG720" s="80" t="str">
        <f>IF(O720="","",IF(O720="SIM",VLOOKUP($I720&amp;$J720&amp;O$1,Pesos!$A:$I,7,FALSE),VLOOKUP($I720&amp;$J720&amp;O$1,Pesos!$A:$I,9,FALSE)))</f>
        <v/>
      </c>
      <c r="AH720" s="80" t="str">
        <f>IF(P720="","",IF(P720="SIM",VLOOKUP($I720&amp;$J720&amp;P$1,Pesos!$A:$I,7,FALSE),VLOOKUP($I720&amp;$J720&amp;P$1,Pesos!$A:$I,9,FALSE)))</f>
        <v/>
      </c>
      <c r="AI720" s="80" t="str">
        <f>IF(Q720="","",IF(Q720="SIM",VLOOKUP($I720&amp;$J720&amp;Q$1,Pesos!$A:$I,7,FALSE),VLOOKUP($I720&amp;$J720&amp;Q$1,Pesos!$A:$I,9,FALSE)))</f>
        <v/>
      </c>
      <c r="AJ720" s="80" t="str">
        <f>IF(R720="","",IF(R720="SIM",VLOOKUP($I720&amp;$J720&amp;R$1,Pesos!$A:$I,7,FALSE),VLOOKUP($I720&amp;$J720&amp;R$1,Pesos!$A:$I,9,FALSE)))</f>
        <v/>
      </c>
      <c r="AK720" s="80" t="str">
        <f>IF(S720="","",IF(S720="SIM",VLOOKUP($I720&amp;$J720&amp;S$1,Pesos!$A:$I,7,FALSE),VLOOKUP($I720&amp;$J720&amp;S$1,Pesos!$A:$I,9,FALSE)))</f>
        <v/>
      </c>
      <c r="AL720" s="80">
        <f t="shared" si="98"/>
        <v>0</v>
      </c>
      <c r="AM720" s="80" t="str">
        <f>IF(T720="","",IF(T720="SIM",VLOOKUP($I720&amp;$J720&amp;T$1,Pesos!$A:$I,7,FALSE),VLOOKUP($I720&amp;$J720&amp;T$1,Pesos!$A:$I,9,FALSE)))</f>
        <v/>
      </c>
      <c r="AN720" s="80" t="str">
        <f>IF(U720="","",IF(U720="SIM",VLOOKUP($I720&amp;$J720&amp;U$1,Pesos!$A:$I,7,FALSE),VLOOKUP($I720&amp;$J720&amp;U$1,Pesos!$A:$I,9,FALSE)))</f>
        <v/>
      </c>
      <c r="AO720" s="80" t="str">
        <f>IF(V720="","",IF(V720="SIM",VLOOKUP($I720&amp;$J720&amp;V$1,Pesos!$A:$I,7,FALSE),VLOOKUP($I720&amp;$J720&amp;V$1,Pesos!$A:$I,9,FALSE)))</f>
        <v/>
      </c>
      <c r="AP720" s="80" t="str">
        <f>IF(W720="","",IF(W720="SIM",VLOOKUP($I720&amp;$J720&amp;W$1,Pesos!$A:$I,7,FALSE),VLOOKUP($I720&amp;$J720&amp;W$1,Pesos!$A:$I,9,FALSE)))</f>
        <v/>
      </c>
      <c r="AQ720" s="80" t="str">
        <f>IF(X720="","",IF(X720="SIM",VLOOKUP($I720&amp;$J720&amp;X$1,Pesos!$A:$I,7,FALSE),VLOOKUP($I720&amp;$J720&amp;X$1,Pesos!$A:$I,9,FALSE)))</f>
        <v/>
      </c>
      <c r="AR720" s="80" t="str">
        <f>IF(Y720="","",IF(Y720="SIM",VLOOKUP($I720&amp;$J720&amp;Y$1,Pesos!$A:$I,7,FALSE),VLOOKUP($I720&amp;$J720&amp;Y$1,Pesos!$A:$I,9,FALSE)))</f>
        <v/>
      </c>
      <c r="AS720" s="81">
        <f>IFERROR(Z720*VLOOKUP(J720,'BD Campos'!$Y$1:$Z$12,2,FALSE),"0")</f>
        <v>0</v>
      </c>
    </row>
    <row r="721" spans="1:45" x14ac:dyDescent="0.35">
      <c r="A721" s="68" t="str">
        <f t="shared" si="100"/>
        <v>Fev202510962MotoristaTRANSFERÊNCIA</v>
      </c>
      <c r="B721" s="114" t="str">
        <f t="shared" si="101"/>
        <v>Fev2025109621TRANSFERÊNCIAPADRÃO</v>
      </c>
      <c r="C721" s="70">
        <v>1</v>
      </c>
      <c r="D721" s="71">
        <v>45705.627774652778</v>
      </c>
      <c r="E721" s="112" t="s">
        <v>338</v>
      </c>
      <c r="F721" s="72">
        <v>10962</v>
      </c>
      <c r="G721" s="69" t="s">
        <v>178</v>
      </c>
      <c r="H721" s="73">
        <v>1</v>
      </c>
      <c r="I721" s="69" t="s">
        <v>126</v>
      </c>
      <c r="J721" s="69" t="s">
        <v>122</v>
      </c>
      <c r="K721" s="69" t="s">
        <v>106</v>
      </c>
      <c r="L721" s="74">
        <v>31138610</v>
      </c>
      <c r="M721" s="75">
        <v>3.9699074074074072E-3</v>
      </c>
      <c r="N721" s="76"/>
      <c r="O721" s="76"/>
      <c r="P721" s="76"/>
      <c r="Q721" s="76"/>
      <c r="R721" s="76"/>
      <c r="S721" s="76"/>
      <c r="T721" s="76"/>
      <c r="U721" s="76"/>
      <c r="V721" s="76"/>
      <c r="W721" s="76"/>
      <c r="X721" s="76"/>
      <c r="Y721" s="76"/>
      <c r="Z721" s="77">
        <f t="shared" si="79"/>
        <v>0</v>
      </c>
      <c r="AA721" s="78" t="s">
        <v>1516</v>
      </c>
      <c r="AB721" s="78" t="s">
        <v>1760</v>
      </c>
      <c r="AC721" s="72" t="s">
        <v>47</v>
      </c>
      <c r="AE721" s="79" t="str">
        <f t="shared" si="103"/>
        <v>Fev10962</v>
      </c>
      <c r="AF721" s="80" t="str">
        <f>IF(N721="","",IF(N721="SIM",VLOOKUP($I721&amp;$J721&amp;N$1,Pesos!$A:$I,7,FALSE),VLOOKUP($I721&amp;$J721&amp;N$1,Pesos!$A:$I,9,FALSE)))</f>
        <v/>
      </c>
      <c r="AG721" s="80" t="str">
        <f>IF(O721="","",IF(O721="SIM",VLOOKUP($I721&amp;$J721&amp;O$1,Pesos!$A:$I,7,FALSE),VLOOKUP($I721&amp;$J721&amp;O$1,Pesos!$A:$I,9,FALSE)))</f>
        <v/>
      </c>
      <c r="AH721" s="80" t="str">
        <f>IF(P721="","",IF(P721="SIM",VLOOKUP($I721&amp;$J721&amp;P$1,Pesos!$A:$I,7,FALSE),VLOOKUP($I721&amp;$J721&amp;P$1,Pesos!$A:$I,9,FALSE)))</f>
        <v/>
      </c>
      <c r="AI721" s="80" t="str">
        <f>IF(Q721="","",IF(Q721="SIM",VLOOKUP($I721&amp;$J721&amp;Q$1,Pesos!$A:$I,7,FALSE),VLOOKUP($I721&amp;$J721&amp;Q$1,Pesos!$A:$I,9,FALSE)))</f>
        <v/>
      </c>
      <c r="AJ721" s="80" t="str">
        <f>IF(R721="","",IF(R721="SIM",VLOOKUP($I721&amp;$J721&amp;R$1,Pesos!$A:$I,7,FALSE),VLOOKUP($I721&amp;$J721&amp;R$1,Pesos!$A:$I,9,FALSE)))</f>
        <v/>
      </c>
      <c r="AK721" s="80" t="str">
        <f>IF(S721="","",IF(S721="SIM",VLOOKUP($I721&amp;$J721&amp;S$1,Pesos!$A:$I,7,FALSE),VLOOKUP($I721&amp;$J721&amp;S$1,Pesos!$A:$I,9,FALSE)))</f>
        <v/>
      </c>
      <c r="AL721" s="80">
        <f t="shared" ref="AL721:AL765" si="104">SUM(AF721:AK721)</f>
        <v>0</v>
      </c>
      <c r="AM721" s="80" t="str">
        <f>IF(T721="","",IF(T721="SIM",VLOOKUP($I721&amp;$J721&amp;T$1,Pesos!$A:$I,7,FALSE),VLOOKUP($I721&amp;$J721&amp;T$1,Pesos!$A:$I,9,FALSE)))</f>
        <v/>
      </c>
      <c r="AN721" s="80" t="str">
        <f>IF(U721="","",IF(U721="SIM",VLOOKUP($I721&amp;$J721&amp;U$1,Pesos!$A:$I,7,FALSE),VLOOKUP($I721&amp;$J721&amp;U$1,Pesos!$A:$I,9,FALSE)))</f>
        <v/>
      </c>
      <c r="AO721" s="80" t="str">
        <f>IF(V721="","",IF(V721="SIM",VLOOKUP($I721&amp;$J721&amp;V$1,Pesos!$A:$I,7,FALSE),VLOOKUP($I721&amp;$J721&amp;V$1,Pesos!$A:$I,9,FALSE)))</f>
        <v/>
      </c>
      <c r="AP721" s="80" t="str">
        <f>IF(W721="","",IF(W721="SIM",VLOOKUP($I721&amp;$J721&amp;W$1,Pesos!$A:$I,7,FALSE),VLOOKUP($I721&amp;$J721&amp;W$1,Pesos!$A:$I,9,FALSE)))</f>
        <v/>
      </c>
      <c r="AQ721" s="80" t="str">
        <f>IF(X721="","",IF(X721="SIM",VLOOKUP($I721&amp;$J721&amp;X$1,Pesos!$A:$I,7,FALSE),VLOOKUP($I721&amp;$J721&amp;X$1,Pesos!$A:$I,9,FALSE)))</f>
        <v/>
      </c>
      <c r="AR721" s="80" t="str">
        <f>IF(Y721="","",IF(Y721="SIM",VLOOKUP($I721&amp;$J721&amp;Y$1,Pesos!$A:$I,7,FALSE),VLOOKUP($I721&amp;$J721&amp;Y$1,Pesos!$A:$I,9,FALSE)))</f>
        <v/>
      </c>
      <c r="AS721" s="81">
        <f>IFERROR(Z721*VLOOKUP(J721,'BD Campos'!$Y$1:$Z$12,2,FALSE),"0")</f>
        <v>0</v>
      </c>
    </row>
    <row r="722" spans="1:45" x14ac:dyDescent="0.35">
      <c r="A722" s="68" t="str">
        <f t="shared" si="100"/>
        <v>Fev202511155MotoristaTRANSFERÊNCIA</v>
      </c>
      <c r="B722" s="114" t="str">
        <f t="shared" si="101"/>
        <v>Fev2025111551TRANSFERÊNCIAPADRÃO</v>
      </c>
      <c r="C722" s="70">
        <v>1</v>
      </c>
      <c r="D722" s="71">
        <v>45705.633044097223</v>
      </c>
      <c r="E722" s="112" t="s">
        <v>338</v>
      </c>
      <c r="F722" s="72">
        <v>11155</v>
      </c>
      <c r="G722" s="69" t="s">
        <v>449</v>
      </c>
      <c r="H722" s="73">
        <v>1</v>
      </c>
      <c r="I722" s="69" t="s">
        <v>147</v>
      </c>
      <c r="J722" s="69" t="s">
        <v>122</v>
      </c>
      <c r="K722" s="69" t="s">
        <v>106</v>
      </c>
      <c r="L722" s="74">
        <v>31145071</v>
      </c>
      <c r="M722" s="75">
        <v>2.7199074074074074E-3</v>
      </c>
      <c r="N722" s="76" t="s">
        <v>79</v>
      </c>
      <c r="O722" s="76" t="s">
        <v>79</v>
      </c>
      <c r="P722" s="76" t="s">
        <v>79</v>
      </c>
      <c r="Q722" s="76" t="s">
        <v>79</v>
      </c>
      <c r="R722" s="76" t="s">
        <v>79</v>
      </c>
      <c r="S722" s="76" t="s">
        <v>83</v>
      </c>
      <c r="T722" s="76" t="s">
        <v>79</v>
      </c>
      <c r="U722" s="76" t="s">
        <v>79</v>
      </c>
      <c r="V722" s="76"/>
      <c r="W722" s="76"/>
      <c r="X722" s="76"/>
      <c r="Y722" s="76"/>
      <c r="Z722" s="77">
        <f t="shared" si="79"/>
        <v>8.32</v>
      </c>
      <c r="AA722" s="78" t="s">
        <v>1811</v>
      </c>
      <c r="AB722" s="78" t="s">
        <v>1761</v>
      </c>
      <c r="AC722" s="72" t="s">
        <v>47</v>
      </c>
      <c r="AE722" s="79" t="str">
        <f t="shared" si="103"/>
        <v>Fev11155</v>
      </c>
      <c r="AF722" s="80">
        <f>IF(N722="","",IF(N722="SIM",VLOOKUP($I722&amp;$J722&amp;N$1,Pesos!$A:$I,7,FALSE),VLOOKUP($I722&amp;$J722&amp;N$1,Pesos!$A:$I,9,FALSE)))</f>
        <v>1.1000000000000001</v>
      </c>
      <c r="AG722" s="80">
        <f>IF(O722="","",IF(O722="SIM",VLOOKUP($I722&amp;$J722&amp;O$1,Pesos!$A:$I,7,FALSE),VLOOKUP($I722&amp;$J722&amp;O$1,Pesos!$A:$I,9,FALSE)))</f>
        <v>1.1000000000000001</v>
      </c>
      <c r="AH722" s="80">
        <f>IF(P722="","",IF(P722="SIM",VLOOKUP($I722&amp;$J722&amp;P$1,Pesos!$A:$I,7,FALSE),VLOOKUP($I722&amp;$J722&amp;P$1,Pesos!$A:$I,9,FALSE)))</f>
        <v>1.1000000000000001</v>
      </c>
      <c r="AI722" s="80">
        <f>IF(Q722="","",IF(Q722="SIM",VLOOKUP($I722&amp;$J722&amp;Q$1,Pesos!$A:$I,7,FALSE),VLOOKUP($I722&amp;$J722&amp;Q$1,Pesos!$A:$I,9,FALSE)))</f>
        <v>1.1000000000000001</v>
      </c>
      <c r="AJ722" s="80">
        <f>IF(R722="","",IF(R722="SIM",VLOOKUP($I722&amp;$J722&amp;R$1,Pesos!$A:$I,7,FALSE),VLOOKUP($I722&amp;$J722&amp;R$1,Pesos!$A:$I,9,FALSE)))</f>
        <v>1.1000000000000001</v>
      </c>
      <c r="AK722" s="80">
        <f>IF(S722="","",IF(S722="SIM",VLOOKUP($I722&amp;$J722&amp;S$1,Pesos!$A:$I,7,FALSE),VLOOKUP($I722&amp;$J722&amp;S$1,Pesos!$A:$I,9,FALSE)))</f>
        <v>-8.0000000000000016E-2</v>
      </c>
      <c r="AL722" s="80">
        <f t="shared" si="104"/>
        <v>5.42</v>
      </c>
      <c r="AM722" s="80">
        <f>IF(T722="","",IF(T722="SIM",VLOOKUP($I722&amp;$J722&amp;T$1,Pesos!$A:$I,7,FALSE),VLOOKUP($I722&amp;$J722&amp;T$1,Pesos!$A:$I,9,FALSE)))</f>
        <v>1.2</v>
      </c>
      <c r="AN722" s="80">
        <f>IF(U722="","",IF(U722="SIM",VLOOKUP($I722&amp;$J722&amp;U$1,Pesos!$A:$I,7,FALSE),VLOOKUP($I722&amp;$J722&amp;U$1,Pesos!$A:$I,9,FALSE)))</f>
        <v>1.7000000000000002</v>
      </c>
      <c r="AO722" s="80" t="str">
        <f>IF(V722="","",IF(V722="SIM",VLOOKUP($I722&amp;$J722&amp;V$1,Pesos!$A:$I,7,FALSE),VLOOKUP($I722&amp;$J722&amp;V$1,Pesos!$A:$I,9,FALSE)))</f>
        <v/>
      </c>
      <c r="AP722" s="80" t="str">
        <f>IF(W722="","",IF(W722="SIM",VLOOKUP($I722&amp;$J722&amp;W$1,Pesos!$A:$I,7,FALSE),VLOOKUP($I722&amp;$J722&amp;W$1,Pesos!$A:$I,9,FALSE)))</f>
        <v/>
      </c>
      <c r="AQ722" s="80" t="str">
        <f>IF(X722="","",IF(X722="SIM",VLOOKUP($I722&amp;$J722&amp;X$1,Pesos!$A:$I,7,FALSE),VLOOKUP($I722&amp;$J722&amp;X$1,Pesos!$A:$I,9,FALSE)))</f>
        <v/>
      </c>
      <c r="AR722" s="80" t="str">
        <f>IF(Y722="","",IF(Y722="SIM",VLOOKUP($I722&amp;$J722&amp;Y$1,Pesos!$A:$I,7,FALSE),VLOOKUP($I722&amp;$J722&amp;Y$1,Pesos!$A:$I,9,FALSE)))</f>
        <v/>
      </c>
      <c r="AS722" s="81">
        <f>IFERROR(Z722*VLOOKUP(J722,'BD Campos'!$Y$1:$Z$12,2,FALSE),"0")</f>
        <v>8.32</v>
      </c>
    </row>
    <row r="723" spans="1:45" x14ac:dyDescent="0.35">
      <c r="A723" s="68" t="str">
        <f t="shared" si="100"/>
        <v>Fev202511255MotoristaTRANSFERÊNCIA</v>
      </c>
      <c r="B723" s="114" t="str">
        <f t="shared" si="101"/>
        <v>Fev2025112551TRANSFERÊNCIAPADRÃO</v>
      </c>
      <c r="C723" s="70">
        <v>1</v>
      </c>
      <c r="D723" s="71">
        <v>45705.639772222225</v>
      </c>
      <c r="E723" s="112" t="s">
        <v>338</v>
      </c>
      <c r="F723" s="72">
        <v>11255</v>
      </c>
      <c r="G723" s="69" t="s">
        <v>1694</v>
      </c>
      <c r="H723" s="73">
        <v>1</v>
      </c>
      <c r="I723" s="69" t="s">
        <v>121</v>
      </c>
      <c r="J723" s="69" t="s">
        <v>122</v>
      </c>
      <c r="K723" s="69" t="s">
        <v>106</v>
      </c>
      <c r="L723" s="74">
        <v>31174759</v>
      </c>
      <c r="M723" s="75">
        <v>1.7592592592592592E-3</v>
      </c>
      <c r="N723" s="76" t="s">
        <v>79</v>
      </c>
      <c r="O723" s="76" t="s">
        <v>79</v>
      </c>
      <c r="P723" s="76" t="s">
        <v>79</v>
      </c>
      <c r="Q723" s="76" t="s">
        <v>79</v>
      </c>
      <c r="R723" s="76" t="s">
        <v>79</v>
      </c>
      <c r="S723" s="76" t="s">
        <v>83</v>
      </c>
      <c r="T723" s="76" t="s">
        <v>79</v>
      </c>
      <c r="U723" s="76" t="s">
        <v>79</v>
      </c>
      <c r="V723" s="76" t="s">
        <v>83</v>
      </c>
      <c r="W723" s="76" t="s">
        <v>83</v>
      </c>
      <c r="X723" s="76" t="s">
        <v>79</v>
      </c>
      <c r="Y723" s="76"/>
      <c r="Z723" s="77">
        <f t="shared" si="79"/>
        <v>7.1387500000000008</v>
      </c>
      <c r="AA723" s="78"/>
      <c r="AB723" s="78" t="s">
        <v>1762</v>
      </c>
      <c r="AC723" s="72" t="s">
        <v>47</v>
      </c>
      <c r="AE723" s="79" t="str">
        <f t="shared" si="103"/>
        <v>Fev11255</v>
      </c>
      <c r="AF723" s="80">
        <f>IF(N723="","",IF(N723="SIM",VLOOKUP($I723&amp;$J723&amp;N$1,Pesos!$A:$I,7,FALSE),VLOOKUP($I723&amp;$J723&amp;N$1,Pesos!$A:$I,9,FALSE)))</f>
        <v>0.89999999999999991</v>
      </c>
      <c r="AG723" s="80">
        <f>IF(O723="","",IF(O723="SIM",VLOOKUP($I723&amp;$J723&amp;O$1,Pesos!$A:$I,7,FALSE),VLOOKUP($I723&amp;$J723&amp;O$1,Pesos!$A:$I,9,FALSE)))</f>
        <v>0.89999999999999991</v>
      </c>
      <c r="AH723" s="80">
        <f>IF(P723="","",IF(P723="SIM",VLOOKUP($I723&amp;$J723&amp;P$1,Pesos!$A:$I,7,FALSE),VLOOKUP($I723&amp;$J723&amp;P$1,Pesos!$A:$I,9,FALSE)))</f>
        <v>0.89999999999999991</v>
      </c>
      <c r="AI723" s="80">
        <f>IF(Q723="","",IF(Q723="SIM",VLOOKUP($I723&amp;$J723&amp;Q$1,Pesos!$A:$I,7,FALSE),VLOOKUP($I723&amp;$J723&amp;Q$1,Pesos!$A:$I,9,FALSE)))</f>
        <v>0.89999999999999991</v>
      </c>
      <c r="AJ723" s="80">
        <f>IF(R723="","",IF(R723="SIM",VLOOKUP($I723&amp;$J723&amp;R$1,Pesos!$A:$I,7,FALSE),VLOOKUP($I723&amp;$J723&amp;R$1,Pesos!$A:$I,9,FALSE)))</f>
        <v>0.89999999999999991</v>
      </c>
      <c r="AK723" s="80">
        <f>IF(S723="","",IF(S723="SIM",VLOOKUP($I723&amp;$J723&amp;S$1,Pesos!$A:$I,7,FALSE),VLOOKUP($I723&amp;$J723&amp;S$1,Pesos!$A:$I,9,FALSE)))</f>
        <v>-4.4999999999999998E-2</v>
      </c>
      <c r="AL723" s="80">
        <f t="shared" si="104"/>
        <v>4.4550000000000001</v>
      </c>
      <c r="AM723" s="80">
        <f>IF(T723="","",IF(T723="SIM",VLOOKUP($I723&amp;$J723&amp;T$1,Pesos!$A:$I,7,FALSE),VLOOKUP($I723&amp;$J723&amp;T$1,Pesos!$A:$I,9,FALSE)))</f>
        <v>0.89999999999999991</v>
      </c>
      <c r="AN723" s="80">
        <f>IF(U723="","",IF(U723="SIM",VLOOKUP($I723&amp;$J723&amp;U$1,Pesos!$A:$I,7,FALSE),VLOOKUP($I723&amp;$J723&amp;U$1,Pesos!$A:$I,9,FALSE)))</f>
        <v>0.92500000000000004</v>
      </c>
      <c r="AO723" s="80">
        <f>IF(V723="","",IF(V723="SIM",VLOOKUP($I723&amp;$J723&amp;V$1,Pesos!$A:$I,7,FALSE),VLOOKUP($I723&amp;$J723&amp;V$1,Pesos!$A:$I,9,FALSE)))</f>
        <v>-4.6250000000000006E-2</v>
      </c>
      <c r="AP723" s="80">
        <f>IF(W723="","",IF(W723="SIM",VLOOKUP($I723&amp;$J723&amp;W$1,Pesos!$A:$I,7,FALSE),VLOOKUP($I723&amp;$J723&amp;W$1,Pesos!$A:$I,9,FALSE)))</f>
        <v>-4.4999999999999998E-2</v>
      </c>
      <c r="AQ723" s="80">
        <f>IF(X723="","",IF(X723="SIM",VLOOKUP($I723&amp;$J723&amp;X$1,Pesos!$A:$I,7,FALSE),VLOOKUP($I723&amp;$J723&amp;X$1,Pesos!$A:$I,9,FALSE)))</f>
        <v>0.95</v>
      </c>
      <c r="AR723" s="80" t="str">
        <f>IF(Y723="","",IF(Y723="SIM",VLOOKUP($I723&amp;$J723&amp;Y$1,Pesos!$A:$I,7,FALSE),VLOOKUP($I723&amp;$J723&amp;Y$1,Pesos!$A:$I,9,FALSE)))</f>
        <v/>
      </c>
      <c r="AS723" s="81">
        <f>IFERROR(Z723*VLOOKUP(J723,'BD Campos'!$Y$1:$Z$12,2,FALSE),"0")</f>
        <v>7.1387500000000008</v>
      </c>
    </row>
    <row r="724" spans="1:45" x14ac:dyDescent="0.35">
      <c r="A724" s="68" t="str">
        <f t="shared" si="100"/>
        <v>Fev202511181MotoristaTRANSFERÊNCIA</v>
      </c>
      <c r="B724" s="114" t="str">
        <f t="shared" si="101"/>
        <v>Fev2025111811TRANSFERÊNCIAPADRÃO</v>
      </c>
      <c r="C724" s="70">
        <v>1</v>
      </c>
      <c r="D724" s="71">
        <v>45705.669858796296</v>
      </c>
      <c r="E724" s="112" t="s">
        <v>338</v>
      </c>
      <c r="F724" s="72">
        <v>11181</v>
      </c>
      <c r="G724" s="69" t="s">
        <v>1363</v>
      </c>
      <c r="H724" s="73">
        <v>1</v>
      </c>
      <c r="I724" s="69" t="s">
        <v>123</v>
      </c>
      <c r="J724" s="69" t="s">
        <v>122</v>
      </c>
      <c r="K724" s="69" t="s">
        <v>106</v>
      </c>
      <c r="L724" s="74">
        <v>31079715</v>
      </c>
      <c r="M724" s="75">
        <v>7.3148148148148148E-3</v>
      </c>
      <c r="N724" s="76" t="s">
        <v>79</v>
      </c>
      <c r="O724" s="76" t="s">
        <v>79</v>
      </c>
      <c r="P724" s="76" t="s">
        <v>79</v>
      </c>
      <c r="Q724" s="76" t="s">
        <v>79</v>
      </c>
      <c r="R724" s="76" t="s">
        <v>79</v>
      </c>
      <c r="S724" s="76" t="s">
        <v>79</v>
      </c>
      <c r="T724" s="76" t="s">
        <v>79</v>
      </c>
      <c r="U724" s="76" t="s">
        <v>79</v>
      </c>
      <c r="V724" s="76" t="s">
        <v>79</v>
      </c>
      <c r="W724" s="76" t="s">
        <v>79</v>
      </c>
      <c r="X724" s="76"/>
      <c r="Y724" s="76"/>
      <c r="Z724" s="77">
        <f t="shared" si="79"/>
        <v>10</v>
      </c>
      <c r="AA724" s="78"/>
      <c r="AB724" s="78" t="s">
        <v>1763</v>
      </c>
      <c r="AC724" s="72" t="s">
        <v>47</v>
      </c>
      <c r="AE724" s="79" t="str">
        <f t="shared" si="103"/>
        <v>Fev11181</v>
      </c>
      <c r="AF724" s="80">
        <f>IF(N724="","",IF(N724="SIM",VLOOKUP($I724&amp;$J724&amp;N$1,Pesos!$A:$I,7,FALSE),VLOOKUP($I724&amp;$J724&amp;N$1,Pesos!$A:$I,9,FALSE)))</f>
        <v>1</v>
      </c>
      <c r="AG724" s="80">
        <f>IF(O724="","",IF(O724="SIM",VLOOKUP($I724&amp;$J724&amp;O$1,Pesos!$A:$I,7,FALSE),VLOOKUP($I724&amp;$J724&amp;O$1,Pesos!$A:$I,9,FALSE)))</f>
        <v>1</v>
      </c>
      <c r="AH724" s="80">
        <f>IF(P724="","",IF(P724="SIM",VLOOKUP($I724&amp;$J724&amp;P$1,Pesos!$A:$I,7,FALSE),VLOOKUP($I724&amp;$J724&amp;P$1,Pesos!$A:$I,9,FALSE)))</f>
        <v>1</v>
      </c>
      <c r="AI724" s="80">
        <f>IF(Q724="","",IF(Q724="SIM",VLOOKUP($I724&amp;$J724&amp;Q$1,Pesos!$A:$I,7,FALSE),VLOOKUP($I724&amp;$J724&amp;Q$1,Pesos!$A:$I,9,FALSE)))</f>
        <v>1</v>
      </c>
      <c r="AJ724" s="80">
        <f>IF(R724="","",IF(R724="SIM",VLOOKUP($I724&amp;$J724&amp;R$1,Pesos!$A:$I,7,FALSE),VLOOKUP($I724&amp;$J724&amp;R$1,Pesos!$A:$I,9,FALSE)))</f>
        <v>1</v>
      </c>
      <c r="AK724" s="80">
        <f>IF(S724="","",IF(S724="SIM",VLOOKUP($I724&amp;$J724&amp;S$1,Pesos!$A:$I,7,FALSE),VLOOKUP($I724&amp;$J724&amp;S$1,Pesos!$A:$I,9,FALSE)))</f>
        <v>1</v>
      </c>
      <c r="AL724" s="80">
        <f t="shared" si="104"/>
        <v>6</v>
      </c>
      <c r="AM724" s="80">
        <f>IF(T724="","",IF(T724="SIM",VLOOKUP($I724&amp;$J724&amp;T$1,Pesos!$A:$I,7,FALSE),VLOOKUP($I724&amp;$J724&amp;T$1,Pesos!$A:$I,9,FALSE)))</f>
        <v>1</v>
      </c>
      <c r="AN724" s="80">
        <f>IF(U724="","",IF(U724="SIM",VLOOKUP($I724&amp;$J724&amp;U$1,Pesos!$A:$I,7,FALSE),VLOOKUP($I724&amp;$J724&amp;U$1,Pesos!$A:$I,9,FALSE)))</f>
        <v>1</v>
      </c>
      <c r="AO724" s="80">
        <f>IF(V724="","",IF(V724="SIM",VLOOKUP($I724&amp;$J724&amp;V$1,Pesos!$A:$I,7,FALSE),VLOOKUP($I724&amp;$J724&amp;V$1,Pesos!$A:$I,9,FALSE)))</f>
        <v>1</v>
      </c>
      <c r="AP724" s="80">
        <f>IF(W724="","",IF(W724="SIM",VLOOKUP($I724&amp;$J724&amp;W$1,Pesos!$A:$I,7,FALSE),VLOOKUP($I724&amp;$J724&amp;W$1,Pesos!$A:$I,9,FALSE)))</f>
        <v>1</v>
      </c>
      <c r="AQ724" s="80" t="str">
        <f>IF(X724="","",IF(X724="SIM",VLOOKUP($I724&amp;$J724&amp;X$1,Pesos!$A:$I,7,FALSE),VLOOKUP($I724&amp;$J724&amp;X$1,Pesos!$A:$I,9,FALSE)))</f>
        <v/>
      </c>
      <c r="AR724" s="80" t="str">
        <f>IF(Y724="","",IF(Y724="SIM",VLOOKUP($I724&amp;$J724&amp;Y$1,Pesos!$A:$I,7,FALSE),VLOOKUP($I724&amp;$J724&amp;Y$1,Pesos!$A:$I,9,FALSE)))</f>
        <v/>
      </c>
      <c r="AS724" s="81">
        <f>IFERROR(Z724*VLOOKUP(J724,'BD Campos'!$Y$1:$Z$12,2,FALSE),"0")</f>
        <v>10</v>
      </c>
    </row>
    <row r="725" spans="1:45" x14ac:dyDescent="0.35">
      <c r="A725" s="68" t="str">
        <f t="shared" si="100"/>
        <v>Fev202511046DISTRIBUIÇÃO</v>
      </c>
      <c r="B725" s="114" t="str">
        <f t="shared" si="101"/>
        <v>Fev2025110461DISTRIBUIÇÃOPADRÃO</v>
      </c>
      <c r="C725" s="70">
        <v>1</v>
      </c>
      <c r="D725" s="71">
        <v>45706.408969560187</v>
      </c>
      <c r="E725" s="112" t="s">
        <v>338</v>
      </c>
      <c r="F725" s="72">
        <v>11046</v>
      </c>
      <c r="G725" s="69" t="s">
        <v>376</v>
      </c>
      <c r="H725" s="73">
        <v>1</v>
      </c>
      <c r="I725" s="69" t="s">
        <v>308</v>
      </c>
      <c r="J725" s="69"/>
      <c r="K725" s="69" t="s">
        <v>23</v>
      </c>
      <c r="L725" s="74"/>
      <c r="M725" s="75"/>
      <c r="N725" s="76"/>
      <c r="O725" s="76"/>
      <c r="P725" s="76"/>
      <c r="Q725" s="76"/>
      <c r="R725" s="76"/>
      <c r="S725" s="76"/>
      <c r="T725" s="76"/>
      <c r="U725" s="76"/>
      <c r="V725" s="76"/>
      <c r="W725" s="76"/>
      <c r="X725" s="76"/>
      <c r="Y725" s="76"/>
      <c r="Z725" s="77">
        <f t="shared" si="79"/>
        <v>0</v>
      </c>
      <c r="AA725" s="78"/>
      <c r="AB725" s="78"/>
      <c r="AC725" s="72" t="s">
        <v>47</v>
      </c>
      <c r="AE725" s="79" t="str">
        <f>E725&amp;F725</f>
        <v>Fev11046</v>
      </c>
      <c r="AF725" s="80" t="str">
        <f>IF(N725="","",IF(N725="SIM",VLOOKUP($I725&amp;$J725&amp;N$1,Pesos!$A:$I,7,FALSE),VLOOKUP($I725&amp;$J725&amp;N$1,Pesos!$A:$I,9,FALSE)))</f>
        <v/>
      </c>
      <c r="AG725" s="80" t="str">
        <f>IF(O725="","",IF(O725="SIM",VLOOKUP($I725&amp;$J725&amp;O$1,Pesos!$A:$I,7,FALSE),VLOOKUP($I725&amp;$J725&amp;O$1,Pesos!$A:$I,9,FALSE)))</f>
        <v/>
      </c>
      <c r="AH725" s="80" t="str">
        <f>IF(P725="","",IF(P725="SIM",VLOOKUP($I725&amp;$J725&amp;P$1,Pesos!$A:$I,7,FALSE),VLOOKUP($I725&amp;$J725&amp;P$1,Pesos!$A:$I,9,FALSE)))</f>
        <v/>
      </c>
      <c r="AI725" s="80" t="str">
        <f>IF(Q725="","",IF(Q725="SIM",VLOOKUP($I725&amp;$J725&amp;Q$1,Pesos!$A:$I,7,FALSE),VLOOKUP($I725&amp;$J725&amp;Q$1,Pesos!$A:$I,9,FALSE)))</f>
        <v/>
      </c>
      <c r="AJ725" s="80" t="str">
        <f>IF(R725="","",IF(R725="SIM",VLOOKUP($I725&amp;$J725&amp;R$1,Pesos!$A:$I,7,FALSE),VLOOKUP($I725&amp;$J725&amp;R$1,Pesos!$A:$I,9,FALSE)))</f>
        <v/>
      </c>
      <c r="AK725" s="80" t="str">
        <f>IF(S725="","",IF(S725="SIM",VLOOKUP($I725&amp;$J725&amp;S$1,Pesos!$A:$I,7,FALSE),VLOOKUP($I725&amp;$J725&amp;S$1,Pesos!$A:$I,9,FALSE)))</f>
        <v/>
      </c>
      <c r="AL725" s="80">
        <f t="shared" si="104"/>
        <v>0</v>
      </c>
      <c r="AM725" s="80" t="str">
        <f>IF(T725="","",IF(T725="SIM",VLOOKUP($I725&amp;$J725&amp;T$1,Pesos!$A:$I,7,FALSE),VLOOKUP($I725&amp;$J725&amp;T$1,Pesos!$A:$I,9,FALSE)))</f>
        <v/>
      </c>
      <c r="AN725" s="80" t="str">
        <f>IF(U725="","",IF(U725="SIM",VLOOKUP($I725&amp;$J725&amp;U$1,Pesos!$A:$I,7,FALSE),VLOOKUP($I725&amp;$J725&amp;U$1,Pesos!$A:$I,9,FALSE)))</f>
        <v/>
      </c>
      <c r="AO725" s="80" t="str">
        <f>IF(V725="","",IF(V725="SIM",VLOOKUP($I725&amp;$J725&amp;V$1,Pesos!$A:$I,7,FALSE),VLOOKUP($I725&amp;$J725&amp;V$1,Pesos!$A:$I,9,FALSE)))</f>
        <v/>
      </c>
      <c r="AP725" s="80" t="str">
        <f>IF(W725="","",IF(W725="SIM",VLOOKUP($I725&amp;$J725&amp;W$1,Pesos!$A:$I,7,FALSE),VLOOKUP($I725&amp;$J725&amp;W$1,Pesos!$A:$I,9,FALSE)))</f>
        <v/>
      </c>
      <c r="AQ725" s="80" t="str">
        <f>IF(X725="","",IF(X725="SIM",VLOOKUP($I725&amp;$J725&amp;X$1,Pesos!$A:$I,7,FALSE),VLOOKUP($I725&amp;$J725&amp;X$1,Pesos!$A:$I,9,FALSE)))</f>
        <v/>
      </c>
      <c r="AR725" s="80" t="str">
        <f>IF(Y725="","",IF(Y725="SIM",VLOOKUP($I725&amp;$J725&amp;Y$1,Pesos!$A:$I,7,FALSE),VLOOKUP($I725&amp;$J725&amp;Y$1,Pesos!$A:$I,9,FALSE)))</f>
        <v/>
      </c>
      <c r="AS725" s="81" t="str">
        <f>IFERROR(Z725*VLOOKUP(J725,'BD Campos'!$Y$1:$Z$12,2,FALSE),"0")</f>
        <v>0</v>
      </c>
    </row>
    <row r="726" spans="1:45" x14ac:dyDescent="0.35">
      <c r="A726" s="68" t="str">
        <f t="shared" si="100"/>
        <v>Fev202510977MotoristaDISTRIBUIÇÃO</v>
      </c>
      <c r="B726" s="114" t="str">
        <f t="shared" si="101"/>
        <v>Fev2025109771DISTRIBUIÇÃOPADRÃO</v>
      </c>
      <c r="C726" s="70">
        <v>1</v>
      </c>
      <c r="D726" s="71">
        <v>45706.414472222219</v>
      </c>
      <c r="E726" s="112" t="s">
        <v>338</v>
      </c>
      <c r="F726" s="72">
        <v>10977</v>
      </c>
      <c r="G726" s="69" t="s">
        <v>422</v>
      </c>
      <c r="H726" s="73">
        <v>1</v>
      </c>
      <c r="I726" s="69" t="s">
        <v>121</v>
      </c>
      <c r="J726" s="69" t="s">
        <v>122</v>
      </c>
      <c r="K726" s="69" t="s">
        <v>23</v>
      </c>
      <c r="L726" s="74">
        <v>31216366</v>
      </c>
      <c r="M726" s="75">
        <v>1.6666666666666668E-3</v>
      </c>
      <c r="N726" s="76"/>
      <c r="O726" s="76"/>
      <c r="P726" s="76"/>
      <c r="Q726" s="76"/>
      <c r="R726" s="76"/>
      <c r="S726" s="76"/>
      <c r="T726" s="76"/>
      <c r="U726" s="76"/>
      <c r="V726" s="76"/>
      <c r="W726" s="76"/>
      <c r="X726" s="76"/>
      <c r="Y726" s="76"/>
      <c r="Z726" s="77">
        <f t="shared" si="79"/>
        <v>0</v>
      </c>
      <c r="AA726" s="78" t="s">
        <v>1657</v>
      </c>
      <c r="AB726" s="78" t="s">
        <v>1764</v>
      </c>
      <c r="AC726" s="72" t="s">
        <v>47</v>
      </c>
      <c r="AE726" s="79" t="str">
        <f>E726&amp;F726</f>
        <v>Fev10977</v>
      </c>
      <c r="AF726" s="80" t="str">
        <f>IF(N726="","",IF(N726="SIM",VLOOKUP($I726&amp;$J726&amp;N$1,Pesos!$A:$I,7,FALSE),VLOOKUP($I726&amp;$J726&amp;N$1,Pesos!$A:$I,9,FALSE)))</f>
        <v/>
      </c>
      <c r="AG726" s="80" t="str">
        <f>IF(O726="","",IF(O726="SIM",VLOOKUP($I726&amp;$J726&amp;O$1,Pesos!$A:$I,7,FALSE),VLOOKUP($I726&amp;$J726&amp;O$1,Pesos!$A:$I,9,FALSE)))</f>
        <v/>
      </c>
      <c r="AH726" s="80" t="str">
        <f>IF(P726="","",IF(P726="SIM",VLOOKUP($I726&amp;$J726&amp;P$1,Pesos!$A:$I,7,FALSE),VLOOKUP($I726&amp;$J726&amp;P$1,Pesos!$A:$I,9,FALSE)))</f>
        <v/>
      </c>
      <c r="AI726" s="80" t="str">
        <f>IF(Q726="","",IF(Q726="SIM",VLOOKUP($I726&amp;$J726&amp;Q$1,Pesos!$A:$I,7,FALSE),VLOOKUP($I726&amp;$J726&amp;Q$1,Pesos!$A:$I,9,FALSE)))</f>
        <v/>
      </c>
      <c r="AJ726" s="80" t="str">
        <f>IF(R726="","",IF(R726="SIM",VLOOKUP($I726&amp;$J726&amp;R$1,Pesos!$A:$I,7,FALSE),VLOOKUP($I726&amp;$J726&amp;R$1,Pesos!$A:$I,9,FALSE)))</f>
        <v/>
      </c>
      <c r="AK726" s="80" t="str">
        <f>IF(S726="","",IF(S726="SIM",VLOOKUP($I726&amp;$J726&amp;S$1,Pesos!$A:$I,7,FALSE),VLOOKUP($I726&amp;$J726&amp;S$1,Pesos!$A:$I,9,FALSE)))</f>
        <v/>
      </c>
      <c r="AL726" s="80">
        <f t="shared" si="104"/>
        <v>0</v>
      </c>
      <c r="AM726" s="80" t="str">
        <f>IF(T726="","",IF(T726="SIM",VLOOKUP($I726&amp;$J726&amp;T$1,Pesos!$A:$I,7,FALSE),VLOOKUP($I726&amp;$J726&amp;T$1,Pesos!$A:$I,9,FALSE)))</f>
        <v/>
      </c>
      <c r="AN726" s="80" t="str">
        <f>IF(U726="","",IF(U726="SIM",VLOOKUP($I726&amp;$J726&amp;U$1,Pesos!$A:$I,7,FALSE),VLOOKUP($I726&amp;$J726&amp;U$1,Pesos!$A:$I,9,FALSE)))</f>
        <v/>
      </c>
      <c r="AO726" s="80" t="str">
        <f>IF(V726="","",IF(V726="SIM",VLOOKUP($I726&amp;$J726&amp;V$1,Pesos!$A:$I,7,FALSE),VLOOKUP($I726&amp;$J726&amp;V$1,Pesos!$A:$I,9,FALSE)))</f>
        <v/>
      </c>
      <c r="AP726" s="80" t="str">
        <f>IF(W726="","",IF(W726="SIM",VLOOKUP($I726&amp;$J726&amp;W$1,Pesos!$A:$I,7,FALSE),VLOOKUP($I726&amp;$J726&amp;W$1,Pesos!$A:$I,9,FALSE)))</f>
        <v/>
      </c>
      <c r="AQ726" s="80" t="str">
        <f>IF(X726="","",IF(X726="SIM",VLOOKUP($I726&amp;$J726&amp;X$1,Pesos!$A:$I,7,FALSE),VLOOKUP($I726&amp;$J726&amp;X$1,Pesos!$A:$I,9,FALSE)))</f>
        <v/>
      </c>
      <c r="AR726" s="80" t="str">
        <f>IF(Y726="","",IF(Y726="SIM",VLOOKUP($I726&amp;$J726&amp;Y$1,Pesos!$A:$I,7,FALSE),VLOOKUP($I726&amp;$J726&amp;Y$1,Pesos!$A:$I,9,FALSE)))</f>
        <v/>
      </c>
      <c r="AS726" s="81">
        <f>IFERROR(Z726*VLOOKUP(J726,'BD Campos'!$Y$1:$Z$12,2,FALSE),"0")</f>
        <v>0</v>
      </c>
    </row>
    <row r="727" spans="1:45" x14ac:dyDescent="0.35">
      <c r="A727" s="68" t="str">
        <f t="shared" si="100"/>
        <v>Fev202511165MotoristaDISTRIBUIÇÃO</v>
      </c>
      <c r="B727" s="114" t="str">
        <f t="shared" si="101"/>
        <v>Fev2025111651DISTRIBUIÇÃOPADRÃO</v>
      </c>
      <c r="C727" s="70">
        <v>1</v>
      </c>
      <c r="D727" s="71">
        <v>45707.366856018518</v>
      </c>
      <c r="E727" s="112" t="s">
        <v>338</v>
      </c>
      <c r="F727" s="72">
        <v>11165</v>
      </c>
      <c r="G727" s="69" t="s">
        <v>1365</v>
      </c>
      <c r="H727" s="73">
        <v>1</v>
      </c>
      <c r="I727" s="69" t="s">
        <v>123</v>
      </c>
      <c r="J727" s="69" t="s">
        <v>122</v>
      </c>
      <c r="K727" s="69" t="s">
        <v>23</v>
      </c>
      <c r="L727" s="74">
        <v>31095188</v>
      </c>
      <c r="M727" s="75">
        <v>7.9861111111111105E-4</v>
      </c>
      <c r="N727" s="76"/>
      <c r="O727" s="76"/>
      <c r="P727" s="76"/>
      <c r="Q727" s="76"/>
      <c r="R727" s="76"/>
      <c r="S727" s="76"/>
      <c r="T727" s="76"/>
      <c r="U727" s="76"/>
      <c r="V727" s="76"/>
      <c r="W727" s="76"/>
      <c r="X727" s="76"/>
      <c r="Y727" s="76"/>
      <c r="Z727" s="77">
        <f t="shared" si="79"/>
        <v>0</v>
      </c>
      <c r="AA727" s="78" t="s">
        <v>1725</v>
      </c>
      <c r="AB727" s="78" t="s">
        <v>1765</v>
      </c>
      <c r="AC727" s="72" t="s">
        <v>47</v>
      </c>
      <c r="AE727" s="79" t="str">
        <f>E727&amp;F727</f>
        <v>Fev11165</v>
      </c>
      <c r="AF727" s="80" t="str">
        <f>IF(N727="","",IF(N727="SIM",VLOOKUP($I727&amp;$J727&amp;N$1,Pesos!$A:$I,7,FALSE),VLOOKUP($I727&amp;$J727&amp;N$1,Pesos!$A:$I,9,FALSE)))</f>
        <v/>
      </c>
      <c r="AG727" s="80" t="str">
        <f>IF(O727="","",IF(O727="SIM",VLOOKUP($I727&amp;$J727&amp;O$1,Pesos!$A:$I,7,FALSE),VLOOKUP($I727&amp;$J727&amp;O$1,Pesos!$A:$I,9,FALSE)))</f>
        <v/>
      </c>
      <c r="AH727" s="80" t="str">
        <f>IF(P727="","",IF(P727="SIM",VLOOKUP($I727&amp;$J727&amp;P$1,Pesos!$A:$I,7,FALSE),VLOOKUP($I727&amp;$J727&amp;P$1,Pesos!$A:$I,9,FALSE)))</f>
        <v/>
      </c>
      <c r="AI727" s="80" t="str">
        <f>IF(Q727="","",IF(Q727="SIM",VLOOKUP($I727&amp;$J727&amp;Q$1,Pesos!$A:$I,7,FALSE),VLOOKUP($I727&amp;$J727&amp;Q$1,Pesos!$A:$I,9,FALSE)))</f>
        <v/>
      </c>
      <c r="AJ727" s="80" t="str">
        <f>IF(R727="","",IF(R727="SIM",VLOOKUP($I727&amp;$J727&amp;R$1,Pesos!$A:$I,7,FALSE),VLOOKUP($I727&amp;$J727&amp;R$1,Pesos!$A:$I,9,FALSE)))</f>
        <v/>
      </c>
      <c r="AK727" s="80" t="str">
        <f>IF(S727="","",IF(S727="SIM",VLOOKUP($I727&amp;$J727&amp;S$1,Pesos!$A:$I,7,FALSE),VLOOKUP($I727&amp;$J727&amp;S$1,Pesos!$A:$I,9,FALSE)))</f>
        <v/>
      </c>
      <c r="AL727" s="80">
        <f t="shared" si="104"/>
        <v>0</v>
      </c>
      <c r="AM727" s="80" t="str">
        <f>IF(T727="","",IF(T727="SIM",VLOOKUP($I727&amp;$J727&amp;T$1,Pesos!$A:$I,7,FALSE),VLOOKUP($I727&amp;$J727&amp;T$1,Pesos!$A:$I,9,FALSE)))</f>
        <v/>
      </c>
      <c r="AN727" s="80" t="str">
        <f>IF(U727="","",IF(U727="SIM",VLOOKUP($I727&amp;$J727&amp;U$1,Pesos!$A:$I,7,FALSE),VLOOKUP($I727&amp;$J727&amp;U$1,Pesos!$A:$I,9,FALSE)))</f>
        <v/>
      </c>
      <c r="AO727" s="80" t="str">
        <f>IF(V727="","",IF(V727="SIM",VLOOKUP($I727&amp;$J727&amp;V$1,Pesos!$A:$I,7,FALSE),VLOOKUP($I727&amp;$J727&amp;V$1,Pesos!$A:$I,9,FALSE)))</f>
        <v/>
      </c>
      <c r="AP727" s="80" t="str">
        <f>IF(W727="","",IF(W727="SIM",VLOOKUP($I727&amp;$J727&amp;W$1,Pesos!$A:$I,7,FALSE),VLOOKUP($I727&amp;$J727&amp;W$1,Pesos!$A:$I,9,FALSE)))</f>
        <v/>
      </c>
      <c r="AQ727" s="80" t="str">
        <f>IF(X727="","",IF(X727="SIM",VLOOKUP($I727&amp;$J727&amp;X$1,Pesos!$A:$I,7,FALSE),VLOOKUP($I727&amp;$J727&amp;X$1,Pesos!$A:$I,9,FALSE)))</f>
        <v/>
      </c>
      <c r="AR727" s="80" t="str">
        <f>IF(Y727="","",IF(Y727="SIM",VLOOKUP($I727&amp;$J727&amp;Y$1,Pesos!$A:$I,7,FALSE),VLOOKUP($I727&amp;$J727&amp;Y$1,Pesos!$A:$I,9,FALSE)))</f>
        <v/>
      </c>
      <c r="AS727" s="81">
        <f>IFERROR(Z727*VLOOKUP(J727,'BD Campos'!$Y$1:$Z$12,2,FALSE),"0")</f>
        <v>0</v>
      </c>
    </row>
    <row r="728" spans="1:45" x14ac:dyDescent="0.35">
      <c r="A728" s="68" t="str">
        <f t="shared" si="100"/>
        <v>Fev202511024MotoristaTRANSFERÊNCIA</v>
      </c>
      <c r="B728" s="114" t="str">
        <f t="shared" si="101"/>
        <v>Fev2025110241TRANSFERÊNCIAPADRÃO</v>
      </c>
      <c r="C728" s="70">
        <v>1</v>
      </c>
      <c r="D728" s="71">
        <v>45707.384009837966</v>
      </c>
      <c r="E728" s="112" t="s">
        <v>338</v>
      </c>
      <c r="F728" s="72">
        <v>11024</v>
      </c>
      <c r="G728" s="69" t="s">
        <v>144</v>
      </c>
      <c r="H728" s="73">
        <v>1</v>
      </c>
      <c r="I728" s="69" t="s">
        <v>123</v>
      </c>
      <c r="J728" s="69" t="s">
        <v>122</v>
      </c>
      <c r="K728" s="69" t="s">
        <v>106</v>
      </c>
      <c r="L728" s="74">
        <v>31233974</v>
      </c>
      <c r="M728" s="75">
        <v>1.4467592592592594E-3</v>
      </c>
      <c r="N728" s="76" t="s">
        <v>79</v>
      </c>
      <c r="O728" s="76" t="s">
        <v>79</v>
      </c>
      <c r="P728" s="76" t="s">
        <v>79</v>
      </c>
      <c r="Q728" s="76" t="s">
        <v>79</v>
      </c>
      <c r="R728" s="76" t="s">
        <v>79</v>
      </c>
      <c r="S728" s="76" t="s">
        <v>79</v>
      </c>
      <c r="T728" s="76" t="s">
        <v>79</v>
      </c>
      <c r="U728" s="76" t="s">
        <v>79</v>
      </c>
      <c r="V728" s="76" t="s">
        <v>79</v>
      </c>
      <c r="W728" s="76" t="s">
        <v>83</v>
      </c>
      <c r="X728" s="76"/>
      <c r="Y728" s="76"/>
      <c r="Z728" s="77">
        <f t="shared" si="79"/>
        <v>8.9499999999999993</v>
      </c>
      <c r="AA728" s="78"/>
      <c r="AB728" s="78" t="s">
        <v>1766</v>
      </c>
      <c r="AC728" s="72" t="s">
        <v>47</v>
      </c>
      <c r="AE728" s="79" t="str">
        <f>E728&amp;F728</f>
        <v>Fev11024</v>
      </c>
      <c r="AF728" s="80">
        <f>IF(N728="","",IF(N728="SIM",VLOOKUP($I728&amp;$J728&amp;N$1,Pesos!$A:$I,7,FALSE),VLOOKUP($I728&amp;$J728&amp;N$1,Pesos!$A:$I,9,FALSE)))</f>
        <v>1</v>
      </c>
      <c r="AG728" s="80">
        <f>IF(O728="","",IF(O728="SIM",VLOOKUP($I728&amp;$J728&amp;O$1,Pesos!$A:$I,7,FALSE),VLOOKUP($I728&amp;$J728&amp;O$1,Pesos!$A:$I,9,FALSE)))</f>
        <v>1</v>
      </c>
      <c r="AH728" s="80">
        <f>IF(P728="","",IF(P728="SIM",VLOOKUP($I728&amp;$J728&amp;P$1,Pesos!$A:$I,7,FALSE),VLOOKUP($I728&amp;$J728&amp;P$1,Pesos!$A:$I,9,FALSE)))</f>
        <v>1</v>
      </c>
      <c r="AI728" s="80">
        <f>IF(Q728="","",IF(Q728="SIM",VLOOKUP($I728&amp;$J728&amp;Q$1,Pesos!$A:$I,7,FALSE),VLOOKUP($I728&amp;$J728&amp;Q$1,Pesos!$A:$I,9,FALSE)))</f>
        <v>1</v>
      </c>
      <c r="AJ728" s="80">
        <f>IF(R728="","",IF(R728="SIM",VLOOKUP($I728&amp;$J728&amp;R$1,Pesos!$A:$I,7,FALSE),VLOOKUP($I728&amp;$J728&amp;R$1,Pesos!$A:$I,9,FALSE)))</f>
        <v>1</v>
      </c>
      <c r="AK728" s="80">
        <f>IF(S728="","",IF(S728="SIM",VLOOKUP($I728&amp;$J728&amp;S$1,Pesos!$A:$I,7,FALSE),VLOOKUP($I728&amp;$J728&amp;S$1,Pesos!$A:$I,9,FALSE)))</f>
        <v>1</v>
      </c>
      <c r="AL728" s="80">
        <f t="shared" si="104"/>
        <v>6</v>
      </c>
      <c r="AM728" s="80">
        <f>IF(T728="","",IF(T728="SIM",VLOOKUP($I728&amp;$J728&amp;T$1,Pesos!$A:$I,7,FALSE),VLOOKUP($I728&amp;$J728&amp;T$1,Pesos!$A:$I,9,FALSE)))</f>
        <v>1</v>
      </c>
      <c r="AN728" s="80">
        <f>IF(U728="","",IF(U728="SIM",VLOOKUP($I728&amp;$J728&amp;U$1,Pesos!$A:$I,7,FALSE),VLOOKUP($I728&amp;$J728&amp;U$1,Pesos!$A:$I,9,FALSE)))</f>
        <v>1</v>
      </c>
      <c r="AO728" s="80">
        <f>IF(V728="","",IF(V728="SIM",VLOOKUP($I728&amp;$J728&amp;V$1,Pesos!$A:$I,7,FALSE),VLOOKUP($I728&amp;$J728&amp;V$1,Pesos!$A:$I,9,FALSE)))</f>
        <v>1</v>
      </c>
      <c r="AP728" s="80">
        <f>IF(W728="","",IF(W728="SIM",VLOOKUP($I728&amp;$J728&amp;W$1,Pesos!$A:$I,7,FALSE),VLOOKUP($I728&amp;$J728&amp;W$1,Pesos!$A:$I,9,FALSE)))</f>
        <v>-0.05</v>
      </c>
      <c r="AQ728" s="80" t="str">
        <f>IF(X728="","",IF(X728="SIM",VLOOKUP($I728&amp;$J728&amp;X$1,Pesos!$A:$I,7,FALSE),VLOOKUP($I728&amp;$J728&amp;X$1,Pesos!$A:$I,9,FALSE)))</f>
        <v/>
      </c>
      <c r="AR728" s="80" t="str">
        <f>IF(Y728="","",IF(Y728="SIM",VLOOKUP($I728&amp;$J728&amp;Y$1,Pesos!$A:$I,7,FALSE),VLOOKUP($I728&amp;$J728&amp;Y$1,Pesos!$A:$I,9,FALSE)))</f>
        <v/>
      </c>
      <c r="AS728" s="81">
        <f>IFERROR(Z728*VLOOKUP(J728,'BD Campos'!$Y$1:$Z$12,2,FALSE),"0")</f>
        <v>8.9499999999999993</v>
      </c>
    </row>
    <row r="729" spans="1:45" x14ac:dyDescent="0.35">
      <c r="A729" s="68" t="str">
        <f t="shared" si="100"/>
        <v>Fev202511024ReceptivaTRANSFERÊNCIA</v>
      </c>
      <c r="B729" s="114" t="str">
        <f t="shared" si="101"/>
        <v>Fev2025110245TRANSFERÊNCIAPADRÃO</v>
      </c>
      <c r="C729" s="70">
        <v>1</v>
      </c>
      <c r="D729" s="71">
        <v>45707.386138657406</v>
      </c>
      <c r="E729" s="112" t="s">
        <v>338</v>
      </c>
      <c r="F729" s="72">
        <v>11024</v>
      </c>
      <c r="G729" s="69" t="s">
        <v>144</v>
      </c>
      <c r="H729" s="73">
        <v>5</v>
      </c>
      <c r="I729" s="69" t="s">
        <v>6</v>
      </c>
      <c r="J729" s="69" t="s">
        <v>98</v>
      </c>
      <c r="K729" s="69" t="s">
        <v>106</v>
      </c>
      <c r="L729" s="74"/>
      <c r="M729" s="75">
        <v>1.6319444444444445E-3</v>
      </c>
      <c r="N729" s="76" t="s">
        <v>79</v>
      </c>
      <c r="O729" s="76" t="s">
        <v>79</v>
      </c>
      <c r="P729" s="76" t="s">
        <v>79</v>
      </c>
      <c r="Q729" s="76" t="s">
        <v>79</v>
      </c>
      <c r="R729" s="76" t="s">
        <v>79</v>
      </c>
      <c r="S729" s="76" t="s">
        <v>79</v>
      </c>
      <c r="T729" s="76" t="s">
        <v>79</v>
      </c>
      <c r="U729" s="76" t="s">
        <v>79</v>
      </c>
      <c r="V729" s="76" t="s">
        <v>79</v>
      </c>
      <c r="W729" s="76" t="s">
        <v>79</v>
      </c>
      <c r="X729" s="76" t="s">
        <v>79</v>
      </c>
      <c r="Y729" s="76" t="s">
        <v>79</v>
      </c>
      <c r="Z729" s="77">
        <f t="shared" si="79"/>
        <v>10</v>
      </c>
      <c r="AA729" s="78"/>
      <c r="AB729" s="78"/>
      <c r="AC729" s="72" t="s">
        <v>47</v>
      </c>
      <c r="AE729" s="79" t="str">
        <f>E729&amp;F729</f>
        <v>Fev11024</v>
      </c>
      <c r="AF729" s="80">
        <f>IF(N729="","",IF(N729="SIM",VLOOKUP($I729&amp;$J729&amp;N$1,Pesos!$A:$I,7,FALSE),VLOOKUP($I729&amp;$J729&amp;N$1,Pesos!$A:$I,9,FALSE)))</f>
        <v>0.8</v>
      </c>
      <c r="AG729" s="80">
        <f>IF(O729="","",IF(O729="SIM",VLOOKUP($I729&amp;$J729&amp;O$1,Pesos!$A:$I,7,FALSE),VLOOKUP($I729&amp;$J729&amp;O$1,Pesos!$A:$I,9,FALSE)))</f>
        <v>0.8</v>
      </c>
      <c r="AH729" s="80">
        <f>IF(P729="","",IF(P729="SIM",VLOOKUP($I729&amp;$J729&amp;P$1,Pesos!$A:$I,7,FALSE),VLOOKUP($I729&amp;$J729&amp;P$1,Pesos!$A:$I,9,FALSE)))</f>
        <v>1.2</v>
      </c>
      <c r="AI729" s="80">
        <f>IF(Q729="","",IF(Q729="SIM",VLOOKUP($I729&amp;$J729&amp;Q$1,Pesos!$A:$I,7,FALSE),VLOOKUP($I729&amp;$J729&amp;Q$1,Pesos!$A:$I,9,FALSE)))</f>
        <v>0.8</v>
      </c>
      <c r="AJ729" s="80">
        <f>IF(R729="","",IF(R729="SIM",VLOOKUP($I729&amp;$J729&amp;R$1,Pesos!$A:$I,7,FALSE),VLOOKUP($I729&amp;$J729&amp;R$1,Pesos!$A:$I,9,FALSE)))</f>
        <v>0.8</v>
      </c>
      <c r="AK729" s="80">
        <f>IF(S729="","",IF(S729="SIM",VLOOKUP($I729&amp;$J729&amp;S$1,Pesos!$A:$I,7,FALSE),VLOOKUP($I729&amp;$J729&amp;S$1,Pesos!$A:$I,9,FALSE)))</f>
        <v>0.8</v>
      </c>
      <c r="AL729" s="80">
        <f t="shared" si="104"/>
        <v>5.1999999999999993</v>
      </c>
      <c r="AM729" s="80">
        <f>IF(T729="","",IF(T729="SIM",VLOOKUP($I729&amp;$J729&amp;T$1,Pesos!$A:$I,7,FALSE),VLOOKUP($I729&amp;$J729&amp;T$1,Pesos!$A:$I,9,FALSE)))</f>
        <v>0.8</v>
      </c>
      <c r="AN729" s="80">
        <f>IF(U729="","",IF(U729="SIM",VLOOKUP($I729&amp;$J729&amp;U$1,Pesos!$A:$I,7,FALSE),VLOOKUP($I729&amp;$J729&amp;U$1,Pesos!$A:$I,9,FALSE)))</f>
        <v>0.8</v>
      </c>
      <c r="AO729" s="80">
        <f>IF(V729="","",IF(V729="SIM",VLOOKUP($I729&amp;$J729&amp;V$1,Pesos!$A:$I,7,FALSE),VLOOKUP($I729&amp;$J729&amp;V$1,Pesos!$A:$I,9,FALSE)))</f>
        <v>0.8</v>
      </c>
      <c r="AP729" s="80">
        <f>IF(W729="","",IF(W729="SIM",VLOOKUP($I729&amp;$J729&amp;W$1,Pesos!$A:$I,7,FALSE),VLOOKUP($I729&amp;$J729&amp;W$1,Pesos!$A:$I,9,FALSE)))</f>
        <v>0.8</v>
      </c>
      <c r="AQ729" s="80">
        <f>IF(X729="","",IF(X729="SIM",VLOOKUP($I729&amp;$J729&amp;X$1,Pesos!$A:$I,7,FALSE),VLOOKUP($I729&amp;$J729&amp;X$1,Pesos!$A:$I,9,FALSE)))</f>
        <v>0.8</v>
      </c>
      <c r="AR729" s="80">
        <f>IF(Y729="","",IF(Y729="SIM",VLOOKUP($I729&amp;$J729&amp;Y$1,Pesos!$A:$I,7,FALSE),VLOOKUP($I729&amp;$J729&amp;Y$1,Pesos!$A:$I,9,FALSE)))</f>
        <v>0.8</v>
      </c>
      <c r="AS729" s="81">
        <f>IFERROR(Z729*VLOOKUP(J729,'BD Campos'!$Y$1:$Z$12,2,FALSE),"0")</f>
        <v>10</v>
      </c>
    </row>
    <row r="730" spans="1:45" x14ac:dyDescent="0.35">
      <c r="A730" s="68" t="str">
        <f t="shared" si="100"/>
        <v>Fev20251697MotoristaUTI (RJ)</v>
      </c>
      <c r="B730" s="114" t="str">
        <f t="shared" si="101"/>
        <v>Fev202516971UTI (RJ)PADRÃO</v>
      </c>
      <c r="C730" s="70">
        <v>1</v>
      </c>
      <c r="D730" s="71">
        <v>45708.453555902779</v>
      </c>
      <c r="E730" s="112" t="s">
        <v>338</v>
      </c>
      <c r="F730" s="72">
        <v>1697</v>
      </c>
      <c r="G730" s="69" t="s">
        <v>293</v>
      </c>
      <c r="H730" s="73">
        <v>1</v>
      </c>
      <c r="I730" s="69" t="s">
        <v>123</v>
      </c>
      <c r="J730" s="69" t="s">
        <v>122</v>
      </c>
      <c r="K730" s="69" t="s">
        <v>278</v>
      </c>
      <c r="L730" s="74">
        <v>31078355</v>
      </c>
      <c r="M730" s="75">
        <v>1.8634259259259261E-3</v>
      </c>
      <c r="N730" s="76" t="s">
        <v>79</v>
      </c>
      <c r="O730" s="76" t="s">
        <v>79</v>
      </c>
      <c r="P730" s="76" t="s">
        <v>79</v>
      </c>
      <c r="Q730" s="76" t="s">
        <v>79</v>
      </c>
      <c r="R730" s="76" t="s">
        <v>79</v>
      </c>
      <c r="S730" s="76" t="s">
        <v>79</v>
      </c>
      <c r="T730" s="76" t="s">
        <v>79</v>
      </c>
      <c r="U730" s="76" t="s">
        <v>79</v>
      </c>
      <c r="V730" s="76" t="s">
        <v>79</v>
      </c>
      <c r="W730" s="76" t="s">
        <v>79</v>
      </c>
      <c r="X730" s="76"/>
      <c r="Y730" s="76"/>
      <c r="Z730" s="77">
        <f t="shared" si="79"/>
        <v>10</v>
      </c>
      <c r="AA730" s="78"/>
      <c r="AB730" s="78" t="s">
        <v>1770</v>
      </c>
      <c r="AC730" s="72" t="s">
        <v>47</v>
      </c>
      <c r="AE730" s="79" t="str">
        <f t="shared" ref="AE730:AE736" si="105">E730&amp;F730</f>
        <v>Fev1697</v>
      </c>
      <c r="AF730" s="80">
        <f>IF(N730="","",IF(N730="SIM",VLOOKUP($I730&amp;$J730&amp;N$1,Pesos!$A:$I,7,FALSE),VLOOKUP($I730&amp;$J730&amp;N$1,Pesos!$A:$I,9,FALSE)))</f>
        <v>1</v>
      </c>
      <c r="AG730" s="80">
        <f>IF(O730="","",IF(O730="SIM",VLOOKUP($I730&amp;$J730&amp;O$1,Pesos!$A:$I,7,FALSE),VLOOKUP($I730&amp;$J730&amp;O$1,Pesos!$A:$I,9,FALSE)))</f>
        <v>1</v>
      </c>
      <c r="AH730" s="80">
        <f>IF(P730="","",IF(P730="SIM",VLOOKUP($I730&amp;$J730&amp;P$1,Pesos!$A:$I,7,FALSE),VLOOKUP($I730&amp;$J730&amp;P$1,Pesos!$A:$I,9,FALSE)))</f>
        <v>1</v>
      </c>
      <c r="AI730" s="80">
        <f>IF(Q730="","",IF(Q730="SIM",VLOOKUP($I730&amp;$J730&amp;Q$1,Pesos!$A:$I,7,FALSE),VLOOKUP($I730&amp;$J730&amp;Q$1,Pesos!$A:$I,9,FALSE)))</f>
        <v>1</v>
      </c>
      <c r="AJ730" s="80">
        <f>IF(R730="","",IF(R730="SIM",VLOOKUP($I730&amp;$J730&amp;R$1,Pesos!$A:$I,7,FALSE),VLOOKUP($I730&amp;$J730&amp;R$1,Pesos!$A:$I,9,FALSE)))</f>
        <v>1</v>
      </c>
      <c r="AK730" s="80">
        <f>IF(S730="","",IF(S730="SIM",VLOOKUP($I730&amp;$J730&amp;S$1,Pesos!$A:$I,7,FALSE),VLOOKUP($I730&amp;$J730&amp;S$1,Pesos!$A:$I,9,FALSE)))</f>
        <v>1</v>
      </c>
      <c r="AL730" s="80">
        <f t="shared" si="104"/>
        <v>6</v>
      </c>
      <c r="AM730" s="80">
        <f>IF(T730="","",IF(T730="SIM",VLOOKUP($I730&amp;$J730&amp;T$1,Pesos!$A:$I,7,FALSE),VLOOKUP($I730&amp;$J730&amp;T$1,Pesos!$A:$I,9,FALSE)))</f>
        <v>1</v>
      </c>
      <c r="AN730" s="80">
        <f>IF(U730="","",IF(U730="SIM",VLOOKUP($I730&amp;$J730&amp;U$1,Pesos!$A:$I,7,FALSE),VLOOKUP($I730&amp;$J730&amp;U$1,Pesos!$A:$I,9,FALSE)))</f>
        <v>1</v>
      </c>
      <c r="AO730" s="80">
        <f>IF(V730="","",IF(V730="SIM",VLOOKUP($I730&amp;$J730&amp;V$1,Pesos!$A:$I,7,FALSE),VLOOKUP($I730&amp;$J730&amp;V$1,Pesos!$A:$I,9,FALSE)))</f>
        <v>1</v>
      </c>
      <c r="AP730" s="80">
        <f>IF(W730="","",IF(W730="SIM",VLOOKUP($I730&amp;$J730&amp;W$1,Pesos!$A:$I,7,FALSE),VLOOKUP($I730&amp;$J730&amp;W$1,Pesos!$A:$I,9,FALSE)))</f>
        <v>1</v>
      </c>
      <c r="AQ730" s="80" t="str">
        <f>IF(X730="","",IF(X730="SIM",VLOOKUP($I730&amp;$J730&amp;X$1,Pesos!$A:$I,7,FALSE),VLOOKUP($I730&amp;$J730&amp;X$1,Pesos!$A:$I,9,FALSE)))</f>
        <v/>
      </c>
      <c r="AR730" s="80" t="str">
        <f>IF(Y730="","",IF(Y730="SIM",VLOOKUP($I730&amp;$J730&amp;Y$1,Pesos!$A:$I,7,FALSE),VLOOKUP($I730&amp;$J730&amp;Y$1,Pesos!$A:$I,9,FALSE)))</f>
        <v/>
      </c>
      <c r="AS730" s="81">
        <f>IFERROR(Z730*VLOOKUP(J730,'BD Campos'!$Y$1:$Z$12,2,FALSE),"0")</f>
        <v>10</v>
      </c>
    </row>
    <row r="731" spans="1:45" x14ac:dyDescent="0.35">
      <c r="A731" s="68" t="str">
        <f t="shared" si="100"/>
        <v>Fev20251910PoliciaBAS</v>
      </c>
      <c r="B731" s="114" t="str">
        <f t="shared" si="101"/>
        <v>Fev202519101BASPADRÃO</v>
      </c>
      <c r="C731" s="70">
        <v>1</v>
      </c>
      <c r="D731" s="71">
        <v>45708.459834953705</v>
      </c>
      <c r="E731" s="112" t="s">
        <v>338</v>
      </c>
      <c r="F731" s="72">
        <v>1910</v>
      </c>
      <c r="G731" s="69" t="s">
        <v>301</v>
      </c>
      <c r="H731" s="73">
        <v>1</v>
      </c>
      <c r="I731" s="69" t="s">
        <v>147</v>
      </c>
      <c r="J731" s="69" t="s">
        <v>146</v>
      </c>
      <c r="K731" s="69" t="s">
        <v>303</v>
      </c>
      <c r="L731" s="74">
        <v>31161531</v>
      </c>
      <c r="M731" s="75">
        <v>3.4027777777777784E-3</v>
      </c>
      <c r="N731" s="76" t="s">
        <v>79</v>
      </c>
      <c r="O731" s="76" t="s">
        <v>79</v>
      </c>
      <c r="P731" s="76" t="s">
        <v>79</v>
      </c>
      <c r="Q731" s="76" t="s">
        <v>79</v>
      </c>
      <c r="R731" s="76" t="s">
        <v>79</v>
      </c>
      <c r="S731" s="76" t="s">
        <v>79</v>
      </c>
      <c r="T731" s="76" t="s">
        <v>79</v>
      </c>
      <c r="U731" s="76" t="s">
        <v>79</v>
      </c>
      <c r="V731" s="76" t="s">
        <v>79</v>
      </c>
      <c r="W731" s="76" t="s">
        <v>79</v>
      </c>
      <c r="X731" s="76" t="s">
        <v>79</v>
      </c>
      <c r="Y731" s="76" t="s">
        <v>79</v>
      </c>
      <c r="Z731" s="77">
        <f t="shared" si="79"/>
        <v>10</v>
      </c>
      <c r="AA731" s="78"/>
      <c r="AB731" s="78" t="s">
        <v>1771</v>
      </c>
      <c r="AC731" s="72" t="s">
        <v>47</v>
      </c>
      <c r="AE731" s="79" t="str">
        <f t="shared" si="105"/>
        <v>Fev1910</v>
      </c>
      <c r="AF731" s="80">
        <f>IF(N731="","",IF(N731="SIM",VLOOKUP($I731&amp;$J731&amp;N$1,Pesos!$A:$I,7,FALSE),VLOOKUP($I731&amp;$J731&amp;N$1,Pesos!$A:$I,9,FALSE)))</f>
        <v>0.8</v>
      </c>
      <c r="AG731" s="80">
        <f>IF(O731="","",IF(O731="SIM",VLOOKUP($I731&amp;$J731&amp;O$1,Pesos!$A:$I,7,FALSE),VLOOKUP($I731&amp;$J731&amp;O$1,Pesos!$A:$I,9,FALSE)))</f>
        <v>0.8</v>
      </c>
      <c r="AH731" s="80">
        <f>IF(P731="","",IF(P731="SIM",VLOOKUP($I731&amp;$J731&amp;P$1,Pesos!$A:$I,7,FALSE),VLOOKUP($I731&amp;$J731&amp;P$1,Pesos!$A:$I,9,FALSE)))</f>
        <v>0.8</v>
      </c>
      <c r="AI731" s="80">
        <f>IF(Q731="","",IF(Q731="SIM",VLOOKUP($I731&amp;$J731&amp;Q$1,Pesos!$A:$I,7,FALSE),VLOOKUP($I731&amp;$J731&amp;Q$1,Pesos!$A:$I,9,FALSE)))</f>
        <v>0.8</v>
      </c>
      <c r="AJ731" s="80">
        <f>IF(R731="","",IF(R731="SIM",VLOOKUP($I731&amp;$J731&amp;R$1,Pesos!$A:$I,7,FALSE),VLOOKUP($I731&amp;$J731&amp;R$1,Pesos!$A:$I,9,FALSE)))</f>
        <v>0.8</v>
      </c>
      <c r="AK731" s="80">
        <f>IF(S731="","",IF(S731="SIM",VLOOKUP($I731&amp;$J731&amp;S$1,Pesos!$A:$I,7,FALSE),VLOOKUP($I731&amp;$J731&amp;S$1,Pesos!$A:$I,9,FALSE)))</f>
        <v>0.8</v>
      </c>
      <c r="AL731" s="80">
        <f t="shared" si="104"/>
        <v>4.8</v>
      </c>
      <c r="AM731" s="80">
        <f>IF(T731="","",IF(T731="SIM",VLOOKUP($I731&amp;$J731&amp;T$1,Pesos!$A:$I,7,FALSE),VLOOKUP($I731&amp;$J731&amp;T$1,Pesos!$A:$I,9,FALSE)))</f>
        <v>0.8</v>
      </c>
      <c r="AN731" s="80">
        <f>IF(U731="","",IF(U731="SIM",VLOOKUP($I731&amp;$J731&amp;U$1,Pesos!$A:$I,7,FALSE),VLOOKUP($I731&amp;$J731&amp;U$1,Pesos!$A:$I,9,FALSE)))</f>
        <v>0.8</v>
      </c>
      <c r="AO731" s="80">
        <f>IF(V731="","",IF(V731="SIM",VLOOKUP($I731&amp;$J731&amp;V$1,Pesos!$A:$I,7,FALSE),VLOOKUP($I731&amp;$J731&amp;V$1,Pesos!$A:$I,9,FALSE)))</f>
        <v>0.8</v>
      </c>
      <c r="AP731" s="80">
        <f>IF(W731="","",IF(W731="SIM",VLOOKUP($I731&amp;$J731&amp;W$1,Pesos!$A:$I,7,FALSE),VLOOKUP($I731&amp;$J731&amp;W$1,Pesos!$A:$I,9,FALSE)))</f>
        <v>0.8</v>
      </c>
      <c r="AQ731" s="80">
        <f>IF(X731="","",IF(X731="SIM",VLOOKUP($I731&amp;$J731&amp;X$1,Pesos!$A:$I,7,FALSE),VLOOKUP($I731&amp;$J731&amp;X$1,Pesos!$A:$I,9,FALSE)))</f>
        <v>1</v>
      </c>
      <c r="AR731" s="80">
        <f>IF(Y731="","",IF(Y731="SIM",VLOOKUP($I731&amp;$J731&amp;Y$1,Pesos!$A:$I,7,FALSE),VLOOKUP($I731&amp;$J731&amp;Y$1,Pesos!$A:$I,9,FALSE)))</f>
        <v>1</v>
      </c>
      <c r="AS731" s="81">
        <f>IFERROR(Z731*VLOOKUP(J731,'BD Campos'!$Y$1:$Z$12,2,FALSE),"0")</f>
        <v>10</v>
      </c>
    </row>
    <row r="732" spans="1:45" x14ac:dyDescent="0.35">
      <c r="A732" s="68" t="str">
        <f t="shared" si="100"/>
        <v>Fev20251910Policia 2BAS</v>
      </c>
      <c r="B732" s="114" t="str">
        <f t="shared" si="101"/>
        <v>Fev202519102BASPADRÃO</v>
      </c>
      <c r="C732" s="70">
        <v>1</v>
      </c>
      <c r="D732" s="71">
        <v>45708.466467245373</v>
      </c>
      <c r="E732" s="112" t="s">
        <v>338</v>
      </c>
      <c r="F732" s="72">
        <v>1910</v>
      </c>
      <c r="G732" s="69" t="s">
        <v>301</v>
      </c>
      <c r="H732" s="73">
        <v>2</v>
      </c>
      <c r="I732" s="69" t="s">
        <v>147</v>
      </c>
      <c r="J732" s="69" t="s">
        <v>304</v>
      </c>
      <c r="K732" s="69" t="s">
        <v>303</v>
      </c>
      <c r="L732" s="74">
        <v>31236539</v>
      </c>
      <c r="M732" s="75">
        <v>5.0925925925925921E-3</v>
      </c>
      <c r="N732" s="76" t="s">
        <v>79</v>
      </c>
      <c r="O732" s="76" t="s">
        <v>79</v>
      </c>
      <c r="P732" s="76" t="s">
        <v>79</v>
      </c>
      <c r="Q732" s="76" t="s">
        <v>79</v>
      </c>
      <c r="R732" s="76" t="s">
        <v>79</v>
      </c>
      <c r="S732" s="76" t="s">
        <v>79</v>
      </c>
      <c r="T732" s="76" t="s">
        <v>79</v>
      </c>
      <c r="U732" s="76" t="s">
        <v>79</v>
      </c>
      <c r="V732" s="76" t="s">
        <v>79</v>
      </c>
      <c r="W732" s="76" t="s">
        <v>79</v>
      </c>
      <c r="X732" s="76" t="s">
        <v>79</v>
      </c>
      <c r="Y732" s="76" t="s">
        <v>79</v>
      </c>
      <c r="Z732" s="77">
        <f t="shared" si="79"/>
        <v>10</v>
      </c>
      <c r="AA732" s="78"/>
      <c r="AB732" s="78" t="s">
        <v>1772</v>
      </c>
      <c r="AC732" s="72" t="s">
        <v>47</v>
      </c>
      <c r="AE732" s="79" t="str">
        <f t="shared" si="105"/>
        <v>Fev1910</v>
      </c>
      <c r="AF732" s="80">
        <f>IF(N732="","",IF(N732="SIM",VLOOKUP($I732&amp;$J732&amp;N$1,Pesos!$A:$I,7,FALSE),VLOOKUP($I732&amp;$J732&amp;N$1,Pesos!$A:$I,9,FALSE)))</f>
        <v>0.8</v>
      </c>
      <c r="AG732" s="80">
        <f>IF(O732="","",IF(O732="SIM",VLOOKUP($I732&amp;$J732&amp;O$1,Pesos!$A:$I,7,FALSE),VLOOKUP($I732&amp;$J732&amp;O$1,Pesos!$A:$I,9,FALSE)))</f>
        <v>0.8</v>
      </c>
      <c r="AH732" s="80">
        <f>IF(P732="","",IF(P732="SIM",VLOOKUP($I732&amp;$J732&amp;P$1,Pesos!$A:$I,7,FALSE),VLOOKUP($I732&amp;$J732&amp;P$1,Pesos!$A:$I,9,FALSE)))</f>
        <v>0.8</v>
      </c>
      <c r="AI732" s="80">
        <f>IF(Q732="","",IF(Q732="SIM",VLOOKUP($I732&amp;$J732&amp;Q$1,Pesos!$A:$I,7,FALSE),VLOOKUP($I732&amp;$J732&amp;Q$1,Pesos!$A:$I,9,FALSE)))</f>
        <v>0.8</v>
      </c>
      <c r="AJ732" s="80">
        <f>IF(R732="","",IF(R732="SIM",VLOOKUP($I732&amp;$J732&amp;R$1,Pesos!$A:$I,7,FALSE),VLOOKUP($I732&amp;$J732&amp;R$1,Pesos!$A:$I,9,FALSE)))</f>
        <v>0.8</v>
      </c>
      <c r="AK732" s="80">
        <f>IF(S732="","",IF(S732="SIM",VLOOKUP($I732&amp;$J732&amp;S$1,Pesos!$A:$I,7,FALSE),VLOOKUP($I732&amp;$J732&amp;S$1,Pesos!$A:$I,9,FALSE)))</f>
        <v>0.8</v>
      </c>
      <c r="AL732" s="80">
        <f t="shared" si="104"/>
        <v>4.8</v>
      </c>
      <c r="AM732" s="80">
        <f>IF(T732="","",IF(T732="SIM",VLOOKUP($I732&amp;$J732&amp;T$1,Pesos!$A:$I,7,FALSE),VLOOKUP($I732&amp;$J732&amp;T$1,Pesos!$A:$I,9,FALSE)))</f>
        <v>0.8</v>
      </c>
      <c r="AN732" s="80">
        <f>IF(U732="","",IF(U732="SIM",VLOOKUP($I732&amp;$J732&amp;U$1,Pesos!$A:$I,7,FALSE),VLOOKUP($I732&amp;$J732&amp;U$1,Pesos!$A:$I,9,FALSE)))</f>
        <v>0.8</v>
      </c>
      <c r="AO732" s="80">
        <f>IF(V732="","",IF(V732="SIM",VLOOKUP($I732&amp;$J732&amp;V$1,Pesos!$A:$I,7,FALSE),VLOOKUP($I732&amp;$J732&amp;V$1,Pesos!$A:$I,9,FALSE)))</f>
        <v>0.8</v>
      </c>
      <c r="AP732" s="80">
        <f>IF(W732="","",IF(W732="SIM",VLOOKUP($I732&amp;$J732&amp;W$1,Pesos!$A:$I,7,FALSE),VLOOKUP($I732&amp;$J732&amp;W$1,Pesos!$A:$I,9,FALSE)))</f>
        <v>0.8</v>
      </c>
      <c r="AQ732" s="80">
        <f>IF(X732="","",IF(X732="SIM",VLOOKUP($I732&amp;$J732&amp;X$1,Pesos!$A:$I,7,FALSE),VLOOKUP($I732&amp;$J732&amp;X$1,Pesos!$A:$I,9,FALSE)))</f>
        <v>1</v>
      </c>
      <c r="AR732" s="80">
        <f>IF(Y732="","",IF(Y732="SIM",VLOOKUP($I732&amp;$J732&amp;Y$1,Pesos!$A:$I,7,FALSE),VLOOKUP($I732&amp;$J732&amp;Y$1,Pesos!$A:$I,9,FALSE)))</f>
        <v>1</v>
      </c>
      <c r="AS732" s="81" t="str">
        <f>IFERROR(Z732*VLOOKUP(J732,'BD Campos'!$Y$1:$Z$12,2,FALSE),"0")</f>
        <v>0</v>
      </c>
    </row>
    <row r="733" spans="1:45" x14ac:dyDescent="0.35">
      <c r="A733" s="68" t="str">
        <f t="shared" si="100"/>
        <v>Fev20251903PoliciaBAS</v>
      </c>
      <c r="B733" s="114" t="str">
        <f t="shared" si="101"/>
        <v>Fev202519031BASPADRÃO</v>
      </c>
      <c r="C733" s="70">
        <v>1</v>
      </c>
      <c r="D733" s="71">
        <v>45708.472380208332</v>
      </c>
      <c r="E733" s="112" t="s">
        <v>338</v>
      </c>
      <c r="F733" s="72">
        <v>1903</v>
      </c>
      <c r="G733" s="69" t="s">
        <v>290</v>
      </c>
      <c r="H733" s="73">
        <v>1</v>
      </c>
      <c r="I733" s="69" t="s">
        <v>147</v>
      </c>
      <c r="J733" s="69" t="s">
        <v>146</v>
      </c>
      <c r="K733" s="69" t="s">
        <v>303</v>
      </c>
      <c r="L733" s="74">
        <v>31231127</v>
      </c>
      <c r="M733" s="75">
        <v>2.6504629629629625E-3</v>
      </c>
      <c r="N733" s="76" t="s">
        <v>79</v>
      </c>
      <c r="O733" s="76" t="s">
        <v>79</v>
      </c>
      <c r="P733" s="76" t="s">
        <v>79</v>
      </c>
      <c r="Q733" s="76" t="s">
        <v>79</v>
      </c>
      <c r="R733" s="76" t="s">
        <v>79</v>
      </c>
      <c r="S733" s="76" t="s">
        <v>79</v>
      </c>
      <c r="T733" s="76" t="s">
        <v>79</v>
      </c>
      <c r="U733" s="76" t="s">
        <v>79</v>
      </c>
      <c r="V733" s="76" t="s">
        <v>79</v>
      </c>
      <c r="W733" s="76" t="s">
        <v>79</v>
      </c>
      <c r="X733" s="76" t="s">
        <v>79</v>
      </c>
      <c r="Y733" s="76" t="s">
        <v>79</v>
      </c>
      <c r="Z733" s="77">
        <f t="shared" si="79"/>
        <v>10</v>
      </c>
      <c r="AA733" s="78" t="s">
        <v>1775</v>
      </c>
      <c r="AB733" s="78" t="s">
        <v>1773</v>
      </c>
      <c r="AC733" s="72" t="s">
        <v>47</v>
      </c>
      <c r="AE733" s="79" t="str">
        <f t="shared" si="105"/>
        <v>Fev1903</v>
      </c>
      <c r="AF733" s="80">
        <f>IF(N733="","",IF(N733="SIM",VLOOKUP($I733&amp;$J733&amp;N$1,Pesos!$A:$I,7,FALSE),VLOOKUP($I733&amp;$J733&amp;N$1,Pesos!$A:$I,9,FALSE)))</f>
        <v>0.8</v>
      </c>
      <c r="AG733" s="80">
        <f>IF(O733="","",IF(O733="SIM",VLOOKUP($I733&amp;$J733&amp;O$1,Pesos!$A:$I,7,FALSE),VLOOKUP($I733&amp;$J733&amp;O$1,Pesos!$A:$I,9,FALSE)))</f>
        <v>0.8</v>
      </c>
      <c r="AH733" s="80">
        <f>IF(P733="","",IF(P733="SIM",VLOOKUP($I733&amp;$J733&amp;P$1,Pesos!$A:$I,7,FALSE),VLOOKUP($I733&amp;$J733&amp;P$1,Pesos!$A:$I,9,FALSE)))</f>
        <v>0.8</v>
      </c>
      <c r="AI733" s="80">
        <f>IF(Q733="","",IF(Q733="SIM",VLOOKUP($I733&amp;$J733&amp;Q$1,Pesos!$A:$I,7,FALSE),VLOOKUP($I733&amp;$J733&amp;Q$1,Pesos!$A:$I,9,FALSE)))</f>
        <v>0.8</v>
      </c>
      <c r="AJ733" s="80">
        <f>IF(R733="","",IF(R733="SIM",VLOOKUP($I733&amp;$J733&amp;R$1,Pesos!$A:$I,7,FALSE),VLOOKUP($I733&amp;$J733&amp;R$1,Pesos!$A:$I,9,FALSE)))</f>
        <v>0.8</v>
      </c>
      <c r="AK733" s="80">
        <f>IF(S733="","",IF(S733="SIM",VLOOKUP($I733&amp;$J733&amp;S$1,Pesos!$A:$I,7,FALSE),VLOOKUP($I733&amp;$J733&amp;S$1,Pesos!$A:$I,9,FALSE)))</f>
        <v>0.8</v>
      </c>
      <c r="AL733" s="80">
        <f t="shared" si="104"/>
        <v>4.8</v>
      </c>
      <c r="AM733" s="80">
        <f>IF(T733="","",IF(T733="SIM",VLOOKUP($I733&amp;$J733&amp;T$1,Pesos!$A:$I,7,FALSE),VLOOKUP($I733&amp;$J733&amp;T$1,Pesos!$A:$I,9,FALSE)))</f>
        <v>0.8</v>
      </c>
      <c r="AN733" s="80">
        <f>IF(U733="","",IF(U733="SIM",VLOOKUP($I733&amp;$J733&amp;U$1,Pesos!$A:$I,7,FALSE),VLOOKUP($I733&amp;$J733&amp;U$1,Pesos!$A:$I,9,FALSE)))</f>
        <v>0.8</v>
      </c>
      <c r="AO733" s="80">
        <f>IF(V733="","",IF(V733="SIM",VLOOKUP($I733&amp;$J733&amp;V$1,Pesos!$A:$I,7,FALSE),VLOOKUP($I733&amp;$J733&amp;V$1,Pesos!$A:$I,9,FALSE)))</f>
        <v>0.8</v>
      </c>
      <c r="AP733" s="80">
        <f>IF(W733="","",IF(W733="SIM",VLOOKUP($I733&amp;$J733&amp;W$1,Pesos!$A:$I,7,FALSE),VLOOKUP($I733&amp;$J733&amp;W$1,Pesos!$A:$I,9,FALSE)))</f>
        <v>0.8</v>
      </c>
      <c r="AQ733" s="80">
        <f>IF(X733="","",IF(X733="SIM",VLOOKUP($I733&amp;$J733&amp;X$1,Pesos!$A:$I,7,FALSE),VLOOKUP($I733&amp;$J733&amp;X$1,Pesos!$A:$I,9,FALSE)))</f>
        <v>1</v>
      </c>
      <c r="AR733" s="80">
        <f>IF(Y733="","",IF(Y733="SIM",VLOOKUP($I733&amp;$J733&amp;Y$1,Pesos!$A:$I,7,FALSE),VLOOKUP($I733&amp;$J733&amp;Y$1,Pesos!$A:$I,9,FALSE)))</f>
        <v>1</v>
      </c>
      <c r="AS733" s="81">
        <f>IFERROR(Z733*VLOOKUP(J733,'BD Campos'!$Y$1:$Z$12,2,FALSE),"0")</f>
        <v>10</v>
      </c>
    </row>
    <row r="734" spans="1:45" x14ac:dyDescent="0.35">
      <c r="A734" s="68" t="str">
        <f t="shared" si="100"/>
        <v>Fev20251903Policia 2BAS</v>
      </c>
      <c r="B734" s="114" t="str">
        <f t="shared" si="101"/>
        <v>Fev202519032BASPADRÃO</v>
      </c>
      <c r="C734" s="70">
        <v>1</v>
      </c>
      <c r="D734" s="71">
        <v>45708.478865740741</v>
      </c>
      <c r="E734" s="112" t="s">
        <v>338</v>
      </c>
      <c r="F734" s="72">
        <v>1903</v>
      </c>
      <c r="G734" s="69" t="s">
        <v>290</v>
      </c>
      <c r="H734" s="73">
        <v>2</v>
      </c>
      <c r="I734" s="69" t="s">
        <v>147</v>
      </c>
      <c r="J734" s="69" t="s">
        <v>304</v>
      </c>
      <c r="K734" s="69" t="s">
        <v>303</v>
      </c>
      <c r="L734" s="74">
        <v>31014168</v>
      </c>
      <c r="M734" s="75">
        <v>3.0555555555555557E-3</v>
      </c>
      <c r="N734" s="76" t="s">
        <v>79</v>
      </c>
      <c r="O734" s="76" t="s">
        <v>79</v>
      </c>
      <c r="P734" s="76" t="s">
        <v>79</v>
      </c>
      <c r="Q734" s="76" t="s">
        <v>79</v>
      </c>
      <c r="R734" s="76" t="s">
        <v>79</v>
      </c>
      <c r="S734" s="76" t="s">
        <v>79</v>
      </c>
      <c r="T734" s="76" t="s">
        <v>79</v>
      </c>
      <c r="U734" s="76" t="s">
        <v>79</v>
      </c>
      <c r="V734" s="76" t="s">
        <v>79</v>
      </c>
      <c r="W734" s="76" t="s">
        <v>79</v>
      </c>
      <c r="X734" s="76" t="s">
        <v>79</v>
      </c>
      <c r="Y734" s="76" t="s">
        <v>79</v>
      </c>
      <c r="Z734" s="77">
        <f t="shared" si="79"/>
        <v>10</v>
      </c>
      <c r="AA734" s="78" t="s">
        <v>1775</v>
      </c>
      <c r="AB734" s="78" t="s">
        <v>1774</v>
      </c>
      <c r="AC734" s="72" t="s">
        <v>47</v>
      </c>
      <c r="AE734" s="79" t="str">
        <f t="shared" si="105"/>
        <v>Fev1903</v>
      </c>
      <c r="AF734" s="80">
        <f>IF(N734="","",IF(N734="SIM",VLOOKUP($I734&amp;$J734&amp;N$1,Pesos!$A:$I,7,FALSE),VLOOKUP($I734&amp;$J734&amp;N$1,Pesos!$A:$I,9,FALSE)))</f>
        <v>0.8</v>
      </c>
      <c r="AG734" s="80">
        <f>IF(O734="","",IF(O734="SIM",VLOOKUP($I734&amp;$J734&amp;O$1,Pesos!$A:$I,7,FALSE),VLOOKUP($I734&amp;$J734&amp;O$1,Pesos!$A:$I,9,FALSE)))</f>
        <v>0.8</v>
      </c>
      <c r="AH734" s="80">
        <f>IF(P734="","",IF(P734="SIM",VLOOKUP($I734&amp;$J734&amp;P$1,Pesos!$A:$I,7,FALSE),VLOOKUP($I734&amp;$J734&amp;P$1,Pesos!$A:$I,9,FALSE)))</f>
        <v>0.8</v>
      </c>
      <c r="AI734" s="80">
        <f>IF(Q734="","",IF(Q734="SIM",VLOOKUP($I734&amp;$J734&amp;Q$1,Pesos!$A:$I,7,FALSE),VLOOKUP($I734&amp;$J734&amp;Q$1,Pesos!$A:$I,9,FALSE)))</f>
        <v>0.8</v>
      </c>
      <c r="AJ734" s="80">
        <f>IF(R734="","",IF(R734="SIM",VLOOKUP($I734&amp;$J734&amp;R$1,Pesos!$A:$I,7,FALSE),VLOOKUP($I734&amp;$J734&amp;R$1,Pesos!$A:$I,9,FALSE)))</f>
        <v>0.8</v>
      </c>
      <c r="AK734" s="80">
        <f>IF(S734="","",IF(S734="SIM",VLOOKUP($I734&amp;$J734&amp;S$1,Pesos!$A:$I,7,FALSE),VLOOKUP($I734&amp;$J734&amp;S$1,Pesos!$A:$I,9,FALSE)))</f>
        <v>0.8</v>
      </c>
      <c r="AL734" s="80">
        <f t="shared" si="104"/>
        <v>4.8</v>
      </c>
      <c r="AM734" s="80">
        <f>IF(T734="","",IF(T734="SIM",VLOOKUP($I734&amp;$J734&amp;T$1,Pesos!$A:$I,7,FALSE),VLOOKUP($I734&amp;$J734&amp;T$1,Pesos!$A:$I,9,FALSE)))</f>
        <v>0.8</v>
      </c>
      <c r="AN734" s="80">
        <f>IF(U734="","",IF(U734="SIM",VLOOKUP($I734&amp;$J734&amp;U$1,Pesos!$A:$I,7,FALSE),VLOOKUP($I734&amp;$J734&amp;U$1,Pesos!$A:$I,9,FALSE)))</f>
        <v>0.8</v>
      </c>
      <c r="AO734" s="80">
        <f>IF(V734="","",IF(V734="SIM",VLOOKUP($I734&amp;$J734&amp;V$1,Pesos!$A:$I,7,FALSE),VLOOKUP($I734&amp;$J734&amp;V$1,Pesos!$A:$I,9,FALSE)))</f>
        <v>0.8</v>
      </c>
      <c r="AP734" s="80">
        <f>IF(W734="","",IF(W734="SIM",VLOOKUP($I734&amp;$J734&amp;W$1,Pesos!$A:$I,7,FALSE),VLOOKUP($I734&amp;$J734&amp;W$1,Pesos!$A:$I,9,FALSE)))</f>
        <v>0.8</v>
      </c>
      <c r="AQ734" s="80">
        <f>IF(X734="","",IF(X734="SIM",VLOOKUP($I734&amp;$J734&amp;X$1,Pesos!$A:$I,7,FALSE),VLOOKUP($I734&amp;$J734&amp;X$1,Pesos!$A:$I,9,FALSE)))</f>
        <v>1</v>
      </c>
      <c r="AR734" s="80">
        <f>IF(Y734="","",IF(Y734="SIM",VLOOKUP($I734&amp;$J734&amp;Y$1,Pesos!$A:$I,7,FALSE),VLOOKUP($I734&amp;$J734&amp;Y$1,Pesos!$A:$I,9,FALSE)))</f>
        <v>1</v>
      </c>
      <c r="AS734" s="81" t="str">
        <f>IFERROR(Z734*VLOOKUP(J734,'BD Campos'!$Y$1:$Z$12,2,FALSE),"0")</f>
        <v>0</v>
      </c>
    </row>
    <row r="735" spans="1:45" x14ac:dyDescent="0.35">
      <c r="A735" s="68" t="str">
        <f t="shared" si="100"/>
        <v>Fev202510676MotoristaTRANSFERÊNCIA</v>
      </c>
      <c r="B735" s="114" t="str">
        <f t="shared" si="101"/>
        <v>Fev2025106761TRANSFERÊNCIAPADRÃO</v>
      </c>
      <c r="C735" s="70">
        <v>1</v>
      </c>
      <c r="D735" s="71">
        <v>45708.642377199074</v>
      </c>
      <c r="E735" s="112" t="s">
        <v>338</v>
      </c>
      <c r="F735" s="72">
        <v>10676</v>
      </c>
      <c r="G735" s="69" t="s">
        <v>163</v>
      </c>
      <c r="H735" s="73">
        <v>1</v>
      </c>
      <c r="I735" s="69" t="s">
        <v>123</v>
      </c>
      <c r="J735" s="69" t="s">
        <v>122</v>
      </c>
      <c r="K735" s="69" t="s">
        <v>106</v>
      </c>
      <c r="L735" s="74">
        <v>31099873</v>
      </c>
      <c r="M735" s="75">
        <v>3.3449074074074071E-3</v>
      </c>
      <c r="N735" s="76"/>
      <c r="O735" s="76"/>
      <c r="P735" s="76"/>
      <c r="Q735" s="76"/>
      <c r="R735" s="76"/>
      <c r="S735" s="76"/>
      <c r="T735" s="76"/>
      <c r="U735" s="76"/>
      <c r="V735" s="76"/>
      <c r="W735" s="76"/>
      <c r="X735" s="76"/>
      <c r="Y735" s="76"/>
      <c r="Z735" s="77">
        <f t="shared" si="79"/>
        <v>0</v>
      </c>
      <c r="AA735" s="78" t="s">
        <v>1777</v>
      </c>
      <c r="AB735" s="78" t="s">
        <v>1776</v>
      </c>
      <c r="AC735" s="72" t="s">
        <v>47</v>
      </c>
      <c r="AE735" s="79" t="str">
        <f t="shared" si="105"/>
        <v>Fev10676</v>
      </c>
      <c r="AF735" s="80" t="str">
        <f>IF(N735="","",IF(N735="SIM",VLOOKUP($I735&amp;$J735&amp;N$1,Pesos!$A:$I,7,FALSE),VLOOKUP($I735&amp;$J735&amp;N$1,Pesos!$A:$I,9,FALSE)))</f>
        <v/>
      </c>
      <c r="AG735" s="80" t="str">
        <f>IF(O735="","",IF(O735="SIM",VLOOKUP($I735&amp;$J735&amp;O$1,Pesos!$A:$I,7,FALSE),VLOOKUP($I735&amp;$J735&amp;O$1,Pesos!$A:$I,9,FALSE)))</f>
        <v/>
      </c>
      <c r="AH735" s="80" t="str">
        <f>IF(P735="","",IF(P735="SIM",VLOOKUP($I735&amp;$J735&amp;P$1,Pesos!$A:$I,7,FALSE),VLOOKUP($I735&amp;$J735&amp;P$1,Pesos!$A:$I,9,FALSE)))</f>
        <v/>
      </c>
      <c r="AI735" s="80" t="str">
        <f>IF(Q735="","",IF(Q735="SIM",VLOOKUP($I735&amp;$J735&amp;Q$1,Pesos!$A:$I,7,FALSE),VLOOKUP($I735&amp;$J735&amp;Q$1,Pesos!$A:$I,9,FALSE)))</f>
        <v/>
      </c>
      <c r="AJ735" s="80" t="str">
        <f>IF(R735="","",IF(R735="SIM",VLOOKUP($I735&amp;$J735&amp;R$1,Pesos!$A:$I,7,FALSE),VLOOKUP($I735&amp;$J735&amp;R$1,Pesos!$A:$I,9,FALSE)))</f>
        <v/>
      </c>
      <c r="AK735" s="80" t="str">
        <f>IF(S735="","",IF(S735="SIM",VLOOKUP($I735&amp;$J735&amp;S$1,Pesos!$A:$I,7,FALSE),VLOOKUP($I735&amp;$J735&amp;S$1,Pesos!$A:$I,9,FALSE)))</f>
        <v/>
      </c>
      <c r="AL735" s="80">
        <f t="shared" si="104"/>
        <v>0</v>
      </c>
      <c r="AM735" s="80" t="str">
        <f>IF(T735="","",IF(T735="SIM",VLOOKUP($I735&amp;$J735&amp;T$1,Pesos!$A:$I,7,FALSE),VLOOKUP($I735&amp;$J735&amp;T$1,Pesos!$A:$I,9,FALSE)))</f>
        <v/>
      </c>
      <c r="AN735" s="80" t="str">
        <f>IF(U735="","",IF(U735="SIM",VLOOKUP($I735&amp;$J735&amp;U$1,Pesos!$A:$I,7,FALSE),VLOOKUP($I735&amp;$J735&amp;U$1,Pesos!$A:$I,9,FALSE)))</f>
        <v/>
      </c>
      <c r="AO735" s="80" t="str">
        <f>IF(V735="","",IF(V735="SIM",VLOOKUP($I735&amp;$J735&amp;V$1,Pesos!$A:$I,7,FALSE),VLOOKUP($I735&amp;$J735&amp;V$1,Pesos!$A:$I,9,FALSE)))</f>
        <v/>
      </c>
      <c r="AP735" s="80" t="str">
        <f>IF(W735="","",IF(W735="SIM",VLOOKUP($I735&amp;$J735&amp;W$1,Pesos!$A:$I,7,FALSE),VLOOKUP($I735&amp;$J735&amp;W$1,Pesos!$A:$I,9,FALSE)))</f>
        <v/>
      </c>
      <c r="AQ735" s="80" t="str">
        <f>IF(X735="","",IF(X735="SIM",VLOOKUP($I735&amp;$J735&amp;X$1,Pesos!$A:$I,7,FALSE),VLOOKUP($I735&amp;$J735&amp;X$1,Pesos!$A:$I,9,FALSE)))</f>
        <v/>
      </c>
      <c r="AR735" s="80" t="str">
        <f>IF(Y735="","",IF(Y735="SIM",VLOOKUP($I735&amp;$J735&amp;Y$1,Pesos!$A:$I,7,FALSE),VLOOKUP($I735&amp;$J735&amp;Y$1,Pesos!$A:$I,9,FALSE)))</f>
        <v/>
      </c>
      <c r="AS735" s="81">
        <f>IFERROR(Z735*VLOOKUP(J735,'BD Campos'!$Y$1:$Z$12,2,FALSE),"0")</f>
        <v>0</v>
      </c>
    </row>
    <row r="736" spans="1:45" x14ac:dyDescent="0.35">
      <c r="A736" s="68" t="str">
        <f t="shared" si="100"/>
        <v>Fev202510489Motorista 2LOGÍSTICA</v>
      </c>
      <c r="B736" s="114" t="str">
        <f t="shared" si="101"/>
        <v>Fev2025104892LOGÍSTICAPADRÃO</v>
      </c>
      <c r="C736" s="70">
        <v>1</v>
      </c>
      <c r="D736" s="71">
        <v>45708.65817696759</v>
      </c>
      <c r="E736" s="112" t="s">
        <v>338</v>
      </c>
      <c r="F736" s="72">
        <v>10489</v>
      </c>
      <c r="G736" s="69" t="s">
        <v>205</v>
      </c>
      <c r="H736" s="73">
        <v>2</v>
      </c>
      <c r="I736" s="69" t="s">
        <v>1369</v>
      </c>
      <c r="J736" s="69" t="s">
        <v>204</v>
      </c>
      <c r="K736" s="69" t="s">
        <v>184</v>
      </c>
      <c r="L736" s="74"/>
      <c r="M736" s="75">
        <v>4.7453703703703704E-4</v>
      </c>
      <c r="N736" s="76" t="s">
        <v>79</v>
      </c>
      <c r="O736" s="76" t="s">
        <v>79</v>
      </c>
      <c r="P736" s="76" t="s">
        <v>79</v>
      </c>
      <c r="Q736" s="76" t="s">
        <v>79</v>
      </c>
      <c r="R736" s="76" t="s">
        <v>79</v>
      </c>
      <c r="S736" s="76" t="s">
        <v>79</v>
      </c>
      <c r="T736" s="76" t="s">
        <v>83</v>
      </c>
      <c r="U736" s="76" t="s">
        <v>83</v>
      </c>
      <c r="V736" s="76"/>
      <c r="W736" s="76"/>
      <c r="X736" s="76"/>
      <c r="Y736" s="76"/>
      <c r="Z736" s="77">
        <f t="shared" si="79"/>
        <v>6.85</v>
      </c>
      <c r="AA736" s="78"/>
      <c r="AB736" s="78"/>
      <c r="AC736" s="72" t="s">
        <v>47</v>
      </c>
      <c r="AE736" s="79" t="str">
        <f t="shared" si="105"/>
        <v>Fev10489</v>
      </c>
      <c r="AF736" s="80">
        <f>IF(N736="","",IF(N736="SIM",VLOOKUP($I736&amp;$J736&amp;N$1,Pesos!$A:$I,7,FALSE),VLOOKUP($I736&amp;$J736&amp;N$1,Pesos!$A:$I,9,FALSE)))</f>
        <v>1.1000000000000001</v>
      </c>
      <c r="AG736" s="80">
        <f>IF(O736="","",IF(O736="SIM",VLOOKUP($I736&amp;$J736&amp;O$1,Pesos!$A:$I,7,FALSE),VLOOKUP($I736&amp;$J736&amp;O$1,Pesos!$A:$I,9,FALSE)))</f>
        <v>1.1000000000000001</v>
      </c>
      <c r="AH736" s="80">
        <f>IF(P736="","",IF(P736="SIM",VLOOKUP($I736&amp;$J736&amp;P$1,Pesos!$A:$I,7,FALSE),VLOOKUP($I736&amp;$J736&amp;P$1,Pesos!$A:$I,9,FALSE)))</f>
        <v>1.1000000000000001</v>
      </c>
      <c r="AI736" s="80">
        <f>IF(Q736="","",IF(Q736="SIM",VLOOKUP($I736&amp;$J736&amp;Q$1,Pesos!$A:$I,7,FALSE),VLOOKUP($I736&amp;$J736&amp;Q$1,Pesos!$A:$I,9,FALSE)))</f>
        <v>1.1000000000000001</v>
      </c>
      <c r="AJ736" s="80">
        <f>IF(R736="","",IF(R736="SIM",VLOOKUP($I736&amp;$J736&amp;R$1,Pesos!$A:$I,7,FALSE),VLOOKUP($I736&amp;$J736&amp;R$1,Pesos!$A:$I,9,FALSE)))</f>
        <v>1.1000000000000001</v>
      </c>
      <c r="AK736" s="80">
        <f>IF(S736="","",IF(S736="SIM",VLOOKUP($I736&amp;$J736&amp;S$1,Pesos!$A:$I,7,FALSE),VLOOKUP($I736&amp;$J736&amp;S$1,Pesos!$A:$I,9,FALSE)))</f>
        <v>1.5</v>
      </c>
      <c r="AL736" s="80">
        <f t="shared" si="104"/>
        <v>7</v>
      </c>
      <c r="AM736" s="80">
        <f>IF(T736="","",IF(T736="SIM",VLOOKUP($I736&amp;$J736&amp;T$1,Pesos!$A:$I,7,FALSE),VLOOKUP($I736&amp;$J736&amp;T$1,Pesos!$A:$I,9,FALSE)))</f>
        <v>-7.5000000000000011E-2</v>
      </c>
      <c r="AN736" s="80">
        <f>IF(U736="","",IF(U736="SIM",VLOOKUP($I736&amp;$J736&amp;U$1,Pesos!$A:$I,7,FALSE),VLOOKUP($I736&amp;$J736&amp;U$1,Pesos!$A:$I,9,FALSE)))</f>
        <v>-7.5000000000000011E-2</v>
      </c>
      <c r="AO736" s="80" t="str">
        <f>IF(V736="","",IF(V736="SIM",VLOOKUP($I736&amp;$J736&amp;V$1,Pesos!$A:$I,7,FALSE),VLOOKUP($I736&amp;$J736&amp;V$1,Pesos!$A:$I,9,FALSE)))</f>
        <v/>
      </c>
      <c r="AP736" s="80" t="str">
        <f>IF(W736="","",IF(W736="SIM",VLOOKUP($I736&amp;$J736&amp;W$1,Pesos!$A:$I,7,FALSE),VLOOKUP($I736&amp;$J736&amp;W$1,Pesos!$A:$I,9,FALSE)))</f>
        <v/>
      </c>
      <c r="AQ736" s="80" t="str">
        <f>IF(X736="","",IF(X736="SIM",VLOOKUP($I736&amp;$J736&amp;X$1,Pesos!$A:$I,7,FALSE),VLOOKUP($I736&amp;$J736&amp;X$1,Pesos!$A:$I,9,FALSE)))</f>
        <v/>
      </c>
      <c r="AR736" s="80" t="str">
        <f>IF(Y736="","",IF(Y736="SIM",VLOOKUP($I736&amp;$J736&amp;Y$1,Pesos!$A:$I,7,FALSE),VLOOKUP($I736&amp;$J736&amp;Y$1,Pesos!$A:$I,9,FALSE)))</f>
        <v/>
      </c>
      <c r="AS736" s="81">
        <f>IFERROR(Z736*VLOOKUP(J736,'BD Campos'!$Y$1:$Z$12,2,FALSE),"0")</f>
        <v>6.85</v>
      </c>
    </row>
    <row r="737" spans="1:45" x14ac:dyDescent="0.35">
      <c r="A737" s="68" t="str">
        <f t="shared" si="100"/>
        <v>Fev202510490MotoristaUTI</v>
      </c>
      <c r="B737" s="114" t="str">
        <f t="shared" si="101"/>
        <v>Fev2025104901UTIPADRÃO</v>
      </c>
      <c r="C737" s="70">
        <v>1</v>
      </c>
      <c r="D737" s="71">
        <v>45712.35775023148</v>
      </c>
      <c r="E737" s="112" t="s">
        <v>338</v>
      </c>
      <c r="F737" s="72">
        <v>10490</v>
      </c>
      <c r="G737" s="69" t="s">
        <v>356</v>
      </c>
      <c r="H737" s="73">
        <v>1</v>
      </c>
      <c r="I737" s="69" t="s">
        <v>123</v>
      </c>
      <c r="J737" s="69" t="s">
        <v>122</v>
      </c>
      <c r="K737" s="69" t="s">
        <v>131</v>
      </c>
      <c r="L737" s="74">
        <v>31263651</v>
      </c>
      <c r="M737" s="75">
        <v>1.0763888888888889E-3</v>
      </c>
      <c r="N737" s="76" t="s">
        <v>79</v>
      </c>
      <c r="O737" s="76" t="s">
        <v>79</v>
      </c>
      <c r="P737" s="76" t="s">
        <v>79</v>
      </c>
      <c r="Q737" s="76" t="s">
        <v>79</v>
      </c>
      <c r="R737" s="76" t="s">
        <v>79</v>
      </c>
      <c r="S737" s="76" t="s">
        <v>79</v>
      </c>
      <c r="T737" s="76" t="s">
        <v>79</v>
      </c>
      <c r="U737" s="76" t="s">
        <v>79</v>
      </c>
      <c r="V737" s="76" t="s">
        <v>79</v>
      </c>
      <c r="W737" s="76" t="s">
        <v>79</v>
      </c>
      <c r="X737" s="76"/>
      <c r="Y737" s="76"/>
      <c r="Z737" s="77">
        <f t="shared" si="79"/>
        <v>10</v>
      </c>
      <c r="AA737" s="78"/>
      <c r="AB737" s="78" t="s">
        <v>1804</v>
      </c>
      <c r="AC737" s="72" t="s">
        <v>47</v>
      </c>
      <c r="AE737" s="79" t="str">
        <f>E737&amp;F737</f>
        <v>Fev10490</v>
      </c>
      <c r="AF737" s="80">
        <f>IF(N737="","",IF(N737="SIM",VLOOKUP($I737&amp;$J737&amp;N$1,Pesos!$A:$I,7,FALSE),VLOOKUP($I737&amp;$J737&amp;N$1,Pesos!$A:$I,9,FALSE)))</f>
        <v>1</v>
      </c>
      <c r="AG737" s="80">
        <f>IF(O737="","",IF(O737="SIM",VLOOKUP($I737&amp;$J737&amp;O$1,Pesos!$A:$I,7,FALSE),VLOOKUP($I737&amp;$J737&amp;O$1,Pesos!$A:$I,9,FALSE)))</f>
        <v>1</v>
      </c>
      <c r="AH737" s="80">
        <f>IF(P737="","",IF(P737="SIM",VLOOKUP($I737&amp;$J737&amp;P$1,Pesos!$A:$I,7,FALSE),VLOOKUP($I737&amp;$J737&amp;P$1,Pesos!$A:$I,9,FALSE)))</f>
        <v>1</v>
      </c>
      <c r="AI737" s="80">
        <f>IF(Q737="","",IF(Q737="SIM",VLOOKUP($I737&amp;$J737&amp;Q$1,Pesos!$A:$I,7,FALSE),VLOOKUP($I737&amp;$J737&amp;Q$1,Pesos!$A:$I,9,FALSE)))</f>
        <v>1</v>
      </c>
      <c r="AJ737" s="80">
        <f>IF(R737="","",IF(R737="SIM",VLOOKUP($I737&amp;$J737&amp;R$1,Pesos!$A:$I,7,FALSE),VLOOKUP($I737&amp;$J737&amp;R$1,Pesos!$A:$I,9,FALSE)))</f>
        <v>1</v>
      </c>
      <c r="AK737" s="80">
        <f>IF(S737="","",IF(S737="SIM",VLOOKUP($I737&amp;$J737&amp;S$1,Pesos!$A:$I,7,FALSE),VLOOKUP($I737&amp;$J737&amp;S$1,Pesos!$A:$I,9,FALSE)))</f>
        <v>1</v>
      </c>
      <c r="AL737" s="80">
        <f t="shared" si="104"/>
        <v>6</v>
      </c>
      <c r="AM737" s="80">
        <f>IF(T737="","",IF(T737="SIM",VLOOKUP($I737&amp;$J737&amp;T$1,Pesos!$A:$I,7,FALSE),VLOOKUP($I737&amp;$J737&amp;T$1,Pesos!$A:$I,9,FALSE)))</f>
        <v>1</v>
      </c>
      <c r="AN737" s="80">
        <f>IF(U737="","",IF(U737="SIM",VLOOKUP($I737&amp;$J737&amp;U$1,Pesos!$A:$I,7,FALSE),VLOOKUP($I737&amp;$J737&amp;U$1,Pesos!$A:$I,9,FALSE)))</f>
        <v>1</v>
      </c>
      <c r="AO737" s="80">
        <f>IF(V737="","",IF(V737="SIM",VLOOKUP($I737&amp;$J737&amp;V$1,Pesos!$A:$I,7,FALSE),VLOOKUP($I737&amp;$J737&amp;V$1,Pesos!$A:$I,9,FALSE)))</f>
        <v>1</v>
      </c>
      <c r="AP737" s="80">
        <f>IF(W737="","",IF(W737="SIM",VLOOKUP($I737&amp;$J737&amp;W$1,Pesos!$A:$I,7,FALSE),VLOOKUP($I737&amp;$J737&amp;W$1,Pesos!$A:$I,9,FALSE)))</f>
        <v>1</v>
      </c>
      <c r="AQ737" s="80" t="str">
        <f>IF(X737="","",IF(X737="SIM",VLOOKUP($I737&amp;$J737&amp;X$1,Pesos!$A:$I,7,FALSE),VLOOKUP($I737&amp;$J737&amp;X$1,Pesos!$A:$I,9,FALSE)))</f>
        <v/>
      </c>
      <c r="AR737" s="80" t="str">
        <f>IF(Y737="","",IF(Y737="SIM",VLOOKUP($I737&amp;$J737&amp;Y$1,Pesos!$A:$I,7,FALSE),VLOOKUP($I737&amp;$J737&amp;Y$1,Pesos!$A:$I,9,FALSE)))</f>
        <v/>
      </c>
      <c r="AS737" s="81">
        <f>IFERROR(Z737*VLOOKUP(J737,'BD Campos'!$Y$1:$Z$12,2,FALSE),"0")</f>
        <v>10</v>
      </c>
    </row>
    <row r="738" spans="1:45" x14ac:dyDescent="0.35">
      <c r="A738" s="68" t="str">
        <f t="shared" si="100"/>
        <v>Fev202510529MotoristaUTI (RJ)</v>
      </c>
      <c r="B738" s="114" t="str">
        <f t="shared" si="101"/>
        <v>Fev2025105291UTI (RJ)PADRÃO</v>
      </c>
      <c r="C738" s="70">
        <v>1</v>
      </c>
      <c r="D738" s="71">
        <v>45712.36170011574</v>
      </c>
      <c r="E738" s="112" t="s">
        <v>338</v>
      </c>
      <c r="F738" s="72">
        <v>10529</v>
      </c>
      <c r="G738" s="69" t="s">
        <v>281</v>
      </c>
      <c r="H738" s="73">
        <v>1</v>
      </c>
      <c r="I738" s="69" t="s">
        <v>121</v>
      </c>
      <c r="J738" s="69" t="s">
        <v>122</v>
      </c>
      <c r="K738" s="69" t="s">
        <v>278</v>
      </c>
      <c r="L738" s="74">
        <v>31280986</v>
      </c>
      <c r="M738" s="75">
        <v>1.9907407407407408E-3</v>
      </c>
      <c r="N738" s="76" t="s">
        <v>79</v>
      </c>
      <c r="O738" s="76" t="s">
        <v>79</v>
      </c>
      <c r="P738" s="76" t="s">
        <v>79</v>
      </c>
      <c r="Q738" s="76" t="s">
        <v>79</v>
      </c>
      <c r="R738" s="76" t="s">
        <v>79</v>
      </c>
      <c r="S738" s="76" t="s">
        <v>79</v>
      </c>
      <c r="T738" s="76" t="s">
        <v>79</v>
      </c>
      <c r="U738" s="76" t="s">
        <v>79</v>
      </c>
      <c r="V738" s="76" t="s">
        <v>79</v>
      </c>
      <c r="W738" s="76" t="s">
        <v>79</v>
      </c>
      <c r="X738" s="76" t="s">
        <v>79</v>
      </c>
      <c r="Y738" s="76"/>
      <c r="Z738" s="77">
        <f t="shared" si="79"/>
        <v>10</v>
      </c>
      <c r="AA738" s="78"/>
      <c r="AB738" s="78" t="s">
        <v>1805</v>
      </c>
      <c r="AC738" s="72" t="s">
        <v>47</v>
      </c>
      <c r="AE738" s="79" t="str">
        <f>E738&amp;F738</f>
        <v>Fev10529</v>
      </c>
      <c r="AF738" s="80">
        <f>IF(N738="","",IF(N738="SIM",VLOOKUP($I738&amp;$J738&amp;N$1,Pesos!$A:$I,7,FALSE),VLOOKUP($I738&amp;$J738&amp;N$1,Pesos!$A:$I,9,FALSE)))</f>
        <v>0.89999999999999991</v>
      </c>
      <c r="AG738" s="80">
        <f>IF(O738="","",IF(O738="SIM",VLOOKUP($I738&amp;$J738&amp;O$1,Pesos!$A:$I,7,FALSE),VLOOKUP($I738&amp;$J738&amp;O$1,Pesos!$A:$I,9,FALSE)))</f>
        <v>0.89999999999999991</v>
      </c>
      <c r="AH738" s="80">
        <f>IF(P738="","",IF(P738="SIM",VLOOKUP($I738&amp;$J738&amp;P$1,Pesos!$A:$I,7,FALSE),VLOOKUP($I738&amp;$J738&amp;P$1,Pesos!$A:$I,9,FALSE)))</f>
        <v>0.89999999999999991</v>
      </c>
      <c r="AI738" s="80">
        <f>IF(Q738="","",IF(Q738="SIM",VLOOKUP($I738&amp;$J738&amp;Q$1,Pesos!$A:$I,7,FALSE),VLOOKUP($I738&amp;$J738&amp;Q$1,Pesos!$A:$I,9,FALSE)))</f>
        <v>0.89999999999999991</v>
      </c>
      <c r="AJ738" s="80">
        <f>IF(R738="","",IF(R738="SIM",VLOOKUP($I738&amp;$J738&amp;R$1,Pesos!$A:$I,7,FALSE),VLOOKUP($I738&amp;$J738&amp;R$1,Pesos!$A:$I,9,FALSE)))</f>
        <v>0.89999999999999991</v>
      </c>
      <c r="AK738" s="80">
        <f>IF(S738="","",IF(S738="SIM",VLOOKUP($I738&amp;$J738&amp;S$1,Pesos!$A:$I,7,FALSE),VLOOKUP($I738&amp;$J738&amp;S$1,Pesos!$A:$I,9,FALSE)))</f>
        <v>0.89999999999999991</v>
      </c>
      <c r="AL738" s="80">
        <f t="shared" si="104"/>
        <v>5.4</v>
      </c>
      <c r="AM738" s="80">
        <f>IF(T738="","",IF(T738="SIM",VLOOKUP($I738&amp;$J738&amp;T$1,Pesos!$A:$I,7,FALSE),VLOOKUP($I738&amp;$J738&amp;T$1,Pesos!$A:$I,9,FALSE)))</f>
        <v>0.89999999999999991</v>
      </c>
      <c r="AN738" s="80">
        <f>IF(U738="","",IF(U738="SIM",VLOOKUP($I738&amp;$J738&amp;U$1,Pesos!$A:$I,7,FALSE),VLOOKUP($I738&amp;$J738&amp;U$1,Pesos!$A:$I,9,FALSE)))</f>
        <v>0.92500000000000004</v>
      </c>
      <c r="AO738" s="80">
        <f>IF(V738="","",IF(V738="SIM",VLOOKUP($I738&amp;$J738&amp;V$1,Pesos!$A:$I,7,FALSE),VLOOKUP($I738&amp;$J738&amp;V$1,Pesos!$A:$I,9,FALSE)))</f>
        <v>0.92500000000000004</v>
      </c>
      <c r="AP738" s="80">
        <f>IF(W738="","",IF(W738="SIM",VLOOKUP($I738&amp;$J738&amp;W$1,Pesos!$A:$I,7,FALSE),VLOOKUP($I738&amp;$J738&amp;W$1,Pesos!$A:$I,9,FALSE)))</f>
        <v>0.89999999999999991</v>
      </c>
      <c r="AQ738" s="80">
        <f>IF(X738="","",IF(X738="SIM",VLOOKUP($I738&amp;$J738&amp;X$1,Pesos!$A:$I,7,FALSE),VLOOKUP($I738&amp;$J738&amp;X$1,Pesos!$A:$I,9,FALSE)))</f>
        <v>0.95</v>
      </c>
      <c r="AR738" s="80" t="str">
        <f>IF(Y738="","",IF(Y738="SIM",VLOOKUP($I738&amp;$J738&amp;Y$1,Pesos!$A:$I,7,FALSE),VLOOKUP($I738&amp;$J738&amp;Y$1,Pesos!$A:$I,9,FALSE)))</f>
        <v/>
      </c>
      <c r="AS738" s="81">
        <f>IFERROR(Z738*VLOOKUP(J738,'BD Campos'!$Y$1:$Z$12,2,FALSE),"0")</f>
        <v>10</v>
      </c>
    </row>
    <row r="739" spans="1:45" x14ac:dyDescent="0.35">
      <c r="A739" s="68" t="str">
        <f t="shared" si="100"/>
        <v>Fev20251945MotoristaUTI</v>
      </c>
      <c r="B739" s="114" t="str">
        <f t="shared" si="101"/>
        <v>Fev202519451UTIPADRÃO</v>
      </c>
      <c r="C739" s="70">
        <v>1</v>
      </c>
      <c r="D739" s="71">
        <v>45712.364373958335</v>
      </c>
      <c r="E739" s="112" t="s">
        <v>338</v>
      </c>
      <c r="F739" s="72">
        <v>1945</v>
      </c>
      <c r="G739" s="69" t="s">
        <v>273</v>
      </c>
      <c r="H739" s="73">
        <v>1</v>
      </c>
      <c r="I739" s="69" t="s">
        <v>147</v>
      </c>
      <c r="J739" s="69" t="s">
        <v>122</v>
      </c>
      <c r="K739" s="69" t="s">
        <v>131</v>
      </c>
      <c r="L739" s="74">
        <v>31103527</v>
      </c>
      <c r="M739" s="75">
        <v>9.8379629629629642E-4</v>
      </c>
      <c r="N739" s="76" t="s">
        <v>79</v>
      </c>
      <c r="O739" s="76" t="s">
        <v>79</v>
      </c>
      <c r="P739" s="76" t="s">
        <v>79</v>
      </c>
      <c r="Q739" s="76" t="s">
        <v>79</v>
      </c>
      <c r="R739" s="76" t="s">
        <v>79</v>
      </c>
      <c r="S739" s="76" t="s">
        <v>79</v>
      </c>
      <c r="T739" s="76" t="s">
        <v>79</v>
      </c>
      <c r="U739" s="76" t="s">
        <v>79</v>
      </c>
      <c r="V739" s="76"/>
      <c r="W739" s="76"/>
      <c r="X739" s="76"/>
      <c r="Y739" s="76"/>
      <c r="Z739" s="77">
        <f t="shared" si="79"/>
        <v>10</v>
      </c>
      <c r="AA739" s="78"/>
      <c r="AB739" s="78" t="s">
        <v>1806</v>
      </c>
      <c r="AC739" s="72" t="s">
        <v>47</v>
      </c>
      <c r="AE739" s="79" t="str">
        <f>E739&amp;F739</f>
        <v>Fev1945</v>
      </c>
      <c r="AF739" s="80">
        <f>IF(N739="","",IF(N739="SIM",VLOOKUP($I739&amp;$J739&amp;N$1,Pesos!$A:$I,7,FALSE),VLOOKUP($I739&amp;$J739&amp;N$1,Pesos!$A:$I,9,FALSE)))</f>
        <v>1.1000000000000001</v>
      </c>
      <c r="AG739" s="80">
        <f>IF(O739="","",IF(O739="SIM",VLOOKUP($I739&amp;$J739&amp;O$1,Pesos!$A:$I,7,FALSE),VLOOKUP($I739&amp;$J739&amp;O$1,Pesos!$A:$I,9,FALSE)))</f>
        <v>1.1000000000000001</v>
      </c>
      <c r="AH739" s="80">
        <f>IF(P739="","",IF(P739="SIM",VLOOKUP($I739&amp;$J739&amp;P$1,Pesos!$A:$I,7,FALSE),VLOOKUP($I739&amp;$J739&amp;P$1,Pesos!$A:$I,9,FALSE)))</f>
        <v>1.1000000000000001</v>
      </c>
      <c r="AI739" s="80">
        <f>IF(Q739="","",IF(Q739="SIM",VLOOKUP($I739&amp;$J739&amp;Q$1,Pesos!$A:$I,7,FALSE),VLOOKUP($I739&amp;$J739&amp;Q$1,Pesos!$A:$I,9,FALSE)))</f>
        <v>1.1000000000000001</v>
      </c>
      <c r="AJ739" s="80">
        <f>IF(R739="","",IF(R739="SIM",VLOOKUP($I739&amp;$J739&amp;R$1,Pesos!$A:$I,7,FALSE),VLOOKUP($I739&amp;$J739&amp;R$1,Pesos!$A:$I,9,FALSE)))</f>
        <v>1.1000000000000001</v>
      </c>
      <c r="AK739" s="80">
        <f>IF(S739="","",IF(S739="SIM",VLOOKUP($I739&amp;$J739&amp;S$1,Pesos!$A:$I,7,FALSE),VLOOKUP($I739&amp;$J739&amp;S$1,Pesos!$A:$I,9,FALSE)))</f>
        <v>1.6</v>
      </c>
      <c r="AL739" s="80">
        <f t="shared" si="104"/>
        <v>7.1</v>
      </c>
      <c r="AM739" s="80">
        <f>IF(T739="","",IF(T739="SIM",VLOOKUP($I739&amp;$J739&amp;T$1,Pesos!$A:$I,7,FALSE),VLOOKUP($I739&amp;$J739&amp;T$1,Pesos!$A:$I,9,FALSE)))</f>
        <v>1.2</v>
      </c>
      <c r="AN739" s="80">
        <f>IF(U739="","",IF(U739="SIM",VLOOKUP($I739&amp;$J739&amp;U$1,Pesos!$A:$I,7,FALSE),VLOOKUP($I739&amp;$J739&amp;U$1,Pesos!$A:$I,9,FALSE)))</f>
        <v>1.7000000000000002</v>
      </c>
      <c r="AO739" s="80" t="str">
        <f>IF(V739="","",IF(V739="SIM",VLOOKUP($I739&amp;$J739&amp;V$1,Pesos!$A:$I,7,FALSE),VLOOKUP($I739&amp;$J739&amp;V$1,Pesos!$A:$I,9,FALSE)))</f>
        <v/>
      </c>
      <c r="AP739" s="80" t="str">
        <f>IF(W739="","",IF(W739="SIM",VLOOKUP($I739&amp;$J739&amp;W$1,Pesos!$A:$I,7,FALSE),VLOOKUP($I739&amp;$J739&amp;W$1,Pesos!$A:$I,9,FALSE)))</f>
        <v/>
      </c>
      <c r="AQ739" s="80" t="str">
        <f>IF(X739="","",IF(X739="SIM",VLOOKUP($I739&amp;$J739&amp;X$1,Pesos!$A:$I,7,FALSE),VLOOKUP($I739&amp;$J739&amp;X$1,Pesos!$A:$I,9,FALSE)))</f>
        <v/>
      </c>
      <c r="AR739" s="80" t="str">
        <f>IF(Y739="","",IF(Y739="SIM",VLOOKUP($I739&amp;$J739&amp;Y$1,Pesos!$A:$I,7,FALSE),VLOOKUP($I739&amp;$J739&amp;Y$1,Pesos!$A:$I,9,FALSE)))</f>
        <v/>
      </c>
      <c r="AS739" s="81">
        <f>IFERROR(Z739*VLOOKUP(J739,'BD Campos'!$Y$1:$Z$12,2,FALSE),"0")</f>
        <v>10</v>
      </c>
    </row>
    <row r="740" spans="1:45" x14ac:dyDescent="0.35">
      <c r="A740" s="68" t="str">
        <f t="shared" si="100"/>
        <v>Fev202510786MotoristaDISTRIBUIÇÃO</v>
      </c>
      <c r="B740" s="114" t="str">
        <f t="shared" si="101"/>
        <v>Fev2025107861DISTRIBUIÇÃOPADRÃO</v>
      </c>
      <c r="C740" s="70">
        <v>1</v>
      </c>
      <c r="D740" s="71">
        <v>45713.428027083333</v>
      </c>
      <c r="E740" s="112" t="s">
        <v>338</v>
      </c>
      <c r="F740" s="72">
        <v>10786</v>
      </c>
      <c r="G740" s="69" t="s">
        <v>257</v>
      </c>
      <c r="H740" s="73">
        <v>1</v>
      </c>
      <c r="I740" s="69" t="s">
        <v>123</v>
      </c>
      <c r="J740" s="69" t="s">
        <v>122</v>
      </c>
      <c r="K740" s="69" t="s">
        <v>23</v>
      </c>
      <c r="L740" s="74">
        <v>31168348</v>
      </c>
      <c r="M740" s="75">
        <v>1.5856481481481479E-3</v>
      </c>
      <c r="N740" s="76" t="s">
        <v>79</v>
      </c>
      <c r="O740" s="76" t="s">
        <v>79</v>
      </c>
      <c r="P740" s="76" t="s">
        <v>79</v>
      </c>
      <c r="Q740" s="76" t="s">
        <v>79</v>
      </c>
      <c r="R740" s="76" t="s">
        <v>79</v>
      </c>
      <c r="S740" s="76" t="s">
        <v>79</v>
      </c>
      <c r="T740" s="76" t="s">
        <v>79</v>
      </c>
      <c r="U740" s="76" t="s">
        <v>79</v>
      </c>
      <c r="V740" s="76" t="s">
        <v>79</v>
      </c>
      <c r="W740" s="76" t="s">
        <v>79</v>
      </c>
      <c r="X740" s="76"/>
      <c r="Y740" s="76"/>
      <c r="Z740" s="77">
        <f t="shared" si="79"/>
        <v>10</v>
      </c>
      <c r="AA740" s="78"/>
      <c r="AB740" s="78" t="s">
        <v>1809</v>
      </c>
      <c r="AC740" s="72" t="s">
        <v>47</v>
      </c>
      <c r="AE740" s="79" t="str">
        <f t="shared" ref="AE740:AE765" si="106">E740&amp;F740</f>
        <v>Fev10786</v>
      </c>
      <c r="AF740" s="80">
        <f>IF(N740="","",IF(N740="SIM",VLOOKUP($I740&amp;$J740&amp;N$1,Pesos!$A:$I,7,FALSE),VLOOKUP($I740&amp;$J740&amp;N$1,Pesos!$A:$I,9,FALSE)))</f>
        <v>1</v>
      </c>
      <c r="AG740" s="80">
        <f>IF(O740="","",IF(O740="SIM",VLOOKUP($I740&amp;$J740&amp;O$1,Pesos!$A:$I,7,FALSE),VLOOKUP($I740&amp;$J740&amp;O$1,Pesos!$A:$I,9,FALSE)))</f>
        <v>1</v>
      </c>
      <c r="AH740" s="80">
        <f>IF(P740="","",IF(P740="SIM",VLOOKUP($I740&amp;$J740&amp;P$1,Pesos!$A:$I,7,FALSE),VLOOKUP($I740&amp;$J740&amp;P$1,Pesos!$A:$I,9,FALSE)))</f>
        <v>1</v>
      </c>
      <c r="AI740" s="80">
        <f>IF(Q740="","",IF(Q740="SIM",VLOOKUP($I740&amp;$J740&amp;Q$1,Pesos!$A:$I,7,FALSE),VLOOKUP($I740&amp;$J740&amp;Q$1,Pesos!$A:$I,9,FALSE)))</f>
        <v>1</v>
      </c>
      <c r="AJ740" s="80">
        <f>IF(R740="","",IF(R740="SIM",VLOOKUP($I740&amp;$J740&amp;R$1,Pesos!$A:$I,7,FALSE),VLOOKUP($I740&amp;$J740&amp;R$1,Pesos!$A:$I,9,FALSE)))</f>
        <v>1</v>
      </c>
      <c r="AK740" s="80">
        <f>IF(S740="","",IF(S740="SIM",VLOOKUP($I740&amp;$J740&amp;S$1,Pesos!$A:$I,7,FALSE),VLOOKUP($I740&amp;$J740&amp;S$1,Pesos!$A:$I,9,FALSE)))</f>
        <v>1</v>
      </c>
      <c r="AL740" s="80">
        <f t="shared" si="104"/>
        <v>6</v>
      </c>
      <c r="AM740" s="80">
        <f>IF(T740="","",IF(T740="SIM",VLOOKUP($I740&amp;$J740&amp;T$1,Pesos!$A:$I,7,FALSE),VLOOKUP($I740&amp;$J740&amp;T$1,Pesos!$A:$I,9,FALSE)))</f>
        <v>1</v>
      </c>
      <c r="AN740" s="80">
        <f>IF(U740="","",IF(U740="SIM",VLOOKUP($I740&amp;$J740&amp;U$1,Pesos!$A:$I,7,FALSE),VLOOKUP($I740&amp;$J740&amp;U$1,Pesos!$A:$I,9,FALSE)))</f>
        <v>1</v>
      </c>
      <c r="AO740" s="80">
        <f>IF(V740="","",IF(V740="SIM",VLOOKUP($I740&amp;$J740&amp;V$1,Pesos!$A:$I,7,FALSE),VLOOKUP($I740&amp;$J740&amp;V$1,Pesos!$A:$I,9,FALSE)))</f>
        <v>1</v>
      </c>
      <c r="AP740" s="80">
        <f>IF(W740="","",IF(W740="SIM",VLOOKUP($I740&amp;$J740&amp;W$1,Pesos!$A:$I,7,FALSE),VLOOKUP($I740&amp;$J740&amp;W$1,Pesos!$A:$I,9,FALSE)))</f>
        <v>1</v>
      </c>
      <c r="AQ740" s="80" t="str">
        <f>IF(X740="","",IF(X740="SIM",VLOOKUP($I740&amp;$J740&amp;X$1,Pesos!$A:$I,7,FALSE),VLOOKUP($I740&amp;$J740&amp;X$1,Pesos!$A:$I,9,FALSE)))</f>
        <v/>
      </c>
      <c r="AR740" s="80" t="str">
        <f>IF(Y740="","",IF(Y740="SIM",VLOOKUP($I740&amp;$J740&amp;Y$1,Pesos!$A:$I,7,FALSE),VLOOKUP($I740&amp;$J740&amp;Y$1,Pesos!$A:$I,9,FALSE)))</f>
        <v/>
      </c>
      <c r="AS740" s="81">
        <f>IFERROR(Z740*VLOOKUP(J740,'BD Campos'!$Y$1:$Z$12,2,FALSE),"0")</f>
        <v>10</v>
      </c>
    </row>
    <row r="741" spans="1:45" x14ac:dyDescent="0.35">
      <c r="A741" s="68" t="str">
        <f t="shared" si="100"/>
        <v>Fev202511016DISTRIBUIÇÃO</v>
      </c>
      <c r="B741" s="114" t="str">
        <f t="shared" si="101"/>
        <v>Fev2025110161DISTRIBUIÇÃOPADRÃO</v>
      </c>
      <c r="C741" s="70">
        <v>1</v>
      </c>
      <c r="D741" s="71">
        <v>45713.428249305558</v>
      </c>
      <c r="E741" s="112" t="s">
        <v>338</v>
      </c>
      <c r="F741" s="72">
        <v>11016</v>
      </c>
      <c r="G741" s="69" t="s">
        <v>261</v>
      </c>
      <c r="H741" s="73">
        <v>1</v>
      </c>
      <c r="I741" s="69" t="s">
        <v>308</v>
      </c>
      <c r="J741" s="69"/>
      <c r="K741" s="69" t="s">
        <v>23</v>
      </c>
      <c r="L741" s="74"/>
      <c r="M741" s="75"/>
      <c r="N741" s="76"/>
      <c r="O741" s="76"/>
      <c r="P741" s="76"/>
      <c r="Q741" s="76"/>
      <c r="R741" s="76"/>
      <c r="S741" s="76"/>
      <c r="T741" s="76"/>
      <c r="U741" s="76"/>
      <c r="V741" s="76"/>
      <c r="W741" s="76"/>
      <c r="X741" s="76"/>
      <c r="Y741" s="76"/>
      <c r="Z741" s="77">
        <f t="shared" si="79"/>
        <v>0</v>
      </c>
      <c r="AA741" s="78"/>
      <c r="AB741" s="78"/>
      <c r="AC741" s="72" t="s">
        <v>47</v>
      </c>
      <c r="AE741" s="79" t="str">
        <f t="shared" si="106"/>
        <v>Fev11016</v>
      </c>
      <c r="AF741" s="80" t="str">
        <f>IF(N741="","",IF(N741="SIM",VLOOKUP($I741&amp;$J741&amp;N$1,Pesos!$A:$I,7,FALSE),VLOOKUP($I741&amp;$J741&amp;N$1,Pesos!$A:$I,9,FALSE)))</f>
        <v/>
      </c>
      <c r="AG741" s="80" t="str">
        <f>IF(O741="","",IF(O741="SIM",VLOOKUP($I741&amp;$J741&amp;O$1,Pesos!$A:$I,7,FALSE),VLOOKUP($I741&amp;$J741&amp;O$1,Pesos!$A:$I,9,FALSE)))</f>
        <v/>
      </c>
      <c r="AH741" s="80" t="str">
        <f>IF(P741="","",IF(P741="SIM",VLOOKUP($I741&amp;$J741&amp;P$1,Pesos!$A:$I,7,FALSE),VLOOKUP($I741&amp;$J741&amp;P$1,Pesos!$A:$I,9,FALSE)))</f>
        <v/>
      </c>
      <c r="AI741" s="80" t="str">
        <f>IF(Q741="","",IF(Q741="SIM",VLOOKUP($I741&amp;$J741&amp;Q$1,Pesos!$A:$I,7,FALSE),VLOOKUP($I741&amp;$J741&amp;Q$1,Pesos!$A:$I,9,FALSE)))</f>
        <v/>
      </c>
      <c r="AJ741" s="80" t="str">
        <f>IF(R741="","",IF(R741="SIM",VLOOKUP($I741&amp;$J741&amp;R$1,Pesos!$A:$I,7,FALSE),VLOOKUP($I741&amp;$J741&amp;R$1,Pesos!$A:$I,9,FALSE)))</f>
        <v/>
      </c>
      <c r="AK741" s="80" t="str">
        <f>IF(S741="","",IF(S741="SIM",VLOOKUP($I741&amp;$J741&amp;S$1,Pesos!$A:$I,7,FALSE),VLOOKUP($I741&amp;$J741&amp;S$1,Pesos!$A:$I,9,FALSE)))</f>
        <v/>
      </c>
      <c r="AL741" s="80">
        <f t="shared" si="104"/>
        <v>0</v>
      </c>
      <c r="AM741" s="80" t="str">
        <f>IF(T741="","",IF(T741="SIM",VLOOKUP($I741&amp;$J741&amp;T$1,Pesos!$A:$I,7,FALSE),VLOOKUP($I741&amp;$J741&amp;T$1,Pesos!$A:$I,9,FALSE)))</f>
        <v/>
      </c>
      <c r="AN741" s="80" t="str">
        <f>IF(U741="","",IF(U741="SIM",VLOOKUP($I741&amp;$J741&amp;U$1,Pesos!$A:$I,7,FALSE),VLOOKUP($I741&amp;$J741&amp;U$1,Pesos!$A:$I,9,FALSE)))</f>
        <v/>
      </c>
      <c r="AO741" s="80" t="str">
        <f>IF(V741="","",IF(V741="SIM",VLOOKUP($I741&amp;$J741&amp;V$1,Pesos!$A:$I,7,FALSE),VLOOKUP($I741&amp;$J741&amp;V$1,Pesos!$A:$I,9,FALSE)))</f>
        <v/>
      </c>
      <c r="AP741" s="80" t="str">
        <f>IF(W741="","",IF(W741="SIM",VLOOKUP($I741&amp;$J741&amp;W$1,Pesos!$A:$I,7,FALSE),VLOOKUP($I741&amp;$J741&amp;W$1,Pesos!$A:$I,9,FALSE)))</f>
        <v/>
      </c>
      <c r="AQ741" s="80" t="str">
        <f>IF(X741="","",IF(X741="SIM",VLOOKUP($I741&amp;$J741&amp;X$1,Pesos!$A:$I,7,FALSE),VLOOKUP($I741&amp;$J741&amp;X$1,Pesos!$A:$I,9,FALSE)))</f>
        <v/>
      </c>
      <c r="AR741" s="80" t="str">
        <f>IF(Y741="","",IF(Y741="SIM",VLOOKUP($I741&amp;$J741&amp;Y$1,Pesos!$A:$I,7,FALSE),VLOOKUP($I741&amp;$J741&amp;Y$1,Pesos!$A:$I,9,FALSE)))</f>
        <v/>
      </c>
      <c r="AS741" s="81" t="str">
        <f>IFERROR(Z741*VLOOKUP(J741,'BD Campos'!$Y$1:$Z$12,2,FALSE),"0")</f>
        <v>0</v>
      </c>
    </row>
    <row r="742" spans="1:45" x14ac:dyDescent="0.35">
      <c r="A742" s="68" t="str">
        <f t="shared" si="100"/>
        <v>Fev202510971DISTRIBUIÇÃO</v>
      </c>
      <c r="B742" s="114" t="str">
        <f t="shared" si="101"/>
        <v>Fev2025109711DISTRIBUIÇÃOPADRÃO</v>
      </c>
      <c r="C742" s="70">
        <v>1</v>
      </c>
      <c r="D742" s="71">
        <v>45713.428450810185</v>
      </c>
      <c r="E742" s="112" t="s">
        <v>338</v>
      </c>
      <c r="F742" s="72">
        <v>10971</v>
      </c>
      <c r="G742" s="69" t="s">
        <v>264</v>
      </c>
      <c r="H742" s="73">
        <v>1</v>
      </c>
      <c r="I742" s="69" t="s">
        <v>308</v>
      </c>
      <c r="J742" s="69"/>
      <c r="K742" s="69" t="s">
        <v>23</v>
      </c>
      <c r="L742" s="74"/>
      <c r="M742" s="75"/>
      <c r="N742" s="76"/>
      <c r="O742" s="76"/>
      <c r="P742" s="76"/>
      <c r="Q742" s="76"/>
      <c r="R742" s="76"/>
      <c r="S742" s="76"/>
      <c r="T742" s="76"/>
      <c r="U742" s="76"/>
      <c r="V742" s="76"/>
      <c r="W742" s="76"/>
      <c r="X742" s="76"/>
      <c r="Y742" s="76"/>
      <c r="Z742" s="77">
        <f t="shared" si="79"/>
        <v>0</v>
      </c>
      <c r="AA742" s="78"/>
      <c r="AB742" s="78"/>
      <c r="AC742" s="72" t="s">
        <v>47</v>
      </c>
      <c r="AE742" s="79" t="str">
        <f t="shared" si="106"/>
        <v>Fev10971</v>
      </c>
      <c r="AF742" s="80" t="str">
        <f>IF(N742="","",IF(N742="SIM",VLOOKUP($I742&amp;$J742&amp;N$1,Pesos!$A:$I,7,FALSE),VLOOKUP($I742&amp;$J742&amp;N$1,Pesos!$A:$I,9,FALSE)))</f>
        <v/>
      </c>
      <c r="AG742" s="80" t="str">
        <f>IF(O742="","",IF(O742="SIM",VLOOKUP($I742&amp;$J742&amp;O$1,Pesos!$A:$I,7,FALSE),VLOOKUP($I742&amp;$J742&amp;O$1,Pesos!$A:$I,9,FALSE)))</f>
        <v/>
      </c>
      <c r="AH742" s="80" t="str">
        <f>IF(P742="","",IF(P742="SIM",VLOOKUP($I742&amp;$J742&amp;P$1,Pesos!$A:$I,7,FALSE),VLOOKUP($I742&amp;$J742&amp;P$1,Pesos!$A:$I,9,FALSE)))</f>
        <v/>
      </c>
      <c r="AI742" s="80" t="str">
        <f>IF(Q742="","",IF(Q742="SIM",VLOOKUP($I742&amp;$J742&amp;Q$1,Pesos!$A:$I,7,FALSE),VLOOKUP($I742&amp;$J742&amp;Q$1,Pesos!$A:$I,9,FALSE)))</f>
        <v/>
      </c>
      <c r="AJ742" s="80" t="str">
        <f>IF(R742="","",IF(R742="SIM",VLOOKUP($I742&amp;$J742&amp;R$1,Pesos!$A:$I,7,FALSE),VLOOKUP($I742&amp;$J742&amp;R$1,Pesos!$A:$I,9,FALSE)))</f>
        <v/>
      </c>
      <c r="AK742" s="80" t="str">
        <f>IF(S742="","",IF(S742="SIM",VLOOKUP($I742&amp;$J742&amp;S$1,Pesos!$A:$I,7,FALSE),VLOOKUP($I742&amp;$J742&amp;S$1,Pesos!$A:$I,9,FALSE)))</f>
        <v/>
      </c>
      <c r="AL742" s="80">
        <f t="shared" si="104"/>
        <v>0</v>
      </c>
      <c r="AM742" s="80" t="str">
        <f>IF(T742="","",IF(T742="SIM",VLOOKUP($I742&amp;$J742&amp;T$1,Pesos!$A:$I,7,FALSE),VLOOKUP($I742&amp;$J742&amp;T$1,Pesos!$A:$I,9,FALSE)))</f>
        <v/>
      </c>
      <c r="AN742" s="80" t="str">
        <f>IF(U742="","",IF(U742="SIM",VLOOKUP($I742&amp;$J742&amp;U$1,Pesos!$A:$I,7,FALSE),VLOOKUP($I742&amp;$J742&amp;U$1,Pesos!$A:$I,9,FALSE)))</f>
        <v/>
      </c>
      <c r="AO742" s="80" t="str">
        <f>IF(V742="","",IF(V742="SIM",VLOOKUP($I742&amp;$J742&amp;V$1,Pesos!$A:$I,7,FALSE),VLOOKUP($I742&amp;$J742&amp;V$1,Pesos!$A:$I,9,FALSE)))</f>
        <v/>
      </c>
      <c r="AP742" s="80" t="str">
        <f>IF(W742="","",IF(W742="SIM",VLOOKUP($I742&amp;$J742&amp;W$1,Pesos!$A:$I,7,FALSE),VLOOKUP($I742&amp;$J742&amp;W$1,Pesos!$A:$I,9,FALSE)))</f>
        <v/>
      </c>
      <c r="AQ742" s="80" t="str">
        <f>IF(X742="","",IF(X742="SIM",VLOOKUP($I742&amp;$J742&amp;X$1,Pesos!$A:$I,7,FALSE),VLOOKUP($I742&amp;$J742&amp;X$1,Pesos!$A:$I,9,FALSE)))</f>
        <v/>
      </c>
      <c r="AR742" s="80" t="str">
        <f>IF(Y742="","",IF(Y742="SIM",VLOOKUP($I742&amp;$J742&amp;Y$1,Pesos!$A:$I,7,FALSE),VLOOKUP($I742&amp;$J742&amp;Y$1,Pesos!$A:$I,9,FALSE)))</f>
        <v/>
      </c>
      <c r="AS742" s="81" t="str">
        <f>IFERROR(Z742*VLOOKUP(J742,'BD Campos'!$Y$1:$Z$12,2,FALSE),"0")</f>
        <v>0</v>
      </c>
    </row>
    <row r="743" spans="1:45" x14ac:dyDescent="0.35">
      <c r="A743" s="68" t="str">
        <f t="shared" si="100"/>
        <v>Fev20254189TRANSFERÊNCIA</v>
      </c>
      <c r="B743" s="114" t="str">
        <f t="shared" si="101"/>
        <v>Fev202541891TRANSFERÊNCIAPADRÃO</v>
      </c>
      <c r="C743" s="70">
        <v>1</v>
      </c>
      <c r="D743" s="71">
        <v>45713.438225347221</v>
      </c>
      <c r="E743" s="112" t="s">
        <v>338</v>
      </c>
      <c r="F743" s="72">
        <v>4189</v>
      </c>
      <c r="G743" s="69" t="s">
        <v>234</v>
      </c>
      <c r="H743" s="73">
        <v>1</v>
      </c>
      <c r="I743" s="69" t="s">
        <v>308</v>
      </c>
      <c r="J743" s="69"/>
      <c r="K743" s="69" t="s">
        <v>106</v>
      </c>
      <c r="L743" s="74"/>
      <c r="M743" s="75"/>
      <c r="N743" s="76"/>
      <c r="O743" s="76"/>
      <c r="P743" s="76"/>
      <c r="Q743" s="76"/>
      <c r="R743" s="76"/>
      <c r="S743" s="76"/>
      <c r="T743" s="76"/>
      <c r="U743" s="76"/>
      <c r="V743" s="76"/>
      <c r="W743" s="76"/>
      <c r="X743" s="76"/>
      <c r="Y743" s="76"/>
      <c r="Z743" s="77">
        <f t="shared" si="79"/>
        <v>0</v>
      </c>
      <c r="AA743" s="78"/>
      <c r="AB743" s="78"/>
      <c r="AC743" s="72" t="s">
        <v>47</v>
      </c>
      <c r="AE743" s="79" t="str">
        <f t="shared" si="106"/>
        <v>Fev4189</v>
      </c>
      <c r="AF743" s="80" t="str">
        <f>IF(N743="","",IF(N743="SIM",VLOOKUP($I743&amp;$J743&amp;N$1,Pesos!$A:$I,7,FALSE),VLOOKUP($I743&amp;$J743&amp;N$1,Pesos!$A:$I,9,FALSE)))</f>
        <v/>
      </c>
      <c r="AG743" s="80" t="str">
        <f>IF(O743="","",IF(O743="SIM",VLOOKUP($I743&amp;$J743&amp;O$1,Pesos!$A:$I,7,FALSE),VLOOKUP($I743&amp;$J743&amp;O$1,Pesos!$A:$I,9,FALSE)))</f>
        <v/>
      </c>
      <c r="AH743" s="80" t="str">
        <f>IF(P743="","",IF(P743="SIM",VLOOKUP($I743&amp;$J743&amp;P$1,Pesos!$A:$I,7,FALSE),VLOOKUP($I743&amp;$J743&amp;P$1,Pesos!$A:$I,9,FALSE)))</f>
        <v/>
      </c>
      <c r="AI743" s="80" t="str">
        <f>IF(Q743="","",IF(Q743="SIM",VLOOKUP($I743&amp;$J743&amp;Q$1,Pesos!$A:$I,7,FALSE),VLOOKUP($I743&amp;$J743&amp;Q$1,Pesos!$A:$I,9,FALSE)))</f>
        <v/>
      </c>
      <c r="AJ743" s="80" t="str">
        <f>IF(R743="","",IF(R743="SIM",VLOOKUP($I743&amp;$J743&amp;R$1,Pesos!$A:$I,7,FALSE),VLOOKUP($I743&amp;$J743&amp;R$1,Pesos!$A:$I,9,FALSE)))</f>
        <v/>
      </c>
      <c r="AK743" s="80" t="str">
        <f>IF(S743="","",IF(S743="SIM",VLOOKUP($I743&amp;$J743&amp;S$1,Pesos!$A:$I,7,FALSE),VLOOKUP($I743&amp;$J743&amp;S$1,Pesos!$A:$I,9,FALSE)))</f>
        <v/>
      </c>
      <c r="AL743" s="80">
        <f t="shared" si="104"/>
        <v>0</v>
      </c>
      <c r="AM743" s="80" t="str">
        <f>IF(T743="","",IF(T743="SIM",VLOOKUP($I743&amp;$J743&amp;T$1,Pesos!$A:$I,7,FALSE),VLOOKUP($I743&amp;$J743&amp;T$1,Pesos!$A:$I,9,FALSE)))</f>
        <v/>
      </c>
      <c r="AN743" s="80" t="str">
        <f>IF(U743="","",IF(U743="SIM",VLOOKUP($I743&amp;$J743&amp;U$1,Pesos!$A:$I,7,FALSE),VLOOKUP($I743&amp;$J743&amp;U$1,Pesos!$A:$I,9,FALSE)))</f>
        <v/>
      </c>
      <c r="AO743" s="80" t="str">
        <f>IF(V743="","",IF(V743="SIM",VLOOKUP($I743&amp;$J743&amp;V$1,Pesos!$A:$I,7,FALSE),VLOOKUP($I743&amp;$J743&amp;V$1,Pesos!$A:$I,9,FALSE)))</f>
        <v/>
      </c>
      <c r="AP743" s="80" t="str">
        <f>IF(W743="","",IF(W743="SIM",VLOOKUP($I743&amp;$J743&amp;W$1,Pesos!$A:$I,7,FALSE),VLOOKUP($I743&amp;$J743&amp;W$1,Pesos!$A:$I,9,FALSE)))</f>
        <v/>
      </c>
      <c r="AQ743" s="80" t="str">
        <f>IF(X743="","",IF(X743="SIM",VLOOKUP($I743&amp;$J743&amp;X$1,Pesos!$A:$I,7,FALSE),VLOOKUP($I743&amp;$J743&amp;X$1,Pesos!$A:$I,9,FALSE)))</f>
        <v/>
      </c>
      <c r="AR743" s="80" t="str">
        <f>IF(Y743="","",IF(Y743="SIM",VLOOKUP($I743&amp;$J743&amp;Y$1,Pesos!$A:$I,7,FALSE),VLOOKUP($I743&amp;$J743&amp;Y$1,Pesos!$A:$I,9,FALSE)))</f>
        <v/>
      </c>
      <c r="AS743" s="81" t="str">
        <f>IFERROR(Z743*VLOOKUP(J743,'BD Campos'!$Y$1:$Z$12,2,FALSE),"0")</f>
        <v>0</v>
      </c>
    </row>
    <row r="744" spans="1:45" x14ac:dyDescent="0.35">
      <c r="A744" s="68" t="str">
        <f t="shared" ref="A744:A769" si="107">E744&amp;YEAR(D744)&amp;F744&amp;J744&amp;K744&amp;""</f>
        <v>Fev20254189TRANSFERÊNCIA</v>
      </c>
      <c r="B744" s="114" t="str">
        <f t="shared" ref="B744:B769" si="108">E744&amp;YEAR(D744)&amp;F744&amp;H744&amp;K744&amp;AC744</f>
        <v>Fev202541895TRANSFERÊNCIAPADRÃO</v>
      </c>
      <c r="C744" s="70">
        <v>1</v>
      </c>
      <c r="D744" s="71">
        <v>45713.438279050926</v>
      </c>
      <c r="E744" s="112" t="s">
        <v>338</v>
      </c>
      <c r="F744" s="72">
        <v>4189</v>
      </c>
      <c r="G744" s="69" t="s">
        <v>234</v>
      </c>
      <c r="H744" s="73">
        <v>5</v>
      </c>
      <c r="I744" s="69" t="s">
        <v>308</v>
      </c>
      <c r="J744" s="69"/>
      <c r="K744" s="69" t="s">
        <v>106</v>
      </c>
      <c r="L744" s="74"/>
      <c r="M744" s="75"/>
      <c r="N744" s="76"/>
      <c r="O744" s="76"/>
      <c r="P744" s="76"/>
      <c r="Q744" s="76"/>
      <c r="R744" s="76"/>
      <c r="S744" s="76"/>
      <c r="T744" s="76"/>
      <c r="U744" s="76"/>
      <c r="V744" s="76"/>
      <c r="W744" s="76"/>
      <c r="X744" s="76"/>
      <c r="Y744" s="76"/>
      <c r="Z744" s="77">
        <f t="shared" si="79"/>
        <v>0</v>
      </c>
      <c r="AA744" s="78"/>
      <c r="AB744" s="78"/>
      <c r="AC744" s="72" t="s">
        <v>47</v>
      </c>
      <c r="AE744" s="79" t="str">
        <f t="shared" si="106"/>
        <v>Fev4189</v>
      </c>
      <c r="AF744" s="80" t="str">
        <f>IF(N744="","",IF(N744="SIM",VLOOKUP($I744&amp;$J744&amp;N$1,Pesos!$A:$I,7,FALSE),VLOOKUP($I744&amp;$J744&amp;N$1,Pesos!$A:$I,9,FALSE)))</f>
        <v/>
      </c>
      <c r="AG744" s="80" t="str">
        <f>IF(O744="","",IF(O744="SIM",VLOOKUP($I744&amp;$J744&amp;O$1,Pesos!$A:$I,7,FALSE),VLOOKUP($I744&amp;$J744&amp;O$1,Pesos!$A:$I,9,FALSE)))</f>
        <v/>
      </c>
      <c r="AH744" s="80" t="str">
        <f>IF(P744="","",IF(P744="SIM",VLOOKUP($I744&amp;$J744&amp;P$1,Pesos!$A:$I,7,FALSE),VLOOKUP($I744&amp;$J744&amp;P$1,Pesos!$A:$I,9,FALSE)))</f>
        <v/>
      </c>
      <c r="AI744" s="80" t="str">
        <f>IF(Q744="","",IF(Q744="SIM",VLOOKUP($I744&amp;$J744&amp;Q$1,Pesos!$A:$I,7,FALSE),VLOOKUP($I744&amp;$J744&amp;Q$1,Pesos!$A:$I,9,FALSE)))</f>
        <v/>
      </c>
      <c r="AJ744" s="80" t="str">
        <f>IF(R744="","",IF(R744="SIM",VLOOKUP($I744&amp;$J744&amp;R$1,Pesos!$A:$I,7,FALSE),VLOOKUP($I744&amp;$J744&amp;R$1,Pesos!$A:$I,9,FALSE)))</f>
        <v/>
      </c>
      <c r="AK744" s="80" t="str">
        <f>IF(S744="","",IF(S744="SIM",VLOOKUP($I744&amp;$J744&amp;S$1,Pesos!$A:$I,7,FALSE),VLOOKUP($I744&amp;$J744&amp;S$1,Pesos!$A:$I,9,FALSE)))</f>
        <v/>
      </c>
      <c r="AL744" s="80">
        <f t="shared" si="104"/>
        <v>0</v>
      </c>
      <c r="AM744" s="80" t="str">
        <f>IF(T744="","",IF(T744="SIM",VLOOKUP($I744&amp;$J744&amp;T$1,Pesos!$A:$I,7,FALSE),VLOOKUP($I744&amp;$J744&amp;T$1,Pesos!$A:$I,9,FALSE)))</f>
        <v/>
      </c>
      <c r="AN744" s="80" t="str">
        <f>IF(U744="","",IF(U744="SIM",VLOOKUP($I744&amp;$J744&amp;U$1,Pesos!$A:$I,7,FALSE),VLOOKUP($I744&amp;$J744&amp;U$1,Pesos!$A:$I,9,FALSE)))</f>
        <v/>
      </c>
      <c r="AO744" s="80" t="str">
        <f>IF(V744="","",IF(V744="SIM",VLOOKUP($I744&amp;$J744&amp;V$1,Pesos!$A:$I,7,FALSE),VLOOKUP($I744&amp;$J744&amp;V$1,Pesos!$A:$I,9,FALSE)))</f>
        <v/>
      </c>
      <c r="AP744" s="80" t="str">
        <f>IF(W744="","",IF(W744="SIM",VLOOKUP($I744&amp;$J744&amp;W$1,Pesos!$A:$I,7,FALSE),VLOOKUP($I744&amp;$J744&amp;W$1,Pesos!$A:$I,9,FALSE)))</f>
        <v/>
      </c>
      <c r="AQ744" s="80" t="str">
        <f>IF(X744="","",IF(X744="SIM",VLOOKUP($I744&amp;$J744&amp;X$1,Pesos!$A:$I,7,FALSE),VLOOKUP($I744&amp;$J744&amp;X$1,Pesos!$A:$I,9,FALSE)))</f>
        <v/>
      </c>
      <c r="AR744" s="80" t="str">
        <f>IF(Y744="","",IF(Y744="SIM",VLOOKUP($I744&amp;$J744&amp;Y$1,Pesos!$A:$I,7,FALSE),VLOOKUP($I744&amp;$J744&amp;Y$1,Pesos!$A:$I,9,FALSE)))</f>
        <v/>
      </c>
      <c r="AS744" s="81" t="str">
        <f>IFERROR(Z744*VLOOKUP(J744,'BD Campos'!$Y$1:$Z$12,2,FALSE),"0")</f>
        <v>0</v>
      </c>
    </row>
    <row r="745" spans="1:45" x14ac:dyDescent="0.35">
      <c r="A745" s="68" t="str">
        <f t="shared" si="107"/>
        <v>Fev202510665UTI</v>
      </c>
      <c r="B745" s="114" t="str">
        <f t="shared" si="108"/>
        <v>Fev2025106651UTIPADRÃO</v>
      </c>
      <c r="C745" s="70">
        <v>1</v>
      </c>
      <c r="D745" s="71">
        <v>45713.439416782407</v>
      </c>
      <c r="E745" s="112" t="s">
        <v>338</v>
      </c>
      <c r="F745" s="72">
        <v>10665</v>
      </c>
      <c r="G745" s="69" t="s">
        <v>295</v>
      </c>
      <c r="H745" s="73">
        <v>1</v>
      </c>
      <c r="I745" s="69" t="s">
        <v>308</v>
      </c>
      <c r="J745" s="69"/>
      <c r="K745" s="69" t="s">
        <v>131</v>
      </c>
      <c r="L745" s="74"/>
      <c r="M745" s="75"/>
      <c r="N745" s="76"/>
      <c r="O745" s="76"/>
      <c r="P745" s="76"/>
      <c r="Q745" s="76"/>
      <c r="R745" s="76"/>
      <c r="S745" s="76"/>
      <c r="T745" s="76"/>
      <c r="U745" s="76"/>
      <c r="V745" s="76"/>
      <c r="W745" s="76"/>
      <c r="X745" s="76"/>
      <c r="Y745" s="76"/>
      <c r="Z745" s="77">
        <f t="shared" si="79"/>
        <v>0</v>
      </c>
      <c r="AA745" s="78"/>
      <c r="AB745" s="78"/>
      <c r="AC745" s="72" t="s">
        <v>47</v>
      </c>
      <c r="AE745" s="79" t="str">
        <f t="shared" si="106"/>
        <v>Fev10665</v>
      </c>
      <c r="AF745" s="80" t="str">
        <f>IF(N745="","",IF(N745="SIM",VLOOKUP($I745&amp;$J745&amp;N$1,Pesos!$A:$I,7,FALSE),VLOOKUP($I745&amp;$J745&amp;N$1,Pesos!$A:$I,9,FALSE)))</f>
        <v/>
      </c>
      <c r="AG745" s="80" t="str">
        <f>IF(O745="","",IF(O745="SIM",VLOOKUP($I745&amp;$J745&amp;O$1,Pesos!$A:$I,7,FALSE),VLOOKUP($I745&amp;$J745&amp;O$1,Pesos!$A:$I,9,FALSE)))</f>
        <v/>
      </c>
      <c r="AH745" s="80" t="str">
        <f>IF(P745="","",IF(P745="SIM",VLOOKUP($I745&amp;$J745&amp;P$1,Pesos!$A:$I,7,FALSE),VLOOKUP($I745&amp;$J745&amp;P$1,Pesos!$A:$I,9,FALSE)))</f>
        <v/>
      </c>
      <c r="AI745" s="80" t="str">
        <f>IF(Q745="","",IF(Q745="SIM",VLOOKUP($I745&amp;$J745&amp;Q$1,Pesos!$A:$I,7,FALSE),VLOOKUP($I745&amp;$J745&amp;Q$1,Pesos!$A:$I,9,FALSE)))</f>
        <v/>
      </c>
      <c r="AJ745" s="80" t="str">
        <f>IF(R745="","",IF(R745="SIM",VLOOKUP($I745&amp;$J745&amp;R$1,Pesos!$A:$I,7,FALSE),VLOOKUP($I745&amp;$J745&amp;R$1,Pesos!$A:$I,9,FALSE)))</f>
        <v/>
      </c>
      <c r="AK745" s="80" t="str">
        <f>IF(S745="","",IF(S745="SIM",VLOOKUP($I745&amp;$J745&amp;S$1,Pesos!$A:$I,7,FALSE),VLOOKUP($I745&amp;$J745&amp;S$1,Pesos!$A:$I,9,FALSE)))</f>
        <v/>
      </c>
      <c r="AL745" s="80">
        <f t="shared" si="104"/>
        <v>0</v>
      </c>
      <c r="AM745" s="80" t="str">
        <f>IF(T745="","",IF(T745="SIM",VLOOKUP($I745&amp;$J745&amp;T$1,Pesos!$A:$I,7,FALSE),VLOOKUP($I745&amp;$J745&amp;T$1,Pesos!$A:$I,9,FALSE)))</f>
        <v/>
      </c>
      <c r="AN745" s="80" t="str">
        <f>IF(U745="","",IF(U745="SIM",VLOOKUP($I745&amp;$J745&amp;U$1,Pesos!$A:$I,7,FALSE),VLOOKUP($I745&amp;$J745&amp;U$1,Pesos!$A:$I,9,FALSE)))</f>
        <v/>
      </c>
      <c r="AO745" s="80" t="str">
        <f>IF(V745="","",IF(V745="SIM",VLOOKUP($I745&amp;$J745&amp;V$1,Pesos!$A:$I,7,FALSE),VLOOKUP($I745&amp;$J745&amp;V$1,Pesos!$A:$I,9,FALSE)))</f>
        <v/>
      </c>
      <c r="AP745" s="80" t="str">
        <f>IF(W745="","",IF(W745="SIM",VLOOKUP($I745&amp;$J745&amp;W$1,Pesos!$A:$I,7,FALSE),VLOOKUP($I745&amp;$J745&amp;W$1,Pesos!$A:$I,9,FALSE)))</f>
        <v/>
      </c>
      <c r="AQ745" s="80" t="str">
        <f>IF(X745="","",IF(X745="SIM",VLOOKUP($I745&amp;$J745&amp;X$1,Pesos!$A:$I,7,FALSE),VLOOKUP($I745&amp;$J745&amp;X$1,Pesos!$A:$I,9,FALSE)))</f>
        <v/>
      </c>
      <c r="AR745" s="80" t="str">
        <f>IF(Y745="","",IF(Y745="SIM",VLOOKUP($I745&amp;$J745&amp;Y$1,Pesos!$A:$I,7,FALSE),VLOOKUP($I745&amp;$J745&amp;Y$1,Pesos!$A:$I,9,FALSE)))</f>
        <v/>
      </c>
      <c r="AS745" s="81" t="str">
        <f>IFERROR(Z745*VLOOKUP(J745,'BD Campos'!$Y$1:$Z$12,2,FALSE),"0")</f>
        <v>0</v>
      </c>
    </row>
    <row r="746" spans="1:45" x14ac:dyDescent="0.35">
      <c r="A746" s="68" t="str">
        <f t="shared" si="107"/>
        <v>Fev202510187UTI</v>
      </c>
      <c r="B746" s="114" t="str">
        <f t="shared" si="108"/>
        <v>Fev2025101871UTIPADRÃO</v>
      </c>
      <c r="C746" s="70">
        <v>1</v>
      </c>
      <c r="D746" s="71">
        <v>45713.44076597222</v>
      </c>
      <c r="E746" s="112" t="s">
        <v>338</v>
      </c>
      <c r="F746" s="72">
        <v>10187</v>
      </c>
      <c r="G746" s="69" t="s">
        <v>309</v>
      </c>
      <c r="H746" s="73">
        <v>1</v>
      </c>
      <c r="I746" s="69" t="s">
        <v>308</v>
      </c>
      <c r="J746" s="69"/>
      <c r="K746" s="69" t="s">
        <v>131</v>
      </c>
      <c r="L746" s="74"/>
      <c r="M746" s="75"/>
      <c r="N746" s="76"/>
      <c r="O746" s="76"/>
      <c r="P746" s="76"/>
      <c r="Q746" s="76"/>
      <c r="R746" s="76"/>
      <c r="S746" s="76"/>
      <c r="T746" s="76"/>
      <c r="U746" s="76"/>
      <c r="V746" s="76"/>
      <c r="W746" s="76"/>
      <c r="X746" s="76"/>
      <c r="Y746" s="76"/>
      <c r="Z746" s="77">
        <f t="shared" si="79"/>
        <v>0</v>
      </c>
      <c r="AA746" s="78"/>
      <c r="AB746" s="78"/>
      <c r="AC746" s="72" t="s">
        <v>47</v>
      </c>
      <c r="AE746" s="79" t="str">
        <f t="shared" si="106"/>
        <v>Fev10187</v>
      </c>
      <c r="AF746" s="80" t="str">
        <f>IF(N746="","",IF(N746="SIM",VLOOKUP($I746&amp;$J746&amp;N$1,Pesos!$A:$I,7,FALSE),VLOOKUP($I746&amp;$J746&amp;N$1,Pesos!$A:$I,9,FALSE)))</f>
        <v/>
      </c>
      <c r="AG746" s="80" t="str">
        <f>IF(O746="","",IF(O746="SIM",VLOOKUP($I746&amp;$J746&amp;O$1,Pesos!$A:$I,7,FALSE),VLOOKUP($I746&amp;$J746&amp;O$1,Pesos!$A:$I,9,FALSE)))</f>
        <v/>
      </c>
      <c r="AH746" s="80" t="str">
        <f>IF(P746="","",IF(P746="SIM",VLOOKUP($I746&amp;$J746&amp;P$1,Pesos!$A:$I,7,FALSE),VLOOKUP($I746&amp;$J746&amp;P$1,Pesos!$A:$I,9,FALSE)))</f>
        <v/>
      </c>
      <c r="AI746" s="80" t="str">
        <f>IF(Q746="","",IF(Q746="SIM",VLOOKUP($I746&amp;$J746&amp;Q$1,Pesos!$A:$I,7,FALSE),VLOOKUP($I746&amp;$J746&amp;Q$1,Pesos!$A:$I,9,FALSE)))</f>
        <v/>
      </c>
      <c r="AJ746" s="80" t="str">
        <f>IF(R746="","",IF(R746="SIM",VLOOKUP($I746&amp;$J746&amp;R$1,Pesos!$A:$I,7,FALSE),VLOOKUP($I746&amp;$J746&amp;R$1,Pesos!$A:$I,9,FALSE)))</f>
        <v/>
      </c>
      <c r="AK746" s="80" t="str">
        <f>IF(S746="","",IF(S746="SIM",VLOOKUP($I746&amp;$J746&amp;S$1,Pesos!$A:$I,7,FALSE),VLOOKUP($I746&amp;$J746&amp;S$1,Pesos!$A:$I,9,FALSE)))</f>
        <v/>
      </c>
      <c r="AL746" s="80">
        <f t="shared" si="104"/>
        <v>0</v>
      </c>
      <c r="AM746" s="80" t="str">
        <f>IF(T746="","",IF(T746="SIM",VLOOKUP($I746&amp;$J746&amp;T$1,Pesos!$A:$I,7,FALSE),VLOOKUP($I746&amp;$J746&amp;T$1,Pesos!$A:$I,9,FALSE)))</f>
        <v/>
      </c>
      <c r="AN746" s="80" t="str">
        <f>IF(U746="","",IF(U746="SIM",VLOOKUP($I746&amp;$J746&amp;U$1,Pesos!$A:$I,7,FALSE),VLOOKUP($I746&amp;$J746&amp;U$1,Pesos!$A:$I,9,FALSE)))</f>
        <v/>
      </c>
      <c r="AO746" s="80" t="str">
        <f>IF(V746="","",IF(V746="SIM",VLOOKUP($I746&amp;$J746&amp;V$1,Pesos!$A:$I,7,FALSE),VLOOKUP($I746&amp;$J746&amp;V$1,Pesos!$A:$I,9,FALSE)))</f>
        <v/>
      </c>
      <c r="AP746" s="80" t="str">
        <f>IF(W746="","",IF(W746="SIM",VLOOKUP($I746&amp;$J746&amp;W$1,Pesos!$A:$I,7,FALSE),VLOOKUP($I746&amp;$J746&amp;W$1,Pesos!$A:$I,9,FALSE)))</f>
        <v/>
      </c>
      <c r="AQ746" s="80" t="str">
        <f>IF(X746="","",IF(X746="SIM",VLOOKUP($I746&amp;$J746&amp;X$1,Pesos!$A:$I,7,FALSE),VLOOKUP($I746&amp;$J746&amp;X$1,Pesos!$A:$I,9,FALSE)))</f>
        <v/>
      </c>
      <c r="AR746" s="80" t="str">
        <f>IF(Y746="","",IF(Y746="SIM",VLOOKUP($I746&amp;$J746&amp;Y$1,Pesos!$A:$I,7,FALSE),VLOOKUP($I746&amp;$J746&amp;Y$1,Pesos!$A:$I,9,FALSE)))</f>
        <v/>
      </c>
      <c r="AS746" s="81" t="str">
        <f>IFERROR(Z746*VLOOKUP(J746,'BD Campos'!$Y$1:$Z$12,2,FALSE),"0")</f>
        <v>0</v>
      </c>
    </row>
    <row r="747" spans="1:45" x14ac:dyDescent="0.35">
      <c r="A747" s="68" t="str">
        <f t="shared" si="107"/>
        <v>Fev20251512BAS</v>
      </c>
      <c r="B747" s="114" t="str">
        <f t="shared" si="108"/>
        <v>Fev202515121BASPADRÃO</v>
      </c>
      <c r="C747" s="70">
        <v>1</v>
      </c>
      <c r="D747" s="71">
        <v>45713.441350925925</v>
      </c>
      <c r="E747" s="112" t="s">
        <v>338</v>
      </c>
      <c r="F747" s="72">
        <v>1512</v>
      </c>
      <c r="G747" s="69" t="s">
        <v>310</v>
      </c>
      <c r="H747" s="73">
        <v>1</v>
      </c>
      <c r="I747" s="69" t="s">
        <v>308</v>
      </c>
      <c r="J747" s="69"/>
      <c r="K747" s="69" t="s">
        <v>303</v>
      </c>
      <c r="L747" s="74"/>
      <c r="M747" s="75"/>
      <c r="N747" s="76"/>
      <c r="O747" s="76"/>
      <c r="P747" s="76"/>
      <c r="Q747" s="76"/>
      <c r="R747" s="76"/>
      <c r="S747" s="76"/>
      <c r="T747" s="76"/>
      <c r="U747" s="76"/>
      <c r="V747" s="76"/>
      <c r="W747" s="76"/>
      <c r="X747" s="76"/>
      <c r="Y747" s="76"/>
      <c r="Z747" s="77">
        <f t="shared" si="79"/>
        <v>0</v>
      </c>
      <c r="AA747" s="78"/>
      <c r="AB747" s="78"/>
      <c r="AC747" s="72" t="s">
        <v>47</v>
      </c>
      <c r="AE747" s="79" t="str">
        <f t="shared" si="106"/>
        <v>Fev1512</v>
      </c>
      <c r="AF747" s="80" t="str">
        <f>IF(N747="","",IF(N747="SIM",VLOOKUP($I747&amp;$J747&amp;N$1,Pesos!$A:$I,7,FALSE),VLOOKUP($I747&amp;$J747&amp;N$1,Pesos!$A:$I,9,FALSE)))</f>
        <v/>
      </c>
      <c r="AG747" s="80" t="str">
        <f>IF(O747="","",IF(O747="SIM",VLOOKUP($I747&amp;$J747&amp;O$1,Pesos!$A:$I,7,FALSE),VLOOKUP($I747&amp;$J747&amp;O$1,Pesos!$A:$I,9,FALSE)))</f>
        <v/>
      </c>
      <c r="AH747" s="80" t="str">
        <f>IF(P747="","",IF(P747="SIM",VLOOKUP($I747&amp;$J747&amp;P$1,Pesos!$A:$I,7,FALSE),VLOOKUP($I747&amp;$J747&amp;P$1,Pesos!$A:$I,9,FALSE)))</f>
        <v/>
      </c>
      <c r="AI747" s="80" t="str">
        <f>IF(Q747="","",IF(Q747="SIM",VLOOKUP($I747&amp;$J747&amp;Q$1,Pesos!$A:$I,7,FALSE),VLOOKUP($I747&amp;$J747&amp;Q$1,Pesos!$A:$I,9,FALSE)))</f>
        <v/>
      </c>
      <c r="AJ747" s="80" t="str">
        <f>IF(R747="","",IF(R747="SIM",VLOOKUP($I747&amp;$J747&amp;R$1,Pesos!$A:$I,7,FALSE),VLOOKUP($I747&amp;$J747&amp;R$1,Pesos!$A:$I,9,FALSE)))</f>
        <v/>
      </c>
      <c r="AK747" s="80" t="str">
        <f>IF(S747="","",IF(S747="SIM",VLOOKUP($I747&amp;$J747&amp;S$1,Pesos!$A:$I,7,FALSE),VLOOKUP($I747&amp;$J747&amp;S$1,Pesos!$A:$I,9,FALSE)))</f>
        <v/>
      </c>
      <c r="AL747" s="80">
        <f t="shared" si="104"/>
        <v>0</v>
      </c>
      <c r="AM747" s="80" t="str">
        <f>IF(T747="","",IF(T747="SIM",VLOOKUP($I747&amp;$J747&amp;T$1,Pesos!$A:$I,7,FALSE),VLOOKUP($I747&amp;$J747&amp;T$1,Pesos!$A:$I,9,FALSE)))</f>
        <v/>
      </c>
      <c r="AN747" s="80" t="str">
        <f>IF(U747="","",IF(U747="SIM",VLOOKUP($I747&amp;$J747&amp;U$1,Pesos!$A:$I,7,FALSE),VLOOKUP($I747&amp;$J747&amp;U$1,Pesos!$A:$I,9,FALSE)))</f>
        <v/>
      </c>
      <c r="AO747" s="80" t="str">
        <f>IF(V747="","",IF(V747="SIM",VLOOKUP($I747&amp;$J747&amp;V$1,Pesos!$A:$I,7,FALSE),VLOOKUP($I747&amp;$J747&amp;V$1,Pesos!$A:$I,9,FALSE)))</f>
        <v/>
      </c>
      <c r="AP747" s="80" t="str">
        <f>IF(W747="","",IF(W747="SIM",VLOOKUP($I747&amp;$J747&amp;W$1,Pesos!$A:$I,7,FALSE),VLOOKUP($I747&amp;$J747&amp;W$1,Pesos!$A:$I,9,FALSE)))</f>
        <v/>
      </c>
      <c r="AQ747" s="80" t="str">
        <f>IF(X747="","",IF(X747="SIM",VLOOKUP($I747&amp;$J747&amp;X$1,Pesos!$A:$I,7,FALSE),VLOOKUP($I747&amp;$J747&amp;X$1,Pesos!$A:$I,9,FALSE)))</f>
        <v/>
      </c>
      <c r="AR747" s="80" t="str">
        <f>IF(Y747="","",IF(Y747="SIM",VLOOKUP($I747&amp;$J747&amp;Y$1,Pesos!$A:$I,7,FALSE),VLOOKUP($I747&amp;$J747&amp;Y$1,Pesos!$A:$I,9,FALSE)))</f>
        <v/>
      </c>
      <c r="AS747" s="81" t="str">
        <f>IFERROR(Z747*VLOOKUP(J747,'BD Campos'!$Y$1:$Z$12,2,FALSE),"0")</f>
        <v>0</v>
      </c>
    </row>
    <row r="748" spans="1:45" x14ac:dyDescent="0.35">
      <c r="A748" s="68" t="str">
        <f t="shared" si="107"/>
        <v>Fev20251512BAS</v>
      </c>
      <c r="B748" s="114" t="str">
        <f t="shared" si="108"/>
        <v>Fev202515122BASPADRÃO</v>
      </c>
      <c r="C748" s="70">
        <v>1</v>
      </c>
      <c r="D748" s="71">
        <v>45713.441393518522</v>
      </c>
      <c r="E748" s="112" t="s">
        <v>338</v>
      </c>
      <c r="F748" s="72">
        <v>1512</v>
      </c>
      <c r="G748" s="69" t="s">
        <v>310</v>
      </c>
      <c r="H748" s="73">
        <v>2</v>
      </c>
      <c r="I748" s="69" t="s">
        <v>308</v>
      </c>
      <c r="J748" s="69"/>
      <c r="K748" s="69" t="s">
        <v>303</v>
      </c>
      <c r="L748" s="74"/>
      <c r="M748" s="75"/>
      <c r="N748" s="76"/>
      <c r="O748" s="76"/>
      <c r="P748" s="76"/>
      <c r="Q748" s="76"/>
      <c r="R748" s="76"/>
      <c r="S748" s="76"/>
      <c r="T748" s="76"/>
      <c r="U748" s="76"/>
      <c r="V748" s="76"/>
      <c r="W748" s="76"/>
      <c r="X748" s="76"/>
      <c r="Y748" s="76"/>
      <c r="Z748" s="77">
        <f t="shared" si="79"/>
        <v>0</v>
      </c>
      <c r="AA748" s="78"/>
      <c r="AB748" s="78"/>
      <c r="AC748" s="72" t="s">
        <v>47</v>
      </c>
      <c r="AE748" s="79" t="str">
        <f t="shared" si="106"/>
        <v>Fev1512</v>
      </c>
      <c r="AF748" s="80" t="str">
        <f>IF(N748="","",IF(N748="SIM",VLOOKUP($I748&amp;$J748&amp;N$1,Pesos!$A:$I,7,FALSE),VLOOKUP($I748&amp;$J748&amp;N$1,Pesos!$A:$I,9,FALSE)))</f>
        <v/>
      </c>
      <c r="AG748" s="80" t="str">
        <f>IF(O748="","",IF(O748="SIM",VLOOKUP($I748&amp;$J748&amp;O$1,Pesos!$A:$I,7,FALSE),VLOOKUP($I748&amp;$J748&amp;O$1,Pesos!$A:$I,9,FALSE)))</f>
        <v/>
      </c>
      <c r="AH748" s="80" t="str">
        <f>IF(P748="","",IF(P748="SIM",VLOOKUP($I748&amp;$J748&amp;P$1,Pesos!$A:$I,7,FALSE),VLOOKUP($I748&amp;$J748&amp;P$1,Pesos!$A:$I,9,FALSE)))</f>
        <v/>
      </c>
      <c r="AI748" s="80" t="str">
        <f>IF(Q748="","",IF(Q748="SIM",VLOOKUP($I748&amp;$J748&amp;Q$1,Pesos!$A:$I,7,FALSE),VLOOKUP($I748&amp;$J748&amp;Q$1,Pesos!$A:$I,9,FALSE)))</f>
        <v/>
      </c>
      <c r="AJ748" s="80" t="str">
        <f>IF(R748="","",IF(R748="SIM",VLOOKUP($I748&amp;$J748&amp;R$1,Pesos!$A:$I,7,FALSE),VLOOKUP($I748&amp;$J748&amp;R$1,Pesos!$A:$I,9,FALSE)))</f>
        <v/>
      </c>
      <c r="AK748" s="80" t="str">
        <f>IF(S748="","",IF(S748="SIM",VLOOKUP($I748&amp;$J748&amp;S$1,Pesos!$A:$I,7,FALSE),VLOOKUP($I748&amp;$J748&amp;S$1,Pesos!$A:$I,9,FALSE)))</f>
        <v/>
      </c>
      <c r="AL748" s="80">
        <f t="shared" si="104"/>
        <v>0</v>
      </c>
      <c r="AM748" s="80" t="str">
        <f>IF(T748="","",IF(T748="SIM",VLOOKUP($I748&amp;$J748&amp;T$1,Pesos!$A:$I,7,FALSE),VLOOKUP($I748&amp;$J748&amp;T$1,Pesos!$A:$I,9,FALSE)))</f>
        <v/>
      </c>
      <c r="AN748" s="80" t="str">
        <f>IF(U748="","",IF(U748="SIM",VLOOKUP($I748&amp;$J748&amp;U$1,Pesos!$A:$I,7,FALSE),VLOOKUP($I748&amp;$J748&amp;U$1,Pesos!$A:$I,9,FALSE)))</f>
        <v/>
      </c>
      <c r="AO748" s="80" t="str">
        <f>IF(V748="","",IF(V748="SIM",VLOOKUP($I748&amp;$J748&amp;V$1,Pesos!$A:$I,7,FALSE),VLOOKUP($I748&amp;$J748&amp;V$1,Pesos!$A:$I,9,FALSE)))</f>
        <v/>
      </c>
      <c r="AP748" s="80" t="str">
        <f>IF(W748="","",IF(W748="SIM",VLOOKUP($I748&amp;$J748&amp;W$1,Pesos!$A:$I,7,FALSE),VLOOKUP($I748&amp;$J748&amp;W$1,Pesos!$A:$I,9,FALSE)))</f>
        <v/>
      </c>
      <c r="AQ748" s="80" t="str">
        <f>IF(X748="","",IF(X748="SIM",VLOOKUP($I748&amp;$J748&amp;X$1,Pesos!$A:$I,7,FALSE),VLOOKUP($I748&amp;$J748&amp;X$1,Pesos!$A:$I,9,FALSE)))</f>
        <v/>
      </c>
      <c r="AR748" s="80" t="str">
        <f>IF(Y748="","",IF(Y748="SIM",VLOOKUP($I748&amp;$J748&amp;Y$1,Pesos!$A:$I,7,FALSE),VLOOKUP($I748&amp;$J748&amp;Y$1,Pesos!$A:$I,9,FALSE)))</f>
        <v/>
      </c>
      <c r="AS748" s="81" t="str">
        <f>IFERROR(Z748*VLOOKUP(J748,'BD Campos'!$Y$1:$Z$12,2,FALSE),"0")</f>
        <v>0</v>
      </c>
    </row>
    <row r="749" spans="1:45" x14ac:dyDescent="0.35">
      <c r="A749" s="68" t="str">
        <f t="shared" si="107"/>
        <v>Fev20251700BAS</v>
      </c>
      <c r="B749" s="114" t="str">
        <f t="shared" si="108"/>
        <v>Fev202517001BASPADRÃO</v>
      </c>
      <c r="C749" s="70">
        <v>1</v>
      </c>
      <c r="D749" s="71">
        <v>45713.441744328702</v>
      </c>
      <c r="E749" s="112" t="s">
        <v>338</v>
      </c>
      <c r="F749" s="72">
        <v>1700</v>
      </c>
      <c r="G749" s="69" t="s">
        <v>277</v>
      </c>
      <c r="H749" s="73">
        <v>1</v>
      </c>
      <c r="I749" s="69" t="s">
        <v>308</v>
      </c>
      <c r="J749" s="69"/>
      <c r="K749" s="69" t="s">
        <v>303</v>
      </c>
      <c r="L749" s="74"/>
      <c r="M749" s="75"/>
      <c r="N749" s="76"/>
      <c r="O749" s="76"/>
      <c r="P749" s="76"/>
      <c r="Q749" s="76"/>
      <c r="R749" s="76"/>
      <c r="S749" s="76"/>
      <c r="T749" s="76"/>
      <c r="U749" s="76"/>
      <c r="V749" s="76"/>
      <c r="W749" s="76"/>
      <c r="X749" s="76"/>
      <c r="Y749" s="76"/>
      <c r="Z749" s="77">
        <f t="shared" si="79"/>
        <v>0</v>
      </c>
      <c r="AA749" s="78"/>
      <c r="AB749" s="78"/>
      <c r="AC749" s="72" t="s">
        <v>47</v>
      </c>
      <c r="AE749" s="79" t="str">
        <f t="shared" si="106"/>
        <v>Fev1700</v>
      </c>
      <c r="AF749" s="80" t="str">
        <f>IF(N749="","",IF(N749="SIM",VLOOKUP($I749&amp;$J749&amp;N$1,Pesos!$A:$I,7,FALSE),VLOOKUP($I749&amp;$J749&amp;N$1,Pesos!$A:$I,9,FALSE)))</f>
        <v/>
      </c>
      <c r="AG749" s="80" t="str">
        <f>IF(O749="","",IF(O749="SIM",VLOOKUP($I749&amp;$J749&amp;O$1,Pesos!$A:$I,7,FALSE),VLOOKUP($I749&amp;$J749&amp;O$1,Pesos!$A:$I,9,FALSE)))</f>
        <v/>
      </c>
      <c r="AH749" s="80" t="str">
        <f>IF(P749="","",IF(P749="SIM",VLOOKUP($I749&amp;$J749&amp;P$1,Pesos!$A:$I,7,FALSE),VLOOKUP($I749&amp;$J749&amp;P$1,Pesos!$A:$I,9,FALSE)))</f>
        <v/>
      </c>
      <c r="AI749" s="80" t="str">
        <f>IF(Q749="","",IF(Q749="SIM",VLOOKUP($I749&amp;$J749&amp;Q$1,Pesos!$A:$I,7,FALSE),VLOOKUP($I749&amp;$J749&amp;Q$1,Pesos!$A:$I,9,FALSE)))</f>
        <v/>
      </c>
      <c r="AJ749" s="80" t="str">
        <f>IF(R749="","",IF(R749="SIM",VLOOKUP($I749&amp;$J749&amp;R$1,Pesos!$A:$I,7,FALSE),VLOOKUP($I749&amp;$J749&amp;R$1,Pesos!$A:$I,9,FALSE)))</f>
        <v/>
      </c>
      <c r="AK749" s="80" t="str">
        <f>IF(S749="","",IF(S749="SIM",VLOOKUP($I749&amp;$J749&amp;S$1,Pesos!$A:$I,7,FALSE),VLOOKUP($I749&amp;$J749&amp;S$1,Pesos!$A:$I,9,FALSE)))</f>
        <v/>
      </c>
      <c r="AL749" s="80">
        <f t="shared" si="104"/>
        <v>0</v>
      </c>
      <c r="AM749" s="80" t="str">
        <f>IF(T749="","",IF(T749="SIM",VLOOKUP($I749&amp;$J749&amp;T$1,Pesos!$A:$I,7,FALSE),VLOOKUP($I749&amp;$J749&amp;T$1,Pesos!$A:$I,9,FALSE)))</f>
        <v/>
      </c>
      <c r="AN749" s="80" t="str">
        <f>IF(U749="","",IF(U749="SIM",VLOOKUP($I749&amp;$J749&amp;U$1,Pesos!$A:$I,7,FALSE),VLOOKUP($I749&amp;$J749&amp;U$1,Pesos!$A:$I,9,FALSE)))</f>
        <v/>
      </c>
      <c r="AO749" s="80" t="str">
        <f>IF(V749="","",IF(V749="SIM",VLOOKUP($I749&amp;$J749&amp;V$1,Pesos!$A:$I,7,FALSE),VLOOKUP($I749&amp;$J749&amp;V$1,Pesos!$A:$I,9,FALSE)))</f>
        <v/>
      </c>
      <c r="AP749" s="80" t="str">
        <f>IF(W749="","",IF(W749="SIM",VLOOKUP($I749&amp;$J749&amp;W$1,Pesos!$A:$I,7,FALSE),VLOOKUP($I749&amp;$J749&amp;W$1,Pesos!$A:$I,9,FALSE)))</f>
        <v/>
      </c>
      <c r="AQ749" s="80" t="str">
        <f>IF(X749="","",IF(X749="SIM",VLOOKUP($I749&amp;$J749&amp;X$1,Pesos!$A:$I,7,FALSE),VLOOKUP($I749&amp;$J749&amp;X$1,Pesos!$A:$I,9,FALSE)))</f>
        <v/>
      </c>
      <c r="AR749" s="80" t="str">
        <f>IF(Y749="","",IF(Y749="SIM",VLOOKUP($I749&amp;$J749&amp;Y$1,Pesos!$A:$I,7,FALSE),VLOOKUP($I749&amp;$J749&amp;Y$1,Pesos!$A:$I,9,FALSE)))</f>
        <v/>
      </c>
      <c r="AS749" s="81" t="str">
        <f>IFERROR(Z749*VLOOKUP(J749,'BD Campos'!$Y$1:$Z$12,2,FALSE),"0")</f>
        <v>0</v>
      </c>
    </row>
    <row r="750" spans="1:45" x14ac:dyDescent="0.35">
      <c r="A750" s="68" t="str">
        <f t="shared" si="107"/>
        <v>Fev20251700BAS</v>
      </c>
      <c r="B750" s="114" t="str">
        <f t="shared" si="108"/>
        <v>Fev202517002BASPADRÃO</v>
      </c>
      <c r="C750" s="70">
        <v>1</v>
      </c>
      <c r="D750" s="71">
        <v>45713.441798611108</v>
      </c>
      <c r="E750" s="112" t="s">
        <v>338</v>
      </c>
      <c r="F750" s="72">
        <v>1700</v>
      </c>
      <c r="G750" s="69" t="s">
        <v>277</v>
      </c>
      <c r="H750" s="73">
        <v>2</v>
      </c>
      <c r="I750" s="69" t="s">
        <v>308</v>
      </c>
      <c r="J750" s="69"/>
      <c r="K750" s="69" t="s">
        <v>303</v>
      </c>
      <c r="L750" s="74"/>
      <c r="M750" s="75"/>
      <c r="N750" s="76"/>
      <c r="O750" s="76"/>
      <c r="P750" s="76"/>
      <c r="Q750" s="76"/>
      <c r="R750" s="76"/>
      <c r="S750" s="76"/>
      <c r="T750" s="76"/>
      <c r="U750" s="76"/>
      <c r="V750" s="76"/>
      <c r="W750" s="76"/>
      <c r="X750" s="76"/>
      <c r="Y750" s="76"/>
      <c r="Z750" s="77">
        <f t="shared" si="79"/>
        <v>0</v>
      </c>
      <c r="AA750" s="78"/>
      <c r="AB750" s="78"/>
      <c r="AC750" s="72" t="s">
        <v>47</v>
      </c>
      <c r="AE750" s="79" t="str">
        <f t="shared" si="106"/>
        <v>Fev1700</v>
      </c>
      <c r="AF750" s="80" t="str">
        <f>IF(N750="","",IF(N750="SIM",VLOOKUP($I750&amp;$J750&amp;N$1,Pesos!$A:$I,7,FALSE),VLOOKUP($I750&amp;$J750&amp;N$1,Pesos!$A:$I,9,FALSE)))</f>
        <v/>
      </c>
      <c r="AG750" s="80" t="str">
        <f>IF(O750="","",IF(O750="SIM",VLOOKUP($I750&amp;$J750&amp;O$1,Pesos!$A:$I,7,FALSE),VLOOKUP($I750&amp;$J750&amp;O$1,Pesos!$A:$I,9,FALSE)))</f>
        <v/>
      </c>
      <c r="AH750" s="80" t="str">
        <f>IF(P750="","",IF(P750="SIM",VLOOKUP($I750&amp;$J750&amp;P$1,Pesos!$A:$I,7,FALSE),VLOOKUP($I750&amp;$J750&amp;P$1,Pesos!$A:$I,9,FALSE)))</f>
        <v/>
      </c>
      <c r="AI750" s="80" t="str">
        <f>IF(Q750="","",IF(Q750="SIM",VLOOKUP($I750&amp;$J750&amp;Q$1,Pesos!$A:$I,7,FALSE),VLOOKUP($I750&amp;$J750&amp;Q$1,Pesos!$A:$I,9,FALSE)))</f>
        <v/>
      </c>
      <c r="AJ750" s="80" t="str">
        <f>IF(R750="","",IF(R750="SIM",VLOOKUP($I750&amp;$J750&amp;R$1,Pesos!$A:$I,7,FALSE),VLOOKUP($I750&amp;$J750&amp;R$1,Pesos!$A:$I,9,FALSE)))</f>
        <v/>
      </c>
      <c r="AK750" s="80" t="str">
        <f>IF(S750="","",IF(S750="SIM",VLOOKUP($I750&amp;$J750&amp;S$1,Pesos!$A:$I,7,FALSE),VLOOKUP($I750&amp;$J750&amp;S$1,Pesos!$A:$I,9,FALSE)))</f>
        <v/>
      </c>
      <c r="AL750" s="80">
        <f t="shared" si="104"/>
        <v>0</v>
      </c>
      <c r="AM750" s="80" t="str">
        <f>IF(T750="","",IF(T750="SIM",VLOOKUP($I750&amp;$J750&amp;T$1,Pesos!$A:$I,7,FALSE),VLOOKUP($I750&amp;$J750&amp;T$1,Pesos!$A:$I,9,FALSE)))</f>
        <v/>
      </c>
      <c r="AN750" s="80" t="str">
        <f>IF(U750="","",IF(U750="SIM",VLOOKUP($I750&amp;$J750&amp;U$1,Pesos!$A:$I,7,FALSE),VLOOKUP($I750&amp;$J750&amp;U$1,Pesos!$A:$I,9,FALSE)))</f>
        <v/>
      </c>
      <c r="AO750" s="80" t="str">
        <f>IF(V750="","",IF(V750="SIM",VLOOKUP($I750&amp;$J750&amp;V$1,Pesos!$A:$I,7,FALSE),VLOOKUP($I750&amp;$J750&amp;V$1,Pesos!$A:$I,9,FALSE)))</f>
        <v/>
      </c>
      <c r="AP750" s="80" t="str">
        <f>IF(W750="","",IF(W750="SIM",VLOOKUP($I750&amp;$J750&amp;W$1,Pesos!$A:$I,7,FALSE),VLOOKUP($I750&amp;$J750&amp;W$1,Pesos!$A:$I,9,FALSE)))</f>
        <v/>
      </c>
      <c r="AQ750" s="80" t="str">
        <f>IF(X750="","",IF(X750="SIM",VLOOKUP($I750&amp;$J750&amp;X$1,Pesos!$A:$I,7,FALSE),VLOOKUP($I750&amp;$J750&amp;X$1,Pesos!$A:$I,9,FALSE)))</f>
        <v/>
      </c>
      <c r="AR750" s="80" t="str">
        <f>IF(Y750="","",IF(Y750="SIM",VLOOKUP($I750&amp;$J750&amp;Y$1,Pesos!$A:$I,7,FALSE),VLOOKUP($I750&amp;$J750&amp;Y$1,Pesos!$A:$I,9,FALSE)))</f>
        <v/>
      </c>
      <c r="AS750" s="81" t="str">
        <f>IFERROR(Z750*VLOOKUP(J750,'BD Campos'!$Y$1:$Z$12,2,FALSE),"0")</f>
        <v>0</v>
      </c>
    </row>
    <row r="751" spans="1:45" x14ac:dyDescent="0.35">
      <c r="A751" s="68" t="str">
        <f t="shared" si="107"/>
        <v>Fev202510526UTI</v>
      </c>
      <c r="B751" s="114" t="str">
        <f t="shared" si="108"/>
        <v>Fev2025105261UTIPADRÃO</v>
      </c>
      <c r="C751" s="70">
        <v>1</v>
      </c>
      <c r="D751" s="71">
        <v>45713.442612268518</v>
      </c>
      <c r="E751" s="112" t="s">
        <v>338</v>
      </c>
      <c r="F751" s="72">
        <v>10526</v>
      </c>
      <c r="G751" s="69" t="s">
        <v>267</v>
      </c>
      <c r="H751" s="73">
        <v>1</v>
      </c>
      <c r="I751" s="69" t="s">
        <v>308</v>
      </c>
      <c r="J751" s="69"/>
      <c r="K751" s="69" t="s">
        <v>131</v>
      </c>
      <c r="L751" s="74"/>
      <c r="M751" s="75"/>
      <c r="N751" s="76"/>
      <c r="O751" s="76"/>
      <c r="P751" s="76"/>
      <c r="Q751" s="76"/>
      <c r="R751" s="76"/>
      <c r="S751" s="76"/>
      <c r="T751" s="76"/>
      <c r="U751" s="76"/>
      <c r="V751" s="76"/>
      <c r="W751" s="76"/>
      <c r="X751" s="76"/>
      <c r="Y751" s="76"/>
      <c r="Z751" s="77">
        <f t="shared" si="79"/>
        <v>0</v>
      </c>
      <c r="AA751" s="78"/>
      <c r="AB751" s="78"/>
      <c r="AC751" s="72" t="s">
        <v>47</v>
      </c>
      <c r="AE751" s="79" t="str">
        <f t="shared" si="106"/>
        <v>Fev10526</v>
      </c>
      <c r="AF751" s="80" t="str">
        <f>IF(N751="","",IF(N751="SIM",VLOOKUP($I751&amp;$J751&amp;N$1,Pesos!$A:$I,7,FALSE),VLOOKUP($I751&amp;$J751&amp;N$1,Pesos!$A:$I,9,FALSE)))</f>
        <v/>
      </c>
      <c r="AG751" s="80" t="str">
        <f>IF(O751="","",IF(O751="SIM",VLOOKUP($I751&amp;$J751&amp;O$1,Pesos!$A:$I,7,FALSE),VLOOKUP($I751&amp;$J751&amp;O$1,Pesos!$A:$I,9,FALSE)))</f>
        <v/>
      </c>
      <c r="AH751" s="80" t="str">
        <f>IF(P751="","",IF(P751="SIM",VLOOKUP($I751&amp;$J751&amp;P$1,Pesos!$A:$I,7,FALSE),VLOOKUP($I751&amp;$J751&amp;P$1,Pesos!$A:$I,9,FALSE)))</f>
        <v/>
      </c>
      <c r="AI751" s="80" t="str">
        <f>IF(Q751="","",IF(Q751="SIM",VLOOKUP($I751&amp;$J751&amp;Q$1,Pesos!$A:$I,7,FALSE),VLOOKUP($I751&amp;$J751&amp;Q$1,Pesos!$A:$I,9,FALSE)))</f>
        <v/>
      </c>
      <c r="AJ751" s="80" t="str">
        <f>IF(R751="","",IF(R751="SIM",VLOOKUP($I751&amp;$J751&amp;R$1,Pesos!$A:$I,7,FALSE),VLOOKUP($I751&amp;$J751&amp;R$1,Pesos!$A:$I,9,FALSE)))</f>
        <v/>
      </c>
      <c r="AK751" s="80" t="str">
        <f>IF(S751="","",IF(S751="SIM",VLOOKUP($I751&amp;$J751&amp;S$1,Pesos!$A:$I,7,FALSE),VLOOKUP($I751&amp;$J751&amp;S$1,Pesos!$A:$I,9,FALSE)))</f>
        <v/>
      </c>
      <c r="AL751" s="80">
        <f t="shared" si="104"/>
        <v>0</v>
      </c>
      <c r="AM751" s="80" t="str">
        <f>IF(T751="","",IF(T751="SIM",VLOOKUP($I751&amp;$J751&amp;T$1,Pesos!$A:$I,7,FALSE),VLOOKUP($I751&amp;$J751&amp;T$1,Pesos!$A:$I,9,FALSE)))</f>
        <v/>
      </c>
      <c r="AN751" s="80" t="str">
        <f>IF(U751="","",IF(U751="SIM",VLOOKUP($I751&amp;$J751&amp;U$1,Pesos!$A:$I,7,FALSE),VLOOKUP($I751&amp;$J751&amp;U$1,Pesos!$A:$I,9,FALSE)))</f>
        <v/>
      </c>
      <c r="AO751" s="80" t="str">
        <f>IF(V751="","",IF(V751="SIM",VLOOKUP($I751&amp;$J751&amp;V$1,Pesos!$A:$I,7,FALSE),VLOOKUP($I751&amp;$J751&amp;V$1,Pesos!$A:$I,9,FALSE)))</f>
        <v/>
      </c>
      <c r="AP751" s="80" t="str">
        <f>IF(W751="","",IF(W751="SIM",VLOOKUP($I751&amp;$J751&amp;W$1,Pesos!$A:$I,7,FALSE),VLOOKUP($I751&amp;$J751&amp;W$1,Pesos!$A:$I,9,FALSE)))</f>
        <v/>
      </c>
      <c r="AQ751" s="80" t="str">
        <f>IF(X751="","",IF(X751="SIM",VLOOKUP($I751&amp;$J751&amp;X$1,Pesos!$A:$I,7,FALSE),VLOOKUP($I751&amp;$J751&amp;X$1,Pesos!$A:$I,9,FALSE)))</f>
        <v/>
      </c>
      <c r="AR751" s="80" t="str">
        <f>IF(Y751="","",IF(Y751="SIM",VLOOKUP($I751&amp;$J751&amp;Y$1,Pesos!$A:$I,7,FALSE),VLOOKUP($I751&amp;$J751&amp;Y$1,Pesos!$A:$I,9,FALSE)))</f>
        <v/>
      </c>
      <c r="AS751" s="81" t="str">
        <f>IFERROR(Z751*VLOOKUP(J751,'BD Campos'!$Y$1:$Z$12,2,FALSE),"0")</f>
        <v>0</v>
      </c>
    </row>
    <row r="752" spans="1:45" x14ac:dyDescent="0.35">
      <c r="A752" s="68" t="str">
        <f t="shared" si="107"/>
        <v>Fev202510734BAS</v>
      </c>
      <c r="B752" s="114" t="str">
        <f t="shared" si="108"/>
        <v>Fev2025107341BASPADRÃO</v>
      </c>
      <c r="C752" s="70">
        <v>1</v>
      </c>
      <c r="D752" s="71">
        <v>45713.443376388888</v>
      </c>
      <c r="E752" s="112" t="s">
        <v>338</v>
      </c>
      <c r="F752" s="72">
        <v>10734</v>
      </c>
      <c r="G752" s="69" t="s">
        <v>335</v>
      </c>
      <c r="H752" s="73">
        <v>1</v>
      </c>
      <c r="I752" s="69" t="s">
        <v>308</v>
      </c>
      <c r="J752" s="69"/>
      <c r="K752" s="69" t="s">
        <v>303</v>
      </c>
      <c r="L752" s="74"/>
      <c r="M752" s="75"/>
      <c r="N752" s="76"/>
      <c r="O752" s="76"/>
      <c r="P752" s="76"/>
      <c r="Q752" s="76"/>
      <c r="R752" s="76"/>
      <c r="S752" s="76"/>
      <c r="T752" s="76"/>
      <c r="U752" s="76"/>
      <c r="V752" s="76"/>
      <c r="W752" s="76"/>
      <c r="X752" s="76"/>
      <c r="Y752" s="76"/>
      <c r="Z752" s="77">
        <f t="shared" si="79"/>
        <v>0</v>
      </c>
      <c r="AA752" s="78"/>
      <c r="AB752" s="78"/>
      <c r="AC752" s="72" t="s">
        <v>47</v>
      </c>
      <c r="AE752" s="79" t="str">
        <f t="shared" si="106"/>
        <v>Fev10734</v>
      </c>
      <c r="AF752" s="80" t="str">
        <f>IF(N752="","",IF(N752="SIM",VLOOKUP($I752&amp;$J752&amp;N$1,Pesos!$A:$I,7,FALSE),VLOOKUP($I752&amp;$J752&amp;N$1,Pesos!$A:$I,9,FALSE)))</f>
        <v/>
      </c>
      <c r="AG752" s="80" t="str">
        <f>IF(O752="","",IF(O752="SIM",VLOOKUP($I752&amp;$J752&amp;O$1,Pesos!$A:$I,7,FALSE),VLOOKUP($I752&amp;$J752&amp;O$1,Pesos!$A:$I,9,FALSE)))</f>
        <v/>
      </c>
      <c r="AH752" s="80" t="str">
        <f>IF(P752="","",IF(P752="SIM",VLOOKUP($I752&amp;$J752&amp;P$1,Pesos!$A:$I,7,FALSE),VLOOKUP($I752&amp;$J752&amp;P$1,Pesos!$A:$I,9,FALSE)))</f>
        <v/>
      </c>
      <c r="AI752" s="80" t="str">
        <f>IF(Q752="","",IF(Q752="SIM",VLOOKUP($I752&amp;$J752&amp;Q$1,Pesos!$A:$I,7,FALSE),VLOOKUP($I752&amp;$J752&amp;Q$1,Pesos!$A:$I,9,FALSE)))</f>
        <v/>
      </c>
      <c r="AJ752" s="80" t="str">
        <f>IF(R752="","",IF(R752="SIM",VLOOKUP($I752&amp;$J752&amp;R$1,Pesos!$A:$I,7,FALSE),VLOOKUP($I752&amp;$J752&amp;R$1,Pesos!$A:$I,9,FALSE)))</f>
        <v/>
      </c>
      <c r="AK752" s="80" t="str">
        <f>IF(S752="","",IF(S752="SIM",VLOOKUP($I752&amp;$J752&amp;S$1,Pesos!$A:$I,7,FALSE),VLOOKUP($I752&amp;$J752&amp;S$1,Pesos!$A:$I,9,FALSE)))</f>
        <v/>
      </c>
      <c r="AL752" s="80">
        <f t="shared" si="104"/>
        <v>0</v>
      </c>
      <c r="AM752" s="80" t="str">
        <f>IF(T752="","",IF(T752="SIM",VLOOKUP($I752&amp;$J752&amp;T$1,Pesos!$A:$I,7,FALSE),VLOOKUP($I752&amp;$J752&amp;T$1,Pesos!$A:$I,9,FALSE)))</f>
        <v/>
      </c>
      <c r="AN752" s="80" t="str">
        <f>IF(U752="","",IF(U752="SIM",VLOOKUP($I752&amp;$J752&amp;U$1,Pesos!$A:$I,7,FALSE),VLOOKUP($I752&amp;$J752&amp;U$1,Pesos!$A:$I,9,FALSE)))</f>
        <v/>
      </c>
      <c r="AO752" s="80" t="str">
        <f>IF(V752="","",IF(V752="SIM",VLOOKUP($I752&amp;$J752&amp;V$1,Pesos!$A:$I,7,FALSE),VLOOKUP($I752&amp;$J752&amp;V$1,Pesos!$A:$I,9,FALSE)))</f>
        <v/>
      </c>
      <c r="AP752" s="80" t="str">
        <f>IF(W752="","",IF(W752="SIM",VLOOKUP($I752&amp;$J752&amp;W$1,Pesos!$A:$I,7,FALSE),VLOOKUP($I752&amp;$J752&amp;W$1,Pesos!$A:$I,9,FALSE)))</f>
        <v/>
      </c>
      <c r="AQ752" s="80" t="str">
        <f>IF(X752="","",IF(X752="SIM",VLOOKUP($I752&amp;$J752&amp;X$1,Pesos!$A:$I,7,FALSE),VLOOKUP($I752&amp;$J752&amp;X$1,Pesos!$A:$I,9,FALSE)))</f>
        <v/>
      </c>
      <c r="AR752" s="80" t="str">
        <f>IF(Y752="","",IF(Y752="SIM",VLOOKUP($I752&amp;$J752&amp;Y$1,Pesos!$A:$I,7,FALSE),VLOOKUP($I752&amp;$J752&amp;Y$1,Pesos!$A:$I,9,FALSE)))</f>
        <v/>
      </c>
      <c r="AS752" s="81" t="str">
        <f>IFERROR(Z752*VLOOKUP(J752,'BD Campos'!$Y$1:$Z$12,2,FALSE),"0")</f>
        <v>0</v>
      </c>
    </row>
    <row r="753" spans="1:45" x14ac:dyDescent="0.35">
      <c r="A753" s="68" t="str">
        <f t="shared" si="107"/>
        <v>Fev202510734BAS</v>
      </c>
      <c r="B753" s="114" t="str">
        <f t="shared" si="108"/>
        <v>Fev2025107342BASPADRÃO</v>
      </c>
      <c r="C753" s="70">
        <v>1</v>
      </c>
      <c r="D753" s="71">
        <v>45713.443522106485</v>
      </c>
      <c r="E753" s="112" t="s">
        <v>338</v>
      </c>
      <c r="F753" s="72">
        <v>10734</v>
      </c>
      <c r="G753" s="69" t="s">
        <v>335</v>
      </c>
      <c r="H753" s="73">
        <v>2</v>
      </c>
      <c r="I753" s="69" t="s">
        <v>308</v>
      </c>
      <c r="J753" s="69"/>
      <c r="K753" s="69" t="s">
        <v>303</v>
      </c>
      <c r="L753" s="74"/>
      <c r="M753" s="75"/>
      <c r="N753" s="76"/>
      <c r="O753" s="76"/>
      <c r="P753" s="76"/>
      <c r="Q753" s="76"/>
      <c r="R753" s="76"/>
      <c r="S753" s="76"/>
      <c r="T753" s="76"/>
      <c r="U753" s="76"/>
      <c r="V753" s="76"/>
      <c r="W753" s="76"/>
      <c r="X753" s="76"/>
      <c r="Y753" s="76"/>
      <c r="Z753" s="77">
        <f t="shared" si="79"/>
        <v>0</v>
      </c>
      <c r="AA753" s="78"/>
      <c r="AB753" s="78"/>
      <c r="AC753" s="72" t="s">
        <v>47</v>
      </c>
      <c r="AE753" s="79" t="str">
        <f t="shared" si="106"/>
        <v>Fev10734</v>
      </c>
      <c r="AF753" s="80" t="str">
        <f>IF(N753="","",IF(N753="SIM",VLOOKUP($I753&amp;$J753&amp;N$1,Pesos!$A:$I,7,FALSE),VLOOKUP($I753&amp;$J753&amp;N$1,Pesos!$A:$I,9,FALSE)))</f>
        <v/>
      </c>
      <c r="AG753" s="80" t="str">
        <f>IF(O753="","",IF(O753="SIM",VLOOKUP($I753&amp;$J753&amp;O$1,Pesos!$A:$I,7,FALSE),VLOOKUP($I753&amp;$J753&amp;O$1,Pesos!$A:$I,9,FALSE)))</f>
        <v/>
      </c>
      <c r="AH753" s="80" t="str">
        <f>IF(P753="","",IF(P753="SIM",VLOOKUP($I753&amp;$J753&amp;P$1,Pesos!$A:$I,7,FALSE),VLOOKUP($I753&amp;$J753&amp;P$1,Pesos!$A:$I,9,FALSE)))</f>
        <v/>
      </c>
      <c r="AI753" s="80" t="str">
        <f>IF(Q753="","",IF(Q753="SIM",VLOOKUP($I753&amp;$J753&amp;Q$1,Pesos!$A:$I,7,FALSE),VLOOKUP($I753&amp;$J753&amp;Q$1,Pesos!$A:$I,9,FALSE)))</f>
        <v/>
      </c>
      <c r="AJ753" s="80" t="str">
        <f>IF(R753="","",IF(R753="SIM",VLOOKUP($I753&amp;$J753&amp;R$1,Pesos!$A:$I,7,FALSE),VLOOKUP($I753&amp;$J753&amp;R$1,Pesos!$A:$I,9,FALSE)))</f>
        <v/>
      </c>
      <c r="AK753" s="80" t="str">
        <f>IF(S753="","",IF(S753="SIM",VLOOKUP($I753&amp;$J753&amp;S$1,Pesos!$A:$I,7,FALSE),VLOOKUP($I753&amp;$J753&amp;S$1,Pesos!$A:$I,9,FALSE)))</f>
        <v/>
      </c>
      <c r="AL753" s="80">
        <f t="shared" si="104"/>
        <v>0</v>
      </c>
      <c r="AM753" s="80" t="str">
        <f>IF(T753="","",IF(T753="SIM",VLOOKUP($I753&amp;$J753&amp;T$1,Pesos!$A:$I,7,FALSE),VLOOKUP($I753&amp;$J753&amp;T$1,Pesos!$A:$I,9,FALSE)))</f>
        <v/>
      </c>
      <c r="AN753" s="80" t="str">
        <f>IF(U753="","",IF(U753="SIM",VLOOKUP($I753&amp;$J753&amp;U$1,Pesos!$A:$I,7,FALSE),VLOOKUP($I753&amp;$J753&amp;U$1,Pesos!$A:$I,9,FALSE)))</f>
        <v/>
      </c>
      <c r="AO753" s="80" t="str">
        <f>IF(V753="","",IF(V753="SIM",VLOOKUP($I753&amp;$J753&amp;V$1,Pesos!$A:$I,7,FALSE),VLOOKUP($I753&amp;$J753&amp;V$1,Pesos!$A:$I,9,FALSE)))</f>
        <v/>
      </c>
      <c r="AP753" s="80" t="str">
        <f>IF(W753="","",IF(W753="SIM",VLOOKUP($I753&amp;$J753&amp;W$1,Pesos!$A:$I,7,FALSE),VLOOKUP($I753&amp;$J753&amp;W$1,Pesos!$A:$I,9,FALSE)))</f>
        <v/>
      </c>
      <c r="AQ753" s="80" t="str">
        <f>IF(X753="","",IF(X753="SIM",VLOOKUP($I753&amp;$J753&amp;X$1,Pesos!$A:$I,7,FALSE),VLOOKUP($I753&amp;$J753&amp;X$1,Pesos!$A:$I,9,FALSE)))</f>
        <v/>
      </c>
      <c r="AR753" s="80" t="str">
        <f>IF(Y753="","",IF(Y753="SIM",VLOOKUP($I753&amp;$J753&amp;Y$1,Pesos!$A:$I,7,FALSE),VLOOKUP($I753&amp;$J753&amp;Y$1,Pesos!$A:$I,9,FALSE)))</f>
        <v/>
      </c>
      <c r="AS753" s="81" t="str">
        <f>IFERROR(Z753*VLOOKUP(J753,'BD Campos'!$Y$1:$Z$12,2,FALSE),"0")</f>
        <v>0</v>
      </c>
    </row>
    <row r="754" spans="1:45" x14ac:dyDescent="0.35">
      <c r="A754" s="68" t="str">
        <f t="shared" si="107"/>
        <v>Fev202510628UTI (RJ)</v>
      </c>
      <c r="B754" s="114" t="str">
        <f t="shared" si="108"/>
        <v>Fev2025106281UTI (RJ)PADRÃO</v>
      </c>
      <c r="C754" s="70">
        <v>1</v>
      </c>
      <c r="D754" s="71">
        <v>45713.443992708337</v>
      </c>
      <c r="E754" s="112" t="s">
        <v>338</v>
      </c>
      <c r="F754" s="72">
        <v>10628</v>
      </c>
      <c r="G754" s="69" t="s">
        <v>271</v>
      </c>
      <c r="H754" s="73">
        <v>1</v>
      </c>
      <c r="I754" s="69" t="s">
        <v>308</v>
      </c>
      <c r="J754" s="69"/>
      <c r="K754" s="69" t="s">
        <v>278</v>
      </c>
      <c r="L754" s="74"/>
      <c r="M754" s="75"/>
      <c r="N754" s="76"/>
      <c r="O754" s="76"/>
      <c r="P754" s="76"/>
      <c r="Q754" s="76"/>
      <c r="R754" s="76"/>
      <c r="S754" s="76"/>
      <c r="T754" s="76"/>
      <c r="U754" s="76"/>
      <c r="V754" s="76"/>
      <c r="W754" s="76"/>
      <c r="X754" s="76"/>
      <c r="Y754" s="76"/>
      <c r="Z754" s="77">
        <f t="shared" si="79"/>
        <v>0</v>
      </c>
      <c r="AA754" s="78"/>
      <c r="AB754" s="78"/>
      <c r="AC754" s="72" t="s">
        <v>47</v>
      </c>
      <c r="AE754" s="79" t="str">
        <f t="shared" si="106"/>
        <v>Fev10628</v>
      </c>
      <c r="AF754" s="80" t="str">
        <f>IF(N754="","",IF(N754="SIM",VLOOKUP($I754&amp;$J754&amp;N$1,Pesos!$A:$I,7,FALSE),VLOOKUP($I754&amp;$J754&amp;N$1,Pesos!$A:$I,9,FALSE)))</f>
        <v/>
      </c>
      <c r="AG754" s="80" t="str">
        <f>IF(O754="","",IF(O754="SIM",VLOOKUP($I754&amp;$J754&amp;O$1,Pesos!$A:$I,7,FALSE),VLOOKUP($I754&amp;$J754&amp;O$1,Pesos!$A:$I,9,FALSE)))</f>
        <v/>
      </c>
      <c r="AH754" s="80" t="str">
        <f>IF(P754="","",IF(P754="SIM",VLOOKUP($I754&amp;$J754&amp;P$1,Pesos!$A:$I,7,FALSE),VLOOKUP($I754&amp;$J754&amp;P$1,Pesos!$A:$I,9,FALSE)))</f>
        <v/>
      </c>
      <c r="AI754" s="80" t="str">
        <f>IF(Q754="","",IF(Q754="SIM",VLOOKUP($I754&amp;$J754&amp;Q$1,Pesos!$A:$I,7,FALSE),VLOOKUP($I754&amp;$J754&amp;Q$1,Pesos!$A:$I,9,FALSE)))</f>
        <v/>
      </c>
      <c r="AJ754" s="80" t="str">
        <f>IF(R754="","",IF(R754="SIM",VLOOKUP($I754&amp;$J754&amp;R$1,Pesos!$A:$I,7,FALSE),VLOOKUP($I754&amp;$J754&amp;R$1,Pesos!$A:$I,9,FALSE)))</f>
        <v/>
      </c>
      <c r="AK754" s="80" t="str">
        <f>IF(S754="","",IF(S754="SIM",VLOOKUP($I754&amp;$J754&amp;S$1,Pesos!$A:$I,7,FALSE),VLOOKUP($I754&amp;$J754&amp;S$1,Pesos!$A:$I,9,FALSE)))</f>
        <v/>
      </c>
      <c r="AL754" s="80">
        <f t="shared" si="104"/>
        <v>0</v>
      </c>
      <c r="AM754" s="80" t="str">
        <f>IF(T754="","",IF(T754="SIM",VLOOKUP($I754&amp;$J754&amp;T$1,Pesos!$A:$I,7,FALSE),VLOOKUP($I754&amp;$J754&amp;T$1,Pesos!$A:$I,9,FALSE)))</f>
        <v/>
      </c>
      <c r="AN754" s="80" t="str">
        <f>IF(U754="","",IF(U754="SIM",VLOOKUP($I754&amp;$J754&amp;U$1,Pesos!$A:$I,7,FALSE),VLOOKUP($I754&amp;$J754&amp;U$1,Pesos!$A:$I,9,FALSE)))</f>
        <v/>
      </c>
      <c r="AO754" s="80" t="str">
        <f>IF(V754="","",IF(V754="SIM",VLOOKUP($I754&amp;$J754&amp;V$1,Pesos!$A:$I,7,FALSE),VLOOKUP($I754&amp;$J754&amp;V$1,Pesos!$A:$I,9,FALSE)))</f>
        <v/>
      </c>
      <c r="AP754" s="80" t="str">
        <f>IF(W754="","",IF(W754="SIM",VLOOKUP($I754&amp;$J754&amp;W$1,Pesos!$A:$I,7,FALSE),VLOOKUP($I754&amp;$J754&amp;W$1,Pesos!$A:$I,9,FALSE)))</f>
        <v/>
      </c>
      <c r="AQ754" s="80" t="str">
        <f>IF(X754="","",IF(X754="SIM",VLOOKUP($I754&amp;$J754&amp;X$1,Pesos!$A:$I,7,FALSE),VLOOKUP($I754&amp;$J754&amp;X$1,Pesos!$A:$I,9,FALSE)))</f>
        <v/>
      </c>
      <c r="AR754" s="80" t="str">
        <f>IF(Y754="","",IF(Y754="SIM",VLOOKUP($I754&amp;$J754&amp;Y$1,Pesos!$A:$I,7,FALSE),VLOOKUP($I754&amp;$J754&amp;Y$1,Pesos!$A:$I,9,FALSE)))</f>
        <v/>
      </c>
      <c r="AS754" s="81" t="str">
        <f>IFERROR(Z754*VLOOKUP(J754,'BD Campos'!$Y$1:$Z$12,2,FALSE),"0")</f>
        <v>0</v>
      </c>
    </row>
    <row r="755" spans="1:45" x14ac:dyDescent="0.35">
      <c r="A755" s="68" t="str">
        <f t="shared" si="107"/>
        <v>Fev202510525BAS</v>
      </c>
      <c r="B755" s="114" t="str">
        <f t="shared" si="108"/>
        <v>Fev2025105251BASPADRÃO</v>
      </c>
      <c r="C755" s="70">
        <v>1</v>
      </c>
      <c r="D755" s="71">
        <v>45713.444650694444</v>
      </c>
      <c r="E755" s="112" t="s">
        <v>338</v>
      </c>
      <c r="F755" s="72">
        <v>10525</v>
      </c>
      <c r="G755" s="69" t="s">
        <v>282</v>
      </c>
      <c r="H755" s="73">
        <v>1</v>
      </c>
      <c r="I755" s="69" t="s">
        <v>308</v>
      </c>
      <c r="J755" s="69"/>
      <c r="K755" s="69" t="s">
        <v>303</v>
      </c>
      <c r="L755" s="74"/>
      <c r="M755" s="75"/>
      <c r="N755" s="76"/>
      <c r="O755" s="76"/>
      <c r="P755" s="76"/>
      <c r="Q755" s="76"/>
      <c r="R755" s="76"/>
      <c r="S755" s="76"/>
      <c r="T755" s="76"/>
      <c r="U755" s="76"/>
      <c r="V755" s="76"/>
      <c r="W755" s="76"/>
      <c r="X755" s="76"/>
      <c r="Y755" s="76"/>
      <c r="Z755" s="77">
        <f t="shared" si="79"/>
        <v>0</v>
      </c>
      <c r="AA755" s="78"/>
      <c r="AB755" s="78"/>
      <c r="AC755" s="72" t="s">
        <v>47</v>
      </c>
      <c r="AE755" s="79" t="str">
        <f t="shared" si="106"/>
        <v>Fev10525</v>
      </c>
      <c r="AF755" s="80" t="str">
        <f>IF(N755="","",IF(N755="SIM",VLOOKUP($I755&amp;$J755&amp;N$1,Pesos!$A:$I,7,FALSE),VLOOKUP($I755&amp;$J755&amp;N$1,Pesos!$A:$I,9,FALSE)))</f>
        <v/>
      </c>
      <c r="AG755" s="80" t="str">
        <f>IF(O755="","",IF(O755="SIM",VLOOKUP($I755&amp;$J755&amp;O$1,Pesos!$A:$I,7,FALSE),VLOOKUP($I755&amp;$J755&amp;O$1,Pesos!$A:$I,9,FALSE)))</f>
        <v/>
      </c>
      <c r="AH755" s="80" t="str">
        <f>IF(P755="","",IF(P755="SIM",VLOOKUP($I755&amp;$J755&amp;P$1,Pesos!$A:$I,7,FALSE),VLOOKUP($I755&amp;$J755&amp;P$1,Pesos!$A:$I,9,FALSE)))</f>
        <v/>
      </c>
      <c r="AI755" s="80" t="str">
        <f>IF(Q755="","",IF(Q755="SIM",VLOOKUP($I755&amp;$J755&amp;Q$1,Pesos!$A:$I,7,FALSE),VLOOKUP($I755&amp;$J755&amp;Q$1,Pesos!$A:$I,9,FALSE)))</f>
        <v/>
      </c>
      <c r="AJ755" s="80" t="str">
        <f>IF(R755="","",IF(R755="SIM",VLOOKUP($I755&amp;$J755&amp;R$1,Pesos!$A:$I,7,FALSE),VLOOKUP($I755&amp;$J755&amp;R$1,Pesos!$A:$I,9,FALSE)))</f>
        <v/>
      </c>
      <c r="AK755" s="80" t="str">
        <f>IF(S755="","",IF(S755="SIM",VLOOKUP($I755&amp;$J755&amp;S$1,Pesos!$A:$I,7,FALSE),VLOOKUP($I755&amp;$J755&amp;S$1,Pesos!$A:$I,9,FALSE)))</f>
        <v/>
      </c>
      <c r="AL755" s="80">
        <f t="shared" si="104"/>
        <v>0</v>
      </c>
      <c r="AM755" s="80" t="str">
        <f>IF(T755="","",IF(T755="SIM",VLOOKUP($I755&amp;$J755&amp;T$1,Pesos!$A:$I,7,FALSE),VLOOKUP($I755&amp;$J755&amp;T$1,Pesos!$A:$I,9,FALSE)))</f>
        <v/>
      </c>
      <c r="AN755" s="80" t="str">
        <f>IF(U755="","",IF(U755="SIM",VLOOKUP($I755&amp;$J755&amp;U$1,Pesos!$A:$I,7,FALSE),VLOOKUP($I755&amp;$J755&amp;U$1,Pesos!$A:$I,9,FALSE)))</f>
        <v/>
      </c>
      <c r="AO755" s="80" t="str">
        <f>IF(V755="","",IF(V755="SIM",VLOOKUP($I755&amp;$J755&amp;V$1,Pesos!$A:$I,7,FALSE),VLOOKUP($I755&amp;$J755&amp;V$1,Pesos!$A:$I,9,FALSE)))</f>
        <v/>
      </c>
      <c r="AP755" s="80" t="str">
        <f>IF(W755="","",IF(W755="SIM",VLOOKUP($I755&amp;$J755&amp;W$1,Pesos!$A:$I,7,FALSE),VLOOKUP($I755&amp;$J755&amp;W$1,Pesos!$A:$I,9,FALSE)))</f>
        <v/>
      </c>
      <c r="AQ755" s="80" t="str">
        <f>IF(X755="","",IF(X755="SIM",VLOOKUP($I755&amp;$J755&amp;X$1,Pesos!$A:$I,7,FALSE),VLOOKUP($I755&amp;$J755&amp;X$1,Pesos!$A:$I,9,FALSE)))</f>
        <v/>
      </c>
      <c r="AR755" s="80" t="str">
        <f>IF(Y755="","",IF(Y755="SIM",VLOOKUP($I755&amp;$J755&amp;Y$1,Pesos!$A:$I,7,FALSE),VLOOKUP($I755&amp;$J755&amp;Y$1,Pesos!$A:$I,9,FALSE)))</f>
        <v/>
      </c>
      <c r="AS755" s="81" t="str">
        <f>IFERROR(Z755*VLOOKUP(J755,'BD Campos'!$Y$1:$Z$12,2,FALSE),"0")</f>
        <v>0</v>
      </c>
    </row>
    <row r="756" spans="1:45" x14ac:dyDescent="0.35">
      <c r="A756" s="68" t="str">
        <f t="shared" si="107"/>
        <v>Fev202510525BAS</v>
      </c>
      <c r="B756" s="114" t="str">
        <f t="shared" si="108"/>
        <v>Fev2025105252BASPADRÃO</v>
      </c>
      <c r="C756" s="70">
        <v>1</v>
      </c>
      <c r="D756" s="71">
        <v>45713.444700578701</v>
      </c>
      <c r="E756" s="112" t="s">
        <v>338</v>
      </c>
      <c r="F756" s="72">
        <v>10525</v>
      </c>
      <c r="G756" s="69" t="s">
        <v>282</v>
      </c>
      <c r="H756" s="73">
        <v>2</v>
      </c>
      <c r="I756" s="69" t="s">
        <v>308</v>
      </c>
      <c r="J756" s="69"/>
      <c r="K756" s="69" t="s">
        <v>303</v>
      </c>
      <c r="L756" s="74"/>
      <c r="M756" s="75"/>
      <c r="N756" s="76"/>
      <c r="O756" s="76"/>
      <c r="P756" s="76"/>
      <c r="Q756" s="76"/>
      <c r="R756" s="76"/>
      <c r="S756" s="76"/>
      <c r="T756" s="76"/>
      <c r="U756" s="76"/>
      <c r="V756" s="76"/>
      <c r="W756" s="76"/>
      <c r="X756" s="76"/>
      <c r="Y756" s="76"/>
      <c r="Z756" s="77">
        <f t="shared" si="79"/>
        <v>0</v>
      </c>
      <c r="AA756" s="78"/>
      <c r="AB756" s="78"/>
      <c r="AC756" s="72" t="s">
        <v>47</v>
      </c>
      <c r="AE756" s="79" t="str">
        <f t="shared" si="106"/>
        <v>Fev10525</v>
      </c>
      <c r="AF756" s="80" t="str">
        <f>IF(N756="","",IF(N756="SIM",VLOOKUP($I756&amp;$J756&amp;N$1,Pesos!$A:$I,7,FALSE),VLOOKUP($I756&amp;$J756&amp;N$1,Pesos!$A:$I,9,FALSE)))</f>
        <v/>
      </c>
      <c r="AG756" s="80" t="str">
        <f>IF(O756="","",IF(O756="SIM",VLOOKUP($I756&amp;$J756&amp;O$1,Pesos!$A:$I,7,FALSE),VLOOKUP($I756&amp;$J756&amp;O$1,Pesos!$A:$I,9,FALSE)))</f>
        <v/>
      </c>
      <c r="AH756" s="80" t="str">
        <f>IF(P756="","",IF(P756="SIM",VLOOKUP($I756&amp;$J756&amp;P$1,Pesos!$A:$I,7,FALSE),VLOOKUP($I756&amp;$J756&amp;P$1,Pesos!$A:$I,9,FALSE)))</f>
        <v/>
      </c>
      <c r="AI756" s="80" t="str">
        <f>IF(Q756="","",IF(Q756="SIM",VLOOKUP($I756&amp;$J756&amp;Q$1,Pesos!$A:$I,7,FALSE),VLOOKUP($I756&amp;$J756&amp;Q$1,Pesos!$A:$I,9,FALSE)))</f>
        <v/>
      </c>
      <c r="AJ756" s="80" t="str">
        <f>IF(R756="","",IF(R756="SIM",VLOOKUP($I756&amp;$J756&amp;R$1,Pesos!$A:$I,7,FALSE),VLOOKUP($I756&amp;$J756&amp;R$1,Pesos!$A:$I,9,FALSE)))</f>
        <v/>
      </c>
      <c r="AK756" s="80" t="str">
        <f>IF(S756="","",IF(S756="SIM",VLOOKUP($I756&amp;$J756&amp;S$1,Pesos!$A:$I,7,FALSE),VLOOKUP($I756&amp;$J756&amp;S$1,Pesos!$A:$I,9,FALSE)))</f>
        <v/>
      </c>
      <c r="AL756" s="80">
        <f t="shared" si="104"/>
        <v>0</v>
      </c>
      <c r="AM756" s="80" t="str">
        <f>IF(T756="","",IF(T756="SIM",VLOOKUP($I756&amp;$J756&amp;T$1,Pesos!$A:$I,7,FALSE),VLOOKUP($I756&amp;$J756&amp;T$1,Pesos!$A:$I,9,FALSE)))</f>
        <v/>
      </c>
      <c r="AN756" s="80" t="str">
        <f>IF(U756="","",IF(U756="SIM",VLOOKUP($I756&amp;$J756&amp;U$1,Pesos!$A:$I,7,FALSE),VLOOKUP($I756&amp;$J756&amp;U$1,Pesos!$A:$I,9,FALSE)))</f>
        <v/>
      </c>
      <c r="AO756" s="80" t="str">
        <f>IF(V756="","",IF(V756="SIM",VLOOKUP($I756&amp;$J756&amp;V$1,Pesos!$A:$I,7,FALSE),VLOOKUP($I756&amp;$J756&amp;V$1,Pesos!$A:$I,9,FALSE)))</f>
        <v/>
      </c>
      <c r="AP756" s="80" t="str">
        <f>IF(W756="","",IF(W756="SIM",VLOOKUP($I756&amp;$J756&amp;W$1,Pesos!$A:$I,7,FALSE),VLOOKUP($I756&amp;$J756&amp;W$1,Pesos!$A:$I,9,FALSE)))</f>
        <v/>
      </c>
      <c r="AQ756" s="80" t="str">
        <f>IF(X756="","",IF(X756="SIM",VLOOKUP($I756&amp;$J756&amp;X$1,Pesos!$A:$I,7,FALSE),VLOOKUP($I756&amp;$J756&amp;X$1,Pesos!$A:$I,9,FALSE)))</f>
        <v/>
      </c>
      <c r="AR756" s="80" t="str">
        <f>IF(Y756="","",IF(Y756="SIM",VLOOKUP($I756&amp;$J756&amp;Y$1,Pesos!$A:$I,7,FALSE),VLOOKUP($I756&amp;$J756&amp;Y$1,Pesos!$A:$I,9,FALSE)))</f>
        <v/>
      </c>
      <c r="AS756" s="81" t="str">
        <f>IFERROR(Z756*VLOOKUP(J756,'BD Campos'!$Y$1:$Z$12,2,FALSE),"0")</f>
        <v>0</v>
      </c>
    </row>
    <row r="757" spans="1:45" x14ac:dyDescent="0.35">
      <c r="A757" s="68" t="str">
        <f t="shared" si="107"/>
        <v>Fev202511258TRANSFERÊNCIA</v>
      </c>
      <c r="B757" s="114" t="str">
        <f t="shared" si="108"/>
        <v>Fev2025112585TRANSFERÊNCIAPADRÃO</v>
      </c>
      <c r="C757" s="70">
        <v>1</v>
      </c>
      <c r="D757" s="71">
        <v>45713.446806018517</v>
      </c>
      <c r="E757" s="112" t="s">
        <v>338</v>
      </c>
      <c r="F757" s="72">
        <v>11258</v>
      </c>
      <c r="G757" s="69" t="s">
        <v>1711</v>
      </c>
      <c r="H757" s="73">
        <v>5</v>
      </c>
      <c r="I757" s="69" t="s">
        <v>308</v>
      </c>
      <c r="J757" s="69"/>
      <c r="K757" s="69" t="s">
        <v>106</v>
      </c>
      <c r="L757" s="74"/>
      <c r="M757" s="75"/>
      <c r="N757" s="76"/>
      <c r="O757" s="76"/>
      <c r="P757" s="76"/>
      <c r="Q757" s="76"/>
      <c r="R757" s="76"/>
      <c r="S757" s="76"/>
      <c r="T757" s="76"/>
      <c r="U757" s="76"/>
      <c r="V757" s="76"/>
      <c r="W757" s="76"/>
      <c r="X757" s="76"/>
      <c r="Y757" s="76"/>
      <c r="Z757" s="77">
        <f t="shared" si="79"/>
        <v>0</v>
      </c>
      <c r="AA757" s="78"/>
      <c r="AB757" s="78"/>
      <c r="AC757" s="72" t="s">
        <v>47</v>
      </c>
      <c r="AE757" s="79" t="str">
        <f t="shared" si="106"/>
        <v>Fev11258</v>
      </c>
      <c r="AF757" s="80" t="str">
        <f>IF(N757="","",IF(N757="SIM",VLOOKUP($I757&amp;$J757&amp;N$1,Pesos!$A:$I,7,FALSE),VLOOKUP($I757&amp;$J757&amp;N$1,Pesos!$A:$I,9,FALSE)))</f>
        <v/>
      </c>
      <c r="AG757" s="80" t="str">
        <f>IF(O757="","",IF(O757="SIM",VLOOKUP($I757&amp;$J757&amp;O$1,Pesos!$A:$I,7,FALSE),VLOOKUP($I757&amp;$J757&amp;O$1,Pesos!$A:$I,9,FALSE)))</f>
        <v/>
      </c>
      <c r="AH757" s="80" t="str">
        <f>IF(P757="","",IF(P757="SIM",VLOOKUP($I757&amp;$J757&amp;P$1,Pesos!$A:$I,7,FALSE),VLOOKUP($I757&amp;$J757&amp;P$1,Pesos!$A:$I,9,FALSE)))</f>
        <v/>
      </c>
      <c r="AI757" s="80" t="str">
        <f>IF(Q757="","",IF(Q757="SIM",VLOOKUP($I757&amp;$J757&amp;Q$1,Pesos!$A:$I,7,FALSE),VLOOKUP($I757&amp;$J757&amp;Q$1,Pesos!$A:$I,9,FALSE)))</f>
        <v/>
      </c>
      <c r="AJ757" s="80" t="str">
        <f>IF(R757="","",IF(R757="SIM",VLOOKUP($I757&amp;$J757&amp;R$1,Pesos!$A:$I,7,FALSE),VLOOKUP($I757&amp;$J757&amp;R$1,Pesos!$A:$I,9,FALSE)))</f>
        <v/>
      </c>
      <c r="AK757" s="80" t="str">
        <f>IF(S757="","",IF(S757="SIM",VLOOKUP($I757&amp;$J757&amp;S$1,Pesos!$A:$I,7,FALSE),VLOOKUP($I757&amp;$J757&amp;S$1,Pesos!$A:$I,9,FALSE)))</f>
        <v/>
      </c>
      <c r="AL757" s="80">
        <f t="shared" si="104"/>
        <v>0</v>
      </c>
      <c r="AM757" s="80" t="str">
        <f>IF(T757="","",IF(T757="SIM",VLOOKUP($I757&amp;$J757&amp;T$1,Pesos!$A:$I,7,FALSE),VLOOKUP($I757&amp;$J757&amp;T$1,Pesos!$A:$I,9,FALSE)))</f>
        <v/>
      </c>
      <c r="AN757" s="80" t="str">
        <f>IF(U757="","",IF(U757="SIM",VLOOKUP($I757&amp;$J757&amp;U$1,Pesos!$A:$I,7,FALSE),VLOOKUP($I757&amp;$J757&amp;U$1,Pesos!$A:$I,9,FALSE)))</f>
        <v/>
      </c>
      <c r="AO757" s="80" t="str">
        <f>IF(V757="","",IF(V757="SIM",VLOOKUP($I757&amp;$J757&amp;V$1,Pesos!$A:$I,7,FALSE),VLOOKUP($I757&amp;$J757&amp;V$1,Pesos!$A:$I,9,FALSE)))</f>
        <v/>
      </c>
      <c r="AP757" s="80" t="str">
        <f>IF(W757="","",IF(W757="SIM",VLOOKUP($I757&amp;$J757&amp;W$1,Pesos!$A:$I,7,FALSE),VLOOKUP($I757&amp;$J757&amp;W$1,Pesos!$A:$I,9,FALSE)))</f>
        <v/>
      </c>
      <c r="AQ757" s="80" t="str">
        <f>IF(X757="","",IF(X757="SIM",VLOOKUP($I757&amp;$J757&amp;X$1,Pesos!$A:$I,7,FALSE),VLOOKUP($I757&amp;$J757&amp;X$1,Pesos!$A:$I,9,FALSE)))</f>
        <v/>
      </c>
      <c r="AR757" s="80" t="str">
        <f>IF(Y757="","",IF(Y757="SIM",VLOOKUP($I757&amp;$J757&amp;Y$1,Pesos!$A:$I,7,FALSE),VLOOKUP($I757&amp;$J757&amp;Y$1,Pesos!$A:$I,9,FALSE)))</f>
        <v/>
      </c>
      <c r="AS757" s="81" t="str">
        <f>IFERROR(Z757*VLOOKUP(J757,'BD Campos'!$Y$1:$Z$12,2,FALSE),"0")</f>
        <v>0</v>
      </c>
    </row>
    <row r="758" spans="1:45" x14ac:dyDescent="0.35">
      <c r="A758" s="68" t="str">
        <f t="shared" si="107"/>
        <v>Fev202510699LOGÍSTICA</v>
      </c>
      <c r="B758" s="114" t="str">
        <f t="shared" si="108"/>
        <v>Fev2025106992LOGÍSTICAPADRÃO</v>
      </c>
      <c r="C758" s="70">
        <v>1</v>
      </c>
      <c r="D758" s="71">
        <v>45713.464249652781</v>
      </c>
      <c r="E758" s="112" t="s">
        <v>338</v>
      </c>
      <c r="F758" s="72">
        <v>10699</v>
      </c>
      <c r="G758" s="69" t="s">
        <v>211</v>
      </c>
      <c r="H758" s="73">
        <v>2</v>
      </c>
      <c r="I758" s="69" t="s">
        <v>308</v>
      </c>
      <c r="J758" s="69"/>
      <c r="K758" s="69" t="s">
        <v>184</v>
      </c>
      <c r="L758" s="74"/>
      <c r="M758" s="75"/>
      <c r="N758" s="76"/>
      <c r="O758" s="76"/>
      <c r="P758" s="76"/>
      <c r="Q758" s="76"/>
      <c r="R758" s="76"/>
      <c r="S758" s="76"/>
      <c r="T758" s="76"/>
      <c r="U758" s="76"/>
      <c r="V758" s="76"/>
      <c r="W758" s="76"/>
      <c r="X758" s="76"/>
      <c r="Y758" s="76"/>
      <c r="Z758" s="77">
        <f t="shared" si="79"/>
        <v>0</v>
      </c>
      <c r="AA758" s="78"/>
      <c r="AB758" s="78"/>
      <c r="AC758" s="72" t="s">
        <v>47</v>
      </c>
      <c r="AE758" s="79" t="str">
        <f t="shared" si="106"/>
        <v>Fev10699</v>
      </c>
      <c r="AF758" s="80" t="str">
        <f>IF(N758="","",IF(N758="SIM",VLOOKUP($I758&amp;$J758&amp;N$1,Pesos!$A:$I,7,FALSE),VLOOKUP($I758&amp;$J758&amp;N$1,Pesos!$A:$I,9,FALSE)))</f>
        <v/>
      </c>
      <c r="AG758" s="80" t="str">
        <f>IF(O758="","",IF(O758="SIM",VLOOKUP($I758&amp;$J758&amp;O$1,Pesos!$A:$I,7,FALSE),VLOOKUP($I758&amp;$J758&amp;O$1,Pesos!$A:$I,9,FALSE)))</f>
        <v/>
      </c>
      <c r="AH758" s="80" t="str">
        <f>IF(P758="","",IF(P758="SIM",VLOOKUP($I758&amp;$J758&amp;P$1,Pesos!$A:$I,7,FALSE),VLOOKUP($I758&amp;$J758&amp;P$1,Pesos!$A:$I,9,FALSE)))</f>
        <v/>
      </c>
      <c r="AI758" s="80" t="str">
        <f>IF(Q758="","",IF(Q758="SIM",VLOOKUP($I758&amp;$J758&amp;Q$1,Pesos!$A:$I,7,FALSE),VLOOKUP($I758&amp;$J758&amp;Q$1,Pesos!$A:$I,9,FALSE)))</f>
        <v/>
      </c>
      <c r="AJ758" s="80" t="str">
        <f>IF(R758="","",IF(R758="SIM",VLOOKUP($I758&amp;$J758&amp;R$1,Pesos!$A:$I,7,FALSE),VLOOKUP($I758&amp;$J758&amp;R$1,Pesos!$A:$I,9,FALSE)))</f>
        <v/>
      </c>
      <c r="AK758" s="80" t="str">
        <f>IF(S758="","",IF(S758="SIM",VLOOKUP($I758&amp;$J758&amp;S$1,Pesos!$A:$I,7,FALSE),VLOOKUP($I758&amp;$J758&amp;S$1,Pesos!$A:$I,9,FALSE)))</f>
        <v/>
      </c>
      <c r="AL758" s="80">
        <f t="shared" si="104"/>
        <v>0</v>
      </c>
      <c r="AM758" s="80" t="str">
        <f>IF(T758="","",IF(T758="SIM",VLOOKUP($I758&amp;$J758&amp;T$1,Pesos!$A:$I,7,FALSE),VLOOKUP($I758&amp;$J758&amp;T$1,Pesos!$A:$I,9,FALSE)))</f>
        <v/>
      </c>
      <c r="AN758" s="80" t="str">
        <f>IF(U758="","",IF(U758="SIM",VLOOKUP($I758&amp;$J758&amp;U$1,Pesos!$A:$I,7,FALSE),VLOOKUP($I758&amp;$J758&amp;U$1,Pesos!$A:$I,9,FALSE)))</f>
        <v/>
      </c>
      <c r="AO758" s="80" t="str">
        <f>IF(V758="","",IF(V758="SIM",VLOOKUP($I758&amp;$J758&amp;V$1,Pesos!$A:$I,7,FALSE),VLOOKUP($I758&amp;$J758&amp;V$1,Pesos!$A:$I,9,FALSE)))</f>
        <v/>
      </c>
      <c r="AP758" s="80" t="str">
        <f>IF(W758="","",IF(W758="SIM",VLOOKUP($I758&amp;$J758&amp;W$1,Pesos!$A:$I,7,FALSE),VLOOKUP($I758&amp;$J758&amp;W$1,Pesos!$A:$I,9,FALSE)))</f>
        <v/>
      </c>
      <c r="AQ758" s="80" t="str">
        <f>IF(X758="","",IF(X758="SIM",VLOOKUP($I758&amp;$J758&amp;X$1,Pesos!$A:$I,7,FALSE),VLOOKUP($I758&amp;$J758&amp;X$1,Pesos!$A:$I,9,FALSE)))</f>
        <v/>
      </c>
      <c r="AR758" s="80" t="str">
        <f>IF(Y758="","",IF(Y758="SIM",VLOOKUP($I758&amp;$J758&amp;Y$1,Pesos!$A:$I,7,FALSE),VLOOKUP($I758&amp;$J758&amp;Y$1,Pesos!$A:$I,9,FALSE)))</f>
        <v/>
      </c>
      <c r="AS758" s="81" t="str">
        <f>IFERROR(Z758*VLOOKUP(J758,'BD Campos'!$Y$1:$Z$12,2,FALSE),"0")</f>
        <v>0</v>
      </c>
    </row>
    <row r="759" spans="1:45" x14ac:dyDescent="0.35">
      <c r="A759" s="68" t="str">
        <f t="shared" si="107"/>
        <v>Fev202510844MotoristaLOGÍSTICA</v>
      </c>
      <c r="B759" s="114" t="str">
        <f t="shared" si="108"/>
        <v>Fev2025108441LOGÍSTICAPADRÃO</v>
      </c>
      <c r="C759" s="70">
        <v>1</v>
      </c>
      <c r="D759" s="71">
        <v>45713.471886574072</v>
      </c>
      <c r="E759" s="112" t="s">
        <v>338</v>
      </c>
      <c r="F759" s="72">
        <v>10844</v>
      </c>
      <c r="G759" s="69" t="s">
        <v>214</v>
      </c>
      <c r="H759" s="73">
        <v>1</v>
      </c>
      <c r="I759" s="69" t="s">
        <v>202</v>
      </c>
      <c r="J759" s="69" t="s">
        <v>122</v>
      </c>
      <c r="K759" s="69" t="s">
        <v>184</v>
      </c>
      <c r="L759" s="74"/>
      <c r="M759" s="75">
        <v>6.8287037037037025E-4</v>
      </c>
      <c r="N759" s="76" t="s">
        <v>79</v>
      </c>
      <c r="O759" s="76" t="s">
        <v>79</v>
      </c>
      <c r="P759" s="76" t="s">
        <v>79</v>
      </c>
      <c r="Q759" s="76" t="s">
        <v>79</v>
      </c>
      <c r="R759" s="76" t="s">
        <v>79</v>
      </c>
      <c r="S759" s="76" t="s">
        <v>79</v>
      </c>
      <c r="T759" s="76" t="s">
        <v>79</v>
      </c>
      <c r="U759" s="76" t="s">
        <v>79</v>
      </c>
      <c r="V759" s="76"/>
      <c r="W759" s="76"/>
      <c r="X759" s="76"/>
      <c r="Y759" s="76"/>
      <c r="Z759" s="77">
        <f t="shared" si="79"/>
        <v>10</v>
      </c>
      <c r="AA759" s="78"/>
      <c r="AB759" s="78"/>
      <c r="AC759" s="72" t="s">
        <v>47</v>
      </c>
      <c r="AE759" s="79" t="str">
        <f t="shared" si="106"/>
        <v>Fev10844</v>
      </c>
      <c r="AF759" s="80">
        <f>IF(N759="","",IF(N759="SIM",VLOOKUP($I759&amp;$J759&amp;N$1,Pesos!$A:$I,7,FALSE),VLOOKUP($I759&amp;$J759&amp;N$1,Pesos!$A:$I,9,FALSE)))</f>
        <v>1.2</v>
      </c>
      <c r="AG759" s="80">
        <f>IF(O759="","",IF(O759="SIM",VLOOKUP($I759&amp;$J759&amp;O$1,Pesos!$A:$I,7,FALSE),VLOOKUP($I759&amp;$J759&amp;O$1,Pesos!$A:$I,9,FALSE)))</f>
        <v>1</v>
      </c>
      <c r="AH759" s="80">
        <f>IF(P759="","",IF(P759="SIM",VLOOKUP($I759&amp;$J759&amp;P$1,Pesos!$A:$I,7,FALSE),VLOOKUP($I759&amp;$J759&amp;P$1,Pesos!$A:$I,9,FALSE)))</f>
        <v>1</v>
      </c>
      <c r="AI759" s="80">
        <f>IF(Q759="","",IF(Q759="SIM",VLOOKUP($I759&amp;$J759&amp;Q$1,Pesos!$A:$I,7,FALSE),VLOOKUP($I759&amp;$J759&amp;Q$1,Pesos!$A:$I,9,FALSE)))</f>
        <v>1</v>
      </c>
      <c r="AJ759" s="80">
        <f>IF(R759="","",IF(R759="SIM",VLOOKUP($I759&amp;$J759&amp;R$1,Pesos!$A:$I,7,FALSE),VLOOKUP($I759&amp;$J759&amp;R$1,Pesos!$A:$I,9,FALSE)))</f>
        <v>1.4000000000000001</v>
      </c>
      <c r="AK759" s="80">
        <f>IF(S759="","",IF(S759="SIM",VLOOKUP($I759&amp;$J759&amp;S$1,Pesos!$A:$I,7,FALSE),VLOOKUP($I759&amp;$J759&amp;S$1,Pesos!$A:$I,9,FALSE)))</f>
        <v>0.89999999999999991</v>
      </c>
      <c r="AL759" s="80">
        <f t="shared" si="104"/>
        <v>6.5</v>
      </c>
      <c r="AM759" s="80">
        <f>IF(T759="","",IF(T759="SIM",VLOOKUP($I759&amp;$J759&amp;T$1,Pesos!$A:$I,7,FALSE),VLOOKUP($I759&amp;$J759&amp;T$1,Pesos!$A:$I,9,FALSE)))</f>
        <v>1.7000000000000002</v>
      </c>
      <c r="AN759" s="80">
        <f>IF(U759="","",IF(U759="SIM",VLOOKUP($I759&amp;$J759&amp;U$1,Pesos!$A:$I,7,FALSE),VLOOKUP($I759&amp;$J759&amp;U$1,Pesos!$A:$I,9,FALSE)))</f>
        <v>1.7999999999999998</v>
      </c>
      <c r="AO759" s="80" t="str">
        <f>IF(V759="","",IF(V759="SIM",VLOOKUP($I759&amp;$J759&amp;V$1,Pesos!$A:$I,7,FALSE),VLOOKUP($I759&amp;$J759&amp;V$1,Pesos!$A:$I,9,FALSE)))</f>
        <v/>
      </c>
      <c r="AP759" s="80" t="str">
        <f>IF(W759="","",IF(W759="SIM",VLOOKUP($I759&amp;$J759&amp;W$1,Pesos!$A:$I,7,FALSE),VLOOKUP($I759&amp;$J759&amp;W$1,Pesos!$A:$I,9,FALSE)))</f>
        <v/>
      </c>
      <c r="AQ759" s="80" t="str">
        <f>IF(X759="","",IF(X759="SIM",VLOOKUP($I759&amp;$J759&amp;X$1,Pesos!$A:$I,7,FALSE),VLOOKUP($I759&amp;$J759&amp;X$1,Pesos!$A:$I,9,FALSE)))</f>
        <v/>
      </c>
      <c r="AR759" s="80" t="str">
        <f>IF(Y759="","",IF(Y759="SIM",VLOOKUP($I759&amp;$J759&amp;Y$1,Pesos!$A:$I,7,FALSE),VLOOKUP($I759&amp;$J759&amp;Y$1,Pesos!$A:$I,9,FALSE)))</f>
        <v/>
      </c>
      <c r="AS759" s="81">
        <f>IFERROR(Z759*VLOOKUP(J759,'BD Campos'!$Y$1:$Z$12,2,FALSE),"0")</f>
        <v>10</v>
      </c>
    </row>
    <row r="760" spans="1:45" x14ac:dyDescent="0.35">
      <c r="A760" s="68" t="str">
        <f t="shared" si="107"/>
        <v>Fev202510844MotoristaLOGÍSTICA</v>
      </c>
      <c r="B760" s="114" t="str">
        <f t="shared" si="108"/>
        <v>Fev2025108442LOGÍSTICAPADRÃO</v>
      </c>
      <c r="C760" s="70">
        <v>1</v>
      </c>
      <c r="D760" s="71">
        <v>45713.479085416664</v>
      </c>
      <c r="E760" s="112" t="s">
        <v>338</v>
      </c>
      <c r="F760" s="72">
        <v>10844</v>
      </c>
      <c r="G760" s="69" t="s">
        <v>214</v>
      </c>
      <c r="H760" s="73">
        <v>2</v>
      </c>
      <c r="I760" s="69" t="s">
        <v>202</v>
      </c>
      <c r="J760" s="69" t="s">
        <v>122</v>
      </c>
      <c r="K760" s="69" t="s">
        <v>184</v>
      </c>
      <c r="L760" s="74"/>
      <c r="M760" s="75">
        <v>7.5231481481481471E-4</v>
      </c>
      <c r="N760" s="76" t="s">
        <v>79</v>
      </c>
      <c r="O760" s="76" t="s">
        <v>79</v>
      </c>
      <c r="P760" s="76" t="s">
        <v>79</v>
      </c>
      <c r="Q760" s="76" t="s">
        <v>79</v>
      </c>
      <c r="R760" s="76" t="s">
        <v>79</v>
      </c>
      <c r="S760" s="76" t="s">
        <v>79</v>
      </c>
      <c r="T760" s="76" t="s">
        <v>79</v>
      </c>
      <c r="U760" s="76" t="s">
        <v>79</v>
      </c>
      <c r="V760" s="76"/>
      <c r="W760" s="76"/>
      <c r="X760" s="76"/>
      <c r="Y760" s="76"/>
      <c r="Z760" s="77">
        <f t="shared" si="79"/>
        <v>10</v>
      </c>
      <c r="AA760" s="78"/>
      <c r="AB760" s="78"/>
      <c r="AC760" s="72" t="s">
        <v>47</v>
      </c>
      <c r="AE760" s="79" t="str">
        <f t="shared" si="106"/>
        <v>Fev10844</v>
      </c>
      <c r="AF760" s="80">
        <f>IF(N760="","",IF(N760="SIM",VLOOKUP($I760&amp;$J760&amp;N$1,Pesos!$A:$I,7,FALSE),VLOOKUP($I760&amp;$J760&amp;N$1,Pesos!$A:$I,9,FALSE)))</f>
        <v>1.2</v>
      </c>
      <c r="AG760" s="80">
        <f>IF(O760="","",IF(O760="SIM",VLOOKUP($I760&amp;$J760&amp;O$1,Pesos!$A:$I,7,FALSE),VLOOKUP($I760&amp;$J760&amp;O$1,Pesos!$A:$I,9,FALSE)))</f>
        <v>1</v>
      </c>
      <c r="AH760" s="80">
        <f>IF(P760="","",IF(P760="SIM",VLOOKUP($I760&amp;$J760&amp;P$1,Pesos!$A:$I,7,FALSE),VLOOKUP($I760&amp;$J760&amp;P$1,Pesos!$A:$I,9,FALSE)))</f>
        <v>1</v>
      </c>
      <c r="AI760" s="80">
        <f>IF(Q760="","",IF(Q760="SIM",VLOOKUP($I760&amp;$J760&amp;Q$1,Pesos!$A:$I,7,FALSE),VLOOKUP($I760&amp;$J760&amp;Q$1,Pesos!$A:$I,9,FALSE)))</f>
        <v>1</v>
      </c>
      <c r="AJ760" s="80">
        <f>IF(R760="","",IF(R760="SIM",VLOOKUP($I760&amp;$J760&amp;R$1,Pesos!$A:$I,7,FALSE),VLOOKUP($I760&amp;$J760&amp;R$1,Pesos!$A:$I,9,FALSE)))</f>
        <v>1.4000000000000001</v>
      </c>
      <c r="AK760" s="80">
        <f>IF(S760="","",IF(S760="SIM",VLOOKUP($I760&amp;$J760&amp;S$1,Pesos!$A:$I,7,FALSE),VLOOKUP($I760&amp;$J760&amp;S$1,Pesos!$A:$I,9,FALSE)))</f>
        <v>0.89999999999999991</v>
      </c>
      <c r="AL760" s="80">
        <f t="shared" si="104"/>
        <v>6.5</v>
      </c>
      <c r="AM760" s="80">
        <f>IF(T760="","",IF(T760="SIM",VLOOKUP($I760&amp;$J760&amp;T$1,Pesos!$A:$I,7,FALSE),VLOOKUP($I760&amp;$J760&amp;T$1,Pesos!$A:$I,9,FALSE)))</f>
        <v>1.7000000000000002</v>
      </c>
      <c r="AN760" s="80">
        <f>IF(U760="","",IF(U760="SIM",VLOOKUP($I760&amp;$J760&amp;U$1,Pesos!$A:$I,7,FALSE),VLOOKUP($I760&amp;$J760&amp;U$1,Pesos!$A:$I,9,FALSE)))</f>
        <v>1.7999999999999998</v>
      </c>
      <c r="AO760" s="80" t="str">
        <f>IF(V760="","",IF(V760="SIM",VLOOKUP($I760&amp;$J760&amp;V$1,Pesos!$A:$I,7,FALSE),VLOOKUP($I760&amp;$J760&amp;V$1,Pesos!$A:$I,9,FALSE)))</f>
        <v/>
      </c>
      <c r="AP760" s="80" t="str">
        <f>IF(W760="","",IF(W760="SIM",VLOOKUP($I760&amp;$J760&amp;W$1,Pesos!$A:$I,7,FALSE),VLOOKUP($I760&amp;$J760&amp;W$1,Pesos!$A:$I,9,FALSE)))</f>
        <v/>
      </c>
      <c r="AQ760" s="80" t="str">
        <f>IF(X760="","",IF(X760="SIM",VLOOKUP($I760&amp;$J760&amp;X$1,Pesos!$A:$I,7,FALSE),VLOOKUP($I760&amp;$J760&amp;X$1,Pesos!$A:$I,9,FALSE)))</f>
        <v/>
      </c>
      <c r="AR760" s="80" t="str">
        <f>IF(Y760="","",IF(Y760="SIM",VLOOKUP($I760&amp;$J760&amp;Y$1,Pesos!$A:$I,7,FALSE),VLOOKUP($I760&amp;$J760&amp;Y$1,Pesos!$A:$I,9,FALSE)))</f>
        <v/>
      </c>
      <c r="AS760" s="81">
        <f>IFERROR(Z760*VLOOKUP(J760,'BD Campos'!$Y$1:$Z$12,2,FALSE),"0")</f>
        <v>10</v>
      </c>
    </row>
    <row r="761" spans="1:45" x14ac:dyDescent="0.35">
      <c r="A761" s="68" t="str">
        <f t="shared" si="107"/>
        <v>Fev202510949LOGÍSTICA</v>
      </c>
      <c r="B761" s="114" t="str">
        <f t="shared" si="108"/>
        <v>Fev2025109491LOGÍSTICAPADRÃO</v>
      </c>
      <c r="C761" s="70">
        <v>1</v>
      </c>
      <c r="D761" s="71">
        <v>45713.481026620371</v>
      </c>
      <c r="E761" s="112" t="s">
        <v>338</v>
      </c>
      <c r="F761" s="72">
        <v>10949</v>
      </c>
      <c r="G761" s="69" t="s">
        <v>221</v>
      </c>
      <c r="H761" s="73">
        <v>1</v>
      </c>
      <c r="I761" s="69" t="s">
        <v>308</v>
      </c>
      <c r="J761" s="69"/>
      <c r="K761" s="69" t="s">
        <v>184</v>
      </c>
      <c r="L761" s="74"/>
      <c r="M761" s="75"/>
      <c r="N761" s="76"/>
      <c r="O761" s="76"/>
      <c r="P761" s="76"/>
      <c r="Q761" s="76"/>
      <c r="R761" s="76"/>
      <c r="S761" s="76"/>
      <c r="T761" s="76"/>
      <c r="U761" s="76"/>
      <c r="V761" s="76"/>
      <c r="W761" s="76"/>
      <c r="X761" s="76"/>
      <c r="Y761" s="76"/>
      <c r="Z761" s="77">
        <f t="shared" si="79"/>
        <v>0</v>
      </c>
      <c r="AA761" s="78"/>
      <c r="AB761" s="78"/>
      <c r="AC761" s="72" t="s">
        <v>47</v>
      </c>
      <c r="AE761" s="79" t="str">
        <f t="shared" si="106"/>
        <v>Fev10949</v>
      </c>
      <c r="AF761" s="80" t="str">
        <f>IF(N761="","",IF(N761="SIM",VLOOKUP($I761&amp;$J761&amp;N$1,Pesos!$A:$I,7,FALSE),VLOOKUP($I761&amp;$J761&amp;N$1,Pesos!$A:$I,9,FALSE)))</f>
        <v/>
      </c>
      <c r="AG761" s="80" t="str">
        <f>IF(O761="","",IF(O761="SIM",VLOOKUP($I761&amp;$J761&amp;O$1,Pesos!$A:$I,7,FALSE),VLOOKUP($I761&amp;$J761&amp;O$1,Pesos!$A:$I,9,FALSE)))</f>
        <v/>
      </c>
      <c r="AH761" s="80" t="str">
        <f>IF(P761="","",IF(P761="SIM",VLOOKUP($I761&amp;$J761&amp;P$1,Pesos!$A:$I,7,FALSE),VLOOKUP($I761&amp;$J761&amp;P$1,Pesos!$A:$I,9,FALSE)))</f>
        <v/>
      </c>
      <c r="AI761" s="80" t="str">
        <f>IF(Q761="","",IF(Q761="SIM",VLOOKUP($I761&amp;$J761&amp;Q$1,Pesos!$A:$I,7,FALSE),VLOOKUP($I761&amp;$J761&amp;Q$1,Pesos!$A:$I,9,FALSE)))</f>
        <v/>
      </c>
      <c r="AJ761" s="80" t="str">
        <f>IF(R761="","",IF(R761="SIM",VLOOKUP($I761&amp;$J761&amp;R$1,Pesos!$A:$I,7,FALSE),VLOOKUP($I761&amp;$J761&amp;R$1,Pesos!$A:$I,9,FALSE)))</f>
        <v/>
      </c>
      <c r="AK761" s="80" t="str">
        <f>IF(S761="","",IF(S761="SIM",VLOOKUP($I761&amp;$J761&amp;S$1,Pesos!$A:$I,7,FALSE),VLOOKUP($I761&amp;$J761&amp;S$1,Pesos!$A:$I,9,FALSE)))</f>
        <v/>
      </c>
      <c r="AL761" s="80">
        <f t="shared" si="104"/>
        <v>0</v>
      </c>
      <c r="AM761" s="80" t="str">
        <f>IF(T761="","",IF(T761="SIM",VLOOKUP($I761&amp;$J761&amp;T$1,Pesos!$A:$I,7,FALSE),VLOOKUP($I761&amp;$J761&amp;T$1,Pesos!$A:$I,9,FALSE)))</f>
        <v/>
      </c>
      <c r="AN761" s="80" t="str">
        <f>IF(U761="","",IF(U761="SIM",VLOOKUP($I761&amp;$J761&amp;U$1,Pesos!$A:$I,7,FALSE),VLOOKUP($I761&amp;$J761&amp;U$1,Pesos!$A:$I,9,FALSE)))</f>
        <v/>
      </c>
      <c r="AO761" s="80" t="str">
        <f>IF(V761="","",IF(V761="SIM",VLOOKUP($I761&amp;$J761&amp;V$1,Pesos!$A:$I,7,FALSE),VLOOKUP($I761&amp;$J761&amp;V$1,Pesos!$A:$I,9,FALSE)))</f>
        <v/>
      </c>
      <c r="AP761" s="80" t="str">
        <f>IF(W761="","",IF(W761="SIM",VLOOKUP($I761&amp;$J761&amp;W$1,Pesos!$A:$I,7,FALSE),VLOOKUP($I761&amp;$J761&amp;W$1,Pesos!$A:$I,9,FALSE)))</f>
        <v/>
      </c>
      <c r="AQ761" s="80" t="str">
        <f>IF(X761="","",IF(X761="SIM",VLOOKUP($I761&amp;$J761&amp;X$1,Pesos!$A:$I,7,FALSE),VLOOKUP($I761&amp;$J761&amp;X$1,Pesos!$A:$I,9,FALSE)))</f>
        <v/>
      </c>
      <c r="AR761" s="80" t="str">
        <f>IF(Y761="","",IF(Y761="SIM",VLOOKUP($I761&amp;$J761&amp;Y$1,Pesos!$A:$I,7,FALSE),VLOOKUP($I761&amp;$J761&amp;Y$1,Pesos!$A:$I,9,FALSE)))</f>
        <v/>
      </c>
      <c r="AS761" s="81" t="str">
        <f>IFERROR(Z761*VLOOKUP(J761,'BD Campos'!$Y$1:$Z$12,2,FALSE),"0")</f>
        <v>0</v>
      </c>
    </row>
    <row r="762" spans="1:45" x14ac:dyDescent="0.35">
      <c r="A762" s="68" t="str">
        <f t="shared" si="107"/>
        <v>Fev202510949LOGÍSTICA</v>
      </c>
      <c r="B762" s="114" t="str">
        <f t="shared" si="108"/>
        <v>Fev2025109492LOGÍSTICAPADRÃO</v>
      </c>
      <c r="C762" s="70">
        <v>1</v>
      </c>
      <c r="D762" s="71">
        <v>45713.481060185186</v>
      </c>
      <c r="E762" s="112" t="s">
        <v>338</v>
      </c>
      <c r="F762" s="72">
        <v>10949</v>
      </c>
      <c r="G762" s="69" t="s">
        <v>221</v>
      </c>
      <c r="H762" s="73">
        <v>2</v>
      </c>
      <c r="I762" s="69" t="s">
        <v>308</v>
      </c>
      <c r="J762" s="69"/>
      <c r="K762" s="69" t="s">
        <v>184</v>
      </c>
      <c r="L762" s="74"/>
      <c r="M762" s="75"/>
      <c r="N762" s="76"/>
      <c r="O762" s="76"/>
      <c r="P762" s="76"/>
      <c r="Q762" s="76"/>
      <c r="R762" s="76"/>
      <c r="S762" s="76"/>
      <c r="T762" s="76"/>
      <c r="U762" s="76"/>
      <c r="V762" s="76"/>
      <c r="W762" s="76"/>
      <c r="X762" s="76"/>
      <c r="Y762" s="76"/>
      <c r="Z762" s="77">
        <f t="shared" si="79"/>
        <v>0</v>
      </c>
      <c r="AA762" s="78"/>
      <c r="AB762" s="78"/>
      <c r="AC762" s="72" t="s">
        <v>47</v>
      </c>
      <c r="AE762" s="79" t="str">
        <f t="shared" si="106"/>
        <v>Fev10949</v>
      </c>
      <c r="AF762" s="80" t="str">
        <f>IF(N762="","",IF(N762="SIM",VLOOKUP($I762&amp;$J762&amp;N$1,Pesos!$A:$I,7,FALSE),VLOOKUP($I762&amp;$J762&amp;N$1,Pesos!$A:$I,9,FALSE)))</f>
        <v/>
      </c>
      <c r="AG762" s="80" t="str">
        <f>IF(O762="","",IF(O762="SIM",VLOOKUP($I762&amp;$J762&amp;O$1,Pesos!$A:$I,7,FALSE),VLOOKUP($I762&amp;$J762&amp;O$1,Pesos!$A:$I,9,FALSE)))</f>
        <v/>
      </c>
      <c r="AH762" s="80" t="str">
        <f>IF(P762="","",IF(P762="SIM",VLOOKUP($I762&amp;$J762&amp;P$1,Pesos!$A:$I,7,FALSE),VLOOKUP($I762&amp;$J762&amp;P$1,Pesos!$A:$I,9,FALSE)))</f>
        <v/>
      </c>
      <c r="AI762" s="80" t="str">
        <f>IF(Q762="","",IF(Q762="SIM",VLOOKUP($I762&amp;$J762&amp;Q$1,Pesos!$A:$I,7,FALSE),VLOOKUP($I762&amp;$J762&amp;Q$1,Pesos!$A:$I,9,FALSE)))</f>
        <v/>
      </c>
      <c r="AJ762" s="80" t="str">
        <f>IF(R762="","",IF(R762="SIM",VLOOKUP($I762&amp;$J762&amp;R$1,Pesos!$A:$I,7,FALSE),VLOOKUP($I762&amp;$J762&amp;R$1,Pesos!$A:$I,9,FALSE)))</f>
        <v/>
      </c>
      <c r="AK762" s="80" t="str">
        <f>IF(S762="","",IF(S762="SIM",VLOOKUP($I762&amp;$J762&amp;S$1,Pesos!$A:$I,7,FALSE),VLOOKUP($I762&amp;$J762&amp;S$1,Pesos!$A:$I,9,FALSE)))</f>
        <v/>
      </c>
      <c r="AL762" s="80">
        <f t="shared" si="104"/>
        <v>0</v>
      </c>
      <c r="AM762" s="80" t="str">
        <f>IF(T762="","",IF(T762="SIM",VLOOKUP($I762&amp;$J762&amp;T$1,Pesos!$A:$I,7,FALSE),VLOOKUP($I762&amp;$J762&amp;T$1,Pesos!$A:$I,9,FALSE)))</f>
        <v/>
      </c>
      <c r="AN762" s="80" t="str">
        <f>IF(U762="","",IF(U762="SIM",VLOOKUP($I762&amp;$J762&amp;U$1,Pesos!$A:$I,7,FALSE),VLOOKUP($I762&amp;$J762&amp;U$1,Pesos!$A:$I,9,FALSE)))</f>
        <v/>
      </c>
      <c r="AO762" s="80" t="str">
        <f>IF(V762="","",IF(V762="SIM",VLOOKUP($I762&amp;$J762&amp;V$1,Pesos!$A:$I,7,FALSE),VLOOKUP($I762&amp;$J762&amp;V$1,Pesos!$A:$I,9,FALSE)))</f>
        <v/>
      </c>
      <c r="AP762" s="80" t="str">
        <f>IF(W762="","",IF(W762="SIM",VLOOKUP($I762&amp;$J762&amp;W$1,Pesos!$A:$I,7,FALSE),VLOOKUP($I762&amp;$J762&amp;W$1,Pesos!$A:$I,9,FALSE)))</f>
        <v/>
      </c>
      <c r="AQ762" s="80" t="str">
        <f>IF(X762="","",IF(X762="SIM",VLOOKUP($I762&amp;$J762&amp;X$1,Pesos!$A:$I,7,FALSE),VLOOKUP($I762&amp;$J762&amp;X$1,Pesos!$A:$I,9,FALSE)))</f>
        <v/>
      </c>
      <c r="AR762" s="80" t="str">
        <f>IF(Y762="","",IF(Y762="SIM",VLOOKUP($I762&amp;$J762&amp;Y$1,Pesos!$A:$I,7,FALSE),VLOOKUP($I762&amp;$J762&amp;Y$1,Pesos!$A:$I,9,FALSE)))</f>
        <v/>
      </c>
      <c r="AS762" s="81" t="str">
        <f>IFERROR(Z762*VLOOKUP(J762,'BD Campos'!$Y$1:$Z$12,2,FALSE),"0")</f>
        <v>0</v>
      </c>
    </row>
    <row r="763" spans="1:45" x14ac:dyDescent="0.35">
      <c r="A763" s="68" t="str">
        <f t="shared" si="107"/>
        <v>Fev202511249LOGÍSTICA</v>
      </c>
      <c r="B763" s="114" t="str">
        <f t="shared" si="108"/>
        <v>Fev2025112491LOGÍSTICAPADRÃO</v>
      </c>
      <c r="C763" s="70">
        <v>1</v>
      </c>
      <c r="D763" s="71">
        <v>45713.481415393515</v>
      </c>
      <c r="E763" s="112" t="s">
        <v>338</v>
      </c>
      <c r="F763" s="72">
        <v>11249</v>
      </c>
      <c r="G763" s="69" t="s">
        <v>1678</v>
      </c>
      <c r="H763" s="73">
        <v>1</v>
      </c>
      <c r="I763" s="69" t="s">
        <v>308</v>
      </c>
      <c r="J763" s="69"/>
      <c r="K763" s="69" t="s">
        <v>184</v>
      </c>
      <c r="L763" s="74"/>
      <c r="M763" s="75"/>
      <c r="N763" s="76"/>
      <c r="O763" s="76"/>
      <c r="P763" s="76"/>
      <c r="Q763" s="76"/>
      <c r="R763" s="76"/>
      <c r="S763" s="76"/>
      <c r="T763" s="76"/>
      <c r="U763" s="76"/>
      <c r="V763" s="76"/>
      <c r="W763" s="76"/>
      <c r="X763" s="76"/>
      <c r="Y763" s="76"/>
      <c r="Z763" s="77">
        <f t="shared" si="79"/>
        <v>0</v>
      </c>
      <c r="AA763" s="78"/>
      <c r="AB763" s="78"/>
      <c r="AC763" s="72" t="s">
        <v>47</v>
      </c>
      <c r="AE763" s="79" t="str">
        <f t="shared" si="106"/>
        <v>Fev11249</v>
      </c>
      <c r="AF763" s="80" t="str">
        <f>IF(N763="","",IF(N763="SIM",VLOOKUP($I763&amp;$J763&amp;N$1,Pesos!$A:$I,7,FALSE),VLOOKUP($I763&amp;$J763&amp;N$1,Pesos!$A:$I,9,FALSE)))</f>
        <v/>
      </c>
      <c r="AG763" s="80" t="str">
        <f>IF(O763="","",IF(O763="SIM",VLOOKUP($I763&amp;$J763&amp;O$1,Pesos!$A:$I,7,FALSE),VLOOKUP($I763&amp;$J763&amp;O$1,Pesos!$A:$I,9,FALSE)))</f>
        <v/>
      </c>
      <c r="AH763" s="80" t="str">
        <f>IF(P763="","",IF(P763="SIM",VLOOKUP($I763&amp;$J763&amp;P$1,Pesos!$A:$I,7,FALSE),VLOOKUP($I763&amp;$J763&amp;P$1,Pesos!$A:$I,9,FALSE)))</f>
        <v/>
      </c>
      <c r="AI763" s="80" t="str">
        <f>IF(Q763="","",IF(Q763="SIM",VLOOKUP($I763&amp;$J763&amp;Q$1,Pesos!$A:$I,7,FALSE),VLOOKUP($I763&amp;$J763&amp;Q$1,Pesos!$A:$I,9,FALSE)))</f>
        <v/>
      </c>
      <c r="AJ763" s="80" t="str">
        <f>IF(R763="","",IF(R763="SIM",VLOOKUP($I763&amp;$J763&amp;R$1,Pesos!$A:$I,7,FALSE),VLOOKUP($I763&amp;$J763&amp;R$1,Pesos!$A:$I,9,FALSE)))</f>
        <v/>
      </c>
      <c r="AK763" s="80" t="str">
        <f>IF(S763="","",IF(S763="SIM",VLOOKUP($I763&amp;$J763&amp;S$1,Pesos!$A:$I,7,FALSE),VLOOKUP($I763&amp;$J763&amp;S$1,Pesos!$A:$I,9,FALSE)))</f>
        <v/>
      </c>
      <c r="AL763" s="80">
        <f t="shared" si="104"/>
        <v>0</v>
      </c>
      <c r="AM763" s="80" t="str">
        <f>IF(T763="","",IF(T763="SIM",VLOOKUP($I763&amp;$J763&amp;T$1,Pesos!$A:$I,7,FALSE),VLOOKUP($I763&amp;$J763&amp;T$1,Pesos!$A:$I,9,FALSE)))</f>
        <v/>
      </c>
      <c r="AN763" s="80" t="str">
        <f>IF(U763="","",IF(U763="SIM",VLOOKUP($I763&amp;$J763&amp;U$1,Pesos!$A:$I,7,FALSE),VLOOKUP($I763&amp;$J763&amp;U$1,Pesos!$A:$I,9,FALSE)))</f>
        <v/>
      </c>
      <c r="AO763" s="80" t="str">
        <f>IF(V763="","",IF(V763="SIM",VLOOKUP($I763&amp;$J763&amp;V$1,Pesos!$A:$I,7,FALSE),VLOOKUP($I763&amp;$J763&amp;V$1,Pesos!$A:$I,9,FALSE)))</f>
        <v/>
      </c>
      <c r="AP763" s="80" t="str">
        <f>IF(W763="","",IF(W763="SIM",VLOOKUP($I763&amp;$J763&amp;W$1,Pesos!$A:$I,7,FALSE),VLOOKUP($I763&amp;$J763&amp;W$1,Pesos!$A:$I,9,FALSE)))</f>
        <v/>
      </c>
      <c r="AQ763" s="80" t="str">
        <f>IF(X763="","",IF(X763="SIM",VLOOKUP($I763&amp;$J763&amp;X$1,Pesos!$A:$I,7,FALSE),VLOOKUP($I763&amp;$J763&amp;X$1,Pesos!$A:$I,9,FALSE)))</f>
        <v/>
      </c>
      <c r="AR763" s="80" t="str">
        <f>IF(Y763="","",IF(Y763="SIM",VLOOKUP($I763&amp;$J763&amp;Y$1,Pesos!$A:$I,7,FALSE),VLOOKUP($I763&amp;$J763&amp;Y$1,Pesos!$A:$I,9,FALSE)))</f>
        <v/>
      </c>
      <c r="AS763" s="81" t="str">
        <f>IFERROR(Z763*VLOOKUP(J763,'BD Campos'!$Y$1:$Z$12,2,FALSE),"0")</f>
        <v>0</v>
      </c>
    </row>
    <row r="764" spans="1:45" x14ac:dyDescent="0.35">
      <c r="A764" s="68" t="str">
        <f t="shared" si="107"/>
        <v>Fev202511249LOGÍSTICA</v>
      </c>
      <c r="B764" s="114" t="str">
        <f t="shared" si="108"/>
        <v>Fev2025112492LOGÍSTICAPADRÃO</v>
      </c>
      <c r="C764" s="70">
        <v>1</v>
      </c>
      <c r="D764" s="71">
        <v>45713.481452662039</v>
      </c>
      <c r="E764" s="112" t="s">
        <v>338</v>
      </c>
      <c r="F764" s="72">
        <v>11249</v>
      </c>
      <c r="G764" s="69" t="s">
        <v>1678</v>
      </c>
      <c r="H764" s="73">
        <v>2</v>
      </c>
      <c r="I764" s="69" t="s">
        <v>308</v>
      </c>
      <c r="J764" s="69"/>
      <c r="K764" s="69" t="s">
        <v>184</v>
      </c>
      <c r="L764" s="74"/>
      <c r="M764" s="75"/>
      <c r="N764" s="76"/>
      <c r="O764" s="76"/>
      <c r="P764" s="76"/>
      <c r="Q764" s="76"/>
      <c r="R764" s="76"/>
      <c r="S764" s="76"/>
      <c r="T764" s="76"/>
      <c r="U764" s="76"/>
      <c r="V764" s="76"/>
      <c r="W764" s="76"/>
      <c r="X764" s="76"/>
      <c r="Y764" s="76"/>
      <c r="Z764" s="77">
        <f t="shared" si="79"/>
        <v>0</v>
      </c>
      <c r="AA764" s="78"/>
      <c r="AB764" s="78"/>
      <c r="AC764" s="72" t="s">
        <v>47</v>
      </c>
      <c r="AE764" s="79" t="str">
        <f t="shared" si="106"/>
        <v>Fev11249</v>
      </c>
      <c r="AF764" s="80" t="str">
        <f>IF(N764="","",IF(N764="SIM",VLOOKUP($I764&amp;$J764&amp;N$1,Pesos!$A:$I,7,FALSE),VLOOKUP($I764&amp;$J764&amp;N$1,Pesos!$A:$I,9,FALSE)))</f>
        <v/>
      </c>
      <c r="AG764" s="80" t="str">
        <f>IF(O764="","",IF(O764="SIM",VLOOKUP($I764&amp;$J764&amp;O$1,Pesos!$A:$I,7,FALSE),VLOOKUP($I764&amp;$J764&amp;O$1,Pesos!$A:$I,9,FALSE)))</f>
        <v/>
      </c>
      <c r="AH764" s="80" t="str">
        <f>IF(P764="","",IF(P764="SIM",VLOOKUP($I764&amp;$J764&amp;P$1,Pesos!$A:$I,7,FALSE),VLOOKUP($I764&amp;$J764&amp;P$1,Pesos!$A:$I,9,FALSE)))</f>
        <v/>
      </c>
      <c r="AI764" s="80" t="str">
        <f>IF(Q764="","",IF(Q764="SIM",VLOOKUP($I764&amp;$J764&amp;Q$1,Pesos!$A:$I,7,FALSE),VLOOKUP($I764&amp;$J764&amp;Q$1,Pesos!$A:$I,9,FALSE)))</f>
        <v/>
      </c>
      <c r="AJ764" s="80" t="str">
        <f>IF(R764="","",IF(R764="SIM",VLOOKUP($I764&amp;$J764&amp;R$1,Pesos!$A:$I,7,FALSE),VLOOKUP($I764&amp;$J764&amp;R$1,Pesos!$A:$I,9,FALSE)))</f>
        <v/>
      </c>
      <c r="AK764" s="80" t="str">
        <f>IF(S764="","",IF(S764="SIM",VLOOKUP($I764&amp;$J764&amp;S$1,Pesos!$A:$I,7,FALSE),VLOOKUP($I764&amp;$J764&amp;S$1,Pesos!$A:$I,9,FALSE)))</f>
        <v/>
      </c>
      <c r="AL764" s="80">
        <f t="shared" si="104"/>
        <v>0</v>
      </c>
      <c r="AM764" s="80" t="str">
        <f>IF(T764="","",IF(T764="SIM",VLOOKUP($I764&amp;$J764&amp;T$1,Pesos!$A:$I,7,FALSE),VLOOKUP($I764&amp;$J764&amp;T$1,Pesos!$A:$I,9,FALSE)))</f>
        <v/>
      </c>
      <c r="AN764" s="80" t="str">
        <f>IF(U764="","",IF(U764="SIM",VLOOKUP($I764&amp;$J764&amp;U$1,Pesos!$A:$I,7,FALSE),VLOOKUP($I764&amp;$J764&amp;U$1,Pesos!$A:$I,9,FALSE)))</f>
        <v/>
      </c>
      <c r="AO764" s="80" t="str">
        <f>IF(V764="","",IF(V764="SIM",VLOOKUP($I764&amp;$J764&amp;V$1,Pesos!$A:$I,7,FALSE),VLOOKUP($I764&amp;$J764&amp;V$1,Pesos!$A:$I,9,FALSE)))</f>
        <v/>
      </c>
      <c r="AP764" s="80" t="str">
        <f>IF(W764="","",IF(W764="SIM",VLOOKUP($I764&amp;$J764&amp;W$1,Pesos!$A:$I,7,FALSE),VLOOKUP($I764&amp;$J764&amp;W$1,Pesos!$A:$I,9,FALSE)))</f>
        <v/>
      </c>
      <c r="AQ764" s="80" t="str">
        <f>IF(X764="","",IF(X764="SIM",VLOOKUP($I764&amp;$J764&amp;X$1,Pesos!$A:$I,7,FALSE),VLOOKUP($I764&amp;$J764&amp;X$1,Pesos!$A:$I,9,FALSE)))</f>
        <v/>
      </c>
      <c r="AR764" s="80" t="str">
        <f>IF(Y764="","",IF(Y764="SIM",VLOOKUP($I764&amp;$J764&amp;Y$1,Pesos!$A:$I,7,FALSE),VLOOKUP($I764&amp;$J764&amp;Y$1,Pesos!$A:$I,9,FALSE)))</f>
        <v/>
      </c>
      <c r="AS764" s="81" t="str">
        <f>IFERROR(Z764*VLOOKUP(J764,'BD Campos'!$Y$1:$Z$12,2,FALSE),"0")</f>
        <v>0</v>
      </c>
    </row>
    <row r="765" spans="1:45" x14ac:dyDescent="0.35">
      <c r="A765" s="68" t="str">
        <f t="shared" si="107"/>
        <v>Fev202511210LOGÍSTICA</v>
      </c>
      <c r="B765" s="114" t="str">
        <f t="shared" si="108"/>
        <v>Fev2025112102LOGÍSTICAPADRÃO</v>
      </c>
      <c r="C765" s="70">
        <v>1</v>
      </c>
      <c r="D765" s="71">
        <v>45713.485232523148</v>
      </c>
      <c r="E765" s="112" t="s">
        <v>338</v>
      </c>
      <c r="F765" s="72">
        <v>11210</v>
      </c>
      <c r="G765" s="69" t="s">
        <v>1679</v>
      </c>
      <c r="H765" s="73">
        <v>2</v>
      </c>
      <c r="I765" s="69" t="s">
        <v>308</v>
      </c>
      <c r="J765" s="69"/>
      <c r="K765" s="69" t="s">
        <v>184</v>
      </c>
      <c r="L765" s="74"/>
      <c r="M765" s="75"/>
      <c r="N765" s="76"/>
      <c r="O765" s="76"/>
      <c r="P765" s="76"/>
      <c r="Q765" s="76"/>
      <c r="R765" s="76"/>
      <c r="S765" s="76"/>
      <c r="T765" s="76"/>
      <c r="U765" s="76"/>
      <c r="V765" s="76"/>
      <c r="W765" s="76"/>
      <c r="X765" s="76"/>
      <c r="Y765" s="76"/>
      <c r="Z765" s="77">
        <f>SUM(AL765:AR765)</f>
        <v>0</v>
      </c>
      <c r="AA765" s="78"/>
      <c r="AB765" s="78"/>
      <c r="AC765" s="72" t="s">
        <v>47</v>
      </c>
      <c r="AE765" s="79" t="str">
        <f t="shared" si="106"/>
        <v>Fev11210</v>
      </c>
      <c r="AF765" s="80" t="str">
        <f>IF(N765="","",IF(N765="SIM",VLOOKUP($I765&amp;$J765&amp;N$1,Pesos!$A:$I,7,FALSE),VLOOKUP($I765&amp;$J765&amp;N$1,Pesos!$A:$I,9,FALSE)))</f>
        <v/>
      </c>
      <c r="AG765" s="80" t="str">
        <f>IF(O765="","",IF(O765="SIM",VLOOKUP($I765&amp;$J765&amp;O$1,Pesos!$A:$I,7,FALSE),VLOOKUP($I765&amp;$J765&amp;O$1,Pesos!$A:$I,9,FALSE)))</f>
        <v/>
      </c>
      <c r="AH765" s="80" t="str">
        <f>IF(P765="","",IF(P765="SIM",VLOOKUP($I765&amp;$J765&amp;P$1,Pesos!$A:$I,7,FALSE),VLOOKUP($I765&amp;$J765&amp;P$1,Pesos!$A:$I,9,FALSE)))</f>
        <v/>
      </c>
      <c r="AI765" s="80" t="str">
        <f>IF(Q765="","",IF(Q765="SIM",VLOOKUP($I765&amp;$J765&amp;Q$1,Pesos!$A:$I,7,FALSE),VLOOKUP($I765&amp;$J765&amp;Q$1,Pesos!$A:$I,9,FALSE)))</f>
        <v/>
      </c>
      <c r="AJ765" s="80" t="str">
        <f>IF(R765="","",IF(R765="SIM",VLOOKUP($I765&amp;$J765&amp;R$1,Pesos!$A:$I,7,FALSE),VLOOKUP($I765&amp;$J765&amp;R$1,Pesos!$A:$I,9,FALSE)))</f>
        <v/>
      </c>
      <c r="AK765" s="80" t="str">
        <f>IF(S765="","",IF(S765="SIM",VLOOKUP($I765&amp;$J765&amp;S$1,Pesos!$A:$I,7,FALSE),VLOOKUP($I765&amp;$J765&amp;S$1,Pesos!$A:$I,9,FALSE)))</f>
        <v/>
      </c>
      <c r="AL765" s="80">
        <f t="shared" si="104"/>
        <v>0</v>
      </c>
      <c r="AM765" s="80" t="str">
        <f>IF(T765="","",IF(T765="SIM",VLOOKUP($I765&amp;$J765&amp;T$1,Pesos!$A:$I,7,FALSE),VLOOKUP($I765&amp;$J765&amp;T$1,Pesos!$A:$I,9,FALSE)))</f>
        <v/>
      </c>
      <c r="AN765" s="80" t="str">
        <f>IF(U765="","",IF(U765="SIM",VLOOKUP($I765&amp;$J765&amp;U$1,Pesos!$A:$I,7,FALSE),VLOOKUP($I765&amp;$J765&amp;U$1,Pesos!$A:$I,9,FALSE)))</f>
        <v/>
      </c>
      <c r="AO765" s="80" t="str">
        <f>IF(V765="","",IF(V765="SIM",VLOOKUP($I765&amp;$J765&amp;V$1,Pesos!$A:$I,7,FALSE),VLOOKUP($I765&amp;$J765&amp;V$1,Pesos!$A:$I,9,FALSE)))</f>
        <v/>
      </c>
      <c r="AP765" s="80" t="str">
        <f>IF(W765="","",IF(W765="SIM",VLOOKUP($I765&amp;$J765&amp;W$1,Pesos!$A:$I,7,FALSE),VLOOKUP($I765&amp;$J765&amp;W$1,Pesos!$A:$I,9,FALSE)))</f>
        <v/>
      </c>
      <c r="AQ765" s="80" t="str">
        <f>IF(X765="","",IF(X765="SIM",VLOOKUP($I765&amp;$J765&amp;X$1,Pesos!$A:$I,7,FALSE),VLOOKUP($I765&amp;$J765&amp;X$1,Pesos!$A:$I,9,FALSE)))</f>
        <v/>
      </c>
      <c r="AR765" s="80" t="str">
        <f>IF(Y765="","",IF(Y765="SIM",VLOOKUP($I765&amp;$J765&amp;Y$1,Pesos!$A:$I,7,FALSE),VLOOKUP($I765&amp;$J765&amp;Y$1,Pesos!$A:$I,9,FALSE)))</f>
        <v/>
      </c>
      <c r="AS765" s="81" t="str">
        <f>IFERROR(Z765*VLOOKUP(J765,'BD Campos'!$Y$1:$Z$12,2,FALSE),"0")</f>
        <v>0</v>
      </c>
    </row>
    <row r="766" spans="1:45" x14ac:dyDescent="0.35">
      <c r="A766" s="68" t="str">
        <f t="shared" si="107"/>
        <v>Fev202511187ReceptivaTRANSFERÊNCIA</v>
      </c>
      <c r="B766" s="114" t="str">
        <f t="shared" si="108"/>
        <v>Fev2025111875TRANSFERÊNCIAPADRÃO</v>
      </c>
      <c r="C766" s="70">
        <v>1</v>
      </c>
      <c r="D766" s="71">
        <v>45713.65967627315</v>
      </c>
      <c r="E766" s="112" t="s">
        <v>338</v>
      </c>
      <c r="F766" s="72">
        <v>11187</v>
      </c>
      <c r="G766" s="69" t="s">
        <v>1362</v>
      </c>
      <c r="H766" s="73">
        <v>5</v>
      </c>
      <c r="I766" s="69" t="s">
        <v>6</v>
      </c>
      <c r="J766" s="69" t="s">
        <v>98</v>
      </c>
      <c r="K766" s="69" t="s">
        <v>106</v>
      </c>
      <c r="L766" s="74"/>
      <c r="M766" s="75">
        <v>1.1458333333333333E-3</v>
      </c>
      <c r="N766" s="76" t="s">
        <v>83</v>
      </c>
      <c r="O766" s="76" t="s">
        <v>79</v>
      </c>
      <c r="P766" s="76" t="s">
        <v>79</v>
      </c>
      <c r="Q766" s="76" t="s">
        <v>79</v>
      </c>
      <c r="R766" s="76" t="s">
        <v>79</v>
      </c>
      <c r="S766" s="76" t="s">
        <v>79</v>
      </c>
      <c r="T766" s="76" t="s">
        <v>79</v>
      </c>
      <c r="U766" s="76" t="s">
        <v>79</v>
      </c>
      <c r="V766" s="76" t="s">
        <v>79</v>
      </c>
      <c r="W766" s="76" t="s">
        <v>79</v>
      </c>
      <c r="X766" s="76" t="s">
        <v>79</v>
      </c>
      <c r="Y766" s="76" t="s">
        <v>79</v>
      </c>
      <c r="Z766" s="77">
        <f>SUM(AL766:AR766)</f>
        <v>9.16</v>
      </c>
      <c r="AA766" s="78" t="s">
        <v>1616</v>
      </c>
      <c r="AB766" s="78"/>
      <c r="AC766" s="72" t="s">
        <v>47</v>
      </c>
      <c r="AE766" s="79" t="str">
        <f>E766&amp;F766</f>
        <v>Fev11187</v>
      </c>
      <c r="AF766" s="80">
        <f>IF(N766="","",IF(N766="SIM",VLOOKUP($I766&amp;$J766&amp;N$1,Pesos!$A:$I,7,FALSE),VLOOKUP($I766&amp;$J766&amp;N$1,Pesos!$A:$I,9,FALSE)))</f>
        <v>-4.0000000000000008E-2</v>
      </c>
      <c r="AG766" s="80">
        <f>IF(O766="","",IF(O766="SIM",VLOOKUP($I766&amp;$J766&amp;O$1,Pesos!$A:$I,7,FALSE),VLOOKUP($I766&amp;$J766&amp;O$1,Pesos!$A:$I,9,FALSE)))</f>
        <v>0.8</v>
      </c>
      <c r="AH766" s="80">
        <f>IF(P766="","",IF(P766="SIM",VLOOKUP($I766&amp;$J766&amp;P$1,Pesos!$A:$I,7,FALSE),VLOOKUP($I766&amp;$J766&amp;P$1,Pesos!$A:$I,9,FALSE)))</f>
        <v>1.2</v>
      </c>
      <c r="AI766" s="80">
        <f>IF(Q766="","",IF(Q766="SIM",VLOOKUP($I766&amp;$J766&amp;Q$1,Pesos!$A:$I,7,FALSE),VLOOKUP($I766&amp;$J766&amp;Q$1,Pesos!$A:$I,9,FALSE)))</f>
        <v>0.8</v>
      </c>
      <c r="AJ766" s="80">
        <f>IF(R766="","",IF(R766="SIM",VLOOKUP($I766&amp;$J766&amp;R$1,Pesos!$A:$I,7,FALSE),VLOOKUP($I766&amp;$J766&amp;R$1,Pesos!$A:$I,9,FALSE)))</f>
        <v>0.8</v>
      </c>
      <c r="AK766" s="80">
        <f>IF(S766="","",IF(S766="SIM",VLOOKUP($I766&amp;$J766&amp;S$1,Pesos!$A:$I,7,FALSE),VLOOKUP($I766&amp;$J766&amp;S$1,Pesos!$A:$I,9,FALSE)))</f>
        <v>0.8</v>
      </c>
      <c r="AL766" s="80">
        <f>SUM(AF766:AK766)</f>
        <v>4.3599999999999994</v>
      </c>
      <c r="AM766" s="80">
        <f>IF(T766="","",IF(T766="SIM",VLOOKUP($I766&amp;$J766&amp;T$1,Pesos!$A:$I,7,FALSE),VLOOKUP($I766&amp;$J766&amp;T$1,Pesos!$A:$I,9,FALSE)))</f>
        <v>0.8</v>
      </c>
      <c r="AN766" s="80">
        <f>IF(U766="","",IF(U766="SIM",VLOOKUP($I766&amp;$J766&amp;U$1,Pesos!$A:$I,7,FALSE),VLOOKUP($I766&amp;$J766&amp;U$1,Pesos!$A:$I,9,FALSE)))</f>
        <v>0.8</v>
      </c>
      <c r="AO766" s="80">
        <f>IF(V766="","",IF(V766="SIM",VLOOKUP($I766&amp;$J766&amp;V$1,Pesos!$A:$I,7,FALSE),VLOOKUP($I766&amp;$J766&amp;V$1,Pesos!$A:$I,9,FALSE)))</f>
        <v>0.8</v>
      </c>
      <c r="AP766" s="80">
        <f>IF(W766="","",IF(W766="SIM",VLOOKUP($I766&amp;$J766&amp;W$1,Pesos!$A:$I,7,FALSE),VLOOKUP($I766&amp;$J766&amp;W$1,Pesos!$A:$I,9,FALSE)))</f>
        <v>0.8</v>
      </c>
      <c r="AQ766" s="80">
        <f>IF(X766="","",IF(X766="SIM",VLOOKUP($I766&amp;$J766&amp;X$1,Pesos!$A:$I,7,FALSE),VLOOKUP($I766&amp;$J766&amp;X$1,Pesos!$A:$I,9,FALSE)))</f>
        <v>0.8</v>
      </c>
      <c r="AR766" s="80">
        <f>IF(Y766="","",IF(Y766="SIM",VLOOKUP($I766&amp;$J766&amp;Y$1,Pesos!$A:$I,7,FALSE),VLOOKUP($I766&amp;$J766&amp;Y$1,Pesos!$A:$I,9,FALSE)))</f>
        <v>0.8</v>
      </c>
      <c r="AS766" s="81">
        <f>IFERROR(Z766*VLOOKUP(J766,'BD Campos'!$Y$1:$Z$12,2,FALSE),"0")</f>
        <v>9.16</v>
      </c>
    </row>
    <row r="767" spans="1:45" x14ac:dyDescent="0.35">
      <c r="A767" s="68" t="str">
        <f t="shared" si="107"/>
        <v>Fev202510920ReceptivaUTI</v>
      </c>
      <c r="B767" s="114" t="str">
        <f t="shared" si="108"/>
        <v>Fev2025109205UTIPADRÃO</v>
      </c>
      <c r="C767" s="70">
        <v>1</v>
      </c>
      <c r="D767" s="71">
        <v>45713.665229282407</v>
      </c>
      <c r="E767" s="112" t="s">
        <v>338</v>
      </c>
      <c r="F767" s="72">
        <v>10920</v>
      </c>
      <c r="G767" s="69" t="s">
        <v>251</v>
      </c>
      <c r="H767" s="73">
        <v>5</v>
      </c>
      <c r="I767" s="69" t="s">
        <v>6</v>
      </c>
      <c r="J767" s="69" t="s">
        <v>98</v>
      </c>
      <c r="K767" s="69" t="s">
        <v>131</v>
      </c>
      <c r="L767" s="74"/>
      <c r="M767" s="75">
        <v>1.1226851851851851E-3</v>
      </c>
      <c r="N767" s="76" t="s">
        <v>79</v>
      </c>
      <c r="O767" s="76" t="s">
        <v>79</v>
      </c>
      <c r="P767" s="76" t="s">
        <v>79</v>
      </c>
      <c r="Q767" s="76" t="s">
        <v>79</v>
      </c>
      <c r="R767" s="76" t="s">
        <v>79</v>
      </c>
      <c r="S767" s="76" t="s">
        <v>79</v>
      </c>
      <c r="T767" s="76" t="s">
        <v>79</v>
      </c>
      <c r="U767" s="76" t="s">
        <v>79</v>
      </c>
      <c r="V767" s="76" t="s">
        <v>79</v>
      </c>
      <c r="W767" s="76" t="s">
        <v>79</v>
      </c>
      <c r="X767" s="76" t="s">
        <v>79</v>
      </c>
      <c r="Y767" s="76" t="s">
        <v>79</v>
      </c>
      <c r="Z767" s="77">
        <f>SUM(AL767:AR767)</f>
        <v>10</v>
      </c>
      <c r="AA767" s="78"/>
      <c r="AB767" s="78"/>
      <c r="AC767" s="72" t="s">
        <v>47</v>
      </c>
      <c r="AE767" s="79" t="str">
        <f>E767&amp;F767</f>
        <v>Fev10920</v>
      </c>
      <c r="AF767" s="80">
        <f>IF(N767="","",IF(N767="SIM",VLOOKUP($I767&amp;$J767&amp;N$1,Pesos!$A:$I,7,FALSE),VLOOKUP($I767&amp;$J767&amp;N$1,Pesos!$A:$I,9,FALSE)))</f>
        <v>0.8</v>
      </c>
      <c r="AG767" s="80">
        <f>IF(O767="","",IF(O767="SIM",VLOOKUP($I767&amp;$J767&amp;O$1,Pesos!$A:$I,7,FALSE),VLOOKUP($I767&amp;$J767&amp;O$1,Pesos!$A:$I,9,FALSE)))</f>
        <v>0.8</v>
      </c>
      <c r="AH767" s="80">
        <f>IF(P767="","",IF(P767="SIM",VLOOKUP($I767&amp;$J767&amp;P$1,Pesos!$A:$I,7,FALSE),VLOOKUP($I767&amp;$J767&amp;P$1,Pesos!$A:$I,9,FALSE)))</f>
        <v>1.2</v>
      </c>
      <c r="AI767" s="80">
        <f>IF(Q767="","",IF(Q767="SIM",VLOOKUP($I767&amp;$J767&amp;Q$1,Pesos!$A:$I,7,FALSE),VLOOKUP($I767&amp;$J767&amp;Q$1,Pesos!$A:$I,9,FALSE)))</f>
        <v>0.8</v>
      </c>
      <c r="AJ767" s="80">
        <f>IF(R767="","",IF(R767="SIM",VLOOKUP($I767&amp;$J767&amp;R$1,Pesos!$A:$I,7,FALSE),VLOOKUP($I767&amp;$J767&amp;R$1,Pesos!$A:$I,9,FALSE)))</f>
        <v>0.8</v>
      </c>
      <c r="AK767" s="80">
        <f>IF(S767="","",IF(S767="SIM",VLOOKUP($I767&amp;$J767&amp;S$1,Pesos!$A:$I,7,FALSE),VLOOKUP($I767&amp;$J767&amp;S$1,Pesos!$A:$I,9,FALSE)))</f>
        <v>0.8</v>
      </c>
      <c r="AL767" s="80">
        <f>SUM(AF767:AK767)</f>
        <v>5.1999999999999993</v>
      </c>
      <c r="AM767" s="80">
        <f>IF(T767="","",IF(T767="SIM",VLOOKUP($I767&amp;$J767&amp;T$1,Pesos!$A:$I,7,FALSE),VLOOKUP($I767&amp;$J767&amp;T$1,Pesos!$A:$I,9,FALSE)))</f>
        <v>0.8</v>
      </c>
      <c r="AN767" s="80">
        <f>IF(U767="","",IF(U767="SIM",VLOOKUP($I767&amp;$J767&amp;U$1,Pesos!$A:$I,7,FALSE),VLOOKUP($I767&amp;$J767&amp;U$1,Pesos!$A:$I,9,FALSE)))</f>
        <v>0.8</v>
      </c>
      <c r="AO767" s="80">
        <f>IF(V767="","",IF(V767="SIM",VLOOKUP($I767&amp;$J767&amp;V$1,Pesos!$A:$I,7,FALSE),VLOOKUP($I767&amp;$J767&amp;V$1,Pesos!$A:$I,9,FALSE)))</f>
        <v>0.8</v>
      </c>
      <c r="AP767" s="80">
        <f>IF(W767="","",IF(W767="SIM",VLOOKUP($I767&amp;$J767&amp;W$1,Pesos!$A:$I,7,FALSE),VLOOKUP($I767&amp;$J767&amp;W$1,Pesos!$A:$I,9,FALSE)))</f>
        <v>0.8</v>
      </c>
      <c r="AQ767" s="80">
        <f>IF(X767="","",IF(X767="SIM",VLOOKUP($I767&amp;$J767&amp;X$1,Pesos!$A:$I,7,FALSE),VLOOKUP($I767&amp;$J767&amp;X$1,Pesos!$A:$I,9,FALSE)))</f>
        <v>0.8</v>
      </c>
      <c r="AR767" s="80">
        <f>IF(Y767="","",IF(Y767="SIM",VLOOKUP($I767&amp;$J767&amp;Y$1,Pesos!$A:$I,7,FALSE),VLOOKUP($I767&amp;$J767&amp;Y$1,Pesos!$A:$I,9,FALSE)))</f>
        <v>0.8</v>
      </c>
      <c r="AS767" s="81">
        <f>IFERROR(Z767*VLOOKUP(J767,'BD Campos'!$Y$1:$Z$12,2,FALSE),"0")</f>
        <v>10</v>
      </c>
    </row>
    <row r="768" spans="1:45" x14ac:dyDescent="0.35">
      <c r="A768" s="68" t="str">
        <f t="shared" si="107"/>
        <v>Fev202511178MotoristaTRANSFERÊNCIA</v>
      </c>
      <c r="B768" s="114" t="str">
        <f t="shared" si="108"/>
        <v>Fev2025111781TRANSFERÊNCIAPADRÃO</v>
      </c>
      <c r="C768" s="70">
        <v>1</v>
      </c>
      <c r="D768" s="71">
        <v>45713.682555208332</v>
      </c>
      <c r="E768" s="112" t="s">
        <v>338</v>
      </c>
      <c r="F768" s="72">
        <v>11178</v>
      </c>
      <c r="G768" s="69" t="s">
        <v>1393</v>
      </c>
      <c r="H768" s="73">
        <v>1</v>
      </c>
      <c r="I768" s="69" t="s">
        <v>121</v>
      </c>
      <c r="J768" s="69" t="s">
        <v>122</v>
      </c>
      <c r="K768" s="69" t="s">
        <v>106</v>
      </c>
      <c r="L768" s="74">
        <v>31287999</v>
      </c>
      <c r="M768" s="75">
        <v>1.8055555555555557E-3</v>
      </c>
      <c r="N768" s="76" t="s">
        <v>79</v>
      </c>
      <c r="O768" s="76" t="s">
        <v>79</v>
      </c>
      <c r="P768" s="76" t="s">
        <v>79</v>
      </c>
      <c r="Q768" s="76" t="s">
        <v>79</v>
      </c>
      <c r="R768" s="76" t="s">
        <v>79</v>
      </c>
      <c r="S768" s="76" t="s">
        <v>79</v>
      </c>
      <c r="T768" s="76" t="s">
        <v>79</v>
      </c>
      <c r="U768" s="76" t="s">
        <v>79</v>
      </c>
      <c r="V768" s="76" t="s">
        <v>79</v>
      </c>
      <c r="W768" s="76" t="s">
        <v>83</v>
      </c>
      <c r="X768" s="76" t="s">
        <v>79</v>
      </c>
      <c r="Y768" s="76"/>
      <c r="Z768" s="77">
        <f>SUM(AL768:AR768)</f>
        <v>9.0549999999999997</v>
      </c>
      <c r="AA768" s="78"/>
      <c r="AB768" s="78" t="s">
        <v>1810</v>
      </c>
      <c r="AC768" s="72" t="s">
        <v>47</v>
      </c>
      <c r="AE768" s="79" t="str">
        <f>E768&amp;F768</f>
        <v>Fev11178</v>
      </c>
      <c r="AF768" s="80">
        <f>IF(N768="","",IF(N768="SIM",VLOOKUP($I768&amp;$J768&amp;N$1,Pesos!$A:$I,7,FALSE),VLOOKUP($I768&amp;$J768&amp;N$1,Pesos!$A:$I,9,FALSE)))</f>
        <v>0.89999999999999991</v>
      </c>
      <c r="AG768" s="80">
        <f>IF(O768="","",IF(O768="SIM",VLOOKUP($I768&amp;$J768&amp;O$1,Pesos!$A:$I,7,FALSE),VLOOKUP($I768&amp;$J768&amp;O$1,Pesos!$A:$I,9,FALSE)))</f>
        <v>0.89999999999999991</v>
      </c>
      <c r="AH768" s="80">
        <f>IF(P768="","",IF(P768="SIM",VLOOKUP($I768&amp;$J768&amp;P$1,Pesos!$A:$I,7,FALSE),VLOOKUP($I768&amp;$J768&amp;P$1,Pesos!$A:$I,9,FALSE)))</f>
        <v>0.89999999999999991</v>
      </c>
      <c r="AI768" s="80">
        <f>IF(Q768="","",IF(Q768="SIM",VLOOKUP($I768&amp;$J768&amp;Q$1,Pesos!$A:$I,7,FALSE),VLOOKUP($I768&amp;$J768&amp;Q$1,Pesos!$A:$I,9,FALSE)))</f>
        <v>0.89999999999999991</v>
      </c>
      <c r="AJ768" s="80">
        <f>IF(R768="","",IF(R768="SIM",VLOOKUP($I768&amp;$J768&amp;R$1,Pesos!$A:$I,7,FALSE),VLOOKUP($I768&amp;$J768&amp;R$1,Pesos!$A:$I,9,FALSE)))</f>
        <v>0.89999999999999991</v>
      </c>
      <c r="AK768" s="80">
        <f>IF(S768="","",IF(S768="SIM",VLOOKUP($I768&amp;$J768&amp;S$1,Pesos!$A:$I,7,FALSE),VLOOKUP($I768&amp;$J768&amp;S$1,Pesos!$A:$I,9,FALSE)))</f>
        <v>0.89999999999999991</v>
      </c>
      <c r="AL768" s="80">
        <f>SUM(AF768:AK768)</f>
        <v>5.4</v>
      </c>
      <c r="AM768" s="80">
        <f>IF(T768="","",IF(T768="SIM",VLOOKUP($I768&amp;$J768&amp;T$1,Pesos!$A:$I,7,FALSE),VLOOKUP($I768&amp;$J768&amp;T$1,Pesos!$A:$I,9,FALSE)))</f>
        <v>0.89999999999999991</v>
      </c>
      <c r="AN768" s="80">
        <f>IF(U768="","",IF(U768="SIM",VLOOKUP($I768&amp;$J768&amp;U$1,Pesos!$A:$I,7,FALSE),VLOOKUP($I768&amp;$J768&amp;U$1,Pesos!$A:$I,9,FALSE)))</f>
        <v>0.92500000000000004</v>
      </c>
      <c r="AO768" s="80">
        <f>IF(V768="","",IF(V768="SIM",VLOOKUP($I768&amp;$J768&amp;V$1,Pesos!$A:$I,7,FALSE),VLOOKUP($I768&amp;$J768&amp;V$1,Pesos!$A:$I,9,FALSE)))</f>
        <v>0.92500000000000004</v>
      </c>
      <c r="AP768" s="80">
        <f>IF(W768="","",IF(W768="SIM",VLOOKUP($I768&amp;$J768&amp;W$1,Pesos!$A:$I,7,FALSE),VLOOKUP($I768&amp;$J768&amp;W$1,Pesos!$A:$I,9,FALSE)))</f>
        <v>-4.4999999999999998E-2</v>
      </c>
      <c r="AQ768" s="80">
        <f>IF(X768="","",IF(X768="SIM",VLOOKUP($I768&amp;$J768&amp;X$1,Pesos!$A:$I,7,FALSE),VLOOKUP($I768&amp;$J768&amp;X$1,Pesos!$A:$I,9,FALSE)))</f>
        <v>0.95</v>
      </c>
      <c r="AR768" s="80" t="str">
        <f>IF(Y768="","",IF(Y768="SIM",VLOOKUP($I768&amp;$J768&amp;Y$1,Pesos!$A:$I,7,FALSE),VLOOKUP($I768&amp;$J768&amp;Y$1,Pesos!$A:$I,9,FALSE)))</f>
        <v/>
      </c>
      <c r="AS768" s="81">
        <f>IFERROR(Z768*VLOOKUP(J768,'BD Campos'!$Y$1:$Z$12,2,FALSE),"0")</f>
        <v>9.0549999999999997</v>
      </c>
    </row>
    <row r="769" spans="1:45" x14ac:dyDescent="0.35">
      <c r="A769" s="68" t="str">
        <f t="shared" si="107"/>
        <v>Fev202511178ReceptivaTRANSFERÊNCIA</v>
      </c>
      <c r="B769" s="114" t="str">
        <f t="shared" si="108"/>
        <v>Fev2025111785TRANSFERÊNCIAPADRÃO</v>
      </c>
      <c r="C769" s="70">
        <v>1</v>
      </c>
      <c r="D769" s="71">
        <v>45713.684841782408</v>
      </c>
      <c r="E769" s="112" t="s">
        <v>338</v>
      </c>
      <c r="F769" s="72">
        <v>11178</v>
      </c>
      <c r="G769" s="69" t="s">
        <v>1393</v>
      </c>
      <c r="H769" s="73">
        <v>5</v>
      </c>
      <c r="I769" s="69" t="s">
        <v>6</v>
      </c>
      <c r="J769" s="69" t="s">
        <v>98</v>
      </c>
      <c r="K769" s="69" t="s">
        <v>106</v>
      </c>
      <c r="L769" s="74"/>
      <c r="M769" s="75">
        <v>1.1342592592592591E-3</v>
      </c>
      <c r="N769" s="76" t="s">
        <v>79</v>
      </c>
      <c r="O769" s="76" t="s">
        <v>79</v>
      </c>
      <c r="P769" s="76" t="s">
        <v>79</v>
      </c>
      <c r="Q769" s="76" t="s">
        <v>79</v>
      </c>
      <c r="R769" s="76" t="s">
        <v>79</v>
      </c>
      <c r="S769" s="76" t="s">
        <v>79</v>
      </c>
      <c r="T769" s="76" t="s">
        <v>79</v>
      </c>
      <c r="U769" s="76" t="s">
        <v>79</v>
      </c>
      <c r="V769" s="76" t="s">
        <v>79</v>
      </c>
      <c r="W769" s="76" t="s">
        <v>79</v>
      </c>
      <c r="X769" s="76" t="s">
        <v>79</v>
      </c>
      <c r="Y769" s="76" t="s">
        <v>79</v>
      </c>
      <c r="Z769" s="77">
        <f>SUM(AL769:AR769)</f>
        <v>10</v>
      </c>
      <c r="AA769" s="78"/>
      <c r="AB769" s="78"/>
      <c r="AC769" s="72" t="s">
        <v>47</v>
      </c>
      <c r="AE769" s="79" t="str">
        <f>E769&amp;F769</f>
        <v>Fev11178</v>
      </c>
      <c r="AF769" s="80">
        <f>IF(N769="","",IF(N769="SIM",VLOOKUP($I769&amp;$J769&amp;N$1,Pesos!$A:$I,7,FALSE),VLOOKUP($I769&amp;$J769&amp;N$1,Pesos!$A:$I,9,FALSE)))</f>
        <v>0.8</v>
      </c>
      <c r="AG769" s="80">
        <f>IF(O769="","",IF(O769="SIM",VLOOKUP($I769&amp;$J769&amp;O$1,Pesos!$A:$I,7,FALSE),VLOOKUP($I769&amp;$J769&amp;O$1,Pesos!$A:$I,9,FALSE)))</f>
        <v>0.8</v>
      </c>
      <c r="AH769" s="80">
        <f>IF(P769="","",IF(P769="SIM",VLOOKUP($I769&amp;$J769&amp;P$1,Pesos!$A:$I,7,FALSE),VLOOKUP($I769&amp;$J769&amp;P$1,Pesos!$A:$I,9,FALSE)))</f>
        <v>1.2</v>
      </c>
      <c r="AI769" s="80">
        <f>IF(Q769="","",IF(Q769="SIM",VLOOKUP($I769&amp;$J769&amp;Q$1,Pesos!$A:$I,7,FALSE),VLOOKUP($I769&amp;$J769&amp;Q$1,Pesos!$A:$I,9,FALSE)))</f>
        <v>0.8</v>
      </c>
      <c r="AJ769" s="80">
        <f>IF(R769="","",IF(R769="SIM",VLOOKUP($I769&amp;$J769&amp;R$1,Pesos!$A:$I,7,FALSE),VLOOKUP($I769&amp;$J769&amp;R$1,Pesos!$A:$I,9,FALSE)))</f>
        <v>0.8</v>
      </c>
      <c r="AK769" s="80">
        <f>IF(S769="","",IF(S769="SIM",VLOOKUP($I769&amp;$J769&amp;S$1,Pesos!$A:$I,7,FALSE),VLOOKUP($I769&amp;$J769&amp;S$1,Pesos!$A:$I,9,FALSE)))</f>
        <v>0.8</v>
      </c>
      <c r="AL769" s="80">
        <f>SUM(AF769:AK769)</f>
        <v>5.1999999999999993</v>
      </c>
      <c r="AM769" s="80">
        <f>IF(T769="","",IF(T769="SIM",VLOOKUP($I769&amp;$J769&amp;T$1,Pesos!$A:$I,7,FALSE),VLOOKUP($I769&amp;$J769&amp;T$1,Pesos!$A:$I,9,FALSE)))</f>
        <v>0.8</v>
      </c>
      <c r="AN769" s="80">
        <f>IF(U769="","",IF(U769="SIM",VLOOKUP($I769&amp;$J769&amp;U$1,Pesos!$A:$I,7,FALSE),VLOOKUP($I769&amp;$J769&amp;U$1,Pesos!$A:$I,9,FALSE)))</f>
        <v>0.8</v>
      </c>
      <c r="AO769" s="80">
        <f>IF(V769="","",IF(V769="SIM",VLOOKUP($I769&amp;$J769&amp;V$1,Pesos!$A:$I,7,FALSE),VLOOKUP($I769&amp;$J769&amp;V$1,Pesos!$A:$I,9,FALSE)))</f>
        <v>0.8</v>
      </c>
      <c r="AP769" s="80">
        <f>IF(W769="","",IF(W769="SIM",VLOOKUP($I769&amp;$J769&amp;W$1,Pesos!$A:$I,7,FALSE),VLOOKUP($I769&amp;$J769&amp;W$1,Pesos!$A:$I,9,FALSE)))</f>
        <v>0.8</v>
      </c>
      <c r="AQ769" s="80">
        <f>IF(X769="","",IF(X769="SIM",VLOOKUP($I769&amp;$J769&amp;X$1,Pesos!$A:$I,7,FALSE),VLOOKUP($I769&amp;$J769&amp;X$1,Pesos!$A:$I,9,FALSE)))</f>
        <v>0.8</v>
      </c>
      <c r="AR769" s="80">
        <f>IF(Y769="","",IF(Y769="SIM",VLOOKUP($I769&amp;$J769&amp;Y$1,Pesos!$A:$I,7,FALSE),VLOOKUP($I769&amp;$J769&amp;Y$1,Pesos!$A:$I,9,FALSE)))</f>
        <v>0.8</v>
      </c>
      <c r="AS769" s="81">
        <f>IFERROR(Z769*VLOOKUP(J769,'BD Campos'!$Y$1:$Z$12,2,FALSE),"0")</f>
        <v>10</v>
      </c>
    </row>
    <row r="1010346" customFormat="1" ht="15.75" customHeight="1" x14ac:dyDescent="0.35"/>
  </sheetData>
  <autoFilter ref="A1:AT769" xr:uid="{88CA8934-35BE-4921-9BAF-12F43905C8CF}"/>
  <pageMargins left="0.511811024" right="0.511811024" top="0.78740157499999996" bottom="0.78740157499999996" header="0.31496062000000002" footer="0.31496062000000002"/>
  <pageSetup paperSize="9" orientation="portrait" horizontalDpi="300" verticalDpi="30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3">
    <tabColor theme="1"/>
  </sheetPr>
  <dimension ref="A1:AH1084"/>
  <sheetViews>
    <sheetView showZeros="0" workbookViewId="0">
      <pane ySplit="1" topLeftCell="A1069" activePane="bottomLeft" state="frozen"/>
      <selection activeCell="E14" sqref="E14"/>
      <selection pane="bottomLeft" activeCell="B1077" sqref="B1077:B1084"/>
    </sheetView>
  </sheetViews>
  <sheetFormatPr defaultRowHeight="14.5" x14ac:dyDescent="0.35"/>
  <cols>
    <col min="1" max="1" width="10.1796875" style="14" bestFit="1" customWidth="1"/>
    <col min="2" max="2" width="52.1796875" style="4" bestFit="1" customWidth="1"/>
    <col min="3" max="3" width="19.1796875" bestFit="1" customWidth="1"/>
    <col min="4" max="4" width="11.1796875" bestFit="1" customWidth="1"/>
    <col min="5" max="5" width="15.1796875" style="3" bestFit="1" customWidth="1"/>
    <col min="6" max="6" width="11.81640625" style="3" bestFit="1" customWidth="1"/>
    <col min="7" max="7" width="13.453125" style="3" bestFit="1" customWidth="1"/>
    <col min="8" max="8" width="30.453125" bestFit="1" customWidth="1"/>
    <col min="9" max="9" width="3" bestFit="1" customWidth="1"/>
    <col min="10" max="10" width="1.81640625" customWidth="1"/>
    <col min="11" max="11" width="21.54296875" bestFit="1" customWidth="1"/>
    <col min="12" max="12" width="1.81640625" customWidth="1"/>
    <col min="13" max="13" width="8.81640625" bestFit="1" customWidth="1"/>
    <col min="14" max="14" width="5" style="3" bestFit="1" customWidth="1"/>
    <col min="15" max="15" width="1.81640625" customWidth="1"/>
    <col min="16" max="16" width="16.54296875" bestFit="1" customWidth="1"/>
    <col min="17" max="17" width="1.81640625" customWidth="1"/>
    <col min="18" max="18" width="18.81640625" style="3" bestFit="1" customWidth="1"/>
    <col min="19" max="19" width="1.81640625" customWidth="1"/>
    <col min="20" max="20" width="22.453125" bestFit="1" customWidth="1"/>
    <col min="21" max="21" width="1.81640625" customWidth="1"/>
    <col min="22" max="22" width="7.81640625" style="3" bestFit="1" customWidth="1"/>
    <col min="23" max="23" width="5.54296875" style="3" bestFit="1" customWidth="1"/>
    <col min="24" max="24" width="1.81640625" customWidth="1"/>
    <col min="25" max="25" width="21.54296875" bestFit="1" customWidth="1"/>
    <col min="26" max="26" width="6.54296875" bestFit="1" customWidth="1"/>
    <col min="27" max="27" width="1.81640625" customWidth="1"/>
    <col min="28" max="28" width="36" bestFit="1" customWidth="1"/>
    <col min="30" max="30" width="3" bestFit="1" customWidth="1"/>
    <col min="31" max="31" width="2.81640625" bestFit="1" customWidth="1"/>
    <col min="33" max="33" width="15.81640625" bestFit="1" customWidth="1"/>
    <col min="34" max="34" width="15" bestFit="1" customWidth="1"/>
  </cols>
  <sheetData>
    <row r="1" spans="1:34" s="18" customFormat="1" ht="26.25" customHeight="1" x14ac:dyDescent="0.35">
      <c r="A1" s="31" t="s">
        <v>458</v>
      </c>
      <c r="B1" s="32" t="s">
        <v>459</v>
      </c>
      <c r="C1" s="31" t="s">
        <v>460</v>
      </c>
      <c r="D1" s="31" t="s">
        <v>461</v>
      </c>
      <c r="E1" s="33" t="s">
        <v>462</v>
      </c>
      <c r="F1" s="34" t="s">
        <v>463</v>
      </c>
      <c r="G1" s="35" t="s">
        <v>464</v>
      </c>
      <c r="H1" s="20" t="s">
        <v>465</v>
      </c>
      <c r="I1" s="16" t="s">
        <v>32</v>
      </c>
      <c r="J1" s="16"/>
      <c r="K1" s="16" t="s">
        <v>466</v>
      </c>
      <c r="L1" s="16"/>
      <c r="M1" s="16" t="s">
        <v>51</v>
      </c>
      <c r="N1" s="16" t="s">
        <v>467</v>
      </c>
      <c r="O1" s="16"/>
      <c r="P1" s="16" t="s">
        <v>468</v>
      </c>
      <c r="Q1" s="16"/>
      <c r="R1" s="16" t="s">
        <v>469</v>
      </c>
      <c r="S1" s="16"/>
      <c r="T1" s="16" t="s">
        <v>470</v>
      </c>
      <c r="U1" s="16"/>
      <c r="V1" s="16" t="s">
        <v>471</v>
      </c>
      <c r="W1" s="16" t="s">
        <v>472</v>
      </c>
      <c r="X1" s="16"/>
      <c r="Y1" s="16" t="s">
        <v>473</v>
      </c>
      <c r="Z1" s="16" t="s">
        <v>472</v>
      </c>
      <c r="AA1" s="16"/>
      <c r="AB1" s="16" t="s">
        <v>1656</v>
      </c>
      <c r="AC1" s="16"/>
      <c r="AD1" s="16">
        <v>1</v>
      </c>
      <c r="AE1" s="16" t="s">
        <v>474</v>
      </c>
      <c r="AF1" s="17"/>
      <c r="AG1" s="16" t="s">
        <v>11</v>
      </c>
    </row>
    <row r="2" spans="1:34" ht="15" customHeight="1" x14ac:dyDescent="0.35">
      <c r="A2" s="13">
        <v>87</v>
      </c>
      <c r="B2" s="1" t="s">
        <v>475</v>
      </c>
      <c r="C2" s="27"/>
      <c r="D2" s="15"/>
      <c r="E2" s="22">
        <v>43283</v>
      </c>
      <c r="F2" s="11" t="s">
        <v>476</v>
      </c>
      <c r="G2" s="11" t="s">
        <v>477</v>
      </c>
      <c r="H2" t="s">
        <v>308</v>
      </c>
      <c r="I2">
        <v>0</v>
      </c>
      <c r="K2" t="s">
        <v>124</v>
      </c>
      <c r="M2" t="s">
        <v>74</v>
      </c>
      <c r="N2" s="3">
        <v>2020</v>
      </c>
      <c r="P2" t="s">
        <v>1655</v>
      </c>
      <c r="R2" s="3" t="s">
        <v>478</v>
      </c>
      <c r="T2" s="3" t="s">
        <v>478</v>
      </c>
      <c r="V2" s="3" t="s">
        <v>479</v>
      </c>
      <c r="W2" s="10">
        <v>0.25</v>
      </c>
      <c r="Y2" s="4" t="s">
        <v>122</v>
      </c>
      <c r="Z2" s="5">
        <v>1</v>
      </c>
      <c r="AB2" s="1" t="s">
        <v>1620</v>
      </c>
      <c r="AD2">
        <v>2</v>
      </c>
      <c r="AE2" t="s">
        <v>481</v>
      </c>
      <c r="AG2" t="s">
        <v>303</v>
      </c>
      <c r="AH2" t="s">
        <v>47</v>
      </c>
    </row>
    <row r="3" spans="1:34" x14ac:dyDescent="0.35">
      <c r="A3" s="13">
        <v>469</v>
      </c>
      <c r="B3" s="1" t="s">
        <v>482</v>
      </c>
      <c r="C3" s="15" t="s">
        <v>483</v>
      </c>
      <c r="D3" s="15" t="s">
        <v>484</v>
      </c>
      <c r="E3" s="22">
        <v>39513</v>
      </c>
      <c r="F3" s="11" t="s">
        <v>485</v>
      </c>
      <c r="G3" s="11" t="s">
        <v>19</v>
      </c>
      <c r="H3" t="s">
        <v>147</v>
      </c>
      <c r="I3">
        <v>0</v>
      </c>
      <c r="K3" t="s">
        <v>185</v>
      </c>
      <c r="M3" t="s">
        <v>338</v>
      </c>
      <c r="N3" s="3">
        <v>2021</v>
      </c>
      <c r="P3" t="s">
        <v>48</v>
      </c>
      <c r="R3" s="3" t="s">
        <v>79</v>
      </c>
      <c r="V3" s="3" t="s">
        <v>486</v>
      </c>
      <c r="W3" s="10">
        <v>1</v>
      </c>
      <c r="Y3" s="4" t="s">
        <v>204</v>
      </c>
      <c r="Z3" s="5">
        <v>1</v>
      </c>
      <c r="AB3" s="1" t="s">
        <v>1641</v>
      </c>
      <c r="AD3">
        <v>3</v>
      </c>
      <c r="AE3" t="s">
        <v>487</v>
      </c>
      <c r="AG3" t="s">
        <v>23</v>
      </c>
      <c r="AH3" t="s">
        <v>488</v>
      </c>
    </row>
    <row r="4" spans="1:34" ht="15" customHeight="1" x14ac:dyDescent="0.35">
      <c r="A4" s="21">
        <v>606</v>
      </c>
      <c r="B4" s="1" t="s">
        <v>489</v>
      </c>
      <c r="C4" s="15" t="s">
        <v>490</v>
      </c>
      <c r="D4" s="15" t="s">
        <v>491</v>
      </c>
      <c r="E4" s="22">
        <v>40120</v>
      </c>
      <c r="F4" s="11" t="s">
        <v>476</v>
      </c>
      <c r="G4" s="11" t="s">
        <v>19</v>
      </c>
      <c r="H4" t="s">
        <v>121</v>
      </c>
      <c r="I4">
        <v>0</v>
      </c>
      <c r="K4" t="s">
        <v>122</v>
      </c>
      <c r="M4" t="s">
        <v>374</v>
      </c>
      <c r="N4" s="3">
        <v>2022</v>
      </c>
      <c r="R4" s="3" t="s">
        <v>83</v>
      </c>
      <c r="Y4" s="4" t="s">
        <v>124</v>
      </c>
      <c r="Z4" s="5">
        <v>1</v>
      </c>
      <c r="AB4" s="1" t="s">
        <v>1657</v>
      </c>
      <c r="AD4">
        <v>4</v>
      </c>
      <c r="AE4" t="s">
        <v>493</v>
      </c>
      <c r="AG4" t="s">
        <v>184</v>
      </c>
      <c r="AH4" t="s">
        <v>494</v>
      </c>
    </row>
    <row r="5" spans="1:34" x14ac:dyDescent="0.35">
      <c r="A5" s="13">
        <v>635</v>
      </c>
      <c r="B5" s="1" t="s">
        <v>279</v>
      </c>
      <c r="C5" s="15" t="s">
        <v>495</v>
      </c>
      <c r="D5" s="15" t="s">
        <v>496</v>
      </c>
      <c r="E5" s="22">
        <v>40252</v>
      </c>
      <c r="F5" s="11" t="s">
        <v>485</v>
      </c>
      <c r="G5" s="11" t="s">
        <v>19</v>
      </c>
      <c r="H5" t="s">
        <v>123</v>
      </c>
      <c r="I5">
        <v>1</v>
      </c>
      <c r="K5" t="s">
        <v>204</v>
      </c>
      <c r="M5" t="s">
        <v>391</v>
      </c>
      <c r="N5" s="3">
        <v>2023</v>
      </c>
      <c r="T5" t="s">
        <v>497</v>
      </c>
      <c r="Y5" s="4" t="s">
        <v>185</v>
      </c>
      <c r="Z5" s="5">
        <v>1</v>
      </c>
      <c r="AB5" s="1" t="s">
        <v>1616</v>
      </c>
      <c r="AD5">
        <v>5</v>
      </c>
      <c r="AE5" t="s">
        <v>499</v>
      </c>
      <c r="AG5" t="s">
        <v>106</v>
      </c>
      <c r="AH5" t="s">
        <v>500</v>
      </c>
    </row>
    <row r="6" spans="1:34" ht="15" customHeight="1" x14ac:dyDescent="0.35">
      <c r="A6" s="14">
        <v>652</v>
      </c>
      <c r="B6" s="4" t="s">
        <v>501</v>
      </c>
      <c r="C6" t="s">
        <v>502</v>
      </c>
      <c r="D6" t="s">
        <v>503</v>
      </c>
      <c r="E6" s="22">
        <v>40336</v>
      </c>
      <c r="F6" s="11" t="s">
        <v>476</v>
      </c>
      <c r="G6" s="11" t="s">
        <v>477</v>
      </c>
      <c r="H6" t="s">
        <v>126</v>
      </c>
      <c r="I6">
        <v>2</v>
      </c>
      <c r="K6" t="s">
        <v>125</v>
      </c>
      <c r="M6" t="s">
        <v>399</v>
      </c>
      <c r="N6" s="3">
        <v>2024</v>
      </c>
      <c r="Y6" s="4" t="s">
        <v>125</v>
      </c>
      <c r="Z6" s="5">
        <v>1</v>
      </c>
      <c r="AB6" s="1" t="s">
        <v>1414</v>
      </c>
      <c r="AD6">
        <v>6</v>
      </c>
      <c r="AE6" t="s">
        <v>505</v>
      </c>
      <c r="AG6" t="s">
        <v>78</v>
      </c>
    </row>
    <row r="7" spans="1:34" ht="15" customHeight="1" x14ac:dyDescent="0.35">
      <c r="A7" s="13">
        <v>807</v>
      </c>
      <c r="B7" s="1" t="s">
        <v>506</v>
      </c>
      <c r="C7" s="15" t="s">
        <v>507</v>
      </c>
      <c r="D7" s="15" t="s">
        <v>496</v>
      </c>
      <c r="E7" s="22">
        <v>40770</v>
      </c>
      <c r="F7" s="11" t="s">
        <v>485</v>
      </c>
      <c r="G7" s="11" t="s">
        <v>477</v>
      </c>
      <c r="H7" t="s">
        <v>6</v>
      </c>
      <c r="I7">
        <v>3</v>
      </c>
      <c r="K7" s="4" t="s">
        <v>508</v>
      </c>
      <c r="M7" t="s">
        <v>403</v>
      </c>
      <c r="N7" s="3">
        <v>2025</v>
      </c>
      <c r="Y7" s="4" t="s">
        <v>146</v>
      </c>
      <c r="Z7" s="5">
        <v>1</v>
      </c>
      <c r="AB7" s="1" t="s">
        <v>1427</v>
      </c>
      <c r="AD7">
        <v>7</v>
      </c>
      <c r="AE7" t="s">
        <v>510</v>
      </c>
      <c r="AG7" t="s">
        <v>99</v>
      </c>
    </row>
    <row r="8" spans="1:34" ht="15" customHeight="1" x14ac:dyDescent="0.35">
      <c r="A8" s="14">
        <v>819</v>
      </c>
      <c r="B8" s="4" t="s">
        <v>511</v>
      </c>
      <c r="C8" t="s">
        <v>512</v>
      </c>
      <c r="D8" t="s">
        <v>503</v>
      </c>
      <c r="E8" s="22">
        <v>40791</v>
      </c>
      <c r="F8" s="11" t="s">
        <v>476</v>
      </c>
      <c r="G8" s="11" t="s">
        <v>19</v>
      </c>
      <c r="H8" t="s">
        <v>302</v>
      </c>
      <c r="I8">
        <v>4</v>
      </c>
      <c r="K8" t="s">
        <v>146</v>
      </c>
      <c r="M8" t="s">
        <v>412</v>
      </c>
      <c r="Y8" s="4" t="s">
        <v>513</v>
      </c>
      <c r="Z8" s="5">
        <v>1</v>
      </c>
      <c r="AB8" s="1" t="s">
        <v>1658</v>
      </c>
      <c r="AD8">
        <v>8</v>
      </c>
      <c r="AE8" t="s">
        <v>515</v>
      </c>
      <c r="AG8" t="s">
        <v>131</v>
      </c>
    </row>
    <row r="9" spans="1:34" x14ac:dyDescent="0.35">
      <c r="A9" s="13">
        <v>829</v>
      </c>
      <c r="B9" s="1" t="s">
        <v>516</v>
      </c>
      <c r="C9" s="15" t="s">
        <v>490</v>
      </c>
      <c r="D9" s="15" t="s">
        <v>491</v>
      </c>
      <c r="E9" s="22">
        <v>40805</v>
      </c>
      <c r="F9" s="11" t="s">
        <v>476</v>
      </c>
      <c r="G9" s="11" t="s">
        <v>19</v>
      </c>
      <c r="H9" t="s">
        <v>97</v>
      </c>
      <c r="I9">
        <v>5</v>
      </c>
      <c r="K9" t="s">
        <v>304</v>
      </c>
      <c r="M9" t="s">
        <v>430</v>
      </c>
      <c r="Y9" s="4" t="s">
        <v>98</v>
      </c>
      <c r="Z9" s="5">
        <v>1</v>
      </c>
      <c r="AB9" s="1" t="s">
        <v>1467</v>
      </c>
      <c r="AD9">
        <v>9</v>
      </c>
      <c r="AE9" t="s">
        <v>517</v>
      </c>
      <c r="AG9" t="s">
        <v>278</v>
      </c>
    </row>
    <row r="10" spans="1:34" x14ac:dyDescent="0.35">
      <c r="A10" s="14">
        <v>849</v>
      </c>
      <c r="B10" s="4" t="s">
        <v>518</v>
      </c>
      <c r="C10" t="s">
        <v>512</v>
      </c>
      <c r="D10" t="s">
        <v>503</v>
      </c>
      <c r="E10" s="22">
        <v>40854</v>
      </c>
      <c r="F10" s="11" t="s">
        <v>476</v>
      </c>
      <c r="G10" s="11" t="s">
        <v>19</v>
      </c>
      <c r="H10" t="s">
        <v>76</v>
      </c>
      <c r="I10">
        <v>6</v>
      </c>
      <c r="K10" t="s">
        <v>98</v>
      </c>
      <c r="M10" t="s">
        <v>445</v>
      </c>
      <c r="Y10" s="4" t="s">
        <v>100</v>
      </c>
      <c r="Z10" s="5">
        <v>1</v>
      </c>
      <c r="AB10" s="1" t="s">
        <v>1659</v>
      </c>
      <c r="AD10">
        <v>10</v>
      </c>
      <c r="AE10" t="s">
        <v>478</v>
      </c>
      <c r="AG10" t="s">
        <v>1495</v>
      </c>
    </row>
    <row r="11" spans="1:34" x14ac:dyDescent="0.35">
      <c r="A11" s="14">
        <v>861</v>
      </c>
      <c r="B11" s="4" t="s">
        <v>519</v>
      </c>
      <c r="C11" s="15" t="s">
        <v>520</v>
      </c>
      <c r="D11" s="15" t="s">
        <v>480</v>
      </c>
      <c r="E11" s="22">
        <v>40870</v>
      </c>
      <c r="F11" s="11" t="s">
        <v>485</v>
      </c>
      <c r="G11" s="11" t="s">
        <v>477</v>
      </c>
      <c r="H11" t="s">
        <v>80</v>
      </c>
      <c r="I11">
        <v>7</v>
      </c>
      <c r="K11" t="s">
        <v>100</v>
      </c>
      <c r="M11" t="s">
        <v>37</v>
      </c>
      <c r="Y11" s="4" t="s">
        <v>521</v>
      </c>
      <c r="Z11" s="5">
        <v>1</v>
      </c>
      <c r="AB11" s="1" t="s">
        <v>1660</v>
      </c>
      <c r="AG11" t="s">
        <v>1767</v>
      </c>
    </row>
    <row r="12" spans="1:34" x14ac:dyDescent="0.35">
      <c r="A12" s="13">
        <v>934</v>
      </c>
      <c r="B12" s="1" t="s">
        <v>522</v>
      </c>
      <c r="C12" s="15" t="s">
        <v>523</v>
      </c>
      <c r="D12" s="15" t="s">
        <v>503</v>
      </c>
      <c r="E12" s="22">
        <v>41038</v>
      </c>
      <c r="F12" s="11" t="s">
        <v>485</v>
      </c>
      <c r="G12" s="11" t="s">
        <v>19</v>
      </c>
      <c r="H12" t="s">
        <v>206</v>
      </c>
      <c r="I12">
        <v>8</v>
      </c>
      <c r="K12" s="4" t="s">
        <v>353</v>
      </c>
      <c r="M12" t="s">
        <v>524</v>
      </c>
      <c r="Y12" s="4" t="s">
        <v>525</v>
      </c>
      <c r="Z12" s="5">
        <v>1</v>
      </c>
      <c r="AB12" s="1" t="s">
        <v>1516</v>
      </c>
    </row>
    <row r="13" spans="1:34" x14ac:dyDescent="0.35">
      <c r="A13" s="14">
        <v>962</v>
      </c>
      <c r="B13" s="4" t="s">
        <v>526</v>
      </c>
      <c r="C13" s="15" t="s">
        <v>495</v>
      </c>
      <c r="D13" s="15" t="s">
        <v>496</v>
      </c>
      <c r="E13" s="22">
        <v>41094</v>
      </c>
      <c r="F13" s="11" t="s">
        <v>476</v>
      </c>
      <c r="G13" s="11" t="s">
        <v>19</v>
      </c>
      <c r="H13" t="s">
        <v>406</v>
      </c>
      <c r="I13">
        <v>9</v>
      </c>
      <c r="K13" s="4" t="s">
        <v>530</v>
      </c>
      <c r="M13" t="s">
        <v>527</v>
      </c>
      <c r="Y13" s="4"/>
      <c r="Z13" s="5">
        <v>1</v>
      </c>
      <c r="AB13" s="1" t="s">
        <v>1630</v>
      </c>
    </row>
    <row r="14" spans="1:34" x14ac:dyDescent="0.35">
      <c r="A14" s="13">
        <v>967</v>
      </c>
      <c r="B14" s="1" t="s">
        <v>528</v>
      </c>
      <c r="C14" s="15" t="s">
        <v>507</v>
      </c>
      <c r="D14" s="15" t="s">
        <v>496</v>
      </c>
      <c r="E14" s="22">
        <v>41115</v>
      </c>
      <c r="F14" s="11" t="s">
        <v>476</v>
      </c>
      <c r="G14" s="11" t="s">
        <v>19</v>
      </c>
      <c r="H14" t="s">
        <v>200</v>
      </c>
      <c r="I14">
        <v>10</v>
      </c>
      <c r="AB14" s="1" t="s">
        <v>1777</v>
      </c>
    </row>
    <row r="15" spans="1:34" x14ac:dyDescent="0.35">
      <c r="A15" s="14">
        <v>993</v>
      </c>
      <c r="B15" s="4" t="s">
        <v>529</v>
      </c>
      <c r="C15" t="s">
        <v>512</v>
      </c>
      <c r="D15" t="s">
        <v>503</v>
      </c>
      <c r="E15" s="22">
        <v>41157</v>
      </c>
      <c r="F15" s="11" t="s">
        <v>476</v>
      </c>
      <c r="G15" s="11" t="s">
        <v>19</v>
      </c>
      <c r="H15" t="s">
        <v>203</v>
      </c>
      <c r="I15">
        <v>11</v>
      </c>
      <c r="AB15" s="1" t="s">
        <v>1661</v>
      </c>
    </row>
    <row r="16" spans="1:34" x14ac:dyDescent="0.35">
      <c r="A16" s="13">
        <v>999</v>
      </c>
      <c r="B16" s="1" t="s">
        <v>531</v>
      </c>
      <c r="C16" s="15" t="s">
        <v>532</v>
      </c>
      <c r="D16" s="15" t="s">
        <v>532</v>
      </c>
      <c r="E16" s="22">
        <v>43283</v>
      </c>
      <c r="F16" s="11" t="s">
        <v>476</v>
      </c>
      <c r="G16" s="11" t="s">
        <v>19</v>
      </c>
      <c r="H16" t="s">
        <v>386</v>
      </c>
      <c r="I16">
        <v>12</v>
      </c>
      <c r="AB16" s="1" t="s">
        <v>1651</v>
      </c>
    </row>
    <row r="17" spans="1:28" x14ac:dyDescent="0.35">
      <c r="A17" s="13">
        <v>1010</v>
      </c>
      <c r="B17" s="1" t="s">
        <v>533</v>
      </c>
      <c r="C17" s="15" t="s">
        <v>520</v>
      </c>
      <c r="D17" s="15" t="s">
        <v>480</v>
      </c>
      <c r="E17" s="22">
        <v>41185</v>
      </c>
      <c r="F17" s="11" t="s">
        <v>485</v>
      </c>
      <c r="G17" s="11" t="s">
        <v>19</v>
      </c>
      <c r="H17" t="s">
        <v>202</v>
      </c>
      <c r="I17">
        <v>13</v>
      </c>
      <c r="K17" s="4"/>
      <c r="AB17" s="1" t="s">
        <v>1622</v>
      </c>
    </row>
    <row r="18" spans="1:28" x14ac:dyDescent="0.35">
      <c r="A18" s="13">
        <v>1082</v>
      </c>
      <c r="B18" s="1" t="s">
        <v>534</v>
      </c>
      <c r="C18" s="15" t="s">
        <v>535</v>
      </c>
      <c r="D18" s="15" t="s">
        <v>480</v>
      </c>
      <c r="E18" s="22">
        <v>41339</v>
      </c>
      <c r="F18" s="11" t="s">
        <v>476</v>
      </c>
      <c r="G18" s="11" t="s">
        <v>19</v>
      </c>
      <c r="H18" t="s">
        <v>199</v>
      </c>
      <c r="I18">
        <v>14</v>
      </c>
      <c r="K18" s="4"/>
      <c r="AB18" s="1" t="s">
        <v>1662</v>
      </c>
    </row>
    <row r="19" spans="1:28" x14ac:dyDescent="0.35">
      <c r="A19" s="13">
        <v>1103</v>
      </c>
      <c r="B19" s="1" t="s">
        <v>536</v>
      </c>
      <c r="C19" s="15" t="s">
        <v>537</v>
      </c>
      <c r="D19" s="15" t="s">
        <v>491</v>
      </c>
      <c r="E19" s="22">
        <v>41353</v>
      </c>
      <c r="F19" s="11" t="s">
        <v>485</v>
      </c>
      <c r="G19" s="11" t="s">
        <v>477</v>
      </c>
      <c r="H19" t="s">
        <v>538</v>
      </c>
      <c r="I19">
        <v>15</v>
      </c>
      <c r="K19" s="4"/>
      <c r="AB19" s="1" t="s">
        <v>1663</v>
      </c>
    </row>
    <row r="20" spans="1:28" x14ac:dyDescent="0.35">
      <c r="A20" s="13">
        <v>1118</v>
      </c>
      <c r="B20" s="1" t="s">
        <v>539</v>
      </c>
      <c r="C20" s="15"/>
      <c r="D20" s="15"/>
      <c r="E20" s="22">
        <v>41386</v>
      </c>
      <c r="F20" s="11" t="s">
        <v>485</v>
      </c>
      <c r="G20" s="11" t="s">
        <v>477</v>
      </c>
      <c r="H20" t="s">
        <v>540</v>
      </c>
      <c r="I20">
        <v>16</v>
      </c>
      <c r="K20" s="4"/>
      <c r="AB20" s="1" t="s">
        <v>1671</v>
      </c>
    </row>
    <row r="21" spans="1:28" x14ac:dyDescent="0.35">
      <c r="A21" s="13">
        <v>1123</v>
      </c>
      <c r="B21" s="1" t="s">
        <v>541</v>
      </c>
      <c r="C21" s="15" t="s">
        <v>520</v>
      </c>
      <c r="D21" s="15" t="s">
        <v>480</v>
      </c>
      <c r="E21" s="22">
        <v>41400</v>
      </c>
      <c r="F21" s="11" t="s">
        <v>485</v>
      </c>
      <c r="G21" s="11" t="s">
        <v>19</v>
      </c>
      <c r="H21" t="s">
        <v>219</v>
      </c>
      <c r="I21">
        <v>17</v>
      </c>
      <c r="K21" s="4"/>
      <c r="AB21" s="1" t="s">
        <v>1684</v>
      </c>
    </row>
    <row r="22" spans="1:28" x14ac:dyDescent="0.35">
      <c r="A22" s="13">
        <v>1143</v>
      </c>
      <c r="B22" s="1" t="s">
        <v>542</v>
      </c>
      <c r="C22" s="15" t="s">
        <v>537</v>
      </c>
      <c r="D22" s="15" t="s">
        <v>491</v>
      </c>
      <c r="E22" s="22">
        <v>41430</v>
      </c>
      <c r="F22" s="11" t="s">
        <v>485</v>
      </c>
      <c r="G22" s="11" t="s">
        <v>477</v>
      </c>
      <c r="H22" t="s">
        <v>543</v>
      </c>
      <c r="I22">
        <v>18</v>
      </c>
      <c r="K22" s="4"/>
      <c r="AB22" s="1" t="s">
        <v>1693</v>
      </c>
    </row>
    <row r="23" spans="1:28" x14ac:dyDescent="0.35">
      <c r="A23" s="13">
        <v>1207</v>
      </c>
      <c r="B23" s="1" t="s">
        <v>544</v>
      </c>
      <c r="C23" s="15"/>
      <c r="D23" s="15"/>
      <c r="E23" s="22">
        <v>41529</v>
      </c>
      <c r="F23" s="11" t="s">
        <v>485</v>
      </c>
      <c r="G23" s="11" t="s">
        <v>477</v>
      </c>
      <c r="H23" s="15" t="s">
        <v>195</v>
      </c>
      <c r="I23">
        <v>19</v>
      </c>
      <c r="K23" s="4"/>
      <c r="AB23" s="1" t="s">
        <v>1725</v>
      </c>
    </row>
    <row r="24" spans="1:28" x14ac:dyDescent="0.35">
      <c r="A24" s="14">
        <v>1251</v>
      </c>
      <c r="B24" s="4" t="s">
        <v>545</v>
      </c>
      <c r="C24" s="15" t="s">
        <v>520</v>
      </c>
      <c r="D24" s="15" t="s">
        <v>480</v>
      </c>
      <c r="E24" s="22">
        <v>41598</v>
      </c>
      <c r="F24" s="11" t="s">
        <v>485</v>
      </c>
      <c r="G24" s="11" t="s">
        <v>477</v>
      </c>
      <c r="H24" t="s">
        <v>385</v>
      </c>
      <c r="I24">
        <v>20</v>
      </c>
      <c r="K24" s="4"/>
    </row>
    <row r="25" spans="1:28" x14ac:dyDescent="0.35">
      <c r="A25" s="13">
        <v>1272</v>
      </c>
      <c r="B25" s="1" t="s">
        <v>546</v>
      </c>
      <c r="C25" s="15" t="s">
        <v>547</v>
      </c>
      <c r="D25" s="15" t="s">
        <v>484</v>
      </c>
      <c r="E25" s="22">
        <v>41659</v>
      </c>
      <c r="F25" s="11" t="s">
        <v>485</v>
      </c>
      <c r="G25" s="11" t="s">
        <v>19</v>
      </c>
      <c r="H25" t="s">
        <v>183</v>
      </c>
      <c r="I25">
        <v>21</v>
      </c>
      <c r="K25" s="4"/>
    </row>
    <row r="26" spans="1:28" x14ac:dyDescent="0.35">
      <c r="A26" s="13">
        <v>1282</v>
      </c>
      <c r="B26" s="1" t="s">
        <v>548</v>
      </c>
      <c r="C26" s="15" t="s">
        <v>507</v>
      </c>
      <c r="D26" s="15" t="s">
        <v>496</v>
      </c>
      <c r="E26" s="22">
        <v>41662</v>
      </c>
      <c r="F26" s="11" t="s">
        <v>485</v>
      </c>
      <c r="G26" s="11" t="s">
        <v>19</v>
      </c>
      <c r="H26" t="s">
        <v>352</v>
      </c>
      <c r="I26">
        <v>22</v>
      </c>
    </row>
    <row r="27" spans="1:28" x14ac:dyDescent="0.35">
      <c r="A27" s="13">
        <v>1285</v>
      </c>
      <c r="B27" s="1" t="s">
        <v>549</v>
      </c>
      <c r="C27" s="15" t="s">
        <v>490</v>
      </c>
      <c r="D27" s="15" t="s">
        <v>491</v>
      </c>
      <c r="E27" s="22">
        <v>41675</v>
      </c>
      <c r="F27" s="11" t="s">
        <v>476</v>
      </c>
      <c r="G27" s="11" t="s">
        <v>19</v>
      </c>
      <c r="H27" t="s">
        <v>187</v>
      </c>
      <c r="I27">
        <v>23</v>
      </c>
    </row>
    <row r="28" spans="1:28" x14ac:dyDescent="0.35">
      <c r="A28" s="13">
        <v>1304</v>
      </c>
      <c r="B28" s="1" t="s">
        <v>550</v>
      </c>
      <c r="C28" s="15" t="s">
        <v>507</v>
      </c>
      <c r="D28" s="15" t="s">
        <v>496</v>
      </c>
      <c r="E28" s="22">
        <v>41708</v>
      </c>
      <c r="F28" s="11" t="s">
        <v>485</v>
      </c>
      <c r="G28" s="11" t="s">
        <v>19</v>
      </c>
      <c r="H28" t="s">
        <v>551</v>
      </c>
      <c r="I28">
        <v>24</v>
      </c>
    </row>
    <row r="29" spans="1:28" x14ac:dyDescent="0.35">
      <c r="A29" s="13">
        <v>1308</v>
      </c>
      <c r="B29" s="1" t="s">
        <v>262</v>
      </c>
      <c r="C29" s="15" t="s">
        <v>30</v>
      </c>
      <c r="D29" s="15" t="s">
        <v>498</v>
      </c>
      <c r="E29" s="22">
        <v>41715</v>
      </c>
      <c r="F29" s="11" t="s">
        <v>476</v>
      </c>
      <c r="G29" s="11" t="s">
        <v>19</v>
      </c>
      <c r="H29" t="s">
        <v>397</v>
      </c>
      <c r="I29">
        <v>25</v>
      </c>
    </row>
    <row r="30" spans="1:28" x14ac:dyDescent="0.35">
      <c r="A30" s="13">
        <v>1397</v>
      </c>
      <c r="B30" s="1" t="s">
        <v>552</v>
      </c>
      <c r="C30" s="15" t="s">
        <v>520</v>
      </c>
      <c r="D30" s="15" t="s">
        <v>480</v>
      </c>
      <c r="E30" s="22">
        <v>41731</v>
      </c>
      <c r="F30" s="11" t="s">
        <v>485</v>
      </c>
      <c r="G30" s="11" t="s">
        <v>477</v>
      </c>
      <c r="H30" t="s">
        <v>398</v>
      </c>
      <c r="I30">
        <v>26</v>
      </c>
      <c r="K30" s="4"/>
    </row>
    <row r="31" spans="1:28" x14ac:dyDescent="0.35">
      <c r="A31" s="13">
        <v>1400</v>
      </c>
      <c r="B31" s="9" t="s">
        <v>553</v>
      </c>
      <c r="C31" s="15"/>
      <c r="D31" s="15"/>
      <c r="E31" s="22">
        <v>41731</v>
      </c>
      <c r="F31" s="11" t="s">
        <v>485</v>
      </c>
      <c r="G31" s="11" t="s">
        <v>477</v>
      </c>
      <c r="H31" t="s">
        <v>411</v>
      </c>
      <c r="I31">
        <v>27</v>
      </c>
      <c r="K31" s="4"/>
    </row>
    <row r="32" spans="1:28" x14ac:dyDescent="0.35">
      <c r="A32" s="13">
        <v>1403</v>
      </c>
      <c r="B32" s="9" t="s">
        <v>554</v>
      </c>
      <c r="C32" s="15"/>
      <c r="D32" s="15"/>
      <c r="E32" s="22">
        <v>41743</v>
      </c>
      <c r="F32" s="11" t="s">
        <v>485</v>
      </c>
      <c r="G32" s="11" t="s">
        <v>477</v>
      </c>
      <c r="H32" t="s">
        <v>1369</v>
      </c>
      <c r="I32">
        <v>28</v>
      </c>
      <c r="K32" s="4"/>
    </row>
    <row r="33" spans="1:11" x14ac:dyDescent="0.35">
      <c r="A33" s="14">
        <v>1438</v>
      </c>
      <c r="B33" s="1" t="s">
        <v>555</v>
      </c>
      <c r="C33" s="15" t="s">
        <v>556</v>
      </c>
      <c r="D33" s="15" t="s">
        <v>557</v>
      </c>
      <c r="E33" s="22">
        <v>41876</v>
      </c>
      <c r="F33" s="11" t="s">
        <v>485</v>
      </c>
      <c r="G33" s="11" t="s">
        <v>19</v>
      </c>
      <c r="H33" t="s">
        <v>1373</v>
      </c>
      <c r="I33">
        <v>29</v>
      </c>
      <c r="K33" s="4"/>
    </row>
    <row r="34" spans="1:11" x14ac:dyDescent="0.35">
      <c r="A34" s="14">
        <v>1489</v>
      </c>
      <c r="B34" s="4" t="s">
        <v>337</v>
      </c>
      <c r="C34" t="s">
        <v>523</v>
      </c>
      <c r="D34" t="s">
        <v>503</v>
      </c>
      <c r="E34" s="22">
        <v>42054</v>
      </c>
      <c r="F34" s="11" t="s">
        <v>485</v>
      </c>
      <c r="G34" s="11" t="s">
        <v>19</v>
      </c>
      <c r="H34" t="s">
        <v>1769</v>
      </c>
      <c r="K34" s="4"/>
    </row>
    <row r="35" spans="1:11" x14ac:dyDescent="0.35">
      <c r="A35" s="14">
        <v>1512</v>
      </c>
      <c r="B35" s="4" t="s">
        <v>310</v>
      </c>
      <c r="C35" t="s">
        <v>512</v>
      </c>
      <c r="D35" t="s">
        <v>503</v>
      </c>
      <c r="E35" s="22">
        <v>42095</v>
      </c>
      <c r="F35" s="11" t="s">
        <v>476</v>
      </c>
      <c r="G35" s="11" t="s">
        <v>19</v>
      </c>
      <c r="H35" t="s">
        <v>1789</v>
      </c>
      <c r="K35" s="4"/>
    </row>
    <row r="36" spans="1:11" x14ac:dyDescent="0.35">
      <c r="A36" s="14">
        <v>1513</v>
      </c>
      <c r="B36" s="1" t="s">
        <v>558</v>
      </c>
      <c r="C36" s="15" t="s">
        <v>559</v>
      </c>
      <c r="D36" s="15" t="s">
        <v>557</v>
      </c>
      <c r="E36" s="22">
        <v>42095</v>
      </c>
      <c r="F36" s="11" t="s">
        <v>485</v>
      </c>
      <c r="G36" s="11" t="s">
        <v>19</v>
      </c>
      <c r="H36" t="s">
        <v>1790</v>
      </c>
      <c r="K36" s="4"/>
    </row>
    <row r="37" spans="1:11" x14ac:dyDescent="0.35">
      <c r="A37" s="13">
        <v>1535</v>
      </c>
      <c r="B37" s="9" t="s">
        <v>560</v>
      </c>
      <c r="C37" s="15"/>
      <c r="D37" s="15"/>
      <c r="E37" s="22">
        <v>42145</v>
      </c>
      <c r="F37" s="11" t="s">
        <v>485</v>
      </c>
      <c r="G37" s="11" t="s">
        <v>477</v>
      </c>
      <c r="H37" t="s">
        <v>1801</v>
      </c>
      <c r="K37" s="4"/>
    </row>
    <row r="38" spans="1:11" x14ac:dyDescent="0.35">
      <c r="A38" s="13">
        <v>1543</v>
      </c>
      <c r="B38" s="1" t="s">
        <v>561</v>
      </c>
      <c r="C38" s="15" t="s">
        <v>562</v>
      </c>
      <c r="D38" s="15" t="s">
        <v>492</v>
      </c>
      <c r="E38" s="22">
        <v>42177</v>
      </c>
      <c r="F38" s="11" t="s">
        <v>476</v>
      </c>
      <c r="G38" s="11" t="s">
        <v>19</v>
      </c>
      <c r="K38" s="4"/>
    </row>
    <row r="39" spans="1:11" x14ac:dyDescent="0.35">
      <c r="A39" s="13">
        <v>1584</v>
      </c>
      <c r="B39" s="1" t="s">
        <v>563</v>
      </c>
      <c r="C39" s="15"/>
      <c r="D39" s="15"/>
      <c r="E39" s="22">
        <v>42248</v>
      </c>
      <c r="F39" s="11" t="s">
        <v>485</v>
      </c>
      <c r="G39" s="11" t="s">
        <v>477</v>
      </c>
      <c r="K39" s="4"/>
    </row>
    <row r="40" spans="1:11" x14ac:dyDescent="0.35">
      <c r="A40" s="14">
        <v>1586</v>
      </c>
      <c r="B40" s="4" t="s">
        <v>564</v>
      </c>
      <c r="C40" t="s">
        <v>502</v>
      </c>
      <c r="D40" t="s">
        <v>503</v>
      </c>
      <c r="E40" s="22">
        <v>42248</v>
      </c>
      <c r="F40" s="11" t="s">
        <v>476</v>
      </c>
      <c r="G40" s="11" t="s">
        <v>19</v>
      </c>
    </row>
    <row r="41" spans="1:11" x14ac:dyDescent="0.35">
      <c r="A41" s="13">
        <v>1591</v>
      </c>
      <c r="B41" s="1" t="s">
        <v>565</v>
      </c>
      <c r="C41" s="15" t="s">
        <v>535</v>
      </c>
      <c r="D41" s="15" t="s">
        <v>480</v>
      </c>
      <c r="E41" s="22">
        <v>42257</v>
      </c>
      <c r="F41" s="11" t="s">
        <v>476</v>
      </c>
      <c r="G41" s="11" t="s">
        <v>477</v>
      </c>
      <c r="K41" s="4"/>
    </row>
    <row r="42" spans="1:11" x14ac:dyDescent="0.35">
      <c r="A42" s="13">
        <v>1605</v>
      </c>
      <c r="B42" s="1" t="s">
        <v>566</v>
      </c>
      <c r="C42" s="15"/>
      <c r="D42" s="15"/>
      <c r="E42" s="22">
        <v>42278</v>
      </c>
      <c r="F42" s="11" t="s">
        <v>476</v>
      </c>
      <c r="G42" s="11" t="s">
        <v>477</v>
      </c>
      <c r="K42" s="4"/>
    </row>
    <row r="43" spans="1:11" x14ac:dyDescent="0.35">
      <c r="A43" s="13">
        <v>1607</v>
      </c>
      <c r="B43" s="1" t="s">
        <v>567</v>
      </c>
      <c r="C43" s="15" t="s">
        <v>520</v>
      </c>
      <c r="D43" s="15" t="s">
        <v>480</v>
      </c>
      <c r="E43" s="22">
        <v>42278</v>
      </c>
      <c r="F43" s="11" t="s">
        <v>476</v>
      </c>
      <c r="G43" s="11" t="s">
        <v>19</v>
      </c>
      <c r="K43" s="4"/>
    </row>
    <row r="44" spans="1:11" x14ac:dyDescent="0.35">
      <c r="A44" s="13">
        <v>1610</v>
      </c>
      <c r="B44" s="1" t="s">
        <v>568</v>
      </c>
      <c r="C44" s="15"/>
      <c r="D44" s="15"/>
      <c r="E44" s="22">
        <v>42278</v>
      </c>
      <c r="F44" s="11" t="s">
        <v>476</v>
      </c>
      <c r="G44" s="11" t="s">
        <v>477</v>
      </c>
      <c r="K44" s="4"/>
    </row>
    <row r="45" spans="1:11" x14ac:dyDescent="0.35">
      <c r="A45" s="13">
        <v>1622</v>
      </c>
      <c r="B45" s="1" t="s">
        <v>284</v>
      </c>
      <c r="C45" s="15" t="s">
        <v>520</v>
      </c>
      <c r="D45" s="15" t="s">
        <v>480</v>
      </c>
      <c r="E45" s="22">
        <v>42317</v>
      </c>
      <c r="F45" s="11" t="s">
        <v>476</v>
      </c>
      <c r="G45" s="11" t="s">
        <v>19</v>
      </c>
      <c r="K45" s="4"/>
    </row>
    <row r="46" spans="1:11" x14ac:dyDescent="0.35">
      <c r="A46" s="13">
        <v>1623</v>
      </c>
      <c r="B46" s="1" t="s">
        <v>569</v>
      </c>
      <c r="C46" s="15" t="s">
        <v>495</v>
      </c>
      <c r="D46" s="15" t="s">
        <v>496</v>
      </c>
      <c r="E46" s="22">
        <v>42320</v>
      </c>
      <c r="F46" s="11" t="s">
        <v>485</v>
      </c>
      <c r="G46" s="11" t="s">
        <v>19</v>
      </c>
      <c r="K46" s="4"/>
    </row>
    <row r="47" spans="1:11" x14ac:dyDescent="0.35">
      <c r="A47" s="14">
        <v>1643</v>
      </c>
      <c r="B47" s="4" t="s">
        <v>570</v>
      </c>
      <c r="C47" t="s">
        <v>512</v>
      </c>
      <c r="D47" t="s">
        <v>503</v>
      </c>
      <c r="E47" s="22">
        <v>42408</v>
      </c>
      <c r="F47" s="11" t="s">
        <v>476</v>
      </c>
      <c r="G47" s="11" t="s">
        <v>19</v>
      </c>
      <c r="K47" s="4"/>
    </row>
    <row r="48" spans="1:11" x14ac:dyDescent="0.35">
      <c r="A48" s="13">
        <v>1646</v>
      </c>
      <c r="B48" s="1" t="s">
        <v>571</v>
      </c>
      <c r="C48" s="15"/>
      <c r="D48" s="15"/>
      <c r="E48" s="22">
        <v>42408</v>
      </c>
      <c r="F48" s="11" t="s">
        <v>485</v>
      </c>
      <c r="G48" s="11" t="s">
        <v>477</v>
      </c>
      <c r="K48" s="4"/>
    </row>
    <row r="49" spans="1:11" x14ac:dyDescent="0.35">
      <c r="A49" s="13">
        <v>1652</v>
      </c>
      <c r="B49" s="9" t="s">
        <v>572</v>
      </c>
      <c r="C49" s="15" t="s">
        <v>20</v>
      </c>
      <c r="D49" s="15" t="s">
        <v>573</v>
      </c>
      <c r="E49" s="22">
        <v>42408</v>
      </c>
      <c r="F49" s="11" t="s">
        <v>476</v>
      </c>
      <c r="G49" s="11" t="s">
        <v>19</v>
      </c>
      <c r="K49" s="4"/>
    </row>
    <row r="50" spans="1:11" x14ac:dyDescent="0.35">
      <c r="A50" s="13">
        <v>1654</v>
      </c>
      <c r="B50" s="1" t="s">
        <v>574</v>
      </c>
      <c r="C50" s="15" t="s">
        <v>20</v>
      </c>
      <c r="D50" s="15" t="s">
        <v>573</v>
      </c>
      <c r="E50" s="22">
        <v>42425</v>
      </c>
      <c r="F50" s="11" t="s">
        <v>485</v>
      </c>
      <c r="G50" s="11" t="s">
        <v>19</v>
      </c>
      <c r="K50" s="4"/>
    </row>
    <row r="51" spans="1:11" x14ac:dyDescent="0.35">
      <c r="A51" s="14">
        <v>1655</v>
      </c>
      <c r="B51" s="4" t="s">
        <v>575</v>
      </c>
      <c r="C51" t="s">
        <v>576</v>
      </c>
      <c r="D51" t="s">
        <v>491</v>
      </c>
      <c r="E51" s="22">
        <v>42425</v>
      </c>
      <c r="F51" s="11" t="s">
        <v>485</v>
      </c>
      <c r="G51" s="11" t="s">
        <v>19</v>
      </c>
    </row>
    <row r="52" spans="1:11" x14ac:dyDescent="0.35">
      <c r="A52" s="13">
        <v>1659</v>
      </c>
      <c r="B52" s="1" t="s">
        <v>577</v>
      </c>
      <c r="C52" s="15"/>
      <c r="D52" s="15"/>
      <c r="E52" s="22">
        <v>42425</v>
      </c>
      <c r="F52" s="11" t="s">
        <v>485</v>
      </c>
      <c r="G52" s="11" t="s">
        <v>477</v>
      </c>
    </row>
    <row r="53" spans="1:11" x14ac:dyDescent="0.35">
      <c r="A53" s="13">
        <v>1695</v>
      </c>
      <c r="B53" s="1" t="s">
        <v>578</v>
      </c>
      <c r="C53" s="15" t="s">
        <v>579</v>
      </c>
      <c r="D53" s="15" t="s">
        <v>496</v>
      </c>
      <c r="E53" s="22">
        <v>42467</v>
      </c>
      <c r="F53" s="11" t="s">
        <v>485</v>
      </c>
      <c r="G53" s="11" t="s">
        <v>19</v>
      </c>
    </row>
    <row r="54" spans="1:11" x14ac:dyDescent="0.35">
      <c r="A54" s="13">
        <v>1697</v>
      </c>
      <c r="B54" s="1" t="s">
        <v>293</v>
      </c>
      <c r="C54" s="15" t="s">
        <v>495</v>
      </c>
      <c r="D54" s="15" t="s">
        <v>496</v>
      </c>
      <c r="E54" s="22">
        <v>42474</v>
      </c>
      <c r="F54" s="11" t="s">
        <v>485</v>
      </c>
      <c r="G54" s="11" t="s">
        <v>19</v>
      </c>
    </row>
    <row r="55" spans="1:11" x14ac:dyDescent="0.35">
      <c r="A55" s="14">
        <v>1700</v>
      </c>
      <c r="B55" s="4" t="s">
        <v>277</v>
      </c>
      <c r="C55" t="s">
        <v>512</v>
      </c>
      <c r="D55" t="s">
        <v>503</v>
      </c>
      <c r="E55" s="22">
        <v>42485</v>
      </c>
      <c r="F55" s="11" t="s">
        <v>476</v>
      </c>
      <c r="G55" s="11" t="s">
        <v>19</v>
      </c>
    </row>
    <row r="56" spans="1:11" x14ac:dyDescent="0.35">
      <c r="A56" s="14">
        <v>1703</v>
      </c>
      <c r="B56" s="4" t="s">
        <v>580</v>
      </c>
      <c r="C56" t="s">
        <v>512</v>
      </c>
      <c r="D56" t="s">
        <v>503</v>
      </c>
      <c r="E56" s="22">
        <v>42495</v>
      </c>
      <c r="F56" s="11" t="s">
        <v>485</v>
      </c>
      <c r="G56" s="11" t="s">
        <v>19</v>
      </c>
    </row>
    <row r="57" spans="1:11" x14ac:dyDescent="0.35">
      <c r="A57" s="13">
        <v>1704</v>
      </c>
      <c r="B57" s="1" t="s">
        <v>581</v>
      </c>
      <c r="C57" s="15"/>
      <c r="D57" s="15"/>
      <c r="E57" s="22">
        <v>42495</v>
      </c>
      <c r="F57" s="11" t="s">
        <v>476</v>
      </c>
      <c r="G57" s="11" t="s">
        <v>477</v>
      </c>
    </row>
    <row r="58" spans="1:11" x14ac:dyDescent="0.35">
      <c r="A58" s="13">
        <v>1705</v>
      </c>
      <c r="B58" s="1" t="s">
        <v>582</v>
      </c>
      <c r="C58" s="15" t="s">
        <v>562</v>
      </c>
      <c r="D58" s="15" t="s">
        <v>492</v>
      </c>
      <c r="E58" s="22">
        <v>42495</v>
      </c>
      <c r="F58" s="11" t="s">
        <v>485</v>
      </c>
      <c r="G58" s="11" t="s">
        <v>19</v>
      </c>
    </row>
    <row r="59" spans="1:11" x14ac:dyDescent="0.35">
      <c r="A59" s="13">
        <v>1713</v>
      </c>
      <c r="B59" s="1" t="s">
        <v>583</v>
      </c>
      <c r="C59" s="15" t="s">
        <v>537</v>
      </c>
      <c r="D59" s="15" t="s">
        <v>491</v>
      </c>
      <c r="E59" s="22">
        <v>42522</v>
      </c>
      <c r="F59" s="11" t="s">
        <v>476</v>
      </c>
      <c r="G59" s="11" t="s">
        <v>19</v>
      </c>
    </row>
    <row r="60" spans="1:11" x14ac:dyDescent="0.35">
      <c r="A60" s="13">
        <v>1716</v>
      </c>
      <c r="B60" s="1" t="s">
        <v>584</v>
      </c>
      <c r="C60" s="15" t="s">
        <v>562</v>
      </c>
      <c r="D60" s="15" t="s">
        <v>492</v>
      </c>
      <c r="E60" s="22">
        <v>42523</v>
      </c>
      <c r="F60" s="11" t="s">
        <v>485</v>
      </c>
      <c r="G60" s="11" t="s">
        <v>477</v>
      </c>
    </row>
    <row r="61" spans="1:11" x14ac:dyDescent="0.35">
      <c r="A61" s="13">
        <v>1721</v>
      </c>
      <c r="B61" s="1" t="s">
        <v>585</v>
      </c>
      <c r="C61" s="15" t="s">
        <v>30</v>
      </c>
      <c r="D61" s="15" t="s">
        <v>498</v>
      </c>
      <c r="E61" s="22">
        <v>42537</v>
      </c>
      <c r="F61" s="11" t="s">
        <v>485</v>
      </c>
      <c r="G61" s="11" t="s">
        <v>477</v>
      </c>
    </row>
    <row r="62" spans="1:11" x14ac:dyDescent="0.35">
      <c r="A62" s="13">
        <v>1725</v>
      </c>
      <c r="B62" s="1" t="s">
        <v>586</v>
      </c>
      <c r="C62" s="15"/>
      <c r="D62" s="15"/>
      <c r="E62" s="22">
        <v>42558</v>
      </c>
      <c r="F62" s="11" t="s">
        <v>485</v>
      </c>
      <c r="G62" s="11" t="s">
        <v>477</v>
      </c>
    </row>
    <row r="63" spans="1:11" x14ac:dyDescent="0.35">
      <c r="A63" s="13">
        <v>1727</v>
      </c>
      <c r="B63" s="1" t="s">
        <v>587</v>
      </c>
      <c r="C63" s="15" t="s">
        <v>537</v>
      </c>
      <c r="D63" s="15" t="s">
        <v>491</v>
      </c>
      <c r="E63" s="22">
        <v>42558</v>
      </c>
      <c r="F63" s="11" t="s">
        <v>476</v>
      </c>
      <c r="G63" s="11" t="s">
        <v>19</v>
      </c>
    </row>
    <row r="64" spans="1:11" x14ac:dyDescent="0.35">
      <c r="A64" s="14">
        <v>1730</v>
      </c>
      <c r="B64" s="4" t="s">
        <v>312</v>
      </c>
      <c r="C64" t="s">
        <v>512</v>
      </c>
      <c r="D64" t="s">
        <v>503</v>
      </c>
      <c r="E64" s="22">
        <v>42558</v>
      </c>
      <c r="F64" s="11" t="s">
        <v>476</v>
      </c>
      <c r="G64" s="11" t="s">
        <v>19</v>
      </c>
    </row>
    <row r="65" spans="1:7" x14ac:dyDescent="0.35">
      <c r="A65" s="13">
        <v>1731</v>
      </c>
      <c r="B65" s="1" t="s">
        <v>588</v>
      </c>
      <c r="C65" s="15" t="s">
        <v>556</v>
      </c>
      <c r="D65" s="15" t="s">
        <v>557</v>
      </c>
      <c r="E65" s="22">
        <v>42558</v>
      </c>
      <c r="F65" s="11" t="s">
        <v>485</v>
      </c>
      <c r="G65" s="11" t="s">
        <v>19</v>
      </c>
    </row>
    <row r="66" spans="1:7" x14ac:dyDescent="0.35">
      <c r="A66" s="13">
        <v>1732</v>
      </c>
      <c r="B66" s="1" t="s">
        <v>589</v>
      </c>
      <c r="C66" s="15" t="s">
        <v>590</v>
      </c>
      <c r="D66" s="15" t="s">
        <v>557</v>
      </c>
      <c r="E66" s="22">
        <v>42558</v>
      </c>
      <c r="F66" s="11" t="s">
        <v>485</v>
      </c>
      <c r="G66" s="11" t="s">
        <v>19</v>
      </c>
    </row>
    <row r="67" spans="1:7" x14ac:dyDescent="0.35">
      <c r="A67" s="13">
        <v>1736</v>
      </c>
      <c r="B67" s="1" t="s">
        <v>591</v>
      </c>
      <c r="C67" s="15" t="s">
        <v>30</v>
      </c>
      <c r="D67" s="15" t="s">
        <v>498</v>
      </c>
      <c r="E67" s="22">
        <v>42586</v>
      </c>
      <c r="F67" s="11" t="s">
        <v>485</v>
      </c>
      <c r="G67" s="11" t="s">
        <v>19</v>
      </c>
    </row>
    <row r="68" spans="1:7" x14ac:dyDescent="0.35">
      <c r="A68" s="13">
        <v>1738</v>
      </c>
      <c r="B68" s="1" t="s">
        <v>592</v>
      </c>
      <c r="C68" s="15"/>
      <c r="D68" s="15"/>
      <c r="E68" s="22">
        <v>42586</v>
      </c>
      <c r="F68" s="11" t="s">
        <v>485</v>
      </c>
      <c r="G68" s="11" t="s">
        <v>477</v>
      </c>
    </row>
    <row r="69" spans="1:7" x14ac:dyDescent="0.35">
      <c r="A69" s="13">
        <v>1767</v>
      </c>
      <c r="B69" s="9" t="s">
        <v>593</v>
      </c>
      <c r="C69" s="15" t="s">
        <v>537</v>
      </c>
      <c r="D69" s="15" t="s">
        <v>491</v>
      </c>
      <c r="E69" s="22">
        <v>42677</v>
      </c>
      <c r="F69" s="11" t="s">
        <v>485</v>
      </c>
      <c r="G69" s="11" t="s">
        <v>19</v>
      </c>
    </row>
    <row r="70" spans="1:7" x14ac:dyDescent="0.35">
      <c r="A70" s="13">
        <v>1776</v>
      </c>
      <c r="B70" s="9" t="s">
        <v>594</v>
      </c>
      <c r="C70" s="15"/>
      <c r="D70" s="15"/>
      <c r="E70" s="22">
        <v>42712</v>
      </c>
      <c r="F70" s="11" t="s">
        <v>476</v>
      </c>
      <c r="G70" s="11" t="s">
        <v>477</v>
      </c>
    </row>
    <row r="71" spans="1:7" x14ac:dyDescent="0.35">
      <c r="A71" s="13">
        <v>1777</v>
      </c>
      <c r="B71" s="1" t="s">
        <v>595</v>
      </c>
      <c r="C71" s="15"/>
      <c r="D71" s="15"/>
      <c r="E71" s="22">
        <v>42712</v>
      </c>
      <c r="F71" s="11" t="s">
        <v>476</v>
      </c>
      <c r="G71" s="11" t="s">
        <v>477</v>
      </c>
    </row>
    <row r="72" spans="1:7" x14ac:dyDescent="0.35">
      <c r="A72" s="13">
        <v>1804</v>
      </c>
      <c r="B72" s="1" t="s">
        <v>201</v>
      </c>
      <c r="C72" s="15" t="s">
        <v>483</v>
      </c>
      <c r="D72" s="15" t="s">
        <v>484</v>
      </c>
      <c r="E72" s="22">
        <v>42802</v>
      </c>
      <c r="F72" s="11" t="s">
        <v>476</v>
      </c>
      <c r="G72" s="11" t="s">
        <v>19</v>
      </c>
    </row>
    <row r="73" spans="1:7" x14ac:dyDescent="0.35">
      <c r="A73" s="13">
        <v>1808</v>
      </c>
      <c r="B73" s="1" t="s">
        <v>596</v>
      </c>
      <c r="C73" s="15" t="s">
        <v>537</v>
      </c>
      <c r="D73" s="15" t="s">
        <v>491</v>
      </c>
      <c r="E73" s="22">
        <v>42802</v>
      </c>
      <c r="F73" s="11" t="s">
        <v>476</v>
      </c>
      <c r="G73" s="11" t="s">
        <v>19</v>
      </c>
    </row>
    <row r="74" spans="1:7" x14ac:dyDescent="0.35">
      <c r="A74" s="13">
        <v>1816</v>
      </c>
      <c r="B74" s="1" t="s">
        <v>597</v>
      </c>
      <c r="C74" s="15" t="s">
        <v>495</v>
      </c>
      <c r="D74" s="15" t="s">
        <v>496</v>
      </c>
      <c r="E74" s="22">
        <v>42859</v>
      </c>
      <c r="F74" s="11" t="s">
        <v>485</v>
      </c>
      <c r="G74" s="11" t="s">
        <v>477</v>
      </c>
    </row>
    <row r="75" spans="1:7" x14ac:dyDescent="0.35">
      <c r="A75" s="13">
        <v>1833</v>
      </c>
      <c r="B75" s="1" t="s">
        <v>598</v>
      </c>
      <c r="C75" s="15" t="s">
        <v>599</v>
      </c>
      <c r="D75" s="15" t="s">
        <v>484</v>
      </c>
      <c r="E75" s="22">
        <v>43045</v>
      </c>
      <c r="F75" s="11" t="s">
        <v>476</v>
      </c>
      <c r="G75" s="11" t="s">
        <v>477</v>
      </c>
    </row>
    <row r="76" spans="1:7" x14ac:dyDescent="0.35">
      <c r="A76" s="13">
        <v>1835</v>
      </c>
      <c r="B76" s="1" t="s">
        <v>600</v>
      </c>
      <c r="C76" s="15" t="s">
        <v>601</v>
      </c>
      <c r="D76" s="15" t="s">
        <v>484</v>
      </c>
      <c r="E76" s="22">
        <v>43045</v>
      </c>
      <c r="F76" s="11" t="s">
        <v>485</v>
      </c>
      <c r="G76" s="11" t="s">
        <v>19</v>
      </c>
    </row>
    <row r="77" spans="1:7" x14ac:dyDescent="0.35">
      <c r="A77" s="13">
        <v>1841</v>
      </c>
      <c r="B77" s="1" t="s">
        <v>602</v>
      </c>
      <c r="C77" s="15" t="s">
        <v>603</v>
      </c>
      <c r="D77" s="15" t="s">
        <v>484</v>
      </c>
      <c r="E77" s="22">
        <v>43052</v>
      </c>
      <c r="F77" s="11" t="s">
        <v>485</v>
      </c>
      <c r="G77" s="11" t="s">
        <v>19</v>
      </c>
    </row>
    <row r="78" spans="1:7" x14ac:dyDescent="0.35">
      <c r="A78" s="13">
        <v>1863</v>
      </c>
      <c r="B78" s="1" t="s">
        <v>604</v>
      </c>
      <c r="C78" s="15" t="s">
        <v>495</v>
      </c>
      <c r="D78" s="15" t="s">
        <v>496</v>
      </c>
      <c r="E78" s="22">
        <v>43138</v>
      </c>
      <c r="F78" s="11" t="s">
        <v>485</v>
      </c>
      <c r="G78" s="11" t="s">
        <v>19</v>
      </c>
    </row>
    <row r="79" spans="1:7" x14ac:dyDescent="0.35">
      <c r="A79" s="13">
        <v>1864</v>
      </c>
      <c r="B79" s="1" t="s">
        <v>605</v>
      </c>
      <c r="C79" s="15"/>
      <c r="D79" s="15"/>
      <c r="E79" s="22">
        <v>43138</v>
      </c>
      <c r="F79" s="11" t="s">
        <v>476</v>
      </c>
      <c r="G79" s="11" t="s">
        <v>477</v>
      </c>
    </row>
    <row r="80" spans="1:7" x14ac:dyDescent="0.35">
      <c r="A80" s="13">
        <v>1865</v>
      </c>
      <c r="B80" s="1" t="s">
        <v>606</v>
      </c>
      <c r="C80" s="15"/>
      <c r="D80" s="15"/>
      <c r="E80" s="22">
        <v>43138</v>
      </c>
      <c r="F80" s="11" t="s">
        <v>485</v>
      </c>
      <c r="G80" s="11" t="s">
        <v>477</v>
      </c>
    </row>
    <row r="81" spans="1:7" x14ac:dyDescent="0.35">
      <c r="A81" s="36">
        <v>1874</v>
      </c>
      <c r="B81" s="4" t="s">
        <v>607</v>
      </c>
      <c r="C81" t="s">
        <v>608</v>
      </c>
      <c r="D81" t="s">
        <v>609</v>
      </c>
      <c r="E81" s="23">
        <v>43164</v>
      </c>
      <c r="F81" s="3" t="s">
        <v>476</v>
      </c>
      <c r="G81" s="3" t="s">
        <v>19</v>
      </c>
    </row>
    <row r="82" spans="1:7" x14ac:dyDescent="0.35">
      <c r="A82" s="13">
        <v>1884</v>
      </c>
      <c r="B82" s="1" t="s">
        <v>610</v>
      </c>
      <c r="C82" s="15"/>
      <c r="D82" s="15"/>
      <c r="E82" s="22">
        <v>43185</v>
      </c>
      <c r="F82" s="11" t="s">
        <v>485</v>
      </c>
      <c r="G82" s="11" t="s">
        <v>477</v>
      </c>
    </row>
    <row r="83" spans="1:7" x14ac:dyDescent="0.35">
      <c r="A83" s="13">
        <v>1885</v>
      </c>
      <c r="B83" s="9" t="s">
        <v>611</v>
      </c>
      <c r="C83" s="15"/>
      <c r="D83" s="15"/>
      <c r="E83" s="22">
        <v>43185</v>
      </c>
      <c r="F83" s="11" t="s">
        <v>485</v>
      </c>
      <c r="G83" s="11" t="s">
        <v>477</v>
      </c>
    </row>
    <row r="84" spans="1:7" x14ac:dyDescent="0.35">
      <c r="A84" s="13">
        <v>1886</v>
      </c>
      <c r="B84" s="1" t="s">
        <v>612</v>
      </c>
      <c r="C84" s="15" t="s">
        <v>30</v>
      </c>
      <c r="D84" s="15" t="s">
        <v>498</v>
      </c>
      <c r="E84" s="22">
        <v>43185</v>
      </c>
      <c r="F84" s="11" t="s">
        <v>476</v>
      </c>
      <c r="G84" s="11" t="s">
        <v>19</v>
      </c>
    </row>
    <row r="85" spans="1:7" x14ac:dyDescent="0.35">
      <c r="A85" s="13">
        <v>1890</v>
      </c>
      <c r="B85" s="1" t="s">
        <v>613</v>
      </c>
      <c r="C85" s="15" t="s">
        <v>614</v>
      </c>
      <c r="D85" s="15" t="s">
        <v>514</v>
      </c>
      <c r="E85" s="22">
        <v>43194</v>
      </c>
      <c r="F85" s="11" t="s">
        <v>476</v>
      </c>
      <c r="G85" s="11" t="s">
        <v>477</v>
      </c>
    </row>
    <row r="86" spans="1:7" x14ac:dyDescent="0.35">
      <c r="A86" s="13">
        <v>1891</v>
      </c>
      <c r="B86" s="1" t="s">
        <v>615</v>
      </c>
      <c r="C86" s="15" t="s">
        <v>28</v>
      </c>
      <c r="D86" s="15" t="s">
        <v>616</v>
      </c>
      <c r="E86" s="22">
        <v>43194</v>
      </c>
      <c r="F86" s="11" t="s">
        <v>485</v>
      </c>
      <c r="G86" s="11" t="s">
        <v>477</v>
      </c>
    </row>
    <row r="87" spans="1:7" x14ac:dyDescent="0.35">
      <c r="A87" s="13">
        <v>1891</v>
      </c>
      <c r="B87" s="1" t="s">
        <v>617</v>
      </c>
      <c r="C87" s="15"/>
      <c r="D87" s="15"/>
      <c r="E87" s="22">
        <v>43194</v>
      </c>
      <c r="F87" s="11" t="s">
        <v>485</v>
      </c>
      <c r="G87" s="11" t="s">
        <v>477</v>
      </c>
    </row>
    <row r="88" spans="1:7" x14ac:dyDescent="0.35">
      <c r="A88" s="13">
        <v>1892</v>
      </c>
      <c r="B88" s="1" t="s">
        <v>618</v>
      </c>
      <c r="C88" s="15" t="s">
        <v>520</v>
      </c>
      <c r="D88" s="15" t="s">
        <v>480</v>
      </c>
      <c r="E88" s="22">
        <v>43194</v>
      </c>
      <c r="F88" s="11" t="s">
        <v>485</v>
      </c>
      <c r="G88" s="11" t="s">
        <v>477</v>
      </c>
    </row>
    <row r="89" spans="1:7" x14ac:dyDescent="0.35">
      <c r="A89" s="13">
        <v>1896</v>
      </c>
      <c r="B89" s="1" t="s">
        <v>619</v>
      </c>
      <c r="C89" s="15"/>
      <c r="D89" s="15"/>
      <c r="E89" s="22">
        <v>43213</v>
      </c>
      <c r="F89" s="11" t="s">
        <v>476</v>
      </c>
      <c r="G89" s="11" t="s">
        <v>477</v>
      </c>
    </row>
    <row r="90" spans="1:7" x14ac:dyDescent="0.35">
      <c r="A90" s="13">
        <v>1899</v>
      </c>
      <c r="B90" s="1" t="s">
        <v>620</v>
      </c>
      <c r="C90" s="15"/>
      <c r="D90" s="15"/>
      <c r="E90" s="22">
        <v>43227</v>
      </c>
      <c r="F90" s="11" t="s">
        <v>485</v>
      </c>
      <c r="G90" s="11" t="s">
        <v>477</v>
      </c>
    </row>
    <row r="91" spans="1:7" x14ac:dyDescent="0.35">
      <c r="A91" s="13">
        <v>1900</v>
      </c>
      <c r="B91" s="9" t="s">
        <v>621</v>
      </c>
      <c r="C91" s="15"/>
      <c r="D91" s="15"/>
      <c r="E91" s="22">
        <v>43227</v>
      </c>
      <c r="F91" s="11" t="s">
        <v>476</v>
      </c>
      <c r="G91" s="11" t="s">
        <v>477</v>
      </c>
    </row>
    <row r="92" spans="1:7" x14ac:dyDescent="0.35">
      <c r="A92" s="14">
        <v>1902</v>
      </c>
      <c r="B92" s="4" t="s">
        <v>622</v>
      </c>
      <c r="C92" s="15" t="s">
        <v>559</v>
      </c>
      <c r="D92" s="15" t="s">
        <v>557</v>
      </c>
      <c r="E92" s="22">
        <v>43227</v>
      </c>
      <c r="F92" s="11" t="s">
        <v>485</v>
      </c>
      <c r="G92" s="11" t="s">
        <v>19</v>
      </c>
    </row>
    <row r="93" spans="1:7" x14ac:dyDescent="0.35">
      <c r="A93" s="13">
        <v>1903</v>
      </c>
      <c r="B93" s="1" t="s">
        <v>290</v>
      </c>
      <c r="C93" s="15"/>
      <c r="D93" s="15"/>
      <c r="E93" s="22">
        <v>43241</v>
      </c>
      <c r="F93" s="11" t="s">
        <v>485</v>
      </c>
      <c r="G93" s="11" t="s">
        <v>477</v>
      </c>
    </row>
    <row r="94" spans="1:7" x14ac:dyDescent="0.35">
      <c r="A94" s="13">
        <v>1908</v>
      </c>
      <c r="B94" s="1" t="s">
        <v>623</v>
      </c>
      <c r="C94" s="15"/>
      <c r="D94" s="15"/>
      <c r="E94" s="22">
        <v>43241</v>
      </c>
      <c r="F94" s="11" t="s">
        <v>485</v>
      </c>
      <c r="G94" s="11" t="s">
        <v>477</v>
      </c>
    </row>
    <row r="95" spans="1:7" x14ac:dyDescent="0.35">
      <c r="A95" s="13">
        <v>1909</v>
      </c>
      <c r="B95" s="1" t="s">
        <v>624</v>
      </c>
      <c r="C95" s="15" t="s">
        <v>495</v>
      </c>
      <c r="D95" s="15" t="s">
        <v>496</v>
      </c>
      <c r="E95" s="22">
        <v>43241</v>
      </c>
      <c r="F95" s="11" t="s">
        <v>485</v>
      </c>
      <c r="G95" s="11" t="s">
        <v>19</v>
      </c>
    </row>
    <row r="96" spans="1:7" x14ac:dyDescent="0.35">
      <c r="A96" s="13">
        <v>1910</v>
      </c>
      <c r="B96" s="1" t="s">
        <v>301</v>
      </c>
      <c r="C96" s="15"/>
      <c r="D96" s="15"/>
      <c r="E96" s="22">
        <v>43262</v>
      </c>
      <c r="F96" s="11" t="s">
        <v>485</v>
      </c>
      <c r="G96" s="11" t="s">
        <v>477</v>
      </c>
    </row>
    <row r="97" spans="1:7" x14ac:dyDescent="0.35">
      <c r="A97" s="13">
        <v>1911</v>
      </c>
      <c r="B97" s="1" t="s">
        <v>625</v>
      </c>
      <c r="C97" s="15" t="s">
        <v>520</v>
      </c>
      <c r="D97" s="15" t="s">
        <v>480</v>
      </c>
      <c r="E97" s="22">
        <v>43262</v>
      </c>
      <c r="F97" s="11" t="s">
        <v>476</v>
      </c>
      <c r="G97" s="11" t="s">
        <v>19</v>
      </c>
    </row>
    <row r="98" spans="1:7" x14ac:dyDescent="0.35">
      <c r="A98" s="13">
        <v>1913</v>
      </c>
      <c r="B98" s="1" t="s">
        <v>626</v>
      </c>
      <c r="C98" s="15"/>
      <c r="D98" s="15"/>
      <c r="E98" s="22">
        <v>43262</v>
      </c>
      <c r="F98" s="11" t="s">
        <v>476</v>
      </c>
      <c r="G98" s="11" t="s">
        <v>19</v>
      </c>
    </row>
    <row r="99" spans="1:7" x14ac:dyDescent="0.35">
      <c r="A99" s="14">
        <v>1913</v>
      </c>
      <c r="B99" s="1" t="s">
        <v>627</v>
      </c>
      <c r="C99" s="15" t="s">
        <v>562</v>
      </c>
      <c r="D99" s="15" t="s">
        <v>492</v>
      </c>
      <c r="E99" s="22">
        <v>43271</v>
      </c>
      <c r="F99" s="11" t="s">
        <v>476</v>
      </c>
      <c r="G99" s="11" t="s">
        <v>19</v>
      </c>
    </row>
    <row r="100" spans="1:7" x14ac:dyDescent="0.35">
      <c r="A100" s="13">
        <v>1918</v>
      </c>
      <c r="B100" s="1" t="s">
        <v>628</v>
      </c>
      <c r="C100" s="15" t="s">
        <v>520</v>
      </c>
      <c r="D100" s="15" t="s">
        <v>480</v>
      </c>
      <c r="E100" s="22">
        <v>43283</v>
      </c>
      <c r="F100" s="11" t="s">
        <v>485</v>
      </c>
      <c r="G100" s="11" t="s">
        <v>19</v>
      </c>
    </row>
    <row r="101" spans="1:7" x14ac:dyDescent="0.35">
      <c r="A101" s="13">
        <v>1921</v>
      </c>
      <c r="B101" s="1" t="s">
        <v>629</v>
      </c>
      <c r="C101" s="15"/>
      <c r="D101" s="15"/>
      <c r="E101" s="22">
        <v>43283</v>
      </c>
      <c r="F101" s="11" t="s">
        <v>485</v>
      </c>
      <c r="G101" s="11" t="s">
        <v>477</v>
      </c>
    </row>
    <row r="102" spans="1:7" x14ac:dyDescent="0.35">
      <c r="A102" s="13">
        <v>1922</v>
      </c>
      <c r="B102" s="1" t="s">
        <v>630</v>
      </c>
      <c r="C102" s="15"/>
      <c r="D102" s="15"/>
      <c r="E102" s="22">
        <v>43283</v>
      </c>
      <c r="F102" s="11" t="s">
        <v>476</v>
      </c>
      <c r="G102" s="11" t="s">
        <v>477</v>
      </c>
    </row>
    <row r="103" spans="1:7" x14ac:dyDescent="0.35">
      <c r="A103" s="13">
        <v>1923</v>
      </c>
      <c r="B103" s="1" t="s">
        <v>631</v>
      </c>
      <c r="C103" s="15" t="s">
        <v>20</v>
      </c>
      <c r="D103" s="15" t="s">
        <v>573</v>
      </c>
      <c r="E103" s="22">
        <v>43283</v>
      </c>
      <c r="F103" s="11" t="s">
        <v>485</v>
      </c>
      <c r="G103" s="11" t="s">
        <v>477</v>
      </c>
    </row>
    <row r="104" spans="1:7" x14ac:dyDescent="0.35">
      <c r="A104" s="13">
        <v>1924</v>
      </c>
      <c r="B104" s="1" t="s">
        <v>632</v>
      </c>
      <c r="C104" s="15"/>
      <c r="D104" s="15"/>
      <c r="E104" s="22">
        <v>43283</v>
      </c>
      <c r="F104" s="11" t="s">
        <v>485</v>
      </c>
      <c r="G104" s="11" t="s">
        <v>477</v>
      </c>
    </row>
    <row r="105" spans="1:7" x14ac:dyDescent="0.35">
      <c r="A105" s="13">
        <v>1926</v>
      </c>
      <c r="B105" s="1" t="s">
        <v>633</v>
      </c>
      <c r="C105" s="15" t="s">
        <v>599</v>
      </c>
      <c r="D105" s="15" t="s">
        <v>484</v>
      </c>
      <c r="E105" s="22">
        <v>43283</v>
      </c>
      <c r="F105" s="11" t="s">
        <v>485</v>
      </c>
      <c r="G105" s="11" t="s">
        <v>477</v>
      </c>
    </row>
    <row r="106" spans="1:7" x14ac:dyDescent="0.35">
      <c r="A106" s="13">
        <v>1928</v>
      </c>
      <c r="B106" s="1" t="s">
        <v>634</v>
      </c>
      <c r="C106" s="15" t="s">
        <v>30</v>
      </c>
      <c r="D106" s="15" t="s">
        <v>498</v>
      </c>
      <c r="E106" s="22">
        <v>43297</v>
      </c>
      <c r="F106" s="11" t="s">
        <v>485</v>
      </c>
      <c r="G106" s="11" t="s">
        <v>477</v>
      </c>
    </row>
    <row r="107" spans="1:7" x14ac:dyDescent="0.35">
      <c r="A107" s="14">
        <v>1944</v>
      </c>
      <c r="B107" s="4" t="s">
        <v>635</v>
      </c>
      <c r="C107" t="s">
        <v>512</v>
      </c>
      <c r="D107" t="s">
        <v>503</v>
      </c>
      <c r="E107" s="22">
        <v>43297</v>
      </c>
      <c r="F107" s="11" t="s">
        <v>485</v>
      </c>
      <c r="G107" s="11" t="s">
        <v>19</v>
      </c>
    </row>
    <row r="108" spans="1:7" x14ac:dyDescent="0.35">
      <c r="A108" s="13">
        <v>1945</v>
      </c>
      <c r="B108" s="1" t="s">
        <v>273</v>
      </c>
      <c r="C108" s="15" t="s">
        <v>20</v>
      </c>
      <c r="D108" s="15" t="s">
        <v>573</v>
      </c>
      <c r="E108" s="22">
        <v>43313</v>
      </c>
      <c r="F108" s="11" t="s">
        <v>485</v>
      </c>
      <c r="G108" s="11" t="s">
        <v>19</v>
      </c>
    </row>
    <row r="109" spans="1:7" x14ac:dyDescent="0.35">
      <c r="A109" s="13">
        <v>1947</v>
      </c>
      <c r="B109" s="1" t="s">
        <v>91</v>
      </c>
      <c r="C109" s="15" t="s">
        <v>495</v>
      </c>
      <c r="D109" s="15" t="s">
        <v>496</v>
      </c>
      <c r="E109" s="22">
        <v>43313</v>
      </c>
      <c r="F109" s="11" t="s">
        <v>476</v>
      </c>
      <c r="G109" s="11" t="s">
        <v>19</v>
      </c>
    </row>
    <row r="110" spans="1:7" x14ac:dyDescent="0.35">
      <c r="A110" s="13">
        <v>1948</v>
      </c>
      <c r="B110" s="9" t="s">
        <v>636</v>
      </c>
      <c r="C110" s="15"/>
      <c r="D110" s="15"/>
      <c r="E110" s="22">
        <v>43313</v>
      </c>
      <c r="F110" s="11" t="s">
        <v>476</v>
      </c>
      <c r="G110" s="11" t="s">
        <v>477</v>
      </c>
    </row>
    <row r="111" spans="1:7" x14ac:dyDescent="0.35">
      <c r="A111" s="13">
        <v>1949</v>
      </c>
      <c r="B111" s="1" t="s">
        <v>637</v>
      </c>
      <c r="C111" s="15"/>
      <c r="D111" s="15"/>
      <c r="E111" s="22">
        <v>43313</v>
      </c>
      <c r="F111" s="11" t="s">
        <v>476</v>
      </c>
      <c r="G111" s="11" t="s">
        <v>477</v>
      </c>
    </row>
    <row r="112" spans="1:7" x14ac:dyDescent="0.35">
      <c r="A112" s="13">
        <v>1950</v>
      </c>
      <c r="B112" s="1" t="s">
        <v>638</v>
      </c>
      <c r="C112" s="15" t="s">
        <v>639</v>
      </c>
      <c r="D112" s="15" t="s">
        <v>557</v>
      </c>
      <c r="E112" s="22">
        <v>43325</v>
      </c>
      <c r="F112" s="11" t="s">
        <v>476</v>
      </c>
      <c r="G112" s="11" t="s">
        <v>19</v>
      </c>
    </row>
    <row r="113" spans="1:7" x14ac:dyDescent="0.35">
      <c r="A113" s="13">
        <v>1956</v>
      </c>
      <c r="B113" s="1" t="s">
        <v>640</v>
      </c>
      <c r="C113" s="15" t="s">
        <v>537</v>
      </c>
      <c r="D113" s="15" t="s">
        <v>491</v>
      </c>
      <c r="E113" s="22">
        <v>43346</v>
      </c>
      <c r="F113" s="11" t="s">
        <v>476</v>
      </c>
      <c r="G113" s="11" t="s">
        <v>477</v>
      </c>
    </row>
    <row r="114" spans="1:7" x14ac:dyDescent="0.35">
      <c r="A114" s="13">
        <v>1962</v>
      </c>
      <c r="B114" s="1" t="s">
        <v>311</v>
      </c>
      <c r="C114" s="15"/>
      <c r="D114" s="15"/>
      <c r="E114" s="22">
        <v>43353</v>
      </c>
      <c r="F114" s="11" t="s">
        <v>476</v>
      </c>
      <c r="G114" s="11" t="s">
        <v>477</v>
      </c>
    </row>
    <row r="115" spans="1:7" x14ac:dyDescent="0.35">
      <c r="A115" s="13">
        <v>1965</v>
      </c>
      <c r="B115" s="1" t="s">
        <v>641</v>
      </c>
      <c r="C115" s="15"/>
      <c r="D115" s="15"/>
      <c r="E115" s="22">
        <v>43353</v>
      </c>
      <c r="F115" s="11" t="s">
        <v>476</v>
      </c>
      <c r="G115" s="11" t="s">
        <v>477</v>
      </c>
    </row>
    <row r="116" spans="1:7" x14ac:dyDescent="0.35">
      <c r="A116" s="13">
        <v>1967</v>
      </c>
      <c r="B116" s="1" t="s">
        <v>642</v>
      </c>
      <c r="C116" s="15" t="s">
        <v>483</v>
      </c>
      <c r="D116" s="15" t="s">
        <v>484</v>
      </c>
      <c r="E116" s="22">
        <v>43360</v>
      </c>
      <c r="F116" s="11" t="s">
        <v>476</v>
      </c>
      <c r="G116" s="11" t="s">
        <v>477</v>
      </c>
    </row>
    <row r="117" spans="1:7" x14ac:dyDescent="0.35">
      <c r="A117" s="13">
        <v>1970</v>
      </c>
      <c r="B117" s="1" t="s">
        <v>643</v>
      </c>
      <c r="C117" s="15" t="s">
        <v>614</v>
      </c>
      <c r="D117" s="15" t="s">
        <v>514</v>
      </c>
      <c r="E117" s="22">
        <v>43360</v>
      </c>
      <c r="F117" s="11" t="s">
        <v>485</v>
      </c>
      <c r="G117" s="11" t="s">
        <v>19</v>
      </c>
    </row>
    <row r="118" spans="1:7" x14ac:dyDescent="0.35">
      <c r="A118" s="13">
        <v>1971</v>
      </c>
      <c r="B118" s="1" t="s">
        <v>644</v>
      </c>
      <c r="C118" s="15" t="s">
        <v>614</v>
      </c>
      <c r="D118" s="15" t="s">
        <v>514</v>
      </c>
      <c r="E118" s="22">
        <v>43360</v>
      </c>
      <c r="F118" s="11" t="s">
        <v>476</v>
      </c>
      <c r="G118" s="11" t="s">
        <v>19</v>
      </c>
    </row>
    <row r="119" spans="1:7" x14ac:dyDescent="0.35">
      <c r="A119" s="13">
        <v>1972</v>
      </c>
      <c r="B119" s="1" t="s">
        <v>645</v>
      </c>
      <c r="C119" s="15" t="s">
        <v>599</v>
      </c>
      <c r="D119" s="15" t="s">
        <v>484</v>
      </c>
      <c r="E119" s="22">
        <v>43367</v>
      </c>
      <c r="F119" s="11" t="s">
        <v>485</v>
      </c>
      <c r="G119" s="11" t="s">
        <v>19</v>
      </c>
    </row>
    <row r="120" spans="1:7" x14ac:dyDescent="0.35">
      <c r="A120" s="13">
        <v>1974</v>
      </c>
      <c r="B120" s="1" t="s">
        <v>646</v>
      </c>
      <c r="C120" s="15"/>
      <c r="D120" s="15"/>
      <c r="E120" s="22">
        <v>43367</v>
      </c>
      <c r="F120" s="11" t="s">
        <v>485</v>
      </c>
      <c r="G120" s="11" t="s">
        <v>19</v>
      </c>
    </row>
    <row r="121" spans="1:7" x14ac:dyDescent="0.35">
      <c r="A121" s="13">
        <v>1974</v>
      </c>
      <c r="B121" s="1" t="s">
        <v>646</v>
      </c>
      <c r="C121" s="15" t="s">
        <v>520</v>
      </c>
      <c r="D121" s="15" t="s">
        <v>480</v>
      </c>
      <c r="E121" s="22">
        <v>43367</v>
      </c>
      <c r="F121" s="11" t="s">
        <v>485</v>
      </c>
      <c r="G121" s="11" t="s">
        <v>19</v>
      </c>
    </row>
    <row r="122" spans="1:7" x14ac:dyDescent="0.35">
      <c r="A122" s="13">
        <v>1975</v>
      </c>
      <c r="B122" s="1" t="s">
        <v>306</v>
      </c>
      <c r="C122" s="15" t="s">
        <v>520</v>
      </c>
      <c r="D122" s="15" t="s">
        <v>480</v>
      </c>
      <c r="E122" s="22">
        <v>43367</v>
      </c>
      <c r="F122" s="11" t="s">
        <v>485</v>
      </c>
      <c r="G122" s="11" t="s">
        <v>19</v>
      </c>
    </row>
    <row r="123" spans="1:7" x14ac:dyDescent="0.35">
      <c r="A123" s="13">
        <v>1976</v>
      </c>
      <c r="B123" s="1" t="s">
        <v>647</v>
      </c>
      <c r="C123" s="15"/>
      <c r="D123" s="15"/>
      <c r="E123" s="22">
        <v>43367</v>
      </c>
      <c r="F123" s="11" t="s">
        <v>485</v>
      </c>
      <c r="G123" s="11" t="s">
        <v>19</v>
      </c>
    </row>
    <row r="124" spans="1:7" x14ac:dyDescent="0.35">
      <c r="A124" s="13">
        <v>1976</v>
      </c>
      <c r="B124" s="1" t="s">
        <v>648</v>
      </c>
      <c r="C124" s="15" t="s">
        <v>601</v>
      </c>
      <c r="D124" s="15" t="s">
        <v>484</v>
      </c>
      <c r="E124" s="22">
        <v>43367</v>
      </c>
      <c r="F124" s="11" t="s">
        <v>485</v>
      </c>
      <c r="G124" s="11" t="s">
        <v>19</v>
      </c>
    </row>
    <row r="125" spans="1:7" x14ac:dyDescent="0.35">
      <c r="A125" s="13">
        <v>1978</v>
      </c>
      <c r="B125" s="1" t="s">
        <v>649</v>
      </c>
      <c r="C125" s="15" t="s">
        <v>30</v>
      </c>
      <c r="D125" s="15" t="s">
        <v>498</v>
      </c>
      <c r="E125" s="22">
        <v>43381</v>
      </c>
      <c r="F125" s="11" t="s">
        <v>485</v>
      </c>
      <c r="G125" s="11" t="s">
        <v>477</v>
      </c>
    </row>
    <row r="126" spans="1:7" x14ac:dyDescent="0.35">
      <c r="A126" s="13">
        <v>1982</v>
      </c>
      <c r="B126" s="1" t="s">
        <v>650</v>
      </c>
      <c r="C126" s="15" t="s">
        <v>20</v>
      </c>
      <c r="D126" s="15" t="s">
        <v>573</v>
      </c>
      <c r="E126" s="22">
        <v>43382</v>
      </c>
      <c r="F126" s="11" t="s">
        <v>476</v>
      </c>
      <c r="G126" s="11" t="s">
        <v>19</v>
      </c>
    </row>
    <row r="127" spans="1:7" x14ac:dyDescent="0.35">
      <c r="A127" s="13">
        <v>1986</v>
      </c>
      <c r="B127" s="1" t="s">
        <v>651</v>
      </c>
      <c r="C127" s="15" t="s">
        <v>576</v>
      </c>
      <c r="D127" s="15" t="s">
        <v>491</v>
      </c>
      <c r="E127" s="22">
        <v>43402</v>
      </c>
      <c r="F127" s="11" t="s">
        <v>485</v>
      </c>
      <c r="G127" s="11" t="s">
        <v>19</v>
      </c>
    </row>
    <row r="128" spans="1:7" x14ac:dyDescent="0.35">
      <c r="A128" s="13">
        <v>1989</v>
      </c>
      <c r="B128" s="1" t="s">
        <v>652</v>
      </c>
      <c r="C128" s="15" t="s">
        <v>639</v>
      </c>
      <c r="D128" s="15" t="s">
        <v>557</v>
      </c>
      <c r="E128" s="22">
        <v>43402</v>
      </c>
      <c r="F128" s="11" t="s">
        <v>476</v>
      </c>
      <c r="G128" s="11" t="s">
        <v>19</v>
      </c>
    </row>
    <row r="129" spans="1:7" x14ac:dyDescent="0.35">
      <c r="A129" s="13">
        <v>1990</v>
      </c>
      <c r="B129" s="1" t="s">
        <v>653</v>
      </c>
      <c r="C129" s="15" t="s">
        <v>520</v>
      </c>
      <c r="D129" s="15" t="s">
        <v>480</v>
      </c>
      <c r="E129" s="22">
        <v>43416</v>
      </c>
      <c r="F129" s="11" t="s">
        <v>485</v>
      </c>
      <c r="G129" s="11" t="s">
        <v>477</v>
      </c>
    </row>
    <row r="130" spans="1:7" x14ac:dyDescent="0.35">
      <c r="A130" s="13">
        <v>1993</v>
      </c>
      <c r="B130" s="1" t="s">
        <v>654</v>
      </c>
      <c r="C130" s="15"/>
      <c r="D130" s="15"/>
      <c r="E130" s="22">
        <v>43416</v>
      </c>
      <c r="F130" s="11" t="s">
        <v>485</v>
      </c>
      <c r="G130" s="11" t="s">
        <v>477</v>
      </c>
    </row>
    <row r="131" spans="1:7" x14ac:dyDescent="0.35">
      <c r="A131" s="13">
        <v>1994</v>
      </c>
      <c r="B131" s="1" t="s">
        <v>655</v>
      </c>
      <c r="C131" s="15" t="s">
        <v>614</v>
      </c>
      <c r="D131" s="15" t="s">
        <v>514</v>
      </c>
      <c r="E131" s="22">
        <v>43425</v>
      </c>
      <c r="F131" s="11" t="s">
        <v>485</v>
      </c>
      <c r="G131" s="11" t="s">
        <v>19</v>
      </c>
    </row>
    <row r="132" spans="1:7" x14ac:dyDescent="0.35">
      <c r="A132" s="13">
        <v>1997</v>
      </c>
      <c r="B132" s="1" t="s">
        <v>656</v>
      </c>
      <c r="C132" s="15"/>
      <c r="D132" s="15"/>
      <c r="E132" s="22">
        <v>41876</v>
      </c>
      <c r="F132" s="11" t="s">
        <v>476</v>
      </c>
      <c r="G132" s="11" t="s">
        <v>19</v>
      </c>
    </row>
    <row r="133" spans="1:7" x14ac:dyDescent="0.35">
      <c r="A133" s="13">
        <v>4004</v>
      </c>
      <c r="B133" s="1" t="s">
        <v>657</v>
      </c>
      <c r="C133" s="15" t="s">
        <v>483</v>
      </c>
      <c r="D133" s="15" t="s">
        <v>484</v>
      </c>
      <c r="E133" s="22">
        <v>43283</v>
      </c>
      <c r="F133" s="11" t="s">
        <v>476</v>
      </c>
      <c r="G133" s="11" t="s">
        <v>477</v>
      </c>
    </row>
    <row r="134" spans="1:7" x14ac:dyDescent="0.35">
      <c r="A134" s="13">
        <v>4026</v>
      </c>
      <c r="B134" s="1" t="s">
        <v>658</v>
      </c>
      <c r="C134" s="15" t="s">
        <v>28</v>
      </c>
      <c r="D134" s="15" t="s">
        <v>616</v>
      </c>
      <c r="E134" s="22">
        <v>43563</v>
      </c>
      <c r="F134" s="11" t="s">
        <v>476</v>
      </c>
      <c r="G134" s="11" t="s">
        <v>19</v>
      </c>
    </row>
    <row r="135" spans="1:7" x14ac:dyDescent="0.35">
      <c r="A135" s="13">
        <v>4029</v>
      </c>
      <c r="B135" s="1" t="s">
        <v>659</v>
      </c>
      <c r="C135" s="15"/>
      <c r="D135" s="15"/>
      <c r="E135" s="22">
        <v>43563</v>
      </c>
      <c r="F135" s="11" t="s">
        <v>476</v>
      </c>
      <c r="G135" s="11" t="s">
        <v>19</v>
      </c>
    </row>
    <row r="136" spans="1:7" x14ac:dyDescent="0.35">
      <c r="A136" s="13">
        <v>4029</v>
      </c>
      <c r="B136" s="1" t="s">
        <v>659</v>
      </c>
      <c r="C136" s="15" t="s">
        <v>20</v>
      </c>
      <c r="D136" s="15" t="s">
        <v>573</v>
      </c>
      <c r="E136" s="22">
        <v>42929</v>
      </c>
      <c r="F136" s="11" t="s">
        <v>485</v>
      </c>
      <c r="G136" s="11" t="s">
        <v>477</v>
      </c>
    </row>
    <row r="137" spans="1:7" x14ac:dyDescent="0.35">
      <c r="A137" s="13">
        <v>4039</v>
      </c>
      <c r="B137" s="1" t="s">
        <v>660</v>
      </c>
      <c r="C137" s="15" t="s">
        <v>20</v>
      </c>
      <c r="D137" s="15" t="s">
        <v>573</v>
      </c>
      <c r="E137" s="22">
        <v>42954</v>
      </c>
      <c r="F137" s="11" t="s">
        <v>485</v>
      </c>
      <c r="G137" s="11" t="s">
        <v>19</v>
      </c>
    </row>
    <row r="138" spans="1:7" x14ac:dyDescent="0.35">
      <c r="A138" s="13">
        <v>4043</v>
      </c>
      <c r="B138" s="1" t="s">
        <v>661</v>
      </c>
      <c r="C138" s="15" t="s">
        <v>30</v>
      </c>
      <c r="D138" s="15" t="s">
        <v>498</v>
      </c>
      <c r="E138" s="22">
        <v>42999</v>
      </c>
      <c r="F138" s="11" t="s">
        <v>476</v>
      </c>
      <c r="G138" s="11" t="s">
        <v>477</v>
      </c>
    </row>
    <row r="139" spans="1:7" x14ac:dyDescent="0.35">
      <c r="A139" s="13">
        <v>4044</v>
      </c>
      <c r="B139" s="1" t="s">
        <v>662</v>
      </c>
      <c r="C139" s="15" t="s">
        <v>512</v>
      </c>
      <c r="D139" s="15" t="s">
        <v>503</v>
      </c>
      <c r="E139" s="22">
        <v>43013</v>
      </c>
      <c r="F139" s="11" t="s">
        <v>485</v>
      </c>
      <c r="G139" s="11" t="s">
        <v>19</v>
      </c>
    </row>
    <row r="140" spans="1:7" x14ac:dyDescent="0.35">
      <c r="A140" s="13">
        <v>4046</v>
      </c>
      <c r="B140" s="1" t="s">
        <v>663</v>
      </c>
      <c r="C140" s="15"/>
      <c r="D140" s="15"/>
      <c r="E140" s="22">
        <v>43164</v>
      </c>
      <c r="F140" s="11" t="s">
        <v>485</v>
      </c>
      <c r="G140" s="11" t="s">
        <v>477</v>
      </c>
    </row>
    <row r="141" spans="1:7" x14ac:dyDescent="0.35">
      <c r="A141" s="13">
        <v>4053</v>
      </c>
      <c r="B141" s="1" t="s">
        <v>664</v>
      </c>
      <c r="C141" s="15"/>
      <c r="D141" s="15"/>
      <c r="E141" s="22">
        <v>43283</v>
      </c>
      <c r="F141" s="11" t="s">
        <v>485</v>
      </c>
      <c r="G141" s="11" t="s">
        <v>477</v>
      </c>
    </row>
    <row r="142" spans="1:7" x14ac:dyDescent="0.35">
      <c r="A142" s="13">
        <v>4057</v>
      </c>
      <c r="B142" s="1" t="s">
        <v>665</v>
      </c>
      <c r="C142" s="15"/>
      <c r="D142" s="15"/>
      <c r="E142" s="22">
        <v>43283</v>
      </c>
      <c r="F142" s="11" t="s">
        <v>476</v>
      </c>
      <c r="G142" s="11" t="s">
        <v>477</v>
      </c>
    </row>
    <row r="143" spans="1:7" x14ac:dyDescent="0.35">
      <c r="A143" s="13">
        <v>4058</v>
      </c>
      <c r="B143" s="1" t="s">
        <v>666</v>
      </c>
      <c r="C143" s="15" t="s">
        <v>20</v>
      </c>
      <c r="D143" s="15" t="s">
        <v>573</v>
      </c>
      <c r="E143" s="22">
        <v>43353</v>
      </c>
      <c r="F143" s="11" t="s">
        <v>485</v>
      </c>
      <c r="G143" s="11" t="s">
        <v>477</v>
      </c>
    </row>
    <row r="144" spans="1:7" x14ac:dyDescent="0.35">
      <c r="A144" s="13">
        <v>4060</v>
      </c>
      <c r="B144" s="1" t="s">
        <v>667</v>
      </c>
      <c r="C144" s="15" t="s">
        <v>512</v>
      </c>
      <c r="D144" s="15" t="s">
        <v>503</v>
      </c>
      <c r="E144" s="22">
        <v>43563</v>
      </c>
      <c r="F144" s="11" t="s">
        <v>476</v>
      </c>
      <c r="G144" s="11" t="s">
        <v>19</v>
      </c>
    </row>
    <row r="145" spans="1:7" x14ac:dyDescent="0.35">
      <c r="A145" s="13">
        <v>4081</v>
      </c>
      <c r="B145" s="1" t="s">
        <v>668</v>
      </c>
      <c r="C145" s="15" t="s">
        <v>495</v>
      </c>
      <c r="D145" s="15" t="s">
        <v>496</v>
      </c>
      <c r="E145" s="22">
        <v>43472</v>
      </c>
      <c r="F145" s="11" t="s">
        <v>476</v>
      </c>
      <c r="G145" s="11" t="s">
        <v>19</v>
      </c>
    </row>
    <row r="146" spans="1:7" x14ac:dyDescent="0.35">
      <c r="A146" s="13">
        <v>4090</v>
      </c>
      <c r="B146" s="1" t="s">
        <v>669</v>
      </c>
      <c r="C146" s="15" t="s">
        <v>547</v>
      </c>
      <c r="D146" s="15" t="s">
        <v>484</v>
      </c>
      <c r="E146" s="22">
        <v>42029</v>
      </c>
      <c r="F146" s="11" t="s">
        <v>476</v>
      </c>
      <c r="G146" s="11" t="s">
        <v>477</v>
      </c>
    </row>
    <row r="147" spans="1:7" x14ac:dyDescent="0.35">
      <c r="A147" s="13">
        <v>4092</v>
      </c>
      <c r="B147" s="9" t="s">
        <v>670</v>
      </c>
      <c r="C147" s="15" t="s">
        <v>20</v>
      </c>
      <c r="D147" s="15" t="s">
        <v>573</v>
      </c>
      <c r="E147" s="22">
        <v>43626</v>
      </c>
      <c r="F147" s="11" t="s">
        <v>476</v>
      </c>
      <c r="G147" s="11" t="s">
        <v>477</v>
      </c>
    </row>
    <row r="148" spans="1:7" x14ac:dyDescent="0.35">
      <c r="A148" s="13">
        <v>4096</v>
      </c>
      <c r="B148" s="1" t="s">
        <v>671</v>
      </c>
      <c r="C148" s="15" t="s">
        <v>30</v>
      </c>
      <c r="D148" s="15" t="s">
        <v>498</v>
      </c>
      <c r="E148" s="22">
        <v>43633</v>
      </c>
      <c r="F148" s="11" t="s">
        <v>485</v>
      </c>
      <c r="G148" s="11" t="s">
        <v>19</v>
      </c>
    </row>
    <row r="149" spans="1:7" x14ac:dyDescent="0.35">
      <c r="A149" s="13">
        <v>4098</v>
      </c>
      <c r="B149" s="1" t="s">
        <v>672</v>
      </c>
      <c r="C149" s="15" t="s">
        <v>28</v>
      </c>
      <c r="D149" s="15" t="s">
        <v>616</v>
      </c>
      <c r="E149" s="22">
        <v>43665</v>
      </c>
      <c r="F149" s="11" t="s">
        <v>485</v>
      </c>
      <c r="G149" s="11" t="s">
        <v>477</v>
      </c>
    </row>
    <row r="150" spans="1:7" x14ac:dyDescent="0.35">
      <c r="A150" s="13">
        <v>4099</v>
      </c>
      <c r="B150" s="1" t="s">
        <v>673</v>
      </c>
      <c r="C150" s="15" t="s">
        <v>30</v>
      </c>
      <c r="D150" s="15" t="s">
        <v>498</v>
      </c>
      <c r="E150" s="22">
        <v>43726</v>
      </c>
      <c r="F150" s="11" t="s">
        <v>476</v>
      </c>
      <c r="G150" s="11" t="s">
        <v>19</v>
      </c>
    </row>
    <row r="151" spans="1:7" x14ac:dyDescent="0.35">
      <c r="A151" s="13">
        <v>4100</v>
      </c>
      <c r="B151" s="1" t="s">
        <v>674</v>
      </c>
      <c r="C151" s="15" t="s">
        <v>562</v>
      </c>
      <c r="D151" s="15" t="s">
        <v>492</v>
      </c>
      <c r="E151" s="22">
        <v>43782</v>
      </c>
      <c r="F151" s="11" t="s">
        <v>476</v>
      </c>
      <c r="G151" s="11" t="s">
        <v>19</v>
      </c>
    </row>
    <row r="152" spans="1:7" x14ac:dyDescent="0.35">
      <c r="A152" s="13">
        <v>4102</v>
      </c>
      <c r="B152" s="1" t="s">
        <v>675</v>
      </c>
      <c r="C152" s="15" t="s">
        <v>20</v>
      </c>
      <c r="D152" s="15" t="s">
        <v>573</v>
      </c>
      <c r="E152" s="22">
        <v>43864</v>
      </c>
      <c r="F152" s="11" t="s">
        <v>476</v>
      </c>
      <c r="G152" s="11" t="s">
        <v>19</v>
      </c>
    </row>
    <row r="153" spans="1:7" x14ac:dyDescent="0.35">
      <c r="A153" s="14">
        <v>4106</v>
      </c>
      <c r="B153" s="4" t="s">
        <v>676</v>
      </c>
      <c r="C153" s="15" t="s">
        <v>562</v>
      </c>
      <c r="D153" t="s">
        <v>492</v>
      </c>
      <c r="E153" s="22">
        <v>43943</v>
      </c>
      <c r="F153" s="11" t="s">
        <v>476</v>
      </c>
      <c r="G153" s="11" t="s">
        <v>19</v>
      </c>
    </row>
    <row r="154" spans="1:7" x14ac:dyDescent="0.35">
      <c r="A154" s="14">
        <v>4107</v>
      </c>
      <c r="B154" s="4" t="s">
        <v>677</v>
      </c>
      <c r="C154" s="15" t="s">
        <v>28</v>
      </c>
      <c r="D154" s="15" t="s">
        <v>616</v>
      </c>
      <c r="E154" s="22">
        <v>43943</v>
      </c>
      <c r="F154" s="11" t="s">
        <v>476</v>
      </c>
      <c r="G154" s="11" t="s">
        <v>19</v>
      </c>
    </row>
    <row r="155" spans="1:7" x14ac:dyDescent="0.35">
      <c r="A155" s="14">
        <v>4108</v>
      </c>
      <c r="B155" s="4" t="s">
        <v>678</v>
      </c>
      <c r="C155" s="15" t="s">
        <v>20</v>
      </c>
      <c r="D155" t="s">
        <v>573</v>
      </c>
      <c r="E155" s="22">
        <v>43943</v>
      </c>
      <c r="F155" s="11" t="s">
        <v>485</v>
      </c>
      <c r="G155" s="11" t="s">
        <v>19</v>
      </c>
    </row>
    <row r="156" spans="1:7" x14ac:dyDescent="0.35">
      <c r="A156" s="14">
        <v>4109</v>
      </c>
      <c r="B156" s="4" t="s">
        <v>679</v>
      </c>
      <c r="C156" s="15" t="s">
        <v>28</v>
      </c>
      <c r="D156" s="15" t="s">
        <v>616</v>
      </c>
      <c r="E156" s="22">
        <v>43997</v>
      </c>
      <c r="F156" s="11" t="s">
        <v>476</v>
      </c>
      <c r="G156" s="11" t="s">
        <v>19</v>
      </c>
    </row>
    <row r="157" spans="1:7" x14ac:dyDescent="0.35">
      <c r="A157" s="14">
        <v>4110</v>
      </c>
      <c r="B157" s="4" t="s">
        <v>680</v>
      </c>
      <c r="C157" s="15" t="s">
        <v>28</v>
      </c>
      <c r="D157" s="15" t="s">
        <v>616</v>
      </c>
      <c r="E157" s="22">
        <v>43997</v>
      </c>
      <c r="F157" s="11" t="s">
        <v>485</v>
      </c>
      <c r="G157" s="11" t="s">
        <v>19</v>
      </c>
    </row>
    <row r="158" spans="1:7" x14ac:dyDescent="0.35">
      <c r="A158" s="14">
        <v>4111</v>
      </c>
      <c r="B158" s="4" t="s">
        <v>681</v>
      </c>
      <c r="C158" s="15" t="s">
        <v>20</v>
      </c>
      <c r="D158" t="s">
        <v>573</v>
      </c>
      <c r="E158" s="22">
        <v>43997</v>
      </c>
      <c r="F158" s="11" t="s">
        <v>485</v>
      </c>
      <c r="G158" s="11" t="s">
        <v>19</v>
      </c>
    </row>
    <row r="159" spans="1:7" x14ac:dyDescent="0.35">
      <c r="A159" s="14">
        <v>4112</v>
      </c>
      <c r="B159" s="4" t="s">
        <v>682</v>
      </c>
      <c r="C159" t="s">
        <v>562</v>
      </c>
      <c r="D159" t="s">
        <v>492</v>
      </c>
      <c r="E159" s="23">
        <v>44039</v>
      </c>
      <c r="F159" s="11" t="s">
        <v>476</v>
      </c>
      <c r="G159" s="11" t="s">
        <v>19</v>
      </c>
    </row>
    <row r="160" spans="1:7" x14ac:dyDescent="0.35">
      <c r="A160" s="14">
        <v>4114</v>
      </c>
      <c r="B160" s="4" t="s">
        <v>683</v>
      </c>
      <c r="C160" s="15" t="s">
        <v>28</v>
      </c>
      <c r="D160" s="15" t="s">
        <v>616</v>
      </c>
      <c r="E160" s="23">
        <v>44060</v>
      </c>
      <c r="F160" s="11" t="s">
        <v>485</v>
      </c>
      <c r="G160" s="3" t="s">
        <v>19</v>
      </c>
    </row>
    <row r="161" spans="1:7" x14ac:dyDescent="0.35">
      <c r="A161" s="14">
        <v>4115</v>
      </c>
      <c r="B161" s="4" t="s">
        <v>684</v>
      </c>
      <c r="C161" t="s">
        <v>562</v>
      </c>
      <c r="D161" t="s">
        <v>685</v>
      </c>
      <c r="E161" s="23">
        <v>44130</v>
      </c>
      <c r="F161" s="3" t="s">
        <v>485</v>
      </c>
      <c r="G161" s="3" t="s">
        <v>19</v>
      </c>
    </row>
    <row r="162" spans="1:7" x14ac:dyDescent="0.35">
      <c r="A162" s="14">
        <v>4116</v>
      </c>
      <c r="B162" s="4" t="s">
        <v>686</v>
      </c>
      <c r="C162" t="s">
        <v>20</v>
      </c>
      <c r="D162" t="s">
        <v>687</v>
      </c>
      <c r="E162" s="23">
        <v>44158</v>
      </c>
      <c r="F162" s="3" t="s">
        <v>476</v>
      </c>
      <c r="G162" s="3" t="s">
        <v>19</v>
      </c>
    </row>
    <row r="163" spans="1:7" x14ac:dyDescent="0.35">
      <c r="A163" s="14">
        <v>4117</v>
      </c>
      <c r="B163" s="4" t="s">
        <v>688</v>
      </c>
      <c r="C163" t="s">
        <v>562</v>
      </c>
      <c r="D163" t="s">
        <v>504</v>
      </c>
      <c r="E163" s="23">
        <v>44179</v>
      </c>
      <c r="F163" s="3" t="s">
        <v>485</v>
      </c>
      <c r="G163" s="3" t="s">
        <v>19</v>
      </c>
    </row>
    <row r="164" spans="1:7" x14ac:dyDescent="0.35">
      <c r="A164" s="14">
        <v>4118</v>
      </c>
      <c r="B164" s="4" t="s">
        <v>689</v>
      </c>
      <c r="E164" s="23">
        <v>44228</v>
      </c>
      <c r="F164" s="3" t="s">
        <v>476</v>
      </c>
      <c r="G164" s="3" t="s">
        <v>19</v>
      </c>
    </row>
    <row r="165" spans="1:7" x14ac:dyDescent="0.35">
      <c r="A165" s="14">
        <v>4119</v>
      </c>
      <c r="B165" s="4" t="s">
        <v>690</v>
      </c>
      <c r="E165" s="23">
        <v>44243</v>
      </c>
      <c r="F165" s="3" t="s">
        <v>476</v>
      </c>
      <c r="G165" s="11" t="s">
        <v>19</v>
      </c>
    </row>
    <row r="166" spans="1:7" x14ac:dyDescent="0.35">
      <c r="A166" s="14">
        <v>4121</v>
      </c>
      <c r="B166" s="4" t="s">
        <v>691</v>
      </c>
      <c r="E166" s="23">
        <v>44243</v>
      </c>
      <c r="F166" s="3" t="s">
        <v>476</v>
      </c>
      <c r="G166" s="11" t="s">
        <v>19</v>
      </c>
    </row>
    <row r="167" spans="1:7" x14ac:dyDescent="0.35">
      <c r="A167" s="14">
        <v>4122</v>
      </c>
      <c r="B167" s="4" t="s">
        <v>692</v>
      </c>
      <c r="E167" s="23">
        <v>44243</v>
      </c>
      <c r="F167" s="3" t="s">
        <v>476</v>
      </c>
      <c r="G167" s="11" t="s">
        <v>19</v>
      </c>
    </row>
    <row r="168" spans="1:7" x14ac:dyDescent="0.35">
      <c r="A168" s="14">
        <v>4123</v>
      </c>
      <c r="B168" s="4" t="s">
        <v>693</v>
      </c>
      <c r="E168" s="23">
        <v>44291</v>
      </c>
      <c r="F168" s="3" t="s">
        <v>485</v>
      </c>
      <c r="G168" s="3" t="s">
        <v>19</v>
      </c>
    </row>
    <row r="169" spans="1:7" x14ac:dyDescent="0.35">
      <c r="A169" s="14">
        <v>4125</v>
      </c>
      <c r="B169" s="4" t="s">
        <v>694</v>
      </c>
      <c r="E169" s="23">
        <v>44291</v>
      </c>
      <c r="F169" s="3" t="s">
        <v>485</v>
      </c>
      <c r="G169" s="3" t="s">
        <v>19</v>
      </c>
    </row>
    <row r="170" spans="1:7" x14ac:dyDescent="0.35">
      <c r="A170" s="14">
        <v>4126</v>
      </c>
      <c r="B170" s="4" t="s">
        <v>695</v>
      </c>
      <c r="E170" s="23">
        <v>44291</v>
      </c>
      <c r="F170" s="3" t="s">
        <v>476</v>
      </c>
      <c r="G170" s="3" t="s">
        <v>19</v>
      </c>
    </row>
    <row r="171" spans="1:7" x14ac:dyDescent="0.35">
      <c r="A171" s="14">
        <v>4127</v>
      </c>
      <c r="B171" s="4" t="s">
        <v>696</v>
      </c>
      <c r="E171" s="23">
        <v>44291</v>
      </c>
      <c r="F171" s="3" t="s">
        <v>476</v>
      </c>
      <c r="G171" s="3" t="s">
        <v>19</v>
      </c>
    </row>
    <row r="172" spans="1:7" x14ac:dyDescent="0.35">
      <c r="A172" s="14">
        <v>4128</v>
      </c>
      <c r="B172" s="4" t="s">
        <v>697</v>
      </c>
      <c r="E172" s="23">
        <v>44354</v>
      </c>
      <c r="F172" s="3" t="s">
        <v>485</v>
      </c>
      <c r="G172" s="3" t="s">
        <v>19</v>
      </c>
    </row>
    <row r="173" spans="1:7" x14ac:dyDescent="0.35">
      <c r="A173" s="14">
        <v>4130</v>
      </c>
      <c r="B173" s="4" t="s">
        <v>698</v>
      </c>
      <c r="E173" s="23">
        <v>44354</v>
      </c>
      <c r="F173" s="3" t="s">
        <v>476</v>
      </c>
      <c r="G173" s="3" t="s">
        <v>19</v>
      </c>
    </row>
    <row r="174" spans="1:7" x14ac:dyDescent="0.35">
      <c r="A174" s="14">
        <v>4132</v>
      </c>
      <c r="B174" s="4" t="s">
        <v>699</v>
      </c>
      <c r="E174" s="23">
        <v>44451</v>
      </c>
      <c r="F174" s="3" t="s">
        <v>485</v>
      </c>
      <c r="G174" s="3" t="s">
        <v>19</v>
      </c>
    </row>
    <row r="175" spans="1:7" x14ac:dyDescent="0.35">
      <c r="A175" s="14">
        <v>4134</v>
      </c>
      <c r="B175" s="4" t="s">
        <v>700</v>
      </c>
      <c r="E175" s="23">
        <v>44451</v>
      </c>
      <c r="F175" s="3" t="s">
        <v>476</v>
      </c>
      <c r="G175" s="3" t="s">
        <v>19</v>
      </c>
    </row>
    <row r="176" spans="1:7" x14ac:dyDescent="0.35">
      <c r="A176" s="14">
        <v>4135</v>
      </c>
      <c r="B176" s="4" t="s">
        <v>701</v>
      </c>
      <c r="E176" s="23">
        <v>44451</v>
      </c>
      <c r="F176" s="3" t="s">
        <v>476</v>
      </c>
      <c r="G176" s="3" t="s">
        <v>19</v>
      </c>
    </row>
    <row r="177" spans="1:7" x14ac:dyDescent="0.35">
      <c r="A177" s="14">
        <v>4136</v>
      </c>
      <c r="B177" s="4" t="s">
        <v>702</v>
      </c>
      <c r="E177" s="23">
        <v>44442</v>
      </c>
      <c r="F177" s="3" t="s">
        <v>476</v>
      </c>
      <c r="G177" s="3" t="s">
        <v>19</v>
      </c>
    </row>
    <row r="178" spans="1:7" x14ac:dyDescent="0.35">
      <c r="A178" s="14">
        <v>4137</v>
      </c>
      <c r="B178" s="4" t="s">
        <v>703</v>
      </c>
      <c r="E178" s="23">
        <v>44442</v>
      </c>
      <c r="F178" s="3" t="s">
        <v>476</v>
      </c>
      <c r="G178" s="3" t="s">
        <v>19</v>
      </c>
    </row>
    <row r="179" spans="1:7" x14ac:dyDescent="0.35">
      <c r="A179" s="13">
        <v>4138</v>
      </c>
      <c r="B179" s="1" t="s">
        <v>704</v>
      </c>
      <c r="C179" s="15" t="s">
        <v>20</v>
      </c>
      <c r="D179" s="15" t="s">
        <v>573</v>
      </c>
      <c r="E179" s="22">
        <v>43430</v>
      </c>
      <c r="F179" s="11" t="s">
        <v>485</v>
      </c>
      <c r="G179" s="11" t="s">
        <v>477</v>
      </c>
    </row>
    <row r="180" spans="1:7" x14ac:dyDescent="0.35">
      <c r="A180" s="13">
        <v>4140</v>
      </c>
      <c r="B180" s="1" t="s">
        <v>705</v>
      </c>
      <c r="C180" s="15" t="s">
        <v>599</v>
      </c>
      <c r="D180" s="15" t="s">
        <v>484</v>
      </c>
      <c r="E180" s="22">
        <v>43451</v>
      </c>
      <c r="F180" s="11" t="s">
        <v>476</v>
      </c>
      <c r="G180" s="11" t="s">
        <v>19</v>
      </c>
    </row>
    <row r="181" spans="1:7" x14ac:dyDescent="0.35">
      <c r="A181" s="13">
        <v>4141</v>
      </c>
      <c r="B181" s="1" t="s">
        <v>706</v>
      </c>
      <c r="C181" s="15" t="s">
        <v>639</v>
      </c>
      <c r="D181" s="15" t="s">
        <v>557</v>
      </c>
      <c r="E181" s="22">
        <v>43472</v>
      </c>
      <c r="F181" s="11" t="s">
        <v>476</v>
      </c>
      <c r="G181" s="11" t="s">
        <v>19</v>
      </c>
    </row>
    <row r="182" spans="1:7" x14ac:dyDescent="0.35">
      <c r="A182" s="13">
        <v>4142</v>
      </c>
      <c r="B182" s="1" t="s">
        <v>707</v>
      </c>
      <c r="C182" s="15" t="s">
        <v>639</v>
      </c>
      <c r="D182" s="15" t="s">
        <v>557</v>
      </c>
      <c r="E182" s="22">
        <v>43486</v>
      </c>
      <c r="F182" s="11" t="s">
        <v>485</v>
      </c>
      <c r="G182" s="11" t="s">
        <v>19</v>
      </c>
    </row>
    <row r="183" spans="1:7" x14ac:dyDescent="0.35">
      <c r="A183" s="13">
        <v>4144</v>
      </c>
      <c r="B183" s="1" t="s">
        <v>708</v>
      </c>
      <c r="C183" s="15" t="s">
        <v>562</v>
      </c>
      <c r="D183" s="15" t="s">
        <v>492</v>
      </c>
      <c r="E183" s="22">
        <v>43486</v>
      </c>
      <c r="F183" s="11" t="s">
        <v>485</v>
      </c>
      <c r="G183" s="11" t="s">
        <v>19</v>
      </c>
    </row>
    <row r="184" spans="1:7" x14ac:dyDescent="0.35">
      <c r="A184" s="13">
        <v>4145</v>
      </c>
      <c r="B184" s="1" t="s">
        <v>709</v>
      </c>
      <c r="C184" s="15" t="s">
        <v>495</v>
      </c>
      <c r="D184" s="15" t="s">
        <v>496</v>
      </c>
      <c r="E184" s="22">
        <v>43486</v>
      </c>
      <c r="F184" s="11" t="s">
        <v>476</v>
      </c>
      <c r="G184" s="11" t="s">
        <v>19</v>
      </c>
    </row>
    <row r="185" spans="1:7" x14ac:dyDescent="0.35">
      <c r="A185" s="13">
        <v>4146</v>
      </c>
      <c r="B185" s="1" t="s">
        <v>710</v>
      </c>
      <c r="C185" s="15" t="s">
        <v>614</v>
      </c>
      <c r="D185" s="15" t="s">
        <v>514</v>
      </c>
      <c r="E185" s="22">
        <v>43489</v>
      </c>
      <c r="F185" s="11" t="s">
        <v>476</v>
      </c>
      <c r="G185" s="11" t="s">
        <v>19</v>
      </c>
    </row>
    <row r="186" spans="1:7" x14ac:dyDescent="0.35">
      <c r="A186" s="13">
        <v>4146</v>
      </c>
      <c r="B186" s="1" t="s">
        <v>710</v>
      </c>
      <c r="C186" t="s">
        <v>711</v>
      </c>
      <c r="D186" s="15" t="s">
        <v>557</v>
      </c>
      <c r="E186" s="22">
        <v>43500</v>
      </c>
      <c r="F186" s="11" t="s">
        <v>485</v>
      </c>
      <c r="G186" s="11" t="s">
        <v>19</v>
      </c>
    </row>
    <row r="187" spans="1:7" x14ac:dyDescent="0.35">
      <c r="A187" s="14">
        <v>4151</v>
      </c>
      <c r="B187" s="4" t="s">
        <v>712</v>
      </c>
      <c r="C187" t="s">
        <v>711</v>
      </c>
      <c r="D187" s="15" t="s">
        <v>557</v>
      </c>
      <c r="E187" s="22">
        <v>43500</v>
      </c>
      <c r="F187" s="11" t="s">
        <v>485</v>
      </c>
      <c r="G187" s="11" t="s">
        <v>19</v>
      </c>
    </row>
    <row r="188" spans="1:7" x14ac:dyDescent="0.35">
      <c r="A188" s="13">
        <v>4152</v>
      </c>
      <c r="B188" s="1" t="s">
        <v>713</v>
      </c>
      <c r="C188" s="15" t="s">
        <v>547</v>
      </c>
      <c r="D188" s="15" t="s">
        <v>484</v>
      </c>
      <c r="E188" s="22">
        <v>43500</v>
      </c>
      <c r="F188" s="11" t="s">
        <v>476</v>
      </c>
      <c r="G188" s="11" t="s">
        <v>19</v>
      </c>
    </row>
    <row r="189" spans="1:7" x14ac:dyDescent="0.35">
      <c r="A189" s="13">
        <v>4153</v>
      </c>
      <c r="B189" s="1" t="s">
        <v>714</v>
      </c>
      <c r="C189" s="15" t="s">
        <v>28</v>
      </c>
      <c r="D189" s="15" t="s">
        <v>616</v>
      </c>
      <c r="E189" s="22">
        <v>43514</v>
      </c>
      <c r="F189" s="11" t="s">
        <v>476</v>
      </c>
      <c r="G189" s="11" t="s">
        <v>19</v>
      </c>
    </row>
    <row r="190" spans="1:7" x14ac:dyDescent="0.35">
      <c r="A190" s="13">
        <v>4154</v>
      </c>
      <c r="B190" s="1" t="s">
        <v>222</v>
      </c>
      <c r="C190" s="15"/>
      <c r="D190" s="15"/>
      <c r="E190" s="22">
        <v>43514</v>
      </c>
      <c r="F190" s="11" t="s">
        <v>476</v>
      </c>
      <c r="G190" s="11" t="s">
        <v>19</v>
      </c>
    </row>
    <row r="191" spans="1:7" x14ac:dyDescent="0.35">
      <c r="A191" s="13">
        <v>4155</v>
      </c>
      <c r="B191" s="1" t="s">
        <v>347</v>
      </c>
      <c r="C191" t="s">
        <v>711</v>
      </c>
      <c r="D191" s="15" t="s">
        <v>557</v>
      </c>
      <c r="E191" s="22">
        <v>43514</v>
      </c>
      <c r="F191" s="11" t="s">
        <v>476</v>
      </c>
      <c r="G191" s="11" t="s">
        <v>19</v>
      </c>
    </row>
    <row r="192" spans="1:7" x14ac:dyDescent="0.35">
      <c r="A192" s="14">
        <v>4156</v>
      </c>
      <c r="B192" s="4" t="s">
        <v>715</v>
      </c>
      <c r="C192" t="s">
        <v>711</v>
      </c>
      <c r="D192" s="15" t="s">
        <v>557</v>
      </c>
      <c r="E192" s="22">
        <v>43514</v>
      </c>
      <c r="F192" s="11" t="s">
        <v>476</v>
      </c>
      <c r="G192" s="11" t="s">
        <v>19</v>
      </c>
    </row>
    <row r="193" spans="1:7" x14ac:dyDescent="0.35">
      <c r="A193" s="13">
        <v>4157</v>
      </c>
      <c r="B193" s="1" t="s">
        <v>716</v>
      </c>
      <c r="C193" s="15"/>
      <c r="D193" s="15"/>
      <c r="E193" s="22">
        <v>43535</v>
      </c>
      <c r="F193" s="11" t="s">
        <v>485</v>
      </c>
      <c r="G193" s="11" t="s">
        <v>477</v>
      </c>
    </row>
    <row r="194" spans="1:7" x14ac:dyDescent="0.35">
      <c r="A194" s="13">
        <v>4158</v>
      </c>
      <c r="B194" s="1" t="s">
        <v>717</v>
      </c>
      <c r="C194" s="15" t="s">
        <v>30</v>
      </c>
      <c r="D194" s="15" t="s">
        <v>498</v>
      </c>
      <c r="E194" s="22">
        <v>43535</v>
      </c>
      <c r="F194" s="11" t="s">
        <v>476</v>
      </c>
      <c r="G194" s="11" t="s">
        <v>477</v>
      </c>
    </row>
    <row r="195" spans="1:7" x14ac:dyDescent="0.35">
      <c r="A195" s="13">
        <v>4159</v>
      </c>
      <c r="B195" s="1" t="s">
        <v>231</v>
      </c>
      <c r="C195" t="s">
        <v>711</v>
      </c>
      <c r="D195" s="15" t="s">
        <v>557</v>
      </c>
      <c r="E195" s="22">
        <v>43542</v>
      </c>
      <c r="F195" s="11" t="s">
        <v>476</v>
      </c>
      <c r="G195" s="11" t="s">
        <v>477</v>
      </c>
    </row>
    <row r="196" spans="1:7" x14ac:dyDescent="0.35">
      <c r="A196" s="13">
        <v>4162</v>
      </c>
      <c r="B196" s="1" t="s">
        <v>223</v>
      </c>
      <c r="C196" t="s">
        <v>711</v>
      </c>
      <c r="D196" s="15" t="s">
        <v>557</v>
      </c>
      <c r="E196" s="22">
        <v>43563</v>
      </c>
      <c r="F196" s="11" t="s">
        <v>485</v>
      </c>
      <c r="G196" s="11" t="s">
        <v>19</v>
      </c>
    </row>
    <row r="197" spans="1:7" x14ac:dyDescent="0.35">
      <c r="A197" s="14">
        <v>4163</v>
      </c>
      <c r="B197" s="4" t="s">
        <v>224</v>
      </c>
      <c r="C197" t="s">
        <v>711</v>
      </c>
      <c r="D197" s="15" t="s">
        <v>557</v>
      </c>
      <c r="E197" s="22">
        <v>43563</v>
      </c>
      <c r="F197" s="11" t="s">
        <v>485</v>
      </c>
      <c r="G197" s="11" t="s">
        <v>19</v>
      </c>
    </row>
    <row r="198" spans="1:7" x14ac:dyDescent="0.35">
      <c r="A198" s="13">
        <v>41640</v>
      </c>
      <c r="B198" s="1" t="s">
        <v>718</v>
      </c>
      <c r="C198" s="15" t="s">
        <v>30</v>
      </c>
      <c r="D198" s="15" t="s">
        <v>498</v>
      </c>
      <c r="E198" s="22">
        <v>43563</v>
      </c>
      <c r="F198" s="11" t="s">
        <v>485</v>
      </c>
      <c r="G198" s="11" t="s">
        <v>19</v>
      </c>
    </row>
    <row r="199" spans="1:7" x14ac:dyDescent="0.35">
      <c r="A199" s="13">
        <v>4167</v>
      </c>
      <c r="B199" s="9" t="s">
        <v>719</v>
      </c>
      <c r="C199" s="15" t="s">
        <v>520</v>
      </c>
      <c r="D199" s="15" t="s">
        <v>480</v>
      </c>
      <c r="E199" s="22">
        <v>43563</v>
      </c>
      <c r="F199" s="11" t="s">
        <v>485</v>
      </c>
      <c r="G199" s="11" t="s">
        <v>19</v>
      </c>
    </row>
    <row r="200" spans="1:7" x14ac:dyDescent="0.35">
      <c r="A200" s="13">
        <v>11151</v>
      </c>
      <c r="B200" s="1" t="s">
        <v>345</v>
      </c>
      <c r="C200" s="15" t="s">
        <v>639</v>
      </c>
      <c r="D200" s="15" t="s">
        <v>557</v>
      </c>
      <c r="E200" s="22">
        <v>43566</v>
      </c>
      <c r="F200" s="11" t="s">
        <v>476</v>
      </c>
      <c r="G200" s="11" t="s">
        <v>19</v>
      </c>
    </row>
    <row r="201" spans="1:7" x14ac:dyDescent="0.35">
      <c r="A201" s="13">
        <v>4170</v>
      </c>
      <c r="B201" s="1" t="s">
        <v>720</v>
      </c>
      <c r="C201" s="15" t="s">
        <v>28</v>
      </c>
      <c r="D201" s="15" t="s">
        <v>616</v>
      </c>
      <c r="E201" s="22">
        <v>43577</v>
      </c>
      <c r="F201" s="11" t="s">
        <v>476</v>
      </c>
      <c r="G201" s="11" t="s">
        <v>477</v>
      </c>
    </row>
    <row r="202" spans="1:7" x14ac:dyDescent="0.35">
      <c r="A202" s="13">
        <v>4171</v>
      </c>
      <c r="B202" s="1" t="s">
        <v>228</v>
      </c>
      <c r="C202" s="15" t="s">
        <v>20</v>
      </c>
      <c r="D202" s="15" t="s">
        <v>573</v>
      </c>
      <c r="E202" s="22">
        <v>43577</v>
      </c>
      <c r="F202" s="11" t="s">
        <v>476</v>
      </c>
      <c r="G202" s="11" t="s">
        <v>19</v>
      </c>
    </row>
    <row r="203" spans="1:7" x14ac:dyDescent="0.35">
      <c r="A203" s="14">
        <v>4174</v>
      </c>
      <c r="B203" s="4" t="s">
        <v>721</v>
      </c>
      <c r="C203" s="15" t="s">
        <v>28</v>
      </c>
      <c r="D203" t="s">
        <v>616</v>
      </c>
      <c r="E203" s="22">
        <v>43591</v>
      </c>
      <c r="F203" s="11" t="s">
        <v>485</v>
      </c>
      <c r="G203" s="11" t="s">
        <v>19</v>
      </c>
    </row>
    <row r="204" spans="1:7" x14ac:dyDescent="0.35">
      <c r="A204" s="13">
        <v>4175</v>
      </c>
      <c r="B204" s="1" t="s">
        <v>232</v>
      </c>
      <c r="C204" s="15" t="s">
        <v>601</v>
      </c>
      <c r="D204" s="15" t="s">
        <v>484</v>
      </c>
      <c r="E204" s="22">
        <v>43594</v>
      </c>
      <c r="F204" s="11" t="s">
        <v>476</v>
      </c>
      <c r="G204" s="11" t="s">
        <v>19</v>
      </c>
    </row>
    <row r="205" spans="1:7" x14ac:dyDescent="0.35">
      <c r="A205" s="13">
        <v>4176</v>
      </c>
      <c r="B205" s="1" t="s">
        <v>230</v>
      </c>
      <c r="C205" t="s">
        <v>711</v>
      </c>
      <c r="D205" s="15" t="s">
        <v>557</v>
      </c>
      <c r="E205" s="22">
        <v>43619</v>
      </c>
      <c r="F205" s="11" t="s">
        <v>485</v>
      </c>
      <c r="G205" s="11" t="s">
        <v>19</v>
      </c>
    </row>
    <row r="206" spans="1:7" x14ac:dyDescent="0.35">
      <c r="A206" s="14">
        <v>4177</v>
      </c>
      <c r="B206" s="4" t="s">
        <v>722</v>
      </c>
      <c r="C206" t="s">
        <v>711</v>
      </c>
      <c r="D206" s="15" t="s">
        <v>557</v>
      </c>
      <c r="E206" s="22">
        <v>43619</v>
      </c>
      <c r="F206" s="11" t="s">
        <v>485</v>
      </c>
      <c r="G206" s="11" t="s">
        <v>19</v>
      </c>
    </row>
    <row r="207" spans="1:7" x14ac:dyDescent="0.35">
      <c r="A207" s="13">
        <v>10000</v>
      </c>
      <c r="B207" s="1" t="s">
        <v>723</v>
      </c>
      <c r="C207" s="15" t="s">
        <v>562</v>
      </c>
      <c r="D207" s="15" t="s">
        <v>492</v>
      </c>
      <c r="E207" s="22">
        <v>43626</v>
      </c>
      <c r="F207" s="11" t="s">
        <v>476</v>
      </c>
      <c r="G207" s="11" t="s">
        <v>19</v>
      </c>
    </row>
    <row r="208" spans="1:7" x14ac:dyDescent="0.35">
      <c r="A208" s="13">
        <v>10004</v>
      </c>
      <c r="B208" s="1" t="s">
        <v>724</v>
      </c>
      <c r="C208" s="15" t="s">
        <v>30</v>
      </c>
      <c r="D208" s="15" t="s">
        <v>498</v>
      </c>
      <c r="E208" s="22">
        <v>43626</v>
      </c>
      <c r="F208" s="11" t="s">
        <v>476</v>
      </c>
      <c r="G208" s="11" t="s">
        <v>19</v>
      </c>
    </row>
    <row r="209" spans="1:7" x14ac:dyDescent="0.35">
      <c r="A209" s="13">
        <v>10008</v>
      </c>
      <c r="B209" s="1" t="s">
        <v>725</v>
      </c>
      <c r="C209" s="15" t="s">
        <v>495</v>
      </c>
      <c r="D209" s="15" t="s">
        <v>496</v>
      </c>
      <c r="E209" s="22">
        <v>43633</v>
      </c>
      <c r="F209" s="11" t="s">
        <v>485</v>
      </c>
      <c r="G209" s="11" t="s">
        <v>19</v>
      </c>
    </row>
    <row r="210" spans="1:7" x14ac:dyDescent="0.35">
      <c r="A210" s="13">
        <v>10012</v>
      </c>
      <c r="B210" s="1" t="s">
        <v>726</v>
      </c>
      <c r="C210" s="15" t="s">
        <v>727</v>
      </c>
      <c r="D210" s="15" t="s">
        <v>557</v>
      </c>
      <c r="E210" s="22">
        <v>43633</v>
      </c>
      <c r="F210" s="11" t="s">
        <v>485</v>
      </c>
      <c r="G210" s="11" t="s">
        <v>19</v>
      </c>
    </row>
    <row r="211" spans="1:7" x14ac:dyDescent="0.35">
      <c r="A211" s="13">
        <v>10013</v>
      </c>
      <c r="B211" s="1" t="s">
        <v>728</v>
      </c>
      <c r="C211" s="15" t="s">
        <v>614</v>
      </c>
      <c r="D211" s="15" t="s">
        <v>514</v>
      </c>
      <c r="E211" s="22">
        <v>43634</v>
      </c>
      <c r="F211" s="11" t="s">
        <v>476</v>
      </c>
      <c r="G211" s="11" t="s">
        <v>19</v>
      </c>
    </row>
    <row r="212" spans="1:7" x14ac:dyDescent="0.35">
      <c r="A212" s="13">
        <v>10015</v>
      </c>
      <c r="B212" s="1" t="s">
        <v>729</v>
      </c>
      <c r="C212" s="15" t="s">
        <v>30</v>
      </c>
      <c r="D212" s="15" t="s">
        <v>498</v>
      </c>
      <c r="E212" s="22">
        <v>43647</v>
      </c>
      <c r="F212" s="11" t="s">
        <v>485</v>
      </c>
      <c r="G212" s="11" t="s">
        <v>19</v>
      </c>
    </row>
    <row r="213" spans="1:7" x14ac:dyDescent="0.35">
      <c r="A213" s="13">
        <v>10016</v>
      </c>
      <c r="B213" s="1" t="s">
        <v>730</v>
      </c>
      <c r="C213" s="15" t="s">
        <v>639</v>
      </c>
      <c r="D213" s="15" t="s">
        <v>557</v>
      </c>
      <c r="E213" s="22">
        <v>43647</v>
      </c>
      <c r="F213" s="11" t="s">
        <v>476</v>
      </c>
      <c r="G213" s="11" t="s">
        <v>477</v>
      </c>
    </row>
    <row r="214" spans="1:7" x14ac:dyDescent="0.35">
      <c r="A214" s="13">
        <v>10019</v>
      </c>
      <c r="B214" s="1" t="s">
        <v>731</v>
      </c>
      <c r="C214" s="15" t="s">
        <v>28</v>
      </c>
      <c r="D214" s="15" t="s">
        <v>616</v>
      </c>
      <c r="E214" s="22">
        <v>43647</v>
      </c>
      <c r="F214" s="11" t="s">
        <v>485</v>
      </c>
      <c r="G214" s="11" t="s">
        <v>477</v>
      </c>
    </row>
    <row r="215" spans="1:7" x14ac:dyDescent="0.35">
      <c r="A215" s="14">
        <v>10019</v>
      </c>
      <c r="B215" s="4" t="s">
        <v>731</v>
      </c>
      <c r="C215" t="s">
        <v>559</v>
      </c>
      <c r="D215" t="s">
        <v>557</v>
      </c>
      <c r="E215" s="22">
        <v>43654</v>
      </c>
      <c r="F215" s="11" t="s">
        <v>476</v>
      </c>
      <c r="G215" s="11" t="s">
        <v>477</v>
      </c>
    </row>
    <row r="216" spans="1:7" x14ac:dyDescent="0.35">
      <c r="A216" s="13">
        <v>10021</v>
      </c>
      <c r="B216" s="1" t="s">
        <v>732</v>
      </c>
      <c r="C216" s="15" t="s">
        <v>556</v>
      </c>
      <c r="D216" s="15" t="s">
        <v>557</v>
      </c>
      <c r="E216" s="22">
        <v>43654</v>
      </c>
      <c r="F216" s="11" t="s">
        <v>476</v>
      </c>
      <c r="G216" s="11" t="s">
        <v>477</v>
      </c>
    </row>
    <row r="217" spans="1:7" x14ac:dyDescent="0.35">
      <c r="A217" s="13">
        <v>10026</v>
      </c>
      <c r="B217" s="1" t="s">
        <v>733</v>
      </c>
      <c r="C217" s="15" t="s">
        <v>28</v>
      </c>
      <c r="D217" s="15" t="s">
        <v>616</v>
      </c>
      <c r="E217" s="22">
        <v>43668</v>
      </c>
      <c r="F217" s="11" t="s">
        <v>485</v>
      </c>
      <c r="G217" s="11" t="s">
        <v>477</v>
      </c>
    </row>
    <row r="218" spans="1:7" x14ac:dyDescent="0.35">
      <c r="A218" s="13">
        <v>10026</v>
      </c>
      <c r="B218" s="1" t="s">
        <v>734</v>
      </c>
      <c r="C218" s="15" t="s">
        <v>28</v>
      </c>
      <c r="D218" s="15" t="s">
        <v>616</v>
      </c>
      <c r="E218" s="22">
        <v>43668</v>
      </c>
      <c r="F218" s="11" t="s">
        <v>485</v>
      </c>
      <c r="G218" s="11" t="s">
        <v>19</v>
      </c>
    </row>
    <row r="219" spans="1:7" x14ac:dyDescent="0.35">
      <c r="A219" s="13">
        <v>10030</v>
      </c>
      <c r="B219" s="1" t="s">
        <v>735</v>
      </c>
      <c r="C219" s="15" t="s">
        <v>590</v>
      </c>
      <c r="D219" s="15" t="s">
        <v>557</v>
      </c>
      <c r="E219" s="22">
        <v>43668</v>
      </c>
      <c r="F219" s="11" t="s">
        <v>476</v>
      </c>
      <c r="G219" s="11" t="s">
        <v>19</v>
      </c>
    </row>
    <row r="220" spans="1:7" x14ac:dyDescent="0.35">
      <c r="A220" s="14">
        <v>10030</v>
      </c>
      <c r="B220" s="4" t="s">
        <v>735</v>
      </c>
      <c r="E220" s="22">
        <v>43668</v>
      </c>
      <c r="F220" s="3" t="s">
        <v>485</v>
      </c>
      <c r="G220" s="11" t="s">
        <v>19</v>
      </c>
    </row>
    <row r="221" spans="1:7" x14ac:dyDescent="0.35">
      <c r="A221" s="13">
        <v>10035</v>
      </c>
      <c r="B221" s="1" t="s">
        <v>736</v>
      </c>
      <c r="C221" s="15" t="s">
        <v>562</v>
      </c>
      <c r="D221" s="15" t="s">
        <v>492</v>
      </c>
      <c r="E221" s="22">
        <v>43682</v>
      </c>
      <c r="F221" s="11" t="s">
        <v>485</v>
      </c>
      <c r="G221" s="11" t="s">
        <v>19</v>
      </c>
    </row>
    <row r="222" spans="1:7" x14ac:dyDescent="0.35">
      <c r="A222" s="13">
        <v>10036</v>
      </c>
      <c r="B222" s="1" t="s">
        <v>737</v>
      </c>
      <c r="C222" s="15" t="s">
        <v>28</v>
      </c>
      <c r="D222" s="15" t="s">
        <v>616</v>
      </c>
      <c r="E222" s="22">
        <v>43696</v>
      </c>
      <c r="F222" s="11" t="s">
        <v>485</v>
      </c>
      <c r="G222" s="11" t="s">
        <v>19</v>
      </c>
    </row>
    <row r="223" spans="1:7" x14ac:dyDescent="0.35">
      <c r="A223" s="13">
        <v>10038</v>
      </c>
      <c r="B223" s="1" t="s">
        <v>738</v>
      </c>
      <c r="C223" s="15" t="s">
        <v>20</v>
      </c>
      <c r="D223" s="15" t="s">
        <v>573</v>
      </c>
      <c r="E223" s="22">
        <v>43696</v>
      </c>
      <c r="F223" s="11" t="s">
        <v>485</v>
      </c>
      <c r="G223" s="11" t="s">
        <v>19</v>
      </c>
    </row>
    <row r="224" spans="1:7" x14ac:dyDescent="0.35">
      <c r="A224" s="13">
        <v>10041</v>
      </c>
      <c r="B224" s="1" t="s">
        <v>75</v>
      </c>
      <c r="C224" s="15" t="s">
        <v>601</v>
      </c>
      <c r="D224" s="15" t="s">
        <v>484</v>
      </c>
      <c r="E224" s="22">
        <v>43691</v>
      </c>
      <c r="F224" s="11" t="s">
        <v>476</v>
      </c>
      <c r="G224" s="11" t="s">
        <v>19</v>
      </c>
    </row>
    <row r="225" spans="1:7" x14ac:dyDescent="0.35">
      <c r="A225" s="13">
        <v>10048</v>
      </c>
      <c r="B225" s="1" t="s">
        <v>739</v>
      </c>
      <c r="C225" s="15" t="s">
        <v>495</v>
      </c>
      <c r="D225" s="15" t="s">
        <v>496</v>
      </c>
      <c r="E225" s="22">
        <v>43696</v>
      </c>
      <c r="F225" s="11" t="s">
        <v>485</v>
      </c>
      <c r="G225" s="11" t="s">
        <v>19</v>
      </c>
    </row>
    <row r="226" spans="1:7" x14ac:dyDescent="0.35">
      <c r="A226" s="13">
        <v>10048</v>
      </c>
      <c r="B226" s="1" t="s">
        <v>739</v>
      </c>
      <c r="C226" s="15" t="s">
        <v>20</v>
      </c>
      <c r="D226" s="15" t="s">
        <v>573</v>
      </c>
      <c r="E226" s="22">
        <v>43696</v>
      </c>
      <c r="F226" s="11" t="s">
        <v>485</v>
      </c>
      <c r="G226" s="11" t="s">
        <v>477</v>
      </c>
    </row>
    <row r="227" spans="1:7" x14ac:dyDescent="0.35">
      <c r="A227" s="13">
        <v>10050</v>
      </c>
      <c r="B227" s="1" t="s">
        <v>740</v>
      </c>
      <c r="C227" s="15" t="s">
        <v>639</v>
      </c>
      <c r="D227" s="15" t="s">
        <v>557</v>
      </c>
      <c r="E227" s="22">
        <v>43696</v>
      </c>
      <c r="F227" s="11" t="s">
        <v>485</v>
      </c>
      <c r="G227" s="11" t="s">
        <v>19</v>
      </c>
    </row>
    <row r="228" spans="1:7" x14ac:dyDescent="0.35">
      <c r="A228" s="13">
        <v>10051</v>
      </c>
      <c r="B228" s="1" t="s">
        <v>741</v>
      </c>
      <c r="C228" s="15" t="s">
        <v>28</v>
      </c>
      <c r="D228" s="15" t="s">
        <v>616</v>
      </c>
      <c r="E228" s="22">
        <v>43710</v>
      </c>
      <c r="F228" s="11" t="s">
        <v>485</v>
      </c>
      <c r="G228" s="11" t="s">
        <v>477</v>
      </c>
    </row>
    <row r="229" spans="1:7" x14ac:dyDescent="0.35">
      <c r="A229" s="14">
        <v>10052</v>
      </c>
      <c r="B229" s="4" t="s">
        <v>742</v>
      </c>
      <c r="C229" t="s">
        <v>711</v>
      </c>
      <c r="D229" s="15" t="s">
        <v>557</v>
      </c>
      <c r="E229" s="22">
        <v>43710</v>
      </c>
      <c r="F229" s="11" t="s">
        <v>485</v>
      </c>
      <c r="G229" s="11" t="s">
        <v>477</v>
      </c>
    </row>
    <row r="230" spans="1:7" x14ac:dyDescent="0.35">
      <c r="A230" s="13">
        <v>10057</v>
      </c>
      <c r="B230" s="1" t="s">
        <v>743</v>
      </c>
      <c r="C230" t="s">
        <v>711</v>
      </c>
      <c r="D230" s="15" t="s">
        <v>557</v>
      </c>
      <c r="E230" s="22">
        <v>43710</v>
      </c>
      <c r="F230" s="11" t="s">
        <v>485</v>
      </c>
      <c r="G230" s="11" t="s">
        <v>19</v>
      </c>
    </row>
    <row r="231" spans="1:7" x14ac:dyDescent="0.35">
      <c r="A231" s="14">
        <v>10060</v>
      </c>
      <c r="B231" s="4" t="s">
        <v>744</v>
      </c>
      <c r="C231" t="s">
        <v>711</v>
      </c>
      <c r="D231" s="15" t="s">
        <v>557</v>
      </c>
      <c r="E231" s="22">
        <v>43710</v>
      </c>
      <c r="F231" s="11" t="s">
        <v>485</v>
      </c>
      <c r="G231" s="11" t="s">
        <v>19</v>
      </c>
    </row>
    <row r="232" spans="1:7" x14ac:dyDescent="0.35">
      <c r="A232" s="13">
        <v>10066</v>
      </c>
      <c r="B232" s="1" t="s">
        <v>745</v>
      </c>
      <c r="C232" t="s">
        <v>711</v>
      </c>
      <c r="D232" s="15" t="s">
        <v>557</v>
      </c>
      <c r="E232" s="22">
        <v>43710</v>
      </c>
      <c r="F232" s="11" t="s">
        <v>485</v>
      </c>
      <c r="G232" s="11" t="s">
        <v>19</v>
      </c>
    </row>
    <row r="233" spans="1:7" x14ac:dyDescent="0.35">
      <c r="A233" s="14">
        <v>10067</v>
      </c>
      <c r="B233" s="4" t="s">
        <v>746</v>
      </c>
      <c r="C233" t="s">
        <v>711</v>
      </c>
      <c r="D233" s="15" t="s">
        <v>557</v>
      </c>
      <c r="E233" s="22">
        <v>43710</v>
      </c>
      <c r="F233" s="11" t="s">
        <v>485</v>
      </c>
      <c r="G233" s="11" t="s">
        <v>19</v>
      </c>
    </row>
    <row r="234" spans="1:7" x14ac:dyDescent="0.35">
      <c r="A234" s="13">
        <v>10073</v>
      </c>
      <c r="B234" s="1" t="s">
        <v>747</v>
      </c>
      <c r="C234" s="15" t="s">
        <v>639</v>
      </c>
      <c r="D234" s="15" t="s">
        <v>557</v>
      </c>
      <c r="E234" s="22">
        <v>43724</v>
      </c>
      <c r="F234" s="11" t="s">
        <v>476</v>
      </c>
      <c r="G234" s="11" t="s">
        <v>19</v>
      </c>
    </row>
    <row r="235" spans="1:7" x14ac:dyDescent="0.35">
      <c r="A235" s="13">
        <v>10073</v>
      </c>
      <c r="B235" s="1" t="s">
        <v>747</v>
      </c>
      <c r="C235" s="15" t="s">
        <v>639</v>
      </c>
      <c r="D235" s="15" t="s">
        <v>557</v>
      </c>
      <c r="E235" s="22">
        <v>43724</v>
      </c>
      <c r="F235" s="11" t="s">
        <v>476</v>
      </c>
      <c r="G235" s="11" t="s">
        <v>19</v>
      </c>
    </row>
    <row r="236" spans="1:7" x14ac:dyDescent="0.35">
      <c r="A236" s="13">
        <v>10077</v>
      </c>
      <c r="B236" s="1" t="s">
        <v>748</v>
      </c>
      <c r="C236" s="15" t="s">
        <v>614</v>
      </c>
      <c r="D236" s="15" t="s">
        <v>514</v>
      </c>
      <c r="E236" s="22">
        <v>43724</v>
      </c>
      <c r="F236" s="11" t="s">
        <v>485</v>
      </c>
      <c r="G236" s="11" t="s">
        <v>19</v>
      </c>
    </row>
    <row r="237" spans="1:7" x14ac:dyDescent="0.35">
      <c r="A237" s="13">
        <v>10078</v>
      </c>
      <c r="B237" s="1" t="s">
        <v>749</v>
      </c>
      <c r="C237" s="15" t="s">
        <v>639</v>
      </c>
      <c r="D237" s="15" t="s">
        <v>557</v>
      </c>
      <c r="E237" s="22">
        <v>43724</v>
      </c>
      <c r="F237" s="11" t="s">
        <v>485</v>
      </c>
      <c r="G237" s="11" t="s">
        <v>19</v>
      </c>
    </row>
    <row r="238" spans="1:7" x14ac:dyDescent="0.35">
      <c r="A238" s="13">
        <v>10082</v>
      </c>
      <c r="B238" s="9" t="s">
        <v>305</v>
      </c>
      <c r="C238" s="15" t="s">
        <v>562</v>
      </c>
      <c r="D238" s="15" t="s">
        <v>492</v>
      </c>
      <c r="E238" s="22">
        <v>43724</v>
      </c>
      <c r="F238" s="11" t="s">
        <v>476</v>
      </c>
      <c r="G238" s="11" t="s">
        <v>19</v>
      </c>
    </row>
    <row r="239" spans="1:7" x14ac:dyDescent="0.35">
      <c r="A239" s="13">
        <v>10083</v>
      </c>
      <c r="B239" s="1" t="s">
        <v>750</v>
      </c>
      <c r="E239" s="22">
        <v>43724</v>
      </c>
      <c r="F239" s="11" t="s">
        <v>476</v>
      </c>
      <c r="G239" s="11" t="s">
        <v>19</v>
      </c>
    </row>
    <row r="240" spans="1:7" x14ac:dyDescent="0.35">
      <c r="A240" s="13">
        <v>10085</v>
      </c>
      <c r="B240" s="1" t="s">
        <v>751</v>
      </c>
      <c r="C240" s="15" t="s">
        <v>639</v>
      </c>
      <c r="D240" s="15" t="s">
        <v>557</v>
      </c>
      <c r="E240" s="22">
        <v>43724</v>
      </c>
      <c r="F240" s="11" t="s">
        <v>485</v>
      </c>
      <c r="G240" s="11" t="s">
        <v>19</v>
      </c>
    </row>
    <row r="241" spans="1:7" x14ac:dyDescent="0.35">
      <c r="A241" s="13">
        <v>10086</v>
      </c>
      <c r="B241" s="1" t="s">
        <v>752</v>
      </c>
      <c r="C241" s="15" t="s">
        <v>30</v>
      </c>
      <c r="D241" s="15" t="s">
        <v>498</v>
      </c>
      <c r="E241" s="22">
        <v>43724</v>
      </c>
      <c r="F241" s="11" t="s">
        <v>476</v>
      </c>
      <c r="G241" s="11" t="s">
        <v>19</v>
      </c>
    </row>
    <row r="242" spans="1:7" x14ac:dyDescent="0.35">
      <c r="A242" s="13">
        <v>10087</v>
      </c>
      <c r="B242" s="1" t="s">
        <v>753</v>
      </c>
      <c r="C242" s="15" t="s">
        <v>28</v>
      </c>
      <c r="D242" s="15" t="s">
        <v>616</v>
      </c>
      <c r="E242" s="22">
        <v>43724</v>
      </c>
      <c r="F242" s="11" t="s">
        <v>476</v>
      </c>
      <c r="G242" s="11" t="s">
        <v>477</v>
      </c>
    </row>
    <row r="243" spans="1:7" x14ac:dyDescent="0.35">
      <c r="A243" s="14">
        <v>10088</v>
      </c>
      <c r="B243" s="4" t="s">
        <v>754</v>
      </c>
      <c r="C243" t="s">
        <v>608</v>
      </c>
      <c r="D243" t="s">
        <v>609</v>
      </c>
      <c r="E243" s="23">
        <v>43731</v>
      </c>
      <c r="F243" s="3" t="s">
        <v>476</v>
      </c>
      <c r="G243" s="3" t="s">
        <v>19</v>
      </c>
    </row>
    <row r="244" spans="1:7" x14ac:dyDescent="0.35">
      <c r="A244" s="13">
        <v>10092</v>
      </c>
      <c r="B244" s="1" t="s">
        <v>755</v>
      </c>
      <c r="C244" s="15" t="s">
        <v>601</v>
      </c>
      <c r="D244" s="15" t="s">
        <v>484</v>
      </c>
      <c r="E244" s="22">
        <v>43731</v>
      </c>
      <c r="F244" s="11" t="s">
        <v>476</v>
      </c>
      <c r="G244" s="11" t="s">
        <v>19</v>
      </c>
    </row>
    <row r="245" spans="1:7" x14ac:dyDescent="0.35">
      <c r="A245" s="14">
        <v>10093</v>
      </c>
      <c r="B245" s="4" t="s">
        <v>756</v>
      </c>
      <c r="C245" t="s">
        <v>608</v>
      </c>
      <c r="D245" t="s">
        <v>609</v>
      </c>
      <c r="E245" s="23">
        <v>43745</v>
      </c>
      <c r="F245" s="3" t="s">
        <v>476</v>
      </c>
      <c r="G245" s="3" t="s">
        <v>19</v>
      </c>
    </row>
    <row r="246" spans="1:7" x14ac:dyDescent="0.35">
      <c r="A246" s="13">
        <v>10097</v>
      </c>
      <c r="B246" s="1" t="s">
        <v>757</v>
      </c>
      <c r="C246" s="15" t="s">
        <v>601</v>
      </c>
      <c r="D246" s="15" t="s">
        <v>484</v>
      </c>
      <c r="E246" s="22">
        <v>43728</v>
      </c>
      <c r="F246" s="11" t="s">
        <v>476</v>
      </c>
      <c r="G246" s="11" t="s">
        <v>19</v>
      </c>
    </row>
    <row r="247" spans="1:7" x14ac:dyDescent="0.35">
      <c r="A247" s="13">
        <v>10098</v>
      </c>
      <c r="B247" s="1" t="s">
        <v>758</v>
      </c>
      <c r="C247" s="15" t="s">
        <v>562</v>
      </c>
      <c r="D247" s="15" t="s">
        <v>492</v>
      </c>
      <c r="E247" s="22">
        <v>43745</v>
      </c>
      <c r="F247" s="11" t="s">
        <v>485</v>
      </c>
      <c r="G247" s="11" t="s">
        <v>19</v>
      </c>
    </row>
    <row r="248" spans="1:7" x14ac:dyDescent="0.35">
      <c r="A248" s="13">
        <v>10100</v>
      </c>
      <c r="B248" s="1" t="s">
        <v>759</v>
      </c>
      <c r="C248" s="15" t="s">
        <v>614</v>
      </c>
      <c r="D248" s="15" t="s">
        <v>514</v>
      </c>
      <c r="E248" s="22">
        <v>43745</v>
      </c>
      <c r="F248" s="11" t="s">
        <v>485</v>
      </c>
      <c r="G248" s="11" t="s">
        <v>19</v>
      </c>
    </row>
    <row r="249" spans="1:7" x14ac:dyDescent="0.35">
      <c r="A249" s="13">
        <v>10102</v>
      </c>
      <c r="B249" s="1" t="s">
        <v>760</v>
      </c>
      <c r="C249" t="s">
        <v>711</v>
      </c>
      <c r="D249" s="15" t="s">
        <v>557</v>
      </c>
      <c r="E249" s="22">
        <v>43752</v>
      </c>
      <c r="F249" s="11" t="s">
        <v>485</v>
      </c>
      <c r="G249" s="11" t="s">
        <v>19</v>
      </c>
    </row>
    <row r="250" spans="1:7" x14ac:dyDescent="0.35">
      <c r="A250" s="14">
        <v>10108</v>
      </c>
      <c r="B250" s="4" t="s">
        <v>761</v>
      </c>
      <c r="C250" t="s">
        <v>711</v>
      </c>
      <c r="D250" s="15" t="s">
        <v>557</v>
      </c>
      <c r="E250" s="22">
        <v>43752</v>
      </c>
      <c r="F250" s="11" t="s">
        <v>485</v>
      </c>
      <c r="G250" s="11" t="s">
        <v>19</v>
      </c>
    </row>
    <row r="251" spans="1:7" x14ac:dyDescent="0.35">
      <c r="A251" s="13">
        <v>10111</v>
      </c>
      <c r="B251" s="1" t="s">
        <v>762</v>
      </c>
      <c r="C251" t="s">
        <v>711</v>
      </c>
      <c r="D251" s="15" t="s">
        <v>557</v>
      </c>
      <c r="E251" s="22">
        <v>43752</v>
      </c>
      <c r="F251" s="11" t="s">
        <v>485</v>
      </c>
      <c r="G251" s="11" t="s">
        <v>19</v>
      </c>
    </row>
    <row r="252" spans="1:7" x14ac:dyDescent="0.35">
      <c r="A252" s="14">
        <v>10112</v>
      </c>
      <c r="B252" s="4" t="s">
        <v>763</v>
      </c>
      <c r="C252" t="s">
        <v>711</v>
      </c>
      <c r="D252" s="15" t="s">
        <v>557</v>
      </c>
      <c r="E252" s="22">
        <v>43752</v>
      </c>
      <c r="F252" s="11" t="s">
        <v>485</v>
      </c>
      <c r="G252" s="11" t="s">
        <v>19</v>
      </c>
    </row>
    <row r="253" spans="1:7" x14ac:dyDescent="0.35">
      <c r="A253" s="13">
        <v>10116</v>
      </c>
      <c r="B253" s="1" t="s">
        <v>372</v>
      </c>
      <c r="C253" t="s">
        <v>711</v>
      </c>
      <c r="D253" s="15" t="s">
        <v>557</v>
      </c>
      <c r="E253" s="22">
        <v>43752</v>
      </c>
      <c r="F253" s="11" t="s">
        <v>485</v>
      </c>
      <c r="G253" s="11" t="s">
        <v>19</v>
      </c>
    </row>
    <row r="254" spans="1:7" x14ac:dyDescent="0.35">
      <c r="A254" s="14">
        <v>10118</v>
      </c>
      <c r="B254" s="4" t="s">
        <v>764</v>
      </c>
      <c r="C254" t="s">
        <v>711</v>
      </c>
      <c r="D254" s="15" t="s">
        <v>557</v>
      </c>
      <c r="E254" s="22">
        <v>43752</v>
      </c>
      <c r="F254" s="11" t="s">
        <v>485</v>
      </c>
      <c r="G254" s="11" t="s">
        <v>19</v>
      </c>
    </row>
    <row r="255" spans="1:7" x14ac:dyDescent="0.35">
      <c r="A255" s="13">
        <v>10119</v>
      </c>
      <c r="B255" s="1" t="s">
        <v>765</v>
      </c>
      <c r="C255" s="15" t="s">
        <v>20</v>
      </c>
      <c r="D255" s="15" t="s">
        <v>573</v>
      </c>
      <c r="E255" s="22">
        <v>43766</v>
      </c>
      <c r="F255" s="11" t="s">
        <v>485</v>
      </c>
      <c r="G255" s="11" t="s">
        <v>19</v>
      </c>
    </row>
    <row r="256" spans="1:7" x14ac:dyDescent="0.35">
      <c r="A256" s="13">
        <v>10120</v>
      </c>
      <c r="B256" s="1" t="s">
        <v>766</v>
      </c>
      <c r="C256" s="15" t="s">
        <v>562</v>
      </c>
      <c r="D256" s="15" t="s">
        <v>492</v>
      </c>
      <c r="E256" s="22">
        <v>43766</v>
      </c>
      <c r="F256" s="11" t="s">
        <v>476</v>
      </c>
      <c r="G256" s="11" t="s">
        <v>477</v>
      </c>
    </row>
    <row r="257" spans="1:7" x14ac:dyDescent="0.35">
      <c r="A257" s="13">
        <v>10124</v>
      </c>
      <c r="B257" s="1" t="s">
        <v>767</v>
      </c>
      <c r="C257" s="15" t="s">
        <v>28</v>
      </c>
      <c r="D257" s="15" t="s">
        <v>616</v>
      </c>
      <c r="E257" s="22">
        <v>43766</v>
      </c>
      <c r="F257" s="11" t="s">
        <v>485</v>
      </c>
      <c r="G257" s="11" t="s">
        <v>477</v>
      </c>
    </row>
    <row r="258" spans="1:7" x14ac:dyDescent="0.35">
      <c r="A258" s="13">
        <v>10124</v>
      </c>
      <c r="B258" s="1" t="s">
        <v>767</v>
      </c>
      <c r="C258" s="15" t="s">
        <v>28</v>
      </c>
      <c r="D258" s="15" t="s">
        <v>616</v>
      </c>
      <c r="E258" s="22">
        <v>43766</v>
      </c>
      <c r="F258" s="11" t="s">
        <v>485</v>
      </c>
      <c r="G258" s="11" t="s">
        <v>477</v>
      </c>
    </row>
    <row r="259" spans="1:7" x14ac:dyDescent="0.35">
      <c r="A259" s="13">
        <v>10125</v>
      </c>
      <c r="B259" s="1" t="s">
        <v>768</v>
      </c>
      <c r="C259" s="15" t="s">
        <v>28</v>
      </c>
      <c r="D259" s="15" t="s">
        <v>616</v>
      </c>
      <c r="E259" s="22">
        <v>43766</v>
      </c>
      <c r="F259" s="11" t="s">
        <v>485</v>
      </c>
      <c r="G259" s="11" t="s">
        <v>477</v>
      </c>
    </row>
    <row r="260" spans="1:7" x14ac:dyDescent="0.35">
      <c r="A260" s="13">
        <v>10125</v>
      </c>
      <c r="B260" s="1" t="s">
        <v>768</v>
      </c>
      <c r="C260" s="15" t="s">
        <v>28</v>
      </c>
      <c r="D260" s="15" t="s">
        <v>616</v>
      </c>
      <c r="E260" s="22">
        <v>43773</v>
      </c>
      <c r="F260" s="11" t="s">
        <v>485</v>
      </c>
      <c r="G260" s="11" t="s">
        <v>19</v>
      </c>
    </row>
    <row r="261" spans="1:7" x14ac:dyDescent="0.35">
      <c r="A261" s="13">
        <v>10126</v>
      </c>
      <c r="B261" s="1" t="s">
        <v>769</v>
      </c>
      <c r="C261" s="15" t="s">
        <v>614</v>
      </c>
      <c r="D261" s="15" t="s">
        <v>514</v>
      </c>
      <c r="E261" s="22">
        <v>43773</v>
      </c>
      <c r="F261" s="11" t="s">
        <v>476</v>
      </c>
      <c r="G261" s="11" t="s">
        <v>19</v>
      </c>
    </row>
    <row r="262" spans="1:7" x14ac:dyDescent="0.35">
      <c r="A262" s="13">
        <v>10126</v>
      </c>
      <c r="B262" s="1" t="s">
        <v>769</v>
      </c>
      <c r="C262" s="15" t="s">
        <v>614</v>
      </c>
      <c r="D262" s="15" t="s">
        <v>514</v>
      </c>
      <c r="E262" s="22">
        <v>43773</v>
      </c>
      <c r="F262" s="11" t="s">
        <v>485</v>
      </c>
      <c r="G262" s="11" t="s">
        <v>19</v>
      </c>
    </row>
    <row r="263" spans="1:7" x14ac:dyDescent="0.35">
      <c r="A263" s="13">
        <v>10131</v>
      </c>
      <c r="B263" s="1" t="s">
        <v>770</v>
      </c>
      <c r="C263" s="15" t="s">
        <v>30</v>
      </c>
      <c r="D263" s="15" t="s">
        <v>498</v>
      </c>
      <c r="E263" s="22">
        <v>43773</v>
      </c>
      <c r="F263" s="11" t="s">
        <v>485</v>
      </c>
      <c r="G263" s="11" t="s">
        <v>19</v>
      </c>
    </row>
    <row r="264" spans="1:7" x14ac:dyDescent="0.35">
      <c r="A264" s="13">
        <v>10131</v>
      </c>
      <c r="B264" s="1" t="s">
        <v>771</v>
      </c>
      <c r="C264" s="15" t="s">
        <v>20</v>
      </c>
      <c r="D264" s="15" t="s">
        <v>573</v>
      </c>
      <c r="E264" s="22">
        <v>43773</v>
      </c>
      <c r="F264" s="11" t="s">
        <v>476</v>
      </c>
      <c r="G264" s="11" t="s">
        <v>19</v>
      </c>
    </row>
    <row r="265" spans="1:7" x14ac:dyDescent="0.35">
      <c r="A265" s="13">
        <v>10132</v>
      </c>
      <c r="B265" s="1" t="s">
        <v>772</v>
      </c>
      <c r="C265" s="15" t="s">
        <v>614</v>
      </c>
      <c r="D265" s="15" t="s">
        <v>514</v>
      </c>
      <c r="E265" s="22">
        <v>43773</v>
      </c>
      <c r="F265" s="11" t="s">
        <v>476</v>
      </c>
      <c r="G265" s="11" t="s">
        <v>477</v>
      </c>
    </row>
    <row r="266" spans="1:7" x14ac:dyDescent="0.35">
      <c r="A266" s="13">
        <v>10133</v>
      </c>
      <c r="B266" s="1" t="s">
        <v>773</v>
      </c>
      <c r="C266" s="15" t="s">
        <v>562</v>
      </c>
      <c r="D266" s="15" t="s">
        <v>492</v>
      </c>
      <c r="E266" s="22">
        <v>43773</v>
      </c>
      <c r="F266" s="11" t="s">
        <v>485</v>
      </c>
      <c r="G266" s="11" t="s">
        <v>19</v>
      </c>
    </row>
    <row r="267" spans="1:7" x14ac:dyDescent="0.35">
      <c r="A267" s="13">
        <v>10134</v>
      </c>
      <c r="B267" s="1" t="s">
        <v>774</v>
      </c>
      <c r="C267" s="15" t="s">
        <v>20</v>
      </c>
      <c r="D267" s="15" t="s">
        <v>573</v>
      </c>
      <c r="E267" s="22">
        <v>43773</v>
      </c>
      <c r="F267" s="11" t="s">
        <v>485</v>
      </c>
      <c r="G267" s="11" t="s">
        <v>19</v>
      </c>
    </row>
    <row r="268" spans="1:7" x14ac:dyDescent="0.35">
      <c r="A268" s="13">
        <v>10134</v>
      </c>
      <c r="B268" s="1" t="s">
        <v>775</v>
      </c>
      <c r="C268" s="15" t="s">
        <v>556</v>
      </c>
      <c r="D268" s="15" t="s">
        <v>557</v>
      </c>
      <c r="E268" s="22">
        <v>43773</v>
      </c>
      <c r="F268" s="11" t="s">
        <v>485</v>
      </c>
      <c r="G268" s="11" t="s">
        <v>19</v>
      </c>
    </row>
    <row r="269" spans="1:7" x14ac:dyDescent="0.35">
      <c r="A269" s="14">
        <v>10135</v>
      </c>
      <c r="B269" s="4" t="s">
        <v>776</v>
      </c>
      <c r="C269" t="s">
        <v>608</v>
      </c>
      <c r="D269" t="s">
        <v>609</v>
      </c>
      <c r="E269" s="23">
        <v>43773</v>
      </c>
      <c r="F269" s="11" t="s">
        <v>485</v>
      </c>
      <c r="G269" s="3" t="s">
        <v>19</v>
      </c>
    </row>
    <row r="270" spans="1:7" x14ac:dyDescent="0.35">
      <c r="A270" s="13">
        <v>10136</v>
      </c>
      <c r="B270" s="1" t="s">
        <v>777</v>
      </c>
      <c r="C270" t="s">
        <v>711</v>
      </c>
      <c r="D270" s="15" t="s">
        <v>557</v>
      </c>
      <c r="E270" s="22">
        <v>43780</v>
      </c>
      <c r="F270" s="11" t="s">
        <v>485</v>
      </c>
      <c r="G270" s="11" t="s">
        <v>19</v>
      </c>
    </row>
    <row r="271" spans="1:7" x14ac:dyDescent="0.35">
      <c r="A271" s="14">
        <v>10138</v>
      </c>
      <c r="B271" s="4" t="s">
        <v>778</v>
      </c>
      <c r="C271" t="s">
        <v>711</v>
      </c>
      <c r="D271" s="15" t="s">
        <v>557</v>
      </c>
      <c r="E271" s="22">
        <v>43780</v>
      </c>
      <c r="F271" s="11" t="s">
        <v>485</v>
      </c>
      <c r="G271" s="11" t="s">
        <v>19</v>
      </c>
    </row>
    <row r="272" spans="1:7" x14ac:dyDescent="0.35">
      <c r="A272" s="13">
        <v>10142</v>
      </c>
      <c r="B272" s="1" t="s">
        <v>779</v>
      </c>
      <c r="C272" s="15" t="s">
        <v>28</v>
      </c>
      <c r="D272" s="15" t="s">
        <v>616</v>
      </c>
      <c r="E272" s="22">
        <v>43780</v>
      </c>
      <c r="F272" s="11" t="s">
        <v>485</v>
      </c>
      <c r="G272" s="11" t="s">
        <v>19</v>
      </c>
    </row>
    <row r="273" spans="1:7" x14ac:dyDescent="0.35">
      <c r="A273" s="13">
        <v>10143</v>
      </c>
      <c r="B273" s="1" t="s">
        <v>780</v>
      </c>
      <c r="C273" s="15" t="s">
        <v>28</v>
      </c>
      <c r="D273" s="15" t="s">
        <v>616</v>
      </c>
      <c r="E273" s="22">
        <v>43780</v>
      </c>
      <c r="F273" s="11" t="s">
        <v>485</v>
      </c>
      <c r="G273" s="11" t="s">
        <v>19</v>
      </c>
    </row>
    <row r="274" spans="1:7" x14ac:dyDescent="0.35">
      <c r="A274" s="13">
        <v>10144</v>
      </c>
      <c r="B274" s="1" t="s">
        <v>781</v>
      </c>
      <c r="C274" s="15" t="s">
        <v>614</v>
      </c>
      <c r="D274" s="15" t="s">
        <v>514</v>
      </c>
      <c r="E274" s="22">
        <v>43780</v>
      </c>
      <c r="F274" s="11" t="s">
        <v>485</v>
      </c>
      <c r="G274" s="11" t="s">
        <v>19</v>
      </c>
    </row>
    <row r="275" spans="1:7" x14ac:dyDescent="0.35">
      <c r="A275" s="13">
        <v>10145</v>
      </c>
      <c r="B275" s="1" t="s">
        <v>782</v>
      </c>
      <c r="C275" s="15" t="s">
        <v>639</v>
      </c>
      <c r="D275" s="15" t="s">
        <v>557</v>
      </c>
      <c r="E275" s="22">
        <v>43780</v>
      </c>
      <c r="F275" s="11" t="s">
        <v>485</v>
      </c>
      <c r="G275" s="11" t="s">
        <v>19</v>
      </c>
    </row>
    <row r="276" spans="1:7" x14ac:dyDescent="0.35">
      <c r="A276" s="13">
        <v>10153</v>
      </c>
      <c r="B276" s="1" t="s">
        <v>783</v>
      </c>
      <c r="C276" s="15" t="s">
        <v>614</v>
      </c>
      <c r="D276" s="15" t="s">
        <v>514</v>
      </c>
      <c r="E276" s="22">
        <v>43780</v>
      </c>
      <c r="F276" s="11" t="s">
        <v>485</v>
      </c>
      <c r="G276" s="11" t="s">
        <v>19</v>
      </c>
    </row>
    <row r="277" spans="1:7" x14ac:dyDescent="0.35">
      <c r="A277" s="13">
        <v>10157</v>
      </c>
      <c r="B277" s="1" t="s">
        <v>784</v>
      </c>
      <c r="C277" s="15" t="s">
        <v>559</v>
      </c>
      <c r="D277" s="15" t="s">
        <v>557</v>
      </c>
      <c r="E277" s="22">
        <v>43780</v>
      </c>
      <c r="F277" s="11" t="s">
        <v>485</v>
      </c>
      <c r="G277" s="11" t="s">
        <v>19</v>
      </c>
    </row>
    <row r="278" spans="1:7" x14ac:dyDescent="0.35">
      <c r="A278" s="13">
        <v>10158</v>
      </c>
      <c r="B278" s="1" t="s">
        <v>785</v>
      </c>
      <c r="C278" s="15" t="s">
        <v>20</v>
      </c>
      <c r="D278" s="15" t="s">
        <v>573</v>
      </c>
      <c r="E278" s="22">
        <v>43780</v>
      </c>
      <c r="F278" s="11" t="s">
        <v>476</v>
      </c>
      <c r="G278" s="11" t="s">
        <v>477</v>
      </c>
    </row>
    <row r="279" spans="1:7" x14ac:dyDescent="0.35">
      <c r="A279" s="13">
        <v>10158</v>
      </c>
      <c r="B279" s="1" t="s">
        <v>785</v>
      </c>
      <c r="C279" s="15" t="s">
        <v>30</v>
      </c>
      <c r="D279" s="15" t="s">
        <v>498</v>
      </c>
      <c r="E279" s="22">
        <v>43780</v>
      </c>
      <c r="F279" s="11" t="s">
        <v>476</v>
      </c>
      <c r="G279" s="11" t="s">
        <v>19</v>
      </c>
    </row>
    <row r="280" spans="1:7" x14ac:dyDescent="0.35">
      <c r="A280" s="13">
        <v>10159</v>
      </c>
      <c r="B280" s="9" t="s">
        <v>786</v>
      </c>
      <c r="C280" s="15" t="s">
        <v>20</v>
      </c>
      <c r="D280" s="15" t="s">
        <v>573</v>
      </c>
      <c r="E280" s="22">
        <v>43788</v>
      </c>
      <c r="F280" s="11" t="s">
        <v>476</v>
      </c>
      <c r="G280" s="11" t="s">
        <v>477</v>
      </c>
    </row>
    <row r="281" spans="1:7" x14ac:dyDescent="0.35">
      <c r="A281" s="13">
        <v>10159</v>
      </c>
      <c r="B281" s="1" t="s">
        <v>786</v>
      </c>
      <c r="C281" s="15" t="s">
        <v>30</v>
      </c>
      <c r="D281" s="15" t="s">
        <v>498</v>
      </c>
      <c r="E281" s="22">
        <v>43788</v>
      </c>
      <c r="F281" s="11" t="s">
        <v>485</v>
      </c>
      <c r="G281" s="11" t="s">
        <v>19</v>
      </c>
    </row>
    <row r="282" spans="1:7" x14ac:dyDescent="0.35">
      <c r="A282" s="14">
        <v>10162</v>
      </c>
      <c r="B282" s="4" t="s">
        <v>787</v>
      </c>
      <c r="C282" t="s">
        <v>20</v>
      </c>
      <c r="D282" t="s">
        <v>573</v>
      </c>
      <c r="E282" s="22">
        <v>43788</v>
      </c>
      <c r="F282" s="11" t="s">
        <v>476</v>
      </c>
      <c r="G282" s="11" t="s">
        <v>19</v>
      </c>
    </row>
    <row r="283" spans="1:7" x14ac:dyDescent="0.35">
      <c r="A283" s="13">
        <v>10162</v>
      </c>
      <c r="B283" s="1" t="s">
        <v>787</v>
      </c>
      <c r="C283" s="15" t="s">
        <v>30</v>
      </c>
      <c r="D283" s="15" t="s">
        <v>498</v>
      </c>
      <c r="E283" s="22">
        <v>43795</v>
      </c>
      <c r="F283" s="11" t="s">
        <v>476</v>
      </c>
      <c r="G283" s="11" t="s">
        <v>19</v>
      </c>
    </row>
    <row r="284" spans="1:7" x14ac:dyDescent="0.35">
      <c r="A284" s="13">
        <v>10165</v>
      </c>
      <c r="B284" s="1" t="s">
        <v>788</v>
      </c>
      <c r="C284" s="15" t="s">
        <v>28</v>
      </c>
      <c r="D284" s="15" t="s">
        <v>616</v>
      </c>
      <c r="E284" s="22">
        <v>43795</v>
      </c>
      <c r="F284" s="11" t="s">
        <v>485</v>
      </c>
      <c r="G284" s="11" t="s">
        <v>19</v>
      </c>
    </row>
    <row r="285" spans="1:7" x14ac:dyDescent="0.35">
      <c r="A285" s="13">
        <v>10166</v>
      </c>
      <c r="B285" s="1" t="s">
        <v>789</v>
      </c>
      <c r="C285" s="15" t="s">
        <v>28</v>
      </c>
      <c r="D285" s="15" t="s">
        <v>616</v>
      </c>
      <c r="E285" s="22">
        <v>43795</v>
      </c>
      <c r="F285" s="11" t="s">
        <v>485</v>
      </c>
      <c r="G285" s="11" t="s">
        <v>19</v>
      </c>
    </row>
    <row r="286" spans="1:7" x14ac:dyDescent="0.35">
      <c r="A286" s="13">
        <v>10167</v>
      </c>
      <c r="B286" s="1" t="s">
        <v>790</v>
      </c>
      <c r="C286" s="15" t="s">
        <v>562</v>
      </c>
      <c r="D286" s="15" t="s">
        <v>492</v>
      </c>
      <c r="E286" s="22">
        <v>43808</v>
      </c>
      <c r="F286" s="11" t="s">
        <v>476</v>
      </c>
      <c r="G286" s="11" t="s">
        <v>19</v>
      </c>
    </row>
    <row r="287" spans="1:7" x14ac:dyDescent="0.35">
      <c r="A287" s="13">
        <v>10167</v>
      </c>
      <c r="B287" s="1" t="s">
        <v>790</v>
      </c>
      <c r="C287" s="15" t="s">
        <v>599</v>
      </c>
      <c r="D287" s="15" t="s">
        <v>484</v>
      </c>
      <c r="E287" s="22">
        <v>43815</v>
      </c>
      <c r="F287" s="11" t="s">
        <v>485</v>
      </c>
      <c r="G287" s="11" t="s">
        <v>19</v>
      </c>
    </row>
    <row r="288" spans="1:7" x14ac:dyDescent="0.35">
      <c r="A288" s="14">
        <v>10169</v>
      </c>
      <c r="B288" s="4" t="s">
        <v>791</v>
      </c>
      <c r="C288" t="s">
        <v>608</v>
      </c>
      <c r="D288" t="s">
        <v>609</v>
      </c>
      <c r="E288" s="23">
        <v>43845</v>
      </c>
      <c r="F288" s="3" t="s">
        <v>476</v>
      </c>
      <c r="G288" s="3" t="s">
        <v>19</v>
      </c>
    </row>
    <row r="289" spans="1:7" x14ac:dyDescent="0.35">
      <c r="A289" s="14">
        <v>10170</v>
      </c>
      <c r="B289" s="4" t="s">
        <v>792</v>
      </c>
      <c r="C289" t="s">
        <v>614</v>
      </c>
      <c r="D289" s="15" t="s">
        <v>514</v>
      </c>
      <c r="E289" s="22">
        <v>43864</v>
      </c>
      <c r="F289" s="11" t="s">
        <v>485</v>
      </c>
      <c r="G289" s="11" t="s">
        <v>19</v>
      </c>
    </row>
    <row r="290" spans="1:7" x14ac:dyDescent="0.35">
      <c r="A290" s="13">
        <v>10171</v>
      </c>
      <c r="B290" s="1" t="s">
        <v>793</v>
      </c>
      <c r="C290" s="15" t="s">
        <v>30</v>
      </c>
      <c r="D290" s="15" t="s">
        <v>498</v>
      </c>
      <c r="E290" s="22">
        <v>43864</v>
      </c>
      <c r="F290" s="11" t="s">
        <v>476</v>
      </c>
      <c r="G290" s="11" t="s">
        <v>19</v>
      </c>
    </row>
    <row r="291" spans="1:7" x14ac:dyDescent="0.35">
      <c r="A291" s="14">
        <v>10172</v>
      </c>
      <c r="B291" s="4" t="s">
        <v>794</v>
      </c>
      <c r="C291" s="15" t="s">
        <v>30</v>
      </c>
      <c r="D291" s="15" t="s">
        <v>498</v>
      </c>
      <c r="E291" s="22">
        <v>43878</v>
      </c>
      <c r="F291" s="11" t="s">
        <v>476</v>
      </c>
      <c r="G291" s="11" t="s">
        <v>477</v>
      </c>
    </row>
    <row r="292" spans="1:7" x14ac:dyDescent="0.35">
      <c r="A292" s="14">
        <v>10173</v>
      </c>
      <c r="B292" s="4" t="s">
        <v>795</v>
      </c>
      <c r="C292" s="15" t="s">
        <v>28</v>
      </c>
      <c r="D292" s="15" t="s">
        <v>616</v>
      </c>
      <c r="E292" s="22">
        <v>43878</v>
      </c>
      <c r="F292" s="11" t="s">
        <v>485</v>
      </c>
      <c r="G292" s="11" t="s">
        <v>477</v>
      </c>
    </row>
    <row r="293" spans="1:7" x14ac:dyDescent="0.35">
      <c r="A293" s="14">
        <v>10175</v>
      </c>
      <c r="B293" s="4" t="s">
        <v>796</v>
      </c>
      <c r="C293" t="s">
        <v>23</v>
      </c>
      <c r="D293" t="s">
        <v>557</v>
      </c>
      <c r="E293" s="22">
        <v>43878</v>
      </c>
      <c r="F293" s="11" t="s">
        <v>485</v>
      </c>
      <c r="G293" s="11" t="s">
        <v>19</v>
      </c>
    </row>
    <row r="294" spans="1:7" x14ac:dyDescent="0.35">
      <c r="A294" s="14">
        <v>10176</v>
      </c>
      <c r="B294" s="4" t="s">
        <v>797</v>
      </c>
      <c r="C294" s="15" t="s">
        <v>28</v>
      </c>
      <c r="D294" s="15" t="s">
        <v>616</v>
      </c>
      <c r="E294" s="22">
        <v>43878</v>
      </c>
      <c r="F294" s="11" t="s">
        <v>485</v>
      </c>
      <c r="G294" s="11" t="s">
        <v>477</v>
      </c>
    </row>
    <row r="295" spans="1:7" x14ac:dyDescent="0.35">
      <c r="A295" s="14">
        <v>10177</v>
      </c>
      <c r="B295" s="4" t="s">
        <v>798</v>
      </c>
      <c r="C295" t="s">
        <v>711</v>
      </c>
      <c r="D295" s="15" t="s">
        <v>557</v>
      </c>
      <c r="E295" s="22">
        <v>43878</v>
      </c>
      <c r="F295" s="11" t="s">
        <v>485</v>
      </c>
      <c r="G295" s="11" t="s">
        <v>19</v>
      </c>
    </row>
    <row r="296" spans="1:7" x14ac:dyDescent="0.35">
      <c r="A296" s="14">
        <v>10178</v>
      </c>
      <c r="B296" s="4" t="s">
        <v>799</v>
      </c>
      <c r="C296" t="s">
        <v>711</v>
      </c>
      <c r="D296" s="15" t="s">
        <v>557</v>
      </c>
      <c r="E296" s="22">
        <v>43878</v>
      </c>
      <c r="F296" s="11" t="s">
        <v>476</v>
      </c>
      <c r="G296" s="11" t="s">
        <v>19</v>
      </c>
    </row>
    <row r="297" spans="1:7" x14ac:dyDescent="0.35">
      <c r="A297" s="14">
        <v>10180</v>
      </c>
      <c r="B297" s="4" t="s">
        <v>800</v>
      </c>
      <c r="C297" s="15" t="s">
        <v>20</v>
      </c>
      <c r="D297" t="s">
        <v>573</v>
      </c>
      <c r="E297" s="22">
        <v>43894</v>
      </c>
      <c r="F297" s="11" t="s">
        <v>476</v>
      </c>
      <c r="G297" s="11" t="s">
        <v>19</v>
      </c>
    </row>
    <row r="298" spans="1:7" x14ac:dyDescent="0.35">
      <c r="A298" s="14">
        <v>10182</v>
      </c>
      <c r="B298" s="4" t="s">
        <v>801</v>
      </c>
      <c r="C298" s="15" t="s">
        <v>20</v>
      </c>
      <c r="D298" t="s">
        <v>573</v>
      </c>
      <c r="E298" s="22">
        <v>43894</v>
      </c>
      <c r="F298" s="11" t="s">
        <v>485</v>
      </c>
      <c r="G298" s="11" t="s">
        <v>19</v>
      </c>
    </row>
    <row r="299" spans="1:7" x14ac:dyDescent="0.35">
      <c r="A299" s="14">
        <v>10185</v>
      </c>
      <c r="B299" s="4" t="s">
        <v>309</v>
      </c>
      <c r="C299" s="15" t="s">
        <v>30</v>
      </c>
      <c r="D299" t="s">
        <v>498</v>
      </c>
      <c r="E299" s="22">
        <v>43894</v>
      </c>
      <c r="F299" s="11" t="s">
        <v>476</v>
      </c>
      <c r="G299" s="11" t="s">
        <v>477</v>
      </c>
    </row>
    <row r="300" spans="1:7" x14ac:dyDescent="0.35">
      <c r="A300" s="14">
        <v>10187</v>
      </c>
      <c r="B300" s="4" t="s">
        <v>309</v>
      </c>
      <c r="C300" s="15" t="s">
        <v>28</v>
      </c>
      <c r="D300" s="15" t="s">
        <v>616</v>
      </c>
      <c r="E300" s="22">
        <v>43894</v>
      </c>
      <c r="F300" s="11" t="s">
        <v>476</v>
      </c>
      <c r="G300" s="11" t="s">
        <v>19</v>
      </c>
    </row>
    <row r="301" spans="1:7" x14ac:dyDescent="0.35">
      <c r="A301" s="14">
        <v>10189</v>
      </c>
      <c r="B301" s="4" t="s">
        <v>802</v>
      </c>
      <c r="C301" s="15" t="s">
        <v>28</v>
      </c>
      <c r="D301" t="s">
        <v>616</v>
      </c>
      <c r="E301" s="22">
        <v>43894</v>
      </c>
      <c r="F301" s="11" t="s">
        <v>476</v>
      </c>
      <c r="G301" s="11" t="s">
        <v>19</v>
      </c>
    </row>
    <row r="302" spans="1:7" x14ac:dyDescent="0.35">
      <c r="A302" s="14">
        <v>10189</v>
      </c>
      <c r="B302" s="4" t="s">
        <v>803</v>
      </c>
      <c r="C302" s="15" t="s">
        <v>614</v>
      </c>
      <c r="D302" s="15" t="s">
        <v>514</v>
      </c>
      <c r="E302" s="22">
        <v>43901</v>
      </c>
      <c r="F302" s="11" t="s">
        <v>485</v>
      </c>
      <c r="G302" s="11" t="s">
        <v>477</v>
      </c>
    </row>
    <row r="303" spans="1:7" x14ac:dyDescent="0.35">
      <c r="A303" s="14">
        <v>10190</v>
      </c>
      <c r="B303" s="4" t="s">
        <v>804</v>
      </c>
      <c r="C303" t="s">
        <v>608</v>
      </c>
      <c r="D303" t="s">
        <v>609</v>
      </c>
      <c r="E303" s="23">
        <v>43901</v>
      </c>
      <c r="F303" s="11" t="s">
        <v>485</v>
      </c>
      <c r="G303" s="3" t="s">
        <v>19</v>
      </c>
    </row>
    <row r="304" spans="1:7" x14ac:dyDescent="0.35">
      <c r="A304" s="14">
        <v>10191</v>
      </c>
      <c r="B304" s="4" t="s">
        <v>283</v>
      </c>
      <c r="C304" t="s">
        <v>711</v>
      </c>
      <c r="D304" s="15" t="s">
        <v>557</v>
      </c>
      <c r="E304" s="22">
        <v>43902</v>
      </c>
      <c r="F304" s="11" t="s">
        <v>485</v>
      </c>
      <c r="G304" s="11" t="s">
        <v>19</v>
      </c>
    </row>
    <row r="305" spans="1:7" x14ac:dyDescent="0.35">
      <c r="A305" s="14">
        <v>10192</v>
      </c>
      <c r="B305" s="4" t="s">
        <v>805</v>
      </c>
      <c r="C305" s="15" t="s">
        <v>562</v>
      </c>
      <c r="D305" t="s">
        <v>492</v>
      </c>
      <c r="E305" s="22">
        <v>43902</v>
      </c>
      <c r="F305" s="11" t="s">
        <v>485</v>
      </c>
      <c r="G305" s="11" t="s">
        <v>477</v>
      </c>
    </row>
    <row r="306" spans="1:7" x14ac:dyDescent="0.35">
      <c r="A306" s="14">
        <v>10193</v>
      </c>
      <c r="B306" s="4" t="s">
        <v>806</v>
      </c>
      <c r="C306" s="15" t="s">
        <v>28</v>
      </c>
      <c r="D306" t="s">
        <v>616</v>
      </c>
      <c r="E306" s="22">
        <v>43902</v>
      </c>
      <c r="F306" s="11" t="s">
        <v>476</v>
      </c>
      <c r="G306" s="11" t="s">
        <v>19</v>
      </c>
    </row>
    <row r="307" spans="1:7" x14ac:dyDescent="0.35">
      <c r="A307" s="14">
        <v>10194</v>
      </c>
      <c r="B307" s="4" t="s">
        <v>807</v>
      </c>
      <c r="C307" s="15" t="s">
        <v>20</v>
      </c>
      <c r="D307" t="s">
        <v>573</v>
      </c>
      <c r="E307" s="22">
        <v>43902</v>
      </c>
      <c r="F307" s="11" t="s">
        <v>476</v>
      </c>
      <c r="G307" s="11" t="s">
        <v>19</v>
      </c>
    </row>
    <row r="308" spans="1:7" x14ac:dyDescent="0.35">
      <c r="A308" s="14">
        <v>10195</v>
      </c>
      <c r="B308" s="4" t="s">
        <v>808</v>
      </c>
      <c r="C308" s="15" t="s">
        <v>562</v>
      </c>
      <c r="D308" t="s">
        <v>492</v>
      </c>
      <c r="E308" s="22">
        <v>43927</v>
      </c>
      <c r="F308" s="11" t="s">
        <v>485</v>
      </c>
      <c r="G308" s="11" t="s">
        <v>19</v>
      </c>
    </row>
    <row r="309" spans="1:7" x14ac:dyDescent="0.35">
      <c r="A309" s="14">
        <v>10196</v>
      </c>
      <c r="B309" s="4" t="s">
        <v>809</v>
      </c>
      <c r="C309" s="15" t="s">
        <v>28</v>
      </c>
      <c r="D309" t="s">
        <v>616</v>
      </c>
      <c r="E309" s="22">
        <v>43927</v>
      </c>
      <c r="F309" s="11" t="s">
        <v>476</v>
      </c>
      <c r="G309" s="11" t="s">
        <v>477</v>
      </c>
    </row>
    <row r="310" spans="1:7" x14ac:dyDescent="0.35">
      <c r="A310" s="14">
        <v>10197</v>
      </c>
      <c r="B310" s="4" t="s">
        <v>810</v>
      </c>
      <c r="C310" t="s">
        <v>608</v>
      </c>
      <c r="D310" t="s">
        <v>609</v>
      </c>
      <c r="E310" s="23">
        <v>43927</v>
      </c>
      <c r="F310" s="3" t="s">
        <v>476</v>
      </c>
      <c r="G310" s="3" t="s">
        <v>19</v>
      </c>
    </row>
    <row r="311" spans="1:7" x14ac:dyDescent="0.35">
      <c r="A311" s="14">
        <v>10198</v>
      </c>
      <c r="B311" s="4" t="s">
        <v>811</v>
      </c>
      <c r="C311" t="s">
        <v>608</v>
      </c>
      <c r="D311" t="s">
        <v>609</v>
      </c>
      <c r="E311" s="23">
        <v>43927</v>
      </c>
      <c r="F311" s="3" t="s">
        <v>476</v>
      </c>
      <c r="G311" s="3" t="s">
        <v>19</v>
      </c>
    </row>
    <row r="312" spans="1:7" x14ac:dyDescent="0.35">
      <c r="A312" s="14">
        <v>10199</v>
      </c>
      <c r="B312" s="4" t="s">
        <v>812</v>
      </c>
      <c r="C312" t="s">
        <v>608</v>
      </c>
      <c r="D312" t="s">
        <v>609</v>
      </c>
      <c r="E312" s="23">
        <v>43927</v>
      </c>
      <c r="F312" s="11" t="s">
        <v>485</v>
      </c>
      <c r="G312" s="3" t="s">
        <v>19</v>
      </c>
    </row>
    <row r="313" spans="1:7" x14ac:dyDescent="0.35">
      <c r="A313" s="14">
        <v>10200</v>
      </c>
      <c r="B313" s="4" t="s">
        <v>292</v>
      </c>
      <c r="C313" s="15" t="s">
        <v>562</v>
      </c>
      <c r="D313" t="s">
        <v>492</v>
      </c>
      <c r="E313" s="22">
        <v>43927</v>
      </c>
      <c r="F313" s="11" t="s">
        <v>476</v>
      </c>
      <c r="G313" s="11" t="s">
        <v>19</v>
      </c>
    </row>
    <row r="314" spans="1:7" x14ac:dyDescent="0.35">
      <c r="A314" s="14">
        <v>10200</v>
      </c>
      <c r="B314" s="4" t="s">
        <v>813</v>
      </c>
      <c r="C314" s="15" t="s">
        <v>20</v>
      </c>
      <c r="D314" t="s">
        <v>573</v>
      </c>
      <c r="E314" s="22">
        <v>43927</v>
      </c>
      <c r="F314" s="11" t="s">
        <v>485</v>
      </c>
      <c r="G314" s="11" t="s">
        <v>477</v>
      </c>
    </row>
    <row r="315" spans="1:7" x14ac:dyDescent="0.35">
      <c r="A315" s="14">
        <v>10204</v>
      </c>
      <c r="B315" s="4" t="s">
        <v>814</v>
      </c>
      <c r="C315" s="15" t="s">
        <v>20</v>
      </c>
      <c r="D315" t="s">
        <v>573</v>
      </c>
      <c r="E315" s="22">
        <v>43927</v>
      </c>
      <c r="F315" s="11" t="s">
        <v>476</v>
      </c>
      <c r="G315" s="11" t="s">
        <v>19</v>
      </c>
    </row>
    <row r="316" spans="1:7" x14ac:dyDescent="0.35">
      <c r="A316" s="14">
        <v>10206</v>
      </c>
      <c r="B316" s="4" t="s">
        <v>815</v>
      </c>
      <c r="C316" t="s">
        <v>562</v>
      </c>
      <c r="D316" t="s">
        <v>492</v>
      </c>
      <c r="E316" s="22">
        <v>43962</v>
      </c>
      <c r="F316" s="11" t="s">
        <v>476</v>
      </c>
      <c r="G316" s="11" t="s">
        <v>19</v>
      </c>
    </row>
    <row r="317" spans="1:7" x14ac:dyDescent="0.35">
      <c r="A317" s="14">
        <v>10220</v>
      </c>
      <c r="B317" s="4" t="s">
        <v>816</v>
      </c>
      <c r="C317" s="15" t="s">
        <v>28</v>
      </c>
      <c r="D317" s="15" t="s">
        <v>616</v>
      </c>
      <c r="E317" s="22">
        <v>43962</v>
      </c>
      <c r="F317" s="11" t="s">
        <v>476</v>
      </c>
      <c r="G317" s="11" t="s">
        <v>19</v>
      </c>
    </row>
    <row r="318" spans="1:7" x14ac:dyDescent="0.35">
      <c r="A318" s="14">
        <v>10223</v>
      </c>
      <c r="B318" s="4" t="s">
        <v>817</v>
      </c>
      <c r="C318" s="15" t="s">
        <v>20</v>
      </c>
      <c r="D318" t="s">
        <v>573</v>
      </c>
      <c r="E318" s="22">
        <v>43962</v>
      </c>
      <c r="F318" s="11" t="s">
        <v>485</v>
      </c>
      <c r="G318" s="11" t="s">
        <v>19</v>
      </c>
    </row>
    <row r="319" spans="1:7" x14ac:dyDescent="0.35">
      <c r="A319" s="14">
        <v>10227</v>
      </c>
      <c r="B319" s="4" t="s">
        <v>818</v>
      </c>
      <c r="C319" s="15" t="s">
        <v>28</v>
      </c>
      <c r="D319" s="15" t="s">
        <v>616</v>
      </c>
      <c r="E319" s="22">
        <v>43962</v>
      </c>
      <c r="F319" s="11" t="s">
        <v>485</v>
      </c>
      <c r="G319" s="11" t="s">
        <v>19</v>
      </c>
    </row>
    <row r="320" spans="1:7" x14ac:dyDescent="0.35">
      <c r="A320" s="14">
        <v>10230</v>
      </c>
      <c r="B320" s="4" t="s">
        <v>819</v>
      </c>
      <c r="C320" t="s">
        <v>608</v>
      </c>
      <c r="D320" t="s">
        <v>609</v>
      </c>
      <c r="E320" s="23">
        <v>43990</v>
      </c>
      <c r="F320" s="3" t="s">
        <v>476</v>
      </c>
      <c r="G320" s="3" t="s">
        <v>19</v>
      </c>
    </row>
    <row r="321" spans="1:7" x14ac:dyDescent="0.35">
      <c r="A321" s="14">
        <v>10231</v>
      </c>
      <c r="B321" s="4" t="s">
        <v>820</v>
      </c>
      <c r="C321" t="s">
        <v>608</v>
      </c>
      <c r="D321" t="s">
        <v>609</v>
      </c>
      <c r="E321" s="23">
        <v>44032</v>
      </c>
      <c r="F321" s="3" t="s">
        <v>476</v>
      </c>
      <c r="G321" s="3" t="s">
        <v>19</v>
      </c>
    </row>
    <row r="322" spans="1:7" x14ac:dyDescent="0.35">
      <c r="A322" s="14">
        <v>10232</v>
      </c>
      <c r="B322" s="4" t="s">
        <v>821</v>
      </c>
      <c r="C322" t="s">
        <v>608</v>
      </c>
      <c r="D322" t="s">
        <v>609</v>
      </c>
      <c r="E322" s="23">
        <v>44018</v>
      </c>
      <c r="F322" s="3" t="s">
        <v>476</v>
      </c>
      <c r="G322" s="3" t="s">
        <v>19</v>
      </c>
    </row>
    <row r="323" spans="1:7" x14ac:dyDescent="0.35">
      <c r="A323" s="14">
        <v>10233</v>
      </c>
      <c r="B323" s="4" t="s">
        <v>822</v>
      </c>
      <c r="C323" t="s">
        <v>23</v>
      </c>
      <c r="D323" t="s">
        <v>557</v>
      </c>
      <c r="E323" s="23">
        <v>44039</v>
      </c>
      <c r="F323" s="3" t="s">
        <v>476</v>
      </c>
      <c r="G323" s="3" t="s">
        <v>19</v>
      </c>
    </row>
    <row r="324" spans="1:7" x14ac:dyDescent="0.35">
      <c r="A324" s="14">
        <v>10234</v>
      </c>
      <c r="B324" s="4" t="s">
        <v>823</v>
      </c>
      <c r="C324" t="s">
        <v>23</v>
      </c>
      <c r="D324" t="s">
        <v>557</v>
      </c>
      <c r="E324" s="23">
        <v>44039</v>
      </c>
      <c r="F324" s="3" t="s">
        <v>476</v>
      </c>
      <c r="G324" s="3" t="s">
        <v>19</v>
      </c>
    </row>
    <row r="325" spans="1:7" x14ac:dyDescent="0.35">
      <c r="A325" s="14">
        <v>10236</v>
      </c>
      <c r="B325" s="4" t="s">
        <v>824</v>
      </c>
      <c r="C325" s="15" t="s">
        <v>28</v>
      </c>
      <c r="D325" s="15" t="s">
        <v>616</v>
      </c>
      <c r="E325" s="23">
        <v>44060</v>
      </c>
      <c r="F325" s="11" t="s">
        <v>485</v>
      </c>
      <c r="G325" s="3" t="s">
        <v>19</v>
      </c>
    </row>
    <row r="326" spans="1:7" x14ac:dyDescent="0.35">
      <c r="A326" s="14">
        <v>10240</v>
      </c>
      <c r="B326" s="4" t="s">
        <v>825</v>
      </c>
      <c r="C326" t="s">
        <v>20</v>
      </c>
      <c r="D326" t="s">
        <v>573</v>
      </c>
      <c r="E326" s="23">
        <v>44060</v>
      </c>
      <c r="F326" s="11" t="s">
        <v>485</v>
      </c>
      <c r="G326" s="11" t="s">
        <v>19</v>
      </c>
    </row>
    <row r="327" spans="1:7" x14ac:dyDescent="0.35">
      <c r="A327" s="28">
        <v>10241</v>
      </c>
      <c r="B327" s="4" t="s">
        <v>826</v>
      </c>
      <c r="C327" t="s">
        <v>20</v>
      </c>
      <c r="D327" t="s">
        <v>573</v>
      </c>
      <c r="E327" s="23">
        <v>44060</v>
      </c>
      <c r="F327" s="11" t="s">
        <v>476</v>
      </c>
      <c r="G327" s="11" t="s">
        <v>19</v>
      </c>
    </row>
    <row r="328" spans="1:7" x14ac:dyDescent="0.35">
      <c r="A328" s="14">
        <v>10242</v>
      </c>
      <c r="B328" s="4" t="s">
        <v>827</v>
      </c>
      <c r="C328" t="s">
        <v>30</v>
      </c>
      <c r="D328" t="s">
        <v>498</v>
      </c>
      <c r="E328" s="23">
        <v>44082</v>
      </c>
      <c r="F328" s="3" t="s">
        <v>476</v>
      </c>
      <c r="G328" s="3" t="s">
        <v>19</v>
      </c>
    </row>
    <row r="329" spans="1:7" x14ac:dyDescent="0.35">
      <c r="A329" s="14">
        <v>10243</v>
      </c>
      <c r="B329" s="4" t="s">
        <v>828</v>
      </c>
      <c r="C329" t="s">
        <v>562</v>
      </c>
      <c r="D329" t="s">
        <v>492</v>
      </c>
      <c r="E329" s="23">
        <v>44082</v>
      </c>
      <c r="F329" s="3" t="s">
        <v>485</v>
      </c>
      <c r="G329" s="3" t="s">
        <v>477</v>
      </c>
    </row>
    <row r="330" spans="1:7" x14ac:dyDescent="0.35">
      <c r="A330" s="14">
        <v>10243</v>
      </c>
      <c r="B330" s="4" t="s">
        <v>828</v>
      </c>
      <c r="C330" t="s">
        <v>20</v>
      </c>
      <c r="D330" t="s">
        <v>573</v>
      </c>
      <c r="E330" s="23">
        <v>44082</v>
      </c>
      <c r="F330" s="3" t="s">
        <v>476</v>
      </c>
      <c r="G330" s="3" t="s">
        <v>19</v>
      </c>
    </row>
    <row r="331" spans="1:7" x14ac:dyDescent="0.35">
      <c r="A331" s="14">
        <v>10246</v>
      </c>
      <c r="B331" s="4" t="s">
        <v>829</v>
      </c>
      <c r="C331" t="s">
        <v>20</v>
      </c>
      <c r="D331" t="s">
        <v>573</v>
      </c>
      <c r="E331" s="23">
        <v>44082</v>
      </c>
      <c r="F331" s="3" t="s">
        <v>476</v>
      </c>
      <c r="G331" s="3" t="s">
        <v>19</v>
      </c>
    </row>
    <row r="332" spans="1:7" x14ac:dyDescent="0.35">
      <c r="A332" s="14">
        <v>10250</v>
      </c>
      <c r="B332" s="4" t="s">
        <v>830</v>
      </c>
      <c r="C332" t="s">
        <v>28</v>
      </c>
      <c r="D332" t="s">
        <v>616</v>
      </c>
      <c r="E332" s="23">
        <v>44082</v>
      </c>
      <c r="F332" s="3" t="s">
        <v>485</v>
      </c>
      <c r="G332" s="3" t="s">
        <v>19</v>
      </c>
    </row>
    <row r="333" spans="1:7" x14ac:dyDescent="0.35">
      <c r="A333" s="14">
        <v>10251</v>
      </c>
      <c r="B333" s="4" t="s">
        <v>831</v>
      </c>
      <c r="C333" t="s">
        <v>28</v>
      </c>
      <c r="D333" t="s">
        <v>616</v>
      </c>
      <c r="E333" s="23">
        <v>44082</v>
      </c>
      <c r="F333" s="3" t="s">
        <v>476</v>
      </c>
      <c r="G333" s="3" t="s">
        <v>19</v>
      </c>
    </row>
    <row r="334" spans="1:7" x14ac:dyDescent="0.35">
      <c r="A334" s="14">
        <v>10252</v>
      </c>
      <c r="B334" s="4" t="s">
        <v>832</v>
      </c>
      <c r="C334" t="s">
        <v>562</v>
      </c>
      <c r="D334" t="s">
        <v>492</v>
      </c>
      <c r="E334" s="23">
        <v>44082</v>
      </c>
      <c r="F334" s="3" t="s">
        <v>476</v>
      </c>
      <c r="G334" s="3" t="s">
        <v>19</v>
      </c>
    </row>
    <row r="335" spans="1:7" x14ac:dyDescent="0.35">
      <c r="A335" s="14">
        <v>10253</v>
      </c>
      <c r="B335" s="4" t="s">
        <v>299</v>
      </c>
      <c r="C335" t="s">
        <v>614</v>
      </c>
      <c r="D335" t="s">
        <v>514</v>
      </c>
      <c r="E335" s="23">
        <v>44089</v>
      </c>
      <c r="F335" s="3" t="s">
        <v>476</v>
      </c>
      <c r="G335" s="3" t="s">
        <v>19</v>
      </c>
    </row>
    <row r="336" spans="1:7" x14ac:dyDescent="0.35">
      <c r="A336" s="14">
        <v>10254</v>
      </c>
      <c r="B336" s="4" t="s">
        <v>833</v>
      </c>
      <c r="C336" t="s">
        <v>30</v>
      </c>
      <c r="D336" t="s">
        <v>498</v>
      </c>
      <c r="E336" s="23">
        <v>44096</v>
      </c>
      <c r="F336" s="3" t="s">
        <v>485</v>
      </c>
      <c r="G336" s="3" t="s">
        <v>19</v>
      </c>
    </row>
    <row r="337" spans="1:7" x14ac:dyDescent="0.35">
      <c r="A337" s="14">
        <v>10255</v>
      </c>
      <c r="B337" s="4" t="s">
        <v>834</v>
      </c>
      <c r="C337" t="s">
        <v>562</v>
      </c>
      <c r="D337" t="s">
        <v>492</v>
      </c>
      <c r="E337" s="23">
        <v>44096</v>
      </c>
      <c r="F337" s="3" t="s">
        <v>485</v>
      </c>
      <c r="G337" s="3" t="s">
        <v>19</v>
      </c>
    </row>
    <row r="338" spans="1:7" x14ac:dyDescent="0.35">
      <c r="A338" s="14">
        <v>10256</v>
      </c>
      <c r="B338" s="4" t="s">
        <v>835</v>
      </c>
      <c r="C338" t="s">
        <v>28</v>
      </c>
      <c r="D338" t="s">
        <v>616</v>
      </c>
      <c r="E338" s="23">
        <v>44096</v>
      </c>
      <c r="F338" s="3" t="s">
        <v>485</v>
      </c>
      <c r="G338" s="3" t="s">
        <v>19</v>
      </c>
    </row>
    <row r="339" spans="1:7" x14ac:dyDescent="0.35">
      <c r="A339" s="14">
        <v>10257</v>
      </c>
      <c r="B339" s="4" t="s">
        <v>836</v>
      </c>
      <c r="C339" t="s">
        <v>20</v>
      </c>
      <c r="D339" t="s">
        <v>573</v>
      </c>
      <c r="E339" s="23">
        <v>44096</v>
      </c>
      <c r="F339" s="3" t="s">
        <v>476</v>
      </c>
      <c r="G339" s="3" t="s">
        <v>19</v>
      </c>
    </row>
    <row r="340" spans="1:7" x14ac:dyDescent="0.35">
      <c r="A340" s="14">
        <v>10259</v>
      </c>
      <c r="B340" s="4" t="s">
        <v>837</v>
      </c>
      <c r="C340" t="s">
        <v>562</v>
      </c>
      <c r="D340" t="s">
        <v>492</v>
      </c>
      <c r="E340" s="23">
        <v>44096</v>
      </c>
      <c r="F340" s="3" t="s">
        <v>476</v>
      </c>
      <c r="G340" s="3" t="s">
        <v>19</v>
      </c>
    </row>
    <row r="341" spans="1:7" x14ac:dyDescent="0.35">
      <c r="A341" s="14">
        <v>10260</v>
      </c>
      <c r="B341" s="4" t="s">
        <v>838</v>
      </c>
      <c r="C341" t="s">
        <v>614</v>
      </c>
      <c r="D341" t="s">
        <v>514</v>
      </c>
      <c r="E341" s="23">
        <v>44109</v>
      </c>
      <c r="F341" s="3" t="s">
        <v>476</v>
      </c>
      <c r="G341" s="3" t="s">
        <v>19</v>
      </c>
    </row>
    <row r="342" spans="1:7" x14ac:dyDescent="0.35">
      <c r="A342" s="14">
        <v>10261</v>
      </c>
      <c r="B342" s="4" t="s">
        <v>839</v>
      </c>
      <c r="C342" t="s">
        <v>711</v>
      </c>
      <c r="D342" t="s">
        <v>840</v>
      </c>
      <c r="E342" s="23">
        <v>44109</v>
      </c>
      <c r="F342" s="3" t="s">
        <v>485</v>
      </c>
      <c r="G342" s="3" t="s">
        <v>19</v>
      </c>
    </row>
    <row r="343" spans="1:7" x14ac:dyDescent="0.35">
      <c r="A343" s="14">
        <v>10262</v>
      </c>
      <c r="B343" s="4" t="s">
        <v>841</v>
      </c>
      <c r="C343" t="s">
        <v>30</v>
      </c>
      <c r="D343" t="s">
        <v>498</v>
      </c>
      <c r="E343" s="23">
        <v>44109</v>
      </c>
      <c r="F343" s="3" t="s">
        <v>476</v>
      </c>
      <c r="G343" s="3" t="s">
        <v>19</v>
      </c>
    </row>
    <row r="344" spans="1:7" x14ac:dyDescent="0.35">
      <c r="A344" s="14">
        <v>10263</v>
      </c>
      <c r="B344" s="4" t="s">
        <v>842</v>
      </c>
      <c r="C344" t="s">
        <v>599</v>
      </c>
      <c r="D344" t="s">
        <v>509</v>
      </c>
      <c r="E344" s="23">
        <v>44109</v>
      </c>
      <c r="F344" s="3" t="s">
        <v>485</v>
      </c>
      <c r="G344" s="3" t="s">
        <v>19</v>
      </c>
    </row>
    <row r="345" spans="1:7" x14ac:dyDescent="0.35">
      <c r="A345" s="14">
        <v>10264</v>
      </c>
      <c r="B345" s="4" t="s">
        <v>843</v>
      </c>
      <c r="C345" t="s">
        <v>23</v>
      </c>
      <c r="D345" t="s">
        <v>840</v>
      </c>
      <c r="E345" s="23">
        <v>44109</v>
      </c>
      <c r="F345" s="3" t="s">
        <v>476</v>
      </c>
      <c r="G345" s="3" t="s">
        <v>19</v>
      </c>
    </row>
    <row r="346" spans="1:7" x14ac:dyDescent="0.35">
      <c r="A346" s="14">
        <v>10265</v>
      </c>
      <c r="B346" s="4" t="s">
        <v>294</v>
      </c>
      <c r="C346" t="s">
        <v>28</v>
      </c>
      <c r="D346" t="s">
        <v>616</v>
      </c>
      <c r="E346" s="26">
        <v>44117</v>
      </c>
      <c r="F346" s="3" t="s">
        <v>485</v>
      </c>
      <c r="G346" s="3" t="s">
        <v>19</v>
      </c>
    </row>
    <row r="347" spans="1:7" x14ac:dyDescent="0.35">
      <c r="A347" s="14">
        <v>10266</v>
      </c>
      <c r="B347" s="4" t="s">
        <v>844</v>
      </c>
      <c r="C347" t="s">
        <v>28</v>
      </c>
      <c r="D347" t="s">
        <v>845</v>
      </c>
      <c r="E347" s="23">
        <v>44117</v>
      </c>
      <c r="F347" s="3" t="s">
        <v>485</v>
      </c>
      <c r="G347" s="3" t="s">
        <v>19</v>
      </c>
    </row>
    <row r="348" spans="1:7" x14ac:dyDescent="0.35">
      <c r="A348" s="14">
        <v>10267</v>
      </c>
      <c r="B348" s="4" t="s">
        <v>846</v>
      </c>
      <c r="C348" t="s">
        <v>20</v>
      </c>
      <c r="D348" t="s">
        <v>687</v>
      </c>
      <c r="E348" s="26">
        <v>44117</v>
      </c>
      <c r="F348" s="3" t="s">
        <v>485</v>
      </c>
      <c r="G348" s="3" t="s">
        <v>19</v>
      </c>
    </row>
    <row r="349" spans="1:7" x14ac:dyDescent="0.35">
      <c r="A349" s="14">
        <v>10268</v>
      </c>
      <c r="B349" s="4" t="s">
        <v>847</v>
      </c>
      <c r="C349" t="s">
        <v>848</v>
      </c>
      <c r="D349" t="s">
        <v>849</v>
      </c>
      <c r="E349" s="26">
        <v>44117</v>
      </c>
      <c r="F349" s="3" t="s">
        <v>485</v>
      </c>
      <c r="G349" s="3" t="s">
        <v>19</v>
      </c>
    </row>
    <row r="350" spans="1:7" x14ac:dyDescent="0.35">
      <c r="A350" s="14">
        <v>10272</v>
      </c>
      <c r="B350" s="4" t="s">
        <v>850</v>
      </c>
      <c r="C350" t="s">
        <v>23</v>
      </c>
      <c r="D350" t="s">
        <v>849</v>
      </c>
      <c r="E350" s="23">
        <v>44117</v>
      </c>
      <c r="F350" s="3" t="s">
        <v>476</v>
      </c>
      <c r="G350" s="3" t="s">
        <v>477</v>
      </c>
    </row>
    <row r="351" spans="1:7" x14ac:dyDescent="0.35">
      <c r="A351" s="14">
        <v>10275</v>
      </c>
      <c r="B351" s="4" t="s">
        <v>851</v>
      </c>
      <c r="C351" t="s">
        <v>28</v>
      </c>
      <c r="D351" t="s">
        <v>845</v>
      </c>
      <c r="E351" s="23">
        <v>44117</v>
      </c>
      <c r="F351" s="3" t="s">
        <v>476</v>
      </c>
      <c r="G351" s="3" t="s">
        <v>477</v>
      </c>
    </row>
    <row r="352" spans="1:7" x14ac:dyDescent="0.35">
      <c r="A352" s="14">
        <v>10276</v>
      </c>
      <c r="B352" s="4" t="s">
        <v>852</v>
      </c>
      <c r="C352" t="s">
        <v>614</v>
      </c>
      <c r="D352" t="s">
        <v>514</v>
      </c>
      <c r="E352" s="23">
        <v>44117</v>
      </c>
      <c r="F352" s="3" t="s">
        <v>476</v>
      </c>
      <c r="G352" s="3" t="s">
        <v>19</v>
      </c>
    </row>
    <row r="353" spans="1:7" x14ac:dyDescent="0.35">
      <c r="A353" s="14">
        <v>10276</v>
      </c>
      <c r="B353" s="4" t="s">
        <v>852</v>
      </c>
      <c r="C353" t="s">
        <v>23</v>
      </c>
      <c r="D353" t="s">
        <v>853</v>
      </c>
      <c r="E353" s="23">
        <v>44117</v>
      </c>
      <c r="F353" s="3" t="s">
        <v>476</v>
      </c>
      <c r="G353" s="3" t="s">
        <v>19</v>
      </c>
    </row>
    <row r="354" spans="1:7" x14ac:dyDescent="0.35">
      <c r="A354" s="14">
        <v>10278</v>
      </c>
      <c r="B354" s="4" t="s">
        <v>854</v>
      </c>
      <c r="C354" t="s">
        <v>28</v>
      </c>
      <c r="D354" t="s">
        <v>616</v>
      </c>
      <c r="E354" s="26">
        <v>44117</v>
      </c>
      <c r="F354" s="3" t="s">
        <v>485</v>
      </c>
      <c r="G354" s="3" t="s">
        <v>19</v>
      </c>
    </row>
    <row r="355" spans="1:7" x14ac:dyDescent="0.35">
      <c r="A355" s="14">
        <v>10279</v>
      </c>
      <c r="B355" s="4" t="s">
        <v>855</v>
      </c>
      <c r="C355" t="s">
        <v>28</v>
      </c>
      <c r="D355" t="s">
        <v>845</v>
      </c>
      <c r="E355" s="23">
        <v>44117</v>
      </c>
      <c r="F355" s="3" t="s">
        <v>485</v>
      </c>
      <c r="G355" s="3" t="s">
        <v>19</v>
      </c>
    </row>
    <row r="356" spans="1:7" x14ac:dyDescent="0.35">
      <c r="A356" s="14">
        <v>10280</v>
      </c>
      <c r="B356" s="4" t="s">
        <v>856</v>
      </c>
      <c r="C356" t="s">
        <v>614</v>
      </c>
      <c r="D356" t="s">
        <v>514</v>
      </c>
      <c r="E356" s="23">
        <v>44117</v>
      </c>
      <c r="F356" s="3" t="s">
        <v>485</v>
      </c>
      <c r="G356" s="3" t="s">
        <v>19</v>
      </c>
    </row>
    <row r="357" spans="1:7" x14ac:dyDescent="0.35">
      <c r="A357" s="14">
        <v>10282</v>
      </c>
      <c r="B357" s="4" t="s">
        <v>857</v>
      </c>
      <c r="C357" t="s">
        <v>711</v>
      </c>
      <c r="D357" t="s">
        <v>849</v>
      </c>
      <c r="E357" s="23">
        <v>44130</v>
      </c>
      <c r="F357" s="3" t="s">
        <v>485</v>
      </c>
      <c r="G357" s="3" t="s">
        <v>19</v>
      </c>
    </row>
    <row r="358" spans="1:7" x14ac:dyDescent="0.35">
      <c r="A358" s="14">
        <v>10283</v>
      </c>
      <c r="B358" s="4" t="s">
        <v>858</v>
      </c>
      <c r="C358" t="s">
        <v>20</v>
      </c>
      <c r="D358" t="s">
        <v>859</v>
      </c>
      <c r="E358" s="23">
        <v>44125</v>
      </c>
      <c r="F358" s="3" t="s">
        <v>485</v>
      </c>
      <c r="G358" s="3" t="s">
        <v>19</v>
      </c>
    </row>
    <row r="359" spans="1:7" x14ac:dyDescent="0.35">
      <c r="A359" s="14">
        <v>10285</v>
      </c>
      <c r="B359" s="4" t="s">
        <v>860</v>
      </c>
      <c r="C359" t="s">
        <v>30</v>
      </c>
      <c r="D359" t="s">
        <v>861</v>
      </c>
      <c r="E359" s="23">
        <v>44125</v>
      </c>
      <c r="F359" s="3" t="s">
        <v>476</v>
      </c>
      <c r="G359" s="3" t="s">
        <v>19</v>
      </c>
    </row>
    <row r="360" spans="1:7" x14ac:dyDescent="0.35">
      <c r="A360" s="14">
        <v>10286</v>
      </c>
      <c r="B360" s="4" t="s">
        <v>862</v>
      </c>
      <c r="C360" t="s">
        <v>562</v>
      </c>
      <c r="D360" t="s">
        <v>685</v>
      </c>
      <c r="E360" s="23">
        <v>44130</v>
      </c>
      <c r="F360" s="3" t="s">
        <v>485</v>
      </c>
      <c r="G360" s="3" t="s">
        <v>19</v>
      </c>
    </row>
    <row r="361" spans="1:7" x14ac:dyDescent="0.35">
      <c r="A361" s="14">
        <v>10287</v>
      </c>
      <c r="B361" s="4" t="s">
        <v>863</v>
      </c>
      <c r="C361" t="s">
        <v>614</v>
      </c>
      <c r="D361" t="s">
        <v>514</v>
      </c>
      <c r="E361" s="23">
        <v>44130</v>
      </c>
      <c r="F361" s="3" t="s">
        <v>476</v>
      </c>
      <c r="G361" s="3" t="s">
        <v>19</v>
      </c>
    </row>
    <row r="362" spans="1:7" x14ac:dyDescent="0.35">
      <c r="A362" s="14">
        <v>10288</v>
      </c>
      <c r="B362" s="4" t="s">
        <v>864</v>
      </c>
      <c r="C362" t="s">
        <v>23</v>
      </c>
      <c r="D362" t="s">
        <v>849</v>
      </c>
      <c r="E362" s="23">
        <v>44130</v>
      </c>
      <c r="F362" s="3" t="s">
        <v>485</v>
      </c>
      <c r="G362" s="3" t="s">
        <v>19</v>
      </c>
    </row>
    <row r="363" spans="1:7" x14ac:dyDescent="0.35">
      <c r="A363" s="14">
        <v>10289</v>
      </c>
      <c r="B363" s="4" t="s">
        <v>865</v>
      </c>
      <c r="C363" t="s">
        <v>20</v>
      </c>
      <c r="D363" t="s">
        <v>859</v>
      </c>
      <c r="E363" s="23">
        <v>44130</v>
      </c>
      <c r="F363" s="3" t="s">
        <v>476</v>
      </c>
      <c r="G363" s="3" t="s">
        <v>19</v>
      </c>
    </row>
    <row r="364" spans="1:7" x14ac:dyDescent="0.35">
      <c r="A364" s="14">
        <v>10292</v>
      </c>
      <c r="B364" s="4" t="s">
        <v>866</v>
      </c>
      <c r="C364" t="s">
        <v>614</v>
      </c>
      <c r="D364" t="s">
        <v>514</v>
      </c>
      <c r="E364" s="23">
        <v>44130</v>
      </c>
      <c r="F364" s="3" t="s">
        <v>485</v>
      </c>
      <c r="G364" s="3" t="s">
        <v>19</v>
      </c>
    </row>
    <row r="365" spans="1:7" x14ac:dyDescent="0.35">
      <c r="A365" s="14">
        <v>10293</v>
      </c>
      <c r="B365" s="4" t="s">
        <v>867</v>
      </c>
      <c r="C365" t="s">
        <v>562</v>
      </c>
      <c r="D365" t="s">
        <v>685</v>
      </c>
      <c r="E365" s="23">
        <v>44130</v>
      </c>
      <c r="F365" s="3" t="s">
        <v>485</v>
      </c>
      <c r="G365" s="3" t="s">
        <v>19</v>
      </c>
    </row>
    <row r="366" spans="1:7" x14ac:dyDescent="0.35">
      <c r="A366" s="14">
        <v>10294</v>
      </c>
      <c r="B366" s="4" t="s">
        <v>868</v>
      </c>
      <c r="C366" t="s">
        <v>28</v>
      </c>
      <c r="D366" t="s">
        <v>845</v>
      </c>
      <c r="E366" s="23">
        <v>44144</v>
      </c>
      <c r="F366" s="3" t="s">
        <v>476</v>
      </c>
      <c r="G366" s="3" t="s">
        <v>19</v>
      </c>
    </row>
    <row r="367" spans="1:7" x14ac:dyDescent="0.35">
      <c r="A367" s="14">
        <v>10295</v>
      </c>
      <c r="B367" s="4" t="s">
        <v>869</v>
      </c>
      <c r="C367" t="s">
        <v>562</v>
      </c>
      <c r="D367" t="s">
        <v>685</v>
      </c>
      <c r="E367" s="23">
        <v>44144</v>
      </c>
      <c r="F367" s="3" t="s">
        <v>485</v>
      </c>
      <c r="G367" s="3" t="s">
        <v>19</v>
      </c>
    </row>
    <row r="368" spans="1:7" x14ac:dyDescent="0.35">
      <c r="A368" s="14">
        <v>10296</v>
      </c>
      <c r="B368" s="4" t="s">
        <v>870</v>
      </c>
      <c r="C368" t="s">
        <v>28</v>
      </c>
      <c r="D368" t="s">
        <v>845</v>
      </c>
      <c r="E368" s="23">
        <v>44144</v>
      </c>
      <c r="F368" s="3" t="s">
        <v>485</v>
      </c>
      <c r="G368" s="3" t="s">
        <v>19</v>
      </c>
    </row>
    <row r="369" spans="1:7" x14ac:dyDescent="0.35">
      <c r="A369" s="14">
        <v>10297</v>
      </c>
      <c r="B369" s="4" t="s">
        <v>871</v>
      </c>
      <c r="C369" t="s">
        <v>28</v>
      </c>
      <c r="D369" t="s">
        <v>845</v>
      </c>
      <c r="E369" s="23">
        <v>44144</v>
      </c>
      <c r="F369" s="3" t="s">
        <v>485</v>
      </c>
      <c r="G369" s="3" t="s">
        <v>19</v>
      </c>
    </row>
    <row r="370" spans="1:7" x14ac:dyDescent="0.35">
      <c r="A370" s="14">
        <v>10298</v>
      </c>
      <c r="B370" s="4" t="s">
        <v>872</v>
      </c>
      <c r="C370" t="s">
        <v>20</v>
      </c>
      <c r="D370" t="s">
        <v>859</v>
      </c>
      <c r="E370" s="23">
        <v>44144</v>
      </c>
      <c r="F370" s="3" t="s">
        <v>485</v>
      </c>
      <c r="G370" s="3" t="s">
        <v>19</v>
      </c>
    </row>
    <row r="371" spans="1:7" x14ac:dyDescent="0.35">
      <c r="A371" s="14">
        <v>10299</v>
      </c>
      <c r="B371" s="4" t="s">
        <v>873</v>
      </c>
      <c r="C371" t="s">
        <v>30</v>
      </c>
      <c r="D371" t="s">
        <v>861</v>
      </c>
      <c r="E371" s="23">
        <v>44144</v>
      </c>
      <c r="F371" s="3" t="s">
        <v>476</v>
      </c>
      <c r="G371" s="3" t="s">
        <v>19</v>
      </c>
    </row>
    <row r="372" spans="1:7" x14ac:dyDescent="0.35">
      <c r="A372" s="14">
        <v>10300</v>
      </c>
      <c r="B372" s="4" t="s">
        <v>874</v>
      </c>
      <c r="C372" t="s">
        <v>562</v>
      </c>
      <c r="D372" t="s">
        <v>685</v>
      </c>
      <c r="E372" s="23">
        <v>44144</v>
      </c>
      <c r="F372" s="3" t="s">
        <v>476</v>
      </c>
      <c r="G372" s="3" t="s">
        <v>19</v>
      </c>
    </row>
    <row r="373" spans="1:7" x14ac:dyDescent="0.35">
      <c r="A373" s="14">
        <v>10301</v>
      </c>
      <c r="B373" s="4" t="s">
        <v>875</v>
      </c>
      <c r="C373" t="s">
        <v>30</v>
      </c>
      <c r="D373" t="s">
        <v>861</v>
      </c>
      <c r="E373" s="23">
        <v>44144</v>
      </c>
      <c r="F373" s="3" t="s">
        <v>485</v>
      </c>
      <c r="G373" s="3" t="s">
        <v>19</v>
      </c>
    </row>
    <row r="374" spans="1:7" x14ac:dyDescent="0.35">
      <c r="A374" s="14">
        <v>10302</v>
      </c>
      <c r="B374" s="4" t="s">
        <v>876</v>
      </c>
      <c r="C374" t="s">
        <v>28</v>
      </c>
      <c r="D374" t="s">
        <v>616</v>
      </c>
      <c r="E374" s="23">
        <v>44158</v>
      </c>
      <c r="F374" s="3" t="s">
        <v>476</v>
      </c>
      <c r="G374" s="3" t="s">
        <v>19</v>
      </c>
    </row>
    <row r="375" spans="1:7" x14ac:dyDescent="0.35">
      <c r="A375" s="14">
        <v>10304</v>
      </c>
      <c r="B375" s="4" t="s">
        <v>877</v>
      </c>
      <c r="C375" t="s">
        <v>28</v>
      </c>
      <c r="D375" t="s">
        <v>616</v>
      </c>
      <c r="E375" s="23">
        <v>44158</v>
      </c>
      <c r="F375" s="3" t="s">
        <v>476</v>
      </c>
      <c r="G375" s="3" t="s">
        <v>19</v>
      </c>
    </row>
    <row r="376" spans="1:7" x14ac:dyDescent="0.35">
      <c r="A376" s="14">
        <v>10304</v>
      </c>
      <c r="B376" s="4" t="s">
        <v>877</v>
      </c>
      <c r="C376" t="s">
        <v>20</v>
      </c>
      <c r="D376" t="s">
        <v>687</v>
      </c>
      <c r="E376" s="23">
        <v>44158</v>
      </c>
      <c r="F376" s="3" t="s">
        <v>476</v>
      </c>
      <c r="G376" s="3" t="s">
        <v>19</v>
      </c>
    </row>
    <row r="377" spans="1:7" x14ac:dyDescent="0.35">
      <c r="A377" s="14">
        <v>10305</v>
      </c>
      <c r="B377" s="4" t="s">
        <v>878</v>
      </c>
      <c r="C377" t="s">
        <v>30</v>
      </c>
      <c r="D377" t="s">
        <v>498</v>
      </c>
      <c r="E377" s="23">
        <v>44158</v>
      </c>
      <c r="F377" s="3" t="s">
        <v>485</v>
      </c>
      <c r="G377" s="3" t="s">
        <v>19</v>
      </c>
    </row>
    <row r="378" spans="1:7" x14ac:dyDescent="0.35">
      <c r="A378" s="14">
        <v>10306</v>
      </c>
      <c r="B378" s="4" t="s">
        <v>879</v>
      </c>
      <c r="C378" t="s">
        <v>562</v>
      </c>
      <c r="D378" t="s">
        <v>504</v>
      </c>
      <c r="E378" s="23">
        <v>44158</v>
      </c>
      <c r="F378" s="3" t="s">
        <v>476</v>
      </c>
      <c r="G378" s="3" t="s">
        <v>19</v>
      </c>
    </row>
    <row r="379" spans="1:7" x14ac:dyDescent="0.35">
      <c r="A379" s="14">
        <v>10307</v>
      </c>
      <c r="B379" s="4" t="s">
        <v>880</v>
      </c>
      <c r="C379" t="s">
        <v>23</v>
      </c>
      <c r="D379" t="s">
        <v>557</v>
      </c>
      <c r="E379" s="23">
        <v>44158</v>
      </c>
      <c r="F379" s="3" t="s">
        <v>485</v>
      </c>
      <c r="G379" s="3" t="s">
        <v>19</v>
      </c>
    </row>
    <row r="380" spans="1:7" x14ac:dyDescent="0.35">
      <c r="A380" s="14">
        <v>10308</v>
      </c>
      <c r="B380" s="4" t="s">
        <v>881</v>
      </c>
      <c r="C380" t="s">
        <v>614</v>
      </c>
      <c r="D380" t="s">
        <v>509</v>
      </c>
      <c r="E380" s="23">
        <v>44117</v>
      </c>
      <c r="F380" s="3" t="s">
        <v>485</v>
      </c>
      <c r="G380" s="3" t="s">
        <v>19</v>
      </c>
    </row>
    <row r="381" spans="1:7" x14ac:dyDescent="0.35">
      <c r="A381" s="14">
        <v>10309</v>
      </c>
      <c r="B381" s="4" t="s">
        <v>882</v>
      </c>
      <c r="C381" t="s">
        <v>23</v>
      </c>
      <c r="D381" t="s">
        <v>557</v>
      </c>
      <c r="E381" s="23">
        <v>44158</v>
      </c>
      <c r="F381" s="3" t="s">
        <v>485</v>
      </c>
      <c r="G381" s="3" t="s">
        <v>19</v>
      </c>
    </row>
    <row r="382" spans="1:7" x14ac:dyDescent="0.35">
      <c r="A382" s="14">
        <v>10310</v>
      </c>
      <c r="B382" s="4" t="s">
        <v>883</v>
      </c>
      <c r="C382" t="s">
        <v>711</v>
      </c>
      <c r="D382" t="s">
        <v>557</v>
      </c>
      <c r="E382" s="23">
        <v>44173</v>
      </c>
      <c r="F382" s="3" t="s">
        <v>476</v>
      </c>
      <c r="G382" s="3" t="s">
        <v>19</v>
      </c>
    </row>
    <row r="383" spans="1:7" x14ac:dyDescent="0.35">
      <c r="A383" s="14">
        <v>10311</v>
      </c>
      <c r="B383" s="4" t="s">
        <v>884</v>
      </c>
      <c r="C383" t="s">
        <v>711</v>
      </c>
      <c r="D383" t="s">
        <v>557</v>
      </c>
      <c r="E383" s="23">
        <v>44173</v>
      </c>
      <c r="F383" s="3" t="s">
        <v>485</v>
      </c>
      <c r="G383" s="3" t="s">
        <v>19</v>
      </c>
    </row>
    <row r="384" spans="1:7" x14ac:dyDescent="0.35">
      <c r="A384" s="14">
        <v>10311</v>
      </c>
      <c r="B384" s="4" t="s">
        <v>884</v>
      </c>
      <c r="C384" t="s">
        <v>711</v>
      </c>
      <c r="D384" t="s">
        <v>557</v>
      </c>
      <c r="E384" s="23">
        <v>44173</v>
      </c>
      <c r="F384" s="3" t="s">
        <v>485</v>
      </c>
      <c r="G384" s="3" t="s">
        <v>19</v>
      </c>
    </row>
    <row r="385" spans="1:7" x14ac:dyDescent="0.35">
      <c r="A385" s="14">
        <v>10312</v>
      </c>
      <c r="B385" s="4" t="s">
        <v>885</v>
      </c>
      <c r="C385" t="s">
        <v>28</v>
      </c>
      <c r="D385" t="s">
        <v>616</v>
      </c>
      <c r="E385" s="23">
        <v>44173</v>
      </c>
      <c r="F385" s="3" t="s">
        <v>485</v>
      </c>
      <c r="G385" s="3" t="s">
        <v>19</v>
      </c>
    </row>
    <row r="386" spans="1:7" x14ac:dyDescent="0.35">
      <c r="A386" s="14">
        <v>10316</v>
      </c>
      <c r="B386" s="4" t="s">
        <v>886</v>
      </c>
      <c r="C386" t="s">
        <v>28</v>
      </c>
      <c r="D386" t="s">
        <v>616</v>
      </c>
      <c r="E386" s="23">
        <v>44173</v>
      </c>
      <c r="F386" s="3" t="s">
        <v>485</v>
      </c>
      <c r="G386" s="3" t="s">
        <v>19</v>
      </c>
    </row>
    <row r="387" spans="1:7" x14ac:dyDescent="0.35">
      <c r="A387" s="14">
        <v>10317</v>
      </c>
      <c r="B387" s="4" t="s">
        <v>887</v>
      </c>
      <c r="C387" t="s">
        <v>20</v>
      </c>
      <c r="D387" t="s">
        <v>687</v>
      </c>
      <c r="E387" s="23">
        <v>44173</v>
      </c>
      <c r="F387" s="3" t="s">
        <v>476</v>
      </c>
      <c r="G387" s="3" t="s">
        <v>19</v>
      </c>
    </row>
    <row r="388" spans="1:7" x14ac:dyDescent="0.35">
      <c r="A388" s="14">
        <v>10318</v>
      </c>
      <c r="B388" s="4" t="s">
        <v>888</v>
      </c>
      <c r="C388" t="s">
        <v>28</v>
      </c>
      <c r="D388" t="s">
        <v>616</v>
      </c>
      <c r="E388" s="23">
        <v>44173</v>
      </c>
      <c r="F388" s="3" t="s">
        <v>476</v>
      </c>
      <c r="G388" s="3" t="s">
        <v>19</v>
      </c>
    </row>
    <row r="389" spans="1:7" x14ac:dyDescent="0.35">
      <c r="A389" s="14">
        <v>10320</v>
      </c>
      <c r="B389" s="4" t="s">
        <v>889</v>
      </c>
      <c r="C389" t="s">
        <v>20</v>
      </c>
      <c r="D389" t="s">
        <v>687</v>
      </c>
      <c r="E389" s="23">
        <v>44173</v>
      </c>
      <c r="F389" s="3" t="s">
        <v>485</v>
      </c>
      <c r="G389" s="3" t="s">
        <v>19</v>
      </c>
    </row>
    <row r="390" spans="1:7" x14ac:dyDescent="0.35">
      <c r="A390" s="14">
        <v>10321</v>
      </c>
      <c r="B390" s="4" t="s">
        <v>890</v>
      </c>
      <c r="C390" t="s">
        <v>547</v>
      </c>
      <c r="D390" t="s">
        <v>509</v>
      </c>
      <c r="E390" s="23">
        <v>44173</v>
      </c>
      <c r="F390" s="3" t="s">
        <v>485</v>
      </c>
      <c r="G390" s="3" t="s">
        <v>19</v>
      </c>
    </row>
    <row r="391" spans="1:7" x14ac:dyDescent="0.35">
      <c r="A391" s="14">
        <v>10322</v>
      </c>
      <c r="B391" s="4" t="s">
        <v>891</v>
      </c>
      <c r="C391" t="s">
        <v>562</v>
      </c>
      <c r="D391" t="s">
        <v>504</v>
      </c>
      <c r="E391" s="23">
        <v>44179</v>
      </c>
      <c r="F391" s="3" t="s">
        <v>476</v>
      </c>
      <c r="G391" s="3" t="s">
        <v>19</v>
      </c>
    </row>
    <row r="392" spans="1:7" x14ac:dyDescent="0.35">
      <c r="A392" s="14">
        <v>10323</v>
      </c>
      <c r="B392" s="4" t="s">
        <v>317</v>
      </c>
      <c r="C392" t="s">
        <v>562</v>
      </c>
      <c r="D392" t="s">
        <v>504</v>
      </c>
      <c r="E392" s="23">
        <v>44179</v>
      </c>
      <c r="F392" s="3" t="s">
        <v>476</v>
      </c>
      <c r="G392" s="3" t="s">
        <v>19</v>
      </c>
    </row>
    <row r="393" spans="1:7" x14ac:dyDescent="0.35">
      <c r="A393" s="14">
        <v>10324</v>
      </c>
      <c r="B393" s="4" t="s">
        <v>892</v>
      </c>
      <c r="C393" t="s">
        <v>28</v>
      </c>
      <c r="D393" t="s">
        <v>616</v>
      </c>
      <c r="E393" s="23">
        <v>44179</v>
      </c>
      <c r="F393" s="3" t="s">
        <v>485</v>
      </c>
      <c r="G393" s="3" t="s">
        <v>19</v>
      </c>
    </row>
    <row r="394" spans="1:7" x14ac:dyDescent="0.35">
      <c r="A394" s="14">
        <v>10325</v>
      </c>
      <c r="B394" s="4" t="s">
        <v>893</v>
      </c>
      <c r="C394" t="s">
        <v>28</v>
      </c>
      <c r="D394" t="s">
        <v>616</v>
      </c>
      <c r="E394" s="23">
        <v>44179</v>
      </c>
      <c r="F394" s="3" t="s">
        <v>485</v>
      </c>
      <c r="G394" s="3" t="s">
        <v>19</v>
      </c>
    </row>
    <row r="395" spans="1:7" x14ac:dyDescent="0.35">
      <c r="A395" s="14">
        <v>10328</v>
      </c>
      <c r="B395" s="4" t="s">
        <v>894</v>
      </c>
      <c r="C395" t="s">
        <v>20</v>
      </c>
      <c r="D395" t="s">
        <v>687</v>
      </c>
      <c r="E395" s="23">
        <v>44179</v>
      </c>
      <c r="F395" s="3" t="s">
        <v>476</v>
      </c>
      <c r="G395" s="3" t="s">
        <v>19</v>
      </c>
    </row>
    <row r="396" spans="1:7" x14ac:dyDescent="0.35">
      <c r="A396" s="14">
        <v>10329</v>
      </c>
      <c r="B396" s="4" t="s">
        <v>895</v>
      </c>
      <c r="C396" t="s">
        <v>20</v>
      </c>
      <c r="D396" t="s">
        <v>687</v>
      </c>
      <c r="E396" s="23">
        <v>44179</v>
      </c>
      <c r="F396" s="3" t="s">
        <v>476</v>
      </c>
      <c r="G396" s="3" t="s">
        <v>19</v>
      </c>
    </row>
    <row r="397" spans="1:7" x14ac:dyDescent="0.35">
      <c r="A397" s="14">
        <v>10330</v>
      </c>
      <c r="B397" s="4" t="s">
        <v>896</v>
      </c>
      <c r="E397" s="23">
        <v>44215</v>
      </c>
      <c r="F397" s="3" t="s">
        <v>485</v>
      </c>
      <c r="G397" s="3" t="s">
        <v>19</v>
      </c>
    </row>
    <row r="398" spans="1:7" x14ac:dyDescent="0.35">
      <c r="A398" s="14">
        <v>10331</v>
      </c>
      <c r="B398" s="4" t="s">
        <v>897</v>
      </c>
      <c r="E398" s="23">
        <v>44214</v>
      </c>
      <c r="F398" s="3" t="s">
        <v>485</v>
      </c>
      <c r="G398" s="3" t="s">
        <v>19</v>
      </c>
    </row>
    <row r="399" spans="1:7" x14ac:dyDescent="0.35">
      <c r="A399" s="14">
        <v>10332</v>
      </c>
      <c r="B399" s="4" t="s">
        <v>898</v>
      </c>
      <c r="E399" s="23">
        <v>44214</v>
      </c>
      <c r="F399" s="3" t="s">
        <v>485</v>
      </c>
      <c r="G399" s="3" t="s">
        <v>19</v>
      </c>
    </row>
    <row r="400" spans="1:7" x14ac:dyDescent="0.35">
      <c r="A400" s="14">
        <v>10333</v>
      </c>
      <c r="B400" s="4" t="s">
        <v>899</v>
      </c>
      <c r="E400" s="23">
        <v>44214</v>
      </c>
      <c r="F400" s="3" t="s">
        <v>476</v>
      </c>
      <c r="G400" s="3" t="s">
        <v>19</v>
      </c>
    </row>
    <row r="401" spans="1:7" x14ac:dyDescent="0.35">
      <c r="A401" s="14">
        <v>10334</v>
      </c>
      <c r="B401" s="4" t="s">
        <v>900</v>
      </c>
      <c r="E401" s="23">
        <v>44214</v>
      </c>
      <c r="F401" s="3" t="s">
        <v>485</v>
      </c>
      <c r="G401" s="3" t="s">
        <v>19</v>
      </c>
    </row>
    <row r="402" spans="1:7" x14ac:dyDescent="0.35">
      <c r="A402" s="14">
        <v>10335</v>
      </c>
      <c r="B402" s="4" t="s">
        <v>901</v>
      </c>
      <c r="E402" s="23">
        <v>44215</v>
      </c>
      <c r="F402" s="3" t="s">
        <v>485</v>
      </c>
      <c r="G402" s="3" t="s">
        <v>19</v>
      </c>
    </row>
    <row r="403" spans="1:7" x14ac:dyDescent="0.35">
      <c r="A403" s="14">
        <v>10337</v>
      </c>
      <c r="B403" s="4" t="s">
        <v>902</v>
      </c>
      <c r="E403" s="23">
        <v>44215</v>
      </c>
      <c r="F403" s="3" t="s">
        <v>485</v>
      </c>
      <c r="G403" s="3" t="s">
        <v>19</v>
      </c>
    </row>
    <row r="404" spans="1:7" x14ac:dyDescent="0.35">
      <c r="A404" s="14">
        <v>10338</v>
      </c>
      <c r="B404" s="4" t="s">
        <v>903</v>
      </c>
      <c r="E404" s="23">
        <v>44215</v>
      </c>
      <c r="F404" s="3" t="s">
        <v>476</v>
      </c>
      <c r="G404" s="3" t="s">
        <v>19</v>
      </c>
    </row>
    <row r="405" spans="1:7" x14ac:dyDescent="0.35">
      <c r="A405" s="14">
        <v>10339</v>
      </c>
      <c r="B405" s="4" t="s">
        <v>904</v>
      </c>
      <c r="E405" s="23">
        <v>44228</v>
      </c>
      <c r="F405" s="3" t="s">
        <v>476</v>
      </c>
      <c r="G405" s="3" t="s">
        <v>19</v>
      </c>
    </row>
    <row r="406" spans="1:7" x14ac:dyDescent="0.35">
      <c r="A406" s="14">
        <v>10340</v>
      </c>
      <c r="B406" s="4" t="s">
        <v>905</v>
      </c>
      <c r="E406" s="23">
        <v>44228</v>
      </c>
      <c r="F406" s="3" t="s">
        <v>485</v>
      </c>
      <c r="G406" s="3" t="s">
        <v>19</v>
      </c>
    </row>
    <row r="407" spans="1:7" x14ac:dyDescent="0.35">
      <c r="A407" s="14">
        <v>10341</v>
      </c>
      <c r="B407" s="4" t="s">
        <v>906</v>
      </c>
      <c r="E407" s="23">
        <v>44228</v>
      </c>
      <c r="F407" s="3" t="s">
        <v>476</v>
      </c>
      <c r="G407" s="3" t="s">
        <v>19</v>
      </c>
    </row>
    <row r="408" spans="1:7" x14ac:dyDescent="0.35">
      <c r="A408" s="14">
        <v>10343</v>
      </c>
      <c r="B408" s="4" t="s">
        <v>296</v>
      </c>
      <c r="E408" s="23">
        <v>44243</v>
      </c>
      <c r="F408" s="3" t="s">
        <v>485</v>
      </c>
      <c r="G408" s="11" t="s">
        <v>19</v>
      </c>
    </row>
    <row r="409" spans="1:7" x14ac:dyDescent="0.35">
      <c r="A409" s="14">
        <v>10346</v>
      </c>
      <c r="B409" s="4" t="s">
        <v>907</v>
      </c>
      <c r="E409" s="23">
        <v>44243</v>
      </c>
      <c r="F409" s="3" t="s">
        <v>476</v>
      </c>
      <c r="G409" s="11" t="s">
        <v>19</v>
      </c>
    </row>
    <row r="410" spans="1:7" x14ac:dyDescent="0.35">
      <c r="A410" s="14">
        <v>10348</v>
      </c>
      <c r="B410" s="4" t="s">
        <v>908</v>
      </c>
      <c r="E410" s="23">
        <v>44243</v>
      </c>
      <c r="F410" s="3" t="s">
        <v>485</v>
      </c>
      <c r="G410" s="11" t="s">
        <v>19</v>
      </c>
    </row>
    <row r="411" spans="1:7" x14ac:dyDescent="0.35">
      <c r="A411" s="14">
        <v>10352</v>
      </c>
      <c r="B411" s="4" t="s">
        <v>909</v>
      </c>
      <c r="E411" s="23">
        <v>44243</v>
      </c>
      <c r="F411" s="3" t="s">
        <v>485</v>
      </c>
      <c r="G411" s="11" t="s">
        <v>19</v>
      </c>
    </row>
    <row r="412" spans="1:7" x14ac:dyDescent="0.35">
      <c r="A412" s="14">
        <v>10353</v>
      </c>
      <c r="B412" s="4" t="s">
        <v>910</v>
      </c>
      <c r="E412" s="23">
        <v>44243</v>
      </c>
      <c r="F412" s="3" t="s">
        <v>476</v>
      </c>
      <c r="G412" s="11" t="s">
        <v>19</v>
      </c>
    </row>
    <row r="413" spans="1:7" x14ac:dyDescent="0.35">
      <c r="A413" s="14">
        <v>10354</v>
      </c>
      <c r="B413" s="4" t="s">
        <v>911</v>
      </c>
      <c r="E413" s="23">
        <v>44243</v>
      </c>
      <c r="F413" s="3" t="s">
        <v>476</v>
      </c>
      <c r="G413" s="11" t="s">
        <v>19</v>
      </c>
    </row>
    <row r="414" spans="1:7" x14ac:dyDescent="0.35">
      <c r="A414" s="14">
        <v>10355</v>
      </c>
      <c r="B414" s="4" t="s">
        <v>912</v>
      </c>
      <c r="E414" s="23">
        <v>44243</v>
      </c>
      <c r="F414" s="3" t="s">
        <v>485</v>
      </c>
      <c r="G414" s="11" t="s">
        <v>19</v>
      </c>
    </row>
    <row r="415" spans="1:7" x14ac:dyDescent="0.35">
      <c r="A415" s="14">
        <v>10356</v>
      </c>
      <c r="B415" s="4" t="s">
        <v>913</v>
      </c>
      <c r="E415" s="23">
        <v>44243</v>
      </c>
      <c r="F415" s="3" t="s">
        <v>485</v>
      </c>
      <c r="G415" s="11" t="s">
        <v>19</v>
      </c>
    </row>
    <row r="416" spans="1:7" x14ac:dyDescent="0.35">
      <c r="A416" s="14">
        <v>10357</v>
      </c>
      <c r="B416" s="4" t="s">
        <v>914</v>
      </c>
      <c r="E416" s="23">
        <v>44243</v>
      </c>
      <c r="F416" s="3" t="s">
        <v>485</v>
      </c>
      <c r="G416" s="11" t="s">
        <v>19</v>
      </c>
    </row>
    <row r="417" spans="1:7" x14ac:dyDescent="0.35">
      <c r="A417" s="14">
        <v>10359</v>
      </c>
      <c r="B417" s="4" t="s">
        <v>915</v>
      </c>
      <c r="E417" s="23">
        <v>44256</v>
      </c>
      <c r="F417" s="3" t="s">
        <v>485</v>
      </c>
      <c r="G417" s="11" t="s">
        <v>19</v>
      </c>
    </row>
    <row r="418" spans="1:7" x14ac:dyDescent="0.35">
      <c r="A418" s="14">
        <v>10360</v>
      </c>
      <c r="B418" s="4" t="s">
        <v>916</v>
      </c>
      <c r="E418" s="23">
        <v>44256</v>
      </c>
      <c r="F418" s="3" t="s">
        <v>485</v>
      </c>
      <c r="G418" s="11" t="s">
        <v>19</v>
      </c>
    </row>
    <row r="419" spans="1:7" x14ac:dyDescent="0.35">
      <c r="A419" s="14">
        <v>10361</v>
      </c>
      <c r="B419" s="4" t="s">
        <v>917</v>
      </c>
      <c r="E419" s="23">
        <v>44256</v>
      </c>
      <c r="F419" s="3" t="s">
        <v>476</v>
      </c>
      <c r="G419" s="11" t="s">
        <v>19</v>
      </c>
    </row>
    <row r="420" spans="1:7" x14ac:dyDescent="0.35">
      <c r="A420" s="14">
        <v>10364</v>
      </c>
      <c r="B420" s="4" t="s">
        <v>918</v>
      </c>
      <c r="E420" s="23">
        <v>44271</v>
      </c>
      <c r="F420" s="3" t="s">
        <v>476</v>
      </c>
      <c r="G420" s="11" t="s">
        <v>19</v>
      </c>
    </row>
    <row r="421" spans="1:7" x14ac:dyDescent="0.35">
      <c r="A421" s="14">
        <v>10364</v>
      </c>
      <c r="B421" s="4" t="s">
        <v>918</v>
      </c>
      <c r="E421" s="23">
        <v>44270</v>
      </c>
      <c r="F421" s="3" t="s">
        <v>485</v>
      </c>
      <c r="G421" s="11" t="s">
        <v>19</v>
      </c>
    </row>
    <row r="422" spans="1:7" x14ac:dyDescent="0.35">
      <c r="A422" s="14">
        <v>10365</v>
      </c>
      <c r="B422" s="4" t="s">
        <v>919</v>
      </c>
      <c r="E422" s="23">
        <v>44270</v>
      </c>
      <c r="F422" s="3" t="s">
        <v>476</v>
      </c>
      <c r="G422" s="11" t="s">
        <v>19</v>
      </c>
    </row>
    <row r="423" spans="1:7" x14ac:dyDescent="0.35">
      <c r="A423" s="14">
        <v>10365</v>
      </c>
      <c r="B423" s="4" t="s">
        <v>919</v>
      </c>
      <c r="E423" s="23">
        <v>44270</v>
      </c>
      <c r="F423" s="3" t="s">
        <v>485</v>
      </c>
      <c r="G423" s="11" t="s">
        <v>19</v>
      </c>
    </row>
    <row r="424" spans="1:7" x14ac:dyDescent="0.35">
      <c r="A424" s="14">
        <v>10366</v>
      </c>
      <c r="B424" s="4" t="s">
        <v>289</v>
      </c>
      <c r="E424" s="23">
        <v>44270</v>
      </c>
      <c r="F424" s="3" t="s">
        <v>485</v>
      </c>
      <c r="G424" s="11" t="s">
        <v>19</v>
      </c>
    </row>
    <row r="425" spans="1:7" x14ac:dyDescent="0.35">
      <c r="A425" s="14">
        <v>10366</v>
      </c>
      <c r="B425" s="4" t="s">
        <v>289</v>
      </c>
      <c r="E425" s="23">
        <v>44270</v>
      </c>
      <c r="F425" s="3" t="s">
        <v>485</v>
      </c>
      <c r="G425" s="11" t="s">
        <v>19</v>
      </c>
    </row>
    <row r="426" spans="1:7" x14ac:dyDescent="0.35">
      <c r="A426" s="14">
        <v>10370</v>
      </c>
      <c r="B426" s="4" t="s">
        <v>920</v>
      </c>
      <c r="E426" s="23">
        <v>44271</v>
      </c>
      <c r="F426" s="3" t="s">
        <v>485</v>
      </c>
      <c r="G426" s="11" t="s">
        <v>19</v>
      </c>
    </row>
    <row r="427" spans="1:7" x14ac:dyDescent="0.35">
      <c r="A427" s="14">
        <v>10371</v>
      </c>
      <c r="B427" s="4" t="s">
        <v>921</v>
      </c>
      <c r="E427" s="23">
        <v>44272</v>
      </c>
      <c r="F427" s="3" t="s">
        <v>485</v>
      </c>
      <c r="G427" s="11" t="s">
        <v>19</v>
      </c>
    </row>
    <row r="428" spans="1:7" x14ac:dyDescent="0.35">
      <c r="A428" s="14">
        <v>10372</v>
      </c>
      <c r="B428" s="4" t="s">
        <v>922</v>
      </c>
      <c r="E428" s="23">
        <v>44273</v>
      </c>
      <c r="F428" s="3" t="s">
        <v>476</v>
      </c>
      <c r="G428" s="11" t="s">
        <v>19</v>
      </c>
    </row>
    <row r="429" spans="1:7" x14ac:dyDescent="0.35">
      <c r="A429" s="14">
        <v>10373</v>
      </c>
      <c r="B429" s="4" t="s">
        <v>923</v>
      </c>
      <c r="E429" s="23">
        <v>44277</v>
      </c>
      <c r="F429" s="3" t="s">
        <v>476</v>
      </c>
      <c r="G429" s="11" t="s">
        <v>19</v>
      </c>
    </row>
    <row r="430" spans="1:7" x14ac:dyDescent="0.35">
      <c r="A430" s="14">
        <v>10374</v>
      </c>
      <c r="B430" s="4" t="s">
        <v>924</v>
      </c>
      <c r="E430" s="23">
        <v>44291</v>
      </c>
      <c r="F430" s="3" t="s">
        <v>485</v>
      </c>
      <c r="G430" s="11" t="s">
        <v>19</v>
      </c>
    </row>
    <row r="431" spans="1:7" x14ac:dyDescent="0.35">
      <c r="A431" s="14">
        <v>10375</v>
      </c>
      <c r="B431" s="4" t="s">
        <v>925</v>
      </c>
      <c r="E431" s="23">
        <v>44291</v>
      </c>
      <c r="F431" s="3" t="s">
        <v>485</v>
      </c>
      <c r="G431" s="11" t="s">
        <v>19</v>
      </c>
    </row>
    <row r="432" spans="1:7" x14ac:dyDescent="0.35">
      <c r="A432" s="14">
        <v>10376</v>
      </c>
      <c r="B432" s="4" t="s">
        <v>926</v>
      </c>
      <c r="E432" s="23">
        <v>44291</v>
      </c>
      <c r="F432" s="3" t="s">
        <v>485</v>
      </c>
      <c r="G432" s="11" t="s">
        <v>19</v>
      </c>
    </row>
    <row r="433" spans="1:7" x14ac:dyDescent="0.35">
      <c r="A433" s="14">
        <v>10378</v>
      </c>
      <c r="B433" s="4" t="s">
        <v>927</v>
      </c>
      <c r="E433" s="23">
        <v>44291</v>
      </c>
      <c r="F433" s="3" t="s">
        <v>476</v>
      </c>
      <c r="G433" s="11" t="s">
        <v>19</v>
      </c>
    </row>
    <row r="434" spans="1:7" x14ac:dyDescent="0.35">
      <c r="A434" s="14">
        <v>10379</v>
      </c>
      <c r="B434" s="4" t="s">
        <v>928</v>
      </c>
      <c r="E434" s="23">
        <v>44291</v>
      </c>
      <c r="F434" s="3" t="s">
        <v>476</v>
      </c>
      <c r="G434" s="11" t="s">
        <v>19</v>
      </c>
    </row>
    <row r="435" spans="1:7" x14ac:dyDescent="0.35">
      <c r="A435" s="14">
        <v>10380</v>
      </c>
      <c r="B435" s="4" t="s">
        <v>929</v>
      </c>
      <c r="E435" s="23">
        <v>44291</v>
      </c>
      <c r="F435" s="3" t="s">
        <v>485</v>
      </c>
      <c r="G435" s="11" t="s">
        <v>19</v>
      </c>
    </row>
    <row r="436" spans="1:7" x14ac:dyDescent="0.35">
      <c r="A436" s="14">
        <v>10382</v>
      </c>
      <c r="B436" s="4" t="s">
        <v>930</v>
      </c>
      <c r="E436" s="23">
        <v>44291</v>
      </c>
      <c r="F436" s="3" t="s">
        <v>485</v>
      </c>
      <c r="G436" s="11" t="s">
        <v>19</v>
      </c>
    </row>
    <row r="437" spans="1:7" x14ac:dyDescent="0.35">
      <c r="A437" s="14">
        <v>10388</v>
      </c>
      <c r="B437" s="4" t="s">
        <v>931</v>
      </c>
      <c r="E437" s="23">
        <v>44291</v>
      </c>
      <c r="F437" s="3" t="s">
        <v>485</v>
      </c>
      <c r="G437" s="3" t="s">
        <v>19</v>
      </c>
    </row>
    <row r="438" spans="1:7" x14ac:dyDescent="0.35">
      <c r="A438" s="14">
        <v>10389</v>
      </c>
      <c r="B438" s="4" t="s">
        <v>932</v>
      </c>
      <c r="E438" s="23">
        <v>44291</v>
      </c>
      <c r="F438" s="3" t="s">
        <v>485</v>
      </c>
      <c r="G438" s="3" t="s">
        <v>19</v>
      </c>
    </row>
    <row r="439" spans="1:7" x14ac:dyDescent="0.35">
      <c r="A439" s="14">
        <v>10390</v>
      </c>
      <c r="B439" s="4" t="s">
        <v>933</v>
      </c>
      <c r="E439" s="23">
        <v>44291</v>
      </c>
      <c r="F439" s="3" t="s">
        <v>485</v>
      </c>
      <c r="G439" s="3" t="s">
        <v>19</v>
      </c>
    </row>
    <row r="440" spans="1:7" x14ac:dyDescent="0.35">
      <c r="A440" s="14">
        <v>10391</v>
      </c>
      <c r="B440" s="4" t="s">
        <v>934</v>
      </c>
      <c r="E440" s="23">
        <v>44291</v>
      </c>
      <c r="F440" s="3" t="s">
        <v>485</v>
      </c>
      <c r="G440" s="3" t="s">
        <v>19</v>
      </c>
    </row>
    <row r="441" spans="1:7" x14ac:dyDescent="0.35">
      <c r="A441" s="14">
        <v>10392</v>
      </c>
      <c r="B441" s="4" t="s">
        <v>935</v>
      </c>
      <c r="E441" s="23">
        <v>44291</v>
      </c>
      <c r="F441" s="3" t="s">
        <v>485</v>
      </c>
      <c r="G441" s="3" t="s">
        <v>19</v>
      </c>
    </row>
    <row r="442" spans="1:7" x14ac:dyDescent="0.35">
      <c r="A442" s="14">
        <v>10397</v>
      </c>
      <c r="B442" s="1" t="s">
        <v>936</v>
      </c>
      <c r="E442" s="23">
        <v>44291</v>
      </c>
      <c r="F442" s="3" t="s">
        <v>485</v>
      </c>
      <c r="G442" s="3" t="s">
        <v>19</v>
      </c>
    </row>
    <row r="443" spans="1:7" x14ac:dyDescent="0.35">
      <c r="A443" s="14">
        <v>10398</v>
      </c>
      <c r="B443" s="4" t="s">
        <v>330</v>
      </c>
      <c r="E443" s="23">
        <v>44291</v>
      </c>
      <c r="F443" s="3" t="s">
        <v>485</v>
      </c>
      <c r="G443" s="3" t="s">
        <v>19</v>
      </c>
    </row>
    <row r="444" spans="1:7" x14ac:dyDescent="0.35">
      <c r="A444" s="14">
        <v>10400</v>
      </c>
      <c r="B444" s="1" t="s">
        <v>937</v>
      </c>
      <c r="E444" s="23">
        <v>44291</v>
      </c>
      <c r="F444" s="3" t="s">
        <v>485</v>
      </c>
      <c r="G444" s="3" t="s">
        <v>19</v>
      </c>
    </row>
    <row r="445" spans="1:7" x14ac:dyDescent="0.35">
      <c r="A445" s="14">
        <v>10404</v>
      </c>
      <c r="B445" s="4" t="s">
        <v>938</v>
      </c>
      <c r="E445" s="23">
        <v>44291</v>
      </c>
      <c r="F445" s="3" t="s">
        <v>485</v>
      </c>
      <c r="G445" s="3" t="s">
        <v>19</v>
      </c>
    </row>
    <row r="446" spans="1:7" x14ac:dyDescent="0.35">
      <c r="A446" s="14">
        <v>10407</v>
      </c>
      <c r="B446" s="1" t="s">
        <v>328</v>
      </c>
      <c r="E446" s="23">
        <v>44291</v>
      </c>
      <c r="F446" s="3" t="s">
        <v>485</v>
      </c>
      <c r="G446" s="3" t="s">
        <v>19</v>
      </c>
    </row>
    <row r="447" spans="1:7" x14ac:dyDescent="0.35">
      <c r="A447" s="14">
        <v>10411</v>
      </c>
      <c r="B447" s="1" t="s">
        <v>939</v>
      </c>
      <c r="E447" s="23">
        <v>44291</v>
      </c>
      <c r="F447" s="3" t="s">
        <v>485</v>
      </c>
      <c r="G447" s="3" t="s">
        <v>19</v>
      </c>
    </row>
    <row r="448" spans="1:7" x14ac:dyDescent="0.35">
      <c r="A448" s="14">
        <v>10414</v>
      </c>
      <c r="B448" s="4" t="s">
        <v>940</v>
      </c>
      <c r="E448" s="23">
        <v>44291</v>
      </c>
      <c r="F448" s="3" t="s">
        <v>485</v>
      </c>
      <c r="G448" s="3" t="s">
        <v>19</v>
      </c>
    </row>
    <row r="449" spans="1:7" x14ac:dyDescent="0.35">
      <c r="A449" s="14">
        <v>10415</v>
      </c>
      <c r="B449" s="1" t="s">
        <v>941</v>
      </c>
      <c r="E449" s="23">
        <v>44291</v>
      </c>
      <c r="F449" s="3" t="s">
        <v>476</v>
      </c>
      <c r="G449" s="3" t="s">
        <v>19</v>
      </c>
    </row>
    <row r="450" spans="1:7" x14ac:dyDescent="0.35">
      <c r="A450" s="14">
        <v>10406</v>
      </c>
      <c r="B450" s="1" t="s">
        <v>333</v>
      </c>
      <c r="E450" s="23">
        <v>44291</v>
      </c>
      <c r="F450" s="3" t="s">
        <v>485</v>
      </c>
      <c r="G450" s="3" t="s">
        <v>19</v>
      </c>
    </row>
    <row r="451" spans="1:7" x14ac:dyDescent="0.35">
      <c r="A451" s="14">
        <v>10417</v>
      </c>
      <c r="B451" s="1" t="s">
        <v>942</v>
      </c>
      <c r="E451" s="23">
        <v>44291</v>
      </c>
      <c r="F451" s="3" t="s">
        <v>485</v>
      </c>
      <c r="G451" s="3" t="s">
        <v>19</v>
      </c>
    </row>
    <row r="452" spans="1:7" x14ac:dyDescent="0.35">
      <c r="A452" s="14">
        <v>10418</v>
      </c>
      <c r="B452" s="1" t="s">
        <v>331</v>
      </c>
      <c r="E452" s="23">
        <v>44291</v>
      </c>
      <c r="F452" s="3" t="s">
        <v>485</v>
      </c>
      <c r="G452" s="3" t="s">
        <v>19</v>
      </c>
    </row>
    <row r="453" spans="1:7" x14ac:dyDescent="0.35">
      <c r="A453" s="14">
        <v>10421</v>
      </c>
      <c r="B453" s="1" t="s">
        <v>210</v>
      </c>
      <c r="E453" s="23">
        <v>44291</v>
      </c>
      <c r="F453" s="3" t="s">
        <v>485</v>
      </c>
      <c r="G453" s="3" t="s">
        <v>19</v>
      </c>
    </row>
    <row r="454" spans="1:7" x14ac:dyDescent="0.35">
      <c r="A454" s="14">
        <v>10422</v>
      </c>
      <c r="B454" s="1" t="s">
        <v>943</v>
      </c>
      <c r="E454" s="23">
        <v>44291</v>
      </c>
      <c r="F454" s="3" t="s">
        <v>476</v>
      </c>
      <c r="G454" s="3" t="s">
        <v>19</v>
      </c>
    </row>
    <row r="455" spans="1:7" x14ac:dyDescent="0.35">
      <c r="A455" s="14">
        <v>10423</v>
      </c>
      <c r="B455" s="1" t="s">
        <v>944</v>
      </c>
      <c r="E455" s="23">
        <v>44291</v>
      </c>
      <c r="F455" s="3" t="s">
        <v>476</v>
      </c>
      <c r="G455" s="3" t="s">
        <v>19</v>
      </c>
    </row>
    <row r="456" spans="1:7" x14ac:dyDescent="0.35">
      <c r="A456" s="14">
        <v>10424</v>
      </c>
      <c r="B456" s="1" t="s">
        <v>945</v>
      </c>
      <c r="E456" s="23">
        <v>44291</v>
      </c>
      <c r="F456" s="3" t="s">
        <v>485</v>
      </c>
      <c r="G456" s="3" t="s">
        <v>19</v>
      </c>
    </row>
    <row r="457" spans="1:7" x14ac:dyDescent="0.35">
      <c r="A457" s="14">
        <v>10427</v>
      </c>
      <c r="B457" s="1" t="s">
        <v>946</v>
      </c>
      <c r="E457" s="23">
        <v>44291</v>
      </c>
      <c r="F457" s="3" t="s">
        <v>476</v>
      </c>
      <c r="G457" s="3" t="s">
        <v>19</v>
      </c>
    </row>
    <row r="458" spans="1:7" x14ac:dyDescent="0.35">
      <c r="A458" s="14">
        <v>10428</v>
      </c>
      <c r="B458" s="1" t="s">
        <v>947</v>
      </c>
      <c r="E458" s="23">
        <v>44291</v>
      </c>
      <c r="F458" s="3" t="s">
        <v>476</v>
      </c>
      <c r="G458" s="3" t="s">
        <v>19</v>
      </c>
    </row>
    <row r="459" spans="1:7" x14ac:dyDescent="0.35">
      <c r="A459" s="14">
        <v>10429</v>
      </c>
      <c r="B459" s="1" t="s">
        <v>948</v>
      </c>
      <c r="E459" s="23">
        <v>44291</v>
      </c>
      <c r="F459" s="3" t="s">
        <v>485</v>
      </c>
      <c r="G459" s="3" t="s">
        <v>19</v>
      </c>
    </row>
    <row r="460" spans="1:7" x14ac:dyDescent="0.35">
      <c r="A460" s="14">
        <v>10430</v>
      </c>
      <c r="B460" s="1" t="s">
        <v>949</v>
      </c>
      <c r="E460" s="23">
        <v>44291</v>
      </c>
      <c r="F460" s="3" t="s">
        <v>485</v>
      </c>
      <c r="G460" s="3" t="s">
        <v>19</v>
      </c>
    </row>
    <row r="461" spans="1:7" x14ac:dyDescent="0.35">
      <c r="A461" s="14">
        <v>10431</v>
      </c>
      <c r="B461" s="1" t="s">
        <v>89</v>
      </c>
      <c r="E461" s="23">
        <v>44291</v>
      </c>
      <c r="F461" s="3" t="s">
        <v>485</v>
      </c>
      <c r="G461" s="3" t="s">
        <v>19</v>
      </c>
    </row>
    <row r="462" spans="1:7" x14ac:dyDescent="0.35">
      <c r="A462" s="14">
        <v>10432</v>
      </c>
      <c r="B462" s="1" t="s">
        <v>238</v>
      </c>
      <c r="E462" s="23">
        <v>44291</v>
      </c>
      <c r="F462" s="3" t="s">
        <v>476</v>
      </c>
      <c r="G462" s="3" t="s">
        <v>19</v>
      </c>
    </row>
    <row r="463" spans="1:7" x14ac:dyDescent="0.35">
      <c r="A463" s="14">
        <v>10433</v>
      </c>
      <c r="B463" s="1" t="s">
        <v>950</v>
      </c>
      <c r="E463" s="23">
        <v>44291</v>
      </c>
      <c r="F463" s="3" t="s">
        <v>485</v>
      </c>
      <c r="G463" s="3" t="s">
        <v>19</v>
      </c>
    </row>
    <row r="464" spans="1:7" x14ac:dyDescent="0.35">
      <c r="A464" s="14">
        <v>10433</v>
      </c>
      <c r="B464" s="1" t="s">
        <v>950</v>
      </c>
      <c r="E464" s="23">
        <v>44291</v>
      </c>
      <c r="F464" s="3" t="s">
        <v>476</v>
      </c>
      <c r="G464" s="3" t="s">
        <v>19</v>
      </c>
    </row>
    <row r="465" spans="1:7" x14ac:dyDescent="0.35">
      <c r="A465" s="14">
        <v>10437</v>
      </c>
      <c r="B465" s="1" t="s">
        <v>951</v>
      </c>
      <c r="E465" s="23">
        <v>44291</v>
      </c>
      <c r="F465" s="3" t="s">
        <v>476</v>
      </c>
      <c r="G465" s="3" t="s">
        <v>19</v>
      </c>
    </row>
    <row r="466" spans="1:7" x14ac:dyDescent="0.35">
      <c r="A466" s="14">
        <v>10438</v>
      </c>
      <c r="B466" s="1" t="s">
        <v>952</v>
      </c>
      <c r="E466" s="23">
        <v>44291</v>
      </c>
      <c r="F466" s="3" t="s">
        <v>476</v>
      </c>
      <c r="G466" s="3" t="s">
        <v>19</v>
      </c>
    </row>
    <row r="467" spans="1:7" x14ac:dyDescent="0.35">
      <c r="A467" s="14">
        <v>10440</v>
      </c>
      <c r="B467" s="4" t="s">
        <v>953</v>
      </c>
      <c r="E467" s="23">
        <v>44354</v>
      </c>
      <c r="F467" s="3" t="s">
        <v>476</v>
      </c>
      <c r="G467" s="3" t="s">
        <v>19</v>
      </c>
    </row>
    <row r="468" spans="1:7" x14ac:dyDescent="0.35">
      <c r="A468" s="14">
        <v>10443</v>
      </c>
      <c r="B468" s="1" t="s">
        <v>954</v>
      </c>
      <c r="E468" s="23">
        <v>44291</v>
      </c>
      <c r="F468" s="3" t="s">
        <v>485</v>
      </c>
      <c r="G468" s="3" t="s">
        <v>19</v>
      </c>
    </row>
    <row r="469" spans="1:7" x14ac:dyDescent="0.35">
      <c r="A469" s="14">
        <v>10444</v>
      </c>
      <c r="B469" s="4" t="s">
        <v>955</v>
      </c>
      <c r="E469" s="23">
        <v>44354</v>
      </c>
      <c r="F469" s="3" t="s">
        <v>485</v>
      </c>
      <c r="G469" s="3" t="s">
        <v>19</v>
      </c>
    </row>
    <row r="470" spans="1:7" x14ac:dyDescent="0.35">
      <c r="A470" s="14">
        <v>10445</v>
      </c>
      <c r="B470" s="1" t="s">
        <v>956</v>
      </c>
      <c r="E470" s="23">
        <v>44291</v>
      </c>
      <c r="F470" s="3" t="s">
        <v>485</v>
      </c>
      <c r="G470" s="3" t="s">
        <v>19</v>
      </c>
    </row>
    <row r="471" spans="1:7" x14ac:dyDescent="0.35">
      <c r="A471" s="14">
        <v>10446</v>
      </c>
      <c r="B471" s="4" t="s">
        <v>957</v>
      </c>
      <c r="E471" s="23">
        <v>44354</v>
      </c>
      <c r="F471" s="3" t="s">
        <v>485</v>
      </c>
      <c r="G471" s="3" t="s">
        <v>19</v>
      </c>
    </row>
    <row r="472" spans="1:7" x14ac:dyDescent="0.35">
      <c r="A472" s="14">
        <v>10447</v>
      </c>
      <c r="B472" s="1" t="s">
        <v>958</v>
      </c>
      <c r="E472" s="23">
        <v>44291</v>
      </c>
      <c r="F472" s="3" t="s">
        <v>476</v>
      </c>
      <c r="G472" s="3" t="s">
        <v>19</v>
      </c>
    </row>
    <row r="473" spans="1:7" x14ac:dyDescent="0.35">
      <c r="A473" s="14">
        <v>10448</v>
      </c>
      <c r="B473" s="1" t="s">
        <v>959</v>
      </c>
      <c r="E473" s="23">
        <v>44291</v>
      </c>
      <c r="F473" s="3" t="s">
        <v>485</v>
      </c>
      <c r="G473" s="3" t="s">
        <v>19</v>
      </c>
    </row>
    <row r="474" spans="1:7" x14ac:dyDescent="0.35">
      <c r="A474" s="14">
        <v>10449</v>
      </c>
      <c r="B474" s="4" t="s">
        <v>960</v>
      </c>
      <c r="E474" s="23">
        <v>44354</v>
      </c>
      <c r="F474" s="3" t="s">
        <v>485</v>
      </c>
      <c r="G474" s="3" t="s">
        <v>19</v>
      </c>
    </row>
    <row r="475" spans="1:7" x14ac:dyDescent="0.35">
      <c r="A475" s="14">
        <v>10452</v>
      </c>
      <c r="B475" s="4" t="s">
        <v>961</v>
      </c>
      <c r="E475" s="23">
        <v>44354</v>
      </c>
      <c r="F475" s="3" t="s">
        <v>476</v>
      </c>
      <c r="G475" s="3" t="s">
        <v>19</v>
      </c>
    </row>
    <row r="476" spans="1:7" x14ac:dyDescent="0.35">
      <c r="A476" s="14">
        <v>10453</v>
      </c>
      <c r="B476" s="4" t="s">
        <v>962</v>
      </c>
      <c r="E476" s="23">
        <v>44354</v>
      </c>
      <c r="F476" s="3" t="s">
        <v>485</v>
      </c>
      <c r="G476" s="3" t="s">
        <v>19</v>
      </c>
    </row>
    <row r="477" spans="1:7" x14ac:dyDescent="0.35">
      <c r="A477" s="14">
        <v>10455</v>
      </c>
      <c r="B477" s="4" t="s">
        <v>963</v>
      </c>
      <c r="E477" s="23">
        <v>44354</v>
      </c>
      <c r="F477" s="3" t="s">
        <v>485</v>
      </c>
      <c r="G477" s="3" t="s">
        <v>19</v>
      </c>
    </row>
    <row r="478" spans="1:7" x14ac:dyDescent="0.35">
      <c r="A478" s="14">
        <v>10456</v>
      </c>
      <c r="B478" s="4" t="s">
        <v>964</v>
      </c>
      <c r="E478" s="23">
        <v>44354</v>
      </c>
      <c r="F478" s="3" t="s">
        <v>485</v>
      </c>
      <c r="G478" s="3" t="s">
        <v>19</v>
      </c>
    </row>
    <row r="479" spans="1:7" x14ac:dyDescent="0.35">
      <c r="A479" s="14">
        <v>10457</v>
      </c>
      <c r="B479" s="4" t="s">
        <v>965</v>
      </c>
      <c r="E479" s="23">
        <v>44354</v>
      </c>
      <c r="F479" s="3" t="s">
        <v>485</v>
      </c>
      <c r="G479" s="3" t="s">
        <v>19</v>
      </c>
    </row>
    <row r="480" spans="1:7" x14ac:dyDescent="0.35">
      <c r="A480" s="14">
        <v>10457</v>
      </c>
      <c r="B480" s="4" t="s">
        <v>966</v>
      </c>
      <c r="E480" s="23">
        <v>44354</v>
      </c>
      <c r="F480" s="3" t="s">
        <v>485</v>
      </c>
      <c r="G480" s="3" t="s">
        <v>19</v>
      </c>
    </row>
    <row r="481" spans="1:7" x14ac:dyDescent="0.35">
      <c r="A481" s="14">
        <v>10458</v>
      </c>
      <c r="B481" s="4" t="s">
        <v>967</v>
      </c>
      <c r="E481" s="23">
        <v>44354</v>
      </c>
      <c r="F481" s="3" t="s">
        <v>485</v>
      </c>
      <c r="G481" s="3" t="s">
        <v>19</v>
      </c>
    </row>
    <row r="482" spans="1:7" x14ac:dyDescent="0.35">
      <c r="A482" s="14">
        <v>10458</v>
      </c>
      <c r="B482" s="4" t="s">
        <v>967</v>
      </c>
      <c r="E482" s="23">
        <v>44354</v>
      </c>
      <c r="F482" s="3" t="s">
        <v>485</v>
      </c>
      <c r="G482" s="3" t="s">
        <v>19</v>
      </c>
    </row>
    <row r="483" spans="1:7" x14ac:dyDescent="0.35">
      <c r="A483" s="14">
        <v>10459</v>
      </c>
      <c r="B483" s="4" t="s">
        <v>968</v>
      </c>
      <c r="E483" s="23">
        <v>44354</v>
      </c>
      <c r="F483" s="3" t="s">
        <v>485</v>
      </c>
      <c r="G483" s="3" t="s">
        <v>19</v>
      </c>
    </row>
    <row r="484" spans="1:7" x14ac:dyDescent="0.35">
      <c r="A484" s="14">
        <v>10459</v>
      </c>
      <c r="B484" s="4" t="s">
        <v>968</v>
      </c>
      <c r="E484" s="23">
        <v>44354</v>
      </c>
      <c r="F484" s="3" t="s">
        <v>476</v>
      </c>
      <c r="G484" s="3" t="s">
        <v>19</v>
      </c>
    </row>
    <row r="485" spans="1:7" x14ac:dyDescent="0.35">
      <c r="A485" s="14">
        <v>10463</v>
      </c>
      <c r="B485" s="4" t="s">
        <v>969</v>
      </c>
      <c r="E485" s="23">
        <v>44354</v>
      </c>
      <c r="F485" s="3" t="s">
        <v>476</v>
      </c>
      <c r="G485" s="3" t="s">
        <v>19</v>
      </c>
    </row>
    <row r="486" spans="1:7" x14ac:dyDescent="0.35">
      <c r="A486" s="14">
        <v>10464</v>
      </c>
      <c r="B486" s="4" t="s">
        <v>970</v>
      </c>
      <c r="E486" s="23">
        <v>44354</v>
      </c>
      <c r="F486" s="3" t="s">
        <v>485</v>
      </c>
      <c r="G486" s="3" t="s">
        <v>19</v>
      </c>
    </row>
    <row r="487" spans="1:7" x14ac:dyDescent="0.35">
      <c r="A487" s="14">
        <v>10465</v>
      </c>
      <c r="B487" s="4" t="s">
        <v>971</v>
      </c>
      <c r="E487" s="23">
        <v>44354</v>
      </c>
      <c r="F487" s="3" t="s">
        <v>476</v>
      </c>
      <c r="G487" s="3" t="s">
        <v>19</v>
      </c>
    </row>
    <row r="488" spans="1:7" x14ac:dyDescent="0.35">
      <c r="A488" s="14">
        <v>10467</v>
      </c>
      <c r="B488" s="4" t="s">
        <v>972</v>
      </c>
      <c r="E488" s="23">
        <v>44354</v>
      </c>
      <c r="F488" s="3" t="s">
        <v>476</v>
      </c>
      <c r="G488" s="3" t="s">
        <v>19</v>
      </c>
    </row>
    <row r="489" spans="1:7" x14ac:dyDescent="0.35">
      <c r="A489" s="14">
        <v>10469</v>
      </c>
      <c r="B489" s="4" t="s">
        <v>973</v>
      </c>
      <c r="E489" s="23">
        <v>44354</v>
      </c>
      <c r="F489" s="3" t="s">
        <v>476</v>
      </c>
      <c r="G489" s="3" t="s">
        <v>19</v>
      </c>
    </row>
    <row r="490" spans="1:7" x14ac:dyDescent="0.35">
      <c r="A490" s="14">
        <v>10470</v>
      </c>
      <c r="B490" s="4" t="s">
        <v>974</v>
      </c>
      <c r="E490" s="23">
        <v>44354</v>
      </c>
      <c r="F490" s="3" t="s">
        <v>476</v>
      </c>
      <c r="G490" s="3" t="s">
        <v>19</v>
      </c>
    </row>
    <row r="491" spans="1:7" x14ac:dyDescent="0.35">
      <c r="A491" s="14">
        <v>10471</v>
      </c>
      <c r="B491" s="4" t="s">
        <v>975</v>
      </c>
      <c r="E491" s="23">
        <v>44354</v>
      </c>
      <c r="F491" s="3" t="s">
        <v>476</v>
      </c>
      <c r="G491" s="3" t="s">
        <v>19</v>
      </c>
    </row>
    <row r="492" spans="1:7" x14ac:dyDescent="0.35">
      <c r="A492" s="14">
        <v>10471</v>
      </c>
      <c r="B492" s="4" t="s">
        <v>976</v>
      </c>
      <c r="E492" s="23">
        <v>44354</v>
      </c>
      <c r="F492" s="3" t="s">
        <v>476</v>
      </c>
      <c r="G492" s="3" t="s">
        <v>19</v>
      </c>
    </row>
    <row r="493" spans="1:7" x14ac:dyDescent="0.35">
      <c r="A493" s="14">
        <v>10472</v>
      </c>
      <c r="B493" s="4" t="s">
        <v>977</v>
      </c>
      <c r="E493" s="23">
        <v>44354</v>
      </c>
      <c r="F493" s="3" t="s">
        <v>476</v>
      </c>
      <c r="G493" s="3" t="s">
        <v>19</v>
      </c>
    </row>
    <row r="494" spans="1:7" x14ac:dyDescent="0.35">
      <c r="A494" s="14">
        <v>10472</v>
      </c>
      <c r="B494" s="4" t="s">
        <v>978</v>
      </c>
      <c r="E494" s="23">
        <v>44354</v>
      </c>
      <c r="F494" s="3" t="s">
        <v>476</v>
      </c>
      <c r="G494" s="3" t="s">
        <v>19</v>
      </c>
    </row>
    <row r="495" spans="1:7" x14ac:dyDescent="0.35">
      <c r="A495" s="14">
        <v>10475</v>
      </c>
      <c r="B495" s="4" t="s">
        <v>979</v>
      </c>
      <c r="E495" s="23">
        <v>44354</v>
      </c>
      <c r="F495" s="3" t="s">
        <v>476</v>
      </c>
      <c r="G495" s="3" t="s">
        <v>19</v>
      </c>
    </row>
    <row r="496" spans="1:7" x14ac:dyDescent="0.35">
      <c r="A496" s="14">
        <v>10476</v>
      </c>
      <c r="B496" s="4" t="s">
        <v>980</v>
      </c>
      <c r="E496" s="23">
        <v>44410</v>
      </c>
      <c r="F496" s="3" t="s">
        <v>476</v>
      </c>
      <c r="G496" s="3" t="s">
        <v>19</v>
      </c>
    </row>
    <row r="497" spans="1:7" x14ac:dyDescent="0.35">
      <c r="A497" s="14">
        <v>10477</v>
      </c>
      <c r="B497" s="4" t="s">
        <v>981</v>
      </c>
      <c r="E497" s="23">
        <v>44410</v>
      </c>
      <c r="F497" s="3" t="s">
        <v>485</v>
      </c>
      <c r="G497" s="3" t="s">
        <v>19</v>
      </c>
    </row>
    <row r="498" spans="1:7" x14ac:dyDescent="0.35">
      <c r="A498" s="14">
        <v>10478</v>
      </c>
      <c r="B498" s="4" t="s">
        <v>982</v>
      </c>
      <c r="E498" s="23">
        <v>44410</v>
      </c>
      <c r="F498" s="3" t="s">
        <v>476</v>
      </c>
      <c r="G498" s="3" t="s">
        <v>19</v>
      </c>
    </row>
    <row r="499" spans="1:7" x14ac:dyDescent="0.35">
      <c r="A499" s="14">
        <v>10479</v>
      </c>
      <c r="B499" s="4" t="s">
        <v>983</v>
      </c>
      <c r="E499" s="23">
        <v>44410</v>
      </c>
      <c r="F499" s="3" t="s">
        <v>476</v>
      </c>
      <c r="G499" s="3" t="s">
        <v>19</v>
      </c>
    </row>
    <row r="500" spans="1:7" x14ac:dyDescent="0.35">
      <c r="A500" s="14">
        <v>10480</v>
      </c>
      <c r="B500" s="4" t="s">
        <v>984</v>
      </c>
      <c r="E500" s="23">
        <v>44430</v>
      </c>
      <c r="F500" s="3" t="s">
        <v>476</v>
      </c>
      <c r="G500" s="3" t="s">
        <v>19</v>
      </c>
    </row>
    <row r="501" spans="1:7" x14ac:dyDescent="0.35">
      <c r="A501" s="14">
        <v>10481</v>
      </c>
      <c r="B501" s="4" t="s">
        <v>985</v>
      </c>
      <c r="E501" s="23">
        <v>44430</v>
      </c>
      <c r="F501" s="3" t="s">
        <v>485</v>
      </c>
      <c r="G501" s="3" t="s">
        <v>19</v>
      </c>
    </row>
    <row r="502" spans="1:7" x14ac:dyDescent="0.35">
      <c r="A502" s="14">
        <v>10482</v>
      </c>
      <c r="B502" s="4" t="s">
        <v>986</v>
      </c>
      <c r="E502" s="23">
        <v>44430</v>
      </c>
      <c r="F502" s="3" t="s">
        <v>485</v>
      </c>
      <c r="G502" s="3" t="s">
        <v>19</v>
      </c>
    </row>
    <row r="503" spans="1:7" x14ac:dyDescent="0.35">
      <c r="A503" s="14">
        <v>10483</v>
      </c>
      <c r="B503" s="4" t="s">
        <v>987</v>
      </c>
      <c r="E503" s="23">
        <v>44430</v>
      </c>
      <c r="F503" s="3" t="s">
        <v>476</v>
      </c>
      <c r="G503" s="3" t="s">
        <v>19</v>
      </c>
    </row>
    <row r="504" spans="1:7" x14ac:dyDescent="0.35">
      <c r="A504" s="14">
        <v>10484</v>
      </c>
      <c r="B504" s="4" t="s">
        <v>988</v>
      </c>
      <c r="E504" s="23">
        <v>44430</v>
      </c>
      <c r="F504" s="3" t="s">
        <v>476</v>
      </c>
      <c r="G504" s="3" t="s">
        <v>19</v>
      </c>
    </row>
    <row r="505" spans="1:7" x14ac:dyDescent="0.35">
      <c r="A505" s="14">
        <v>10488</v>
      </c>
      <c r="B505" s="4" t="s">
        <v>329</v>
      </c>
      <c r="E505" s="23">
        <v>44451</v>
      </c>
      <c r="F505" s="3" t="s">
        <v>485</v>
      </c>
      <c r="G505" s="3" t="s">
        <v>19</v>
      </c>
    </row>
    <row r="506" spans="1:7" x14ac:dyDescent="0.35">
      <c r="A506" s="14">
        <v>10488</v>
      </c>
      <c r="B506" s="4" t="s">
        <v>989</v>
      </c>
      <c r="E506" s="23">
        <v>44430</v>
      </c>
      <c r="F506" s="3" t="s">
        <v>485</v>
      </c>
      <c r="G506" s="3" t="s">
        <v>19</v>
      </c>
    </row>
    <row r="507" spans="1:7" x14ac:dyDescent="0.35">
      <c r="A507" s="14">
        <v>10489</v>
      </c>
      <c r="B507" s="4" t="s">
        <v>205</v>
      </c>
      <c r="E507" s="23">
        <v>44442</v>
      </c>
      <c r="F507" s="3" t="s">
        <v>476</v>
      </c>
      <c r="G507" s="3" t="s">
        <v>19</v>
      </c>
    </row>
    <row r="508" spans="1:7" x14ac:dyDescent="0.35">
      <c r="A508" s="14">
        <v>10490</v>
      </c>
      <c r="B508" s="4" t="s">
        <v>356</v>
      </c>
      <c r="E508" s="23">
        <v>44425</v>
      </c>
      <c r="F508" s="3" t="s">
        <v>485</v>
      </c>
      <c r="G508" s="3" t="s">
        <v>19</v>
      </c>
    </row>
    <row r="509" spans="1:7" x14ac:dyDescent="0.35">
      <c r="A509" s="14">
        <v>10490</v>
      </c>
      <c r="B509" s="4" t="s">
        <v>356</v>
      </c>
      <c r="E509" s="23">
        <v>44425</v>
      </c>
      <c r="F509" s="3" t="s">
        <v>485</v>
      </c>
      <c r="G509" s="3" t="s">
        <v>19</v>
      </c>
    </row>
    <row r="510" spans="1:7" x14ac:dyDescent="0.35">
      <c r="A510" s="14">
        <v>10491</v>
      </c>
      <c r="B510" s="4" t="s">
        <v>990</v>
      </c>
      <c r="E510" s="23">
        <v>44425</v>
      </c>
      <c r="F510" s="3" t="s">
        <v>476</v>
      </c>
      <c r="G510" s="3" t="s">
        <v>19</v>
      </c>
    </row>
    <row r="511" spans="1:7" x14ac:dyDescent="0.35">
      <c r="A511" s="14">
        <v>10491</v>
      </c>
      <c r="B511" s="4" t="s">
        <v>990</v>
      </c>
      <c r="E511" s="23">
        <v>44425</v>
      </c>
      <c r="F511" s="3" t="s">
        <v>476</v>
      </c>
      <c r="G511" s="3" t="s">
        <v>19</v>
      </c>
    </row>
    <row r="512" spans="1:7" x14ac:dyDescent="0.35">
      <c r="A512" s="14">
        <v>10492</v>
      </c>
      <c r="B512" s="4" t="s">
        <v>286</v>
      </c>
      <c r="E512" s="23">
        <v>44425</v>
      </c>
      <c r="F512" s="3" t="s">
        <v>476</v>
      </c>
      <c r="G512" s="3" t="s">
        <v>19</v>
      </c>
    </row>
    <row r="513" spans="1:7" x14ac:dyDescent="0.35">
      <c r="A513" s="14">
        <v>10492</v>
      </c>
      <c r="B513" s="4" t="s">
        <v>286</v>
      </c>
      <c r="E513" s="23">
        <v>44425</v>
      </c>
      <c r="F513" s="3" t="s">
        <v>476</v>
      </c>
      <c r="G513" s="3" t="s">
        <v>19</v>
      </c>
    </row>
    <row r="514" spans="1:7" x14ac:dyDescent="0.35">
      <c r="A514" s="14">
        <v>10493</v>
      </c>
      <c r="B514" s="4" t="s">
        <v>991</v>
      </c>
      <c r="E514" s="23">
        <v>44425</v>
      </c>
      <c r="F514" s="3" t="s">
        <v>485</v>
      </c>
      <c r="G514" s="3" t="s">
        <v>19</v>
      </c>
    </row>
    <row r="515" spans="1:7" x14ac:dyDescent="0.35">
      <c r="A515" s="14">
        <v>10494</v>
      </c>
      <c r="B515" s="4" t="s">
        <v>992</v>
      </c>
      <c r="E515" s="23">
        <v>44425</v>
      </c>
      <c r="F515" s="3" t="s">
        <v>485</v>
      </c>
      <c r="G515" s="3" t="s">
        <v>19</v>
      </c>
    </row>
    <row r="516" spans="1:7" x14ac:dyDescent="0.35">
      <c r="A516" s="14">
        <v>10494</v>
      </c>
      <c r="B516" s="4" t="s">
        <v>992</v>
      </c>
      <c r="E516" s="23">
        <v>44425</v>
      </c>
      <c r="F516" s="3" t="s">
        <v>485</v>
      </c>
      <c r="G516" s="3" t="s">
        <v>19</v>
      </c>
    </row>
    <row r="517" spans="1:7" x14ac:dyDescent="0.35">
      <c r="A517" s="14">
        <v>10497</v>
      </c>
      <c r="B517" s="4" t="s">
        <v>993</v>
      </c>
      <c r="E517" s="23">
        <v>44425</v>
      </c>
      <c r="F517" s="3" t="s">
        <v>485</v>
      </c>
      <c r="G517" s="3" t="s">
        <v>19</v>
      </c>
    </row>
    <row r="518" spans="1:7" x14ac:dyDescent="0.35">
      <c r="A518" s="14">
        <v>10498</v>
      </c>
      <c r="B518" s="4" t="s">
        <v>269</v>
      </c>
      <c r="E518" s="23">
        <v>44425</v>
      </c>
      <c r="F518" s="3" t="s">
        <v>485</v>
      </c>
      <c r="G518" s="3" t="s">
        <v>19</v>
      </c>
    </row>
    <row r="519" spans="1:7" x14ac:dyDescent="0.35">
      <c r="A519" s="14">
        <v>10500</v>
      </c>
      <c r="B519" s="4" t="s">
        <v>297</v>
      </c>
      <c r="E519" s="23">
        <v>44425</v>
      </c>
      <c r="F519" s="3" t="s">
        <v>485</v>
      </c>
      <c r="G519" s="3" t="s">
        <v>19</v>
      </c>
    </row>
    <row r="520" spans="1:7" x14ac:dyDescent="0.35">
      <c r="A520" s="14">
        <v>10501</v>
      </c>
      <c r="B520" s="4" t="s">
        <v>994</v>
      </c>
      <c r="E520" s="23">
        <v>44425</v>
      </c>
      <c r="F520" s="3" t="s">
        <v>476</v>
      </c>
      <c r="G520" s="3" t="s">
        <v>19</v>
      </c>
    </row>
    <row r="521" spans="1:7" x14ac:dyDescent="0.35">
      <c r="A521" s="14">
        <v>10502</v>
      </c>
      <c r="B521" s="4" t="s">
        <v>995</v>
      </c>
      <c r="E521" s="23">
        <v>44425</v>
      </c>
      <c r="F521" s="3" t="s">
        <v>485</v>
      </c>
      <c r="G521" s="3" t="s">
        <v>19</v>
      </c>
    </row>
    <row r="522" spans="1:7" x14ac:dyDescent="0.35">
      <c r="A522" s="14">
        <v>10503</v>
      </c>
      <c r="B522" s="4" t="s">
        <v>996</v>
      </c>
      <c r="E522" s="23">
        <v>44243</v>
      </c>
      <c r="F522" s="3" t="s">
        <v>476</v>
      </c>
      <c r="G522" s="11" t="s">
        <v>19</v>
      </c>
    </row>
    <row r="523" spans="1:7" x14ac:dyDescent="0.35">
      <c r="A523" s="13">
        <v>10504</v>
      </c>
      <c r="B523" s="1" t="s">
        <v>997</v>
      </c>
      <c r="C523" s="15" t="s">
        <v>20</v>
      </c>
      <c r="D523" s="15" t="s">
        <v>573</v>
      </c>
      <c r="E523" s="22">
        <v>43514</v>
      </c>
      <c r="F523" s="11" t="s">
        <v>485</v>
      </c>
      <c r="G523" s="11" t="s">
        <v>19</v>
      </c>
    </row>
    <row r="524" spans="1:7" x14ac:dyDescent="0.35">
      <c r="A524" s="14">
        <v>10505</v>
      </c>
      <c r="B524" s="4" t="s">
        <v>998</v>
      </c>
      <c r="E524" s="23">
        <v>44354</v>
      </c>
      <c r="F524" s="3" t="s">
        <v>476</v>
      </c>
      <c r="G524" s="3" t="s">
        <v>19</v>
      </c>
    </row>
    <row r="525" spans="1:7" x14ac:dyDescent="0.35">
      <c r="A525" s="13">
        <v>10506</v>
      </c>
      <c r="B525" s="1" t="s">
        <v>999</v>
      </c>
      <c r="C525" s="15" t="s">
        <v>28</v>
      </c>
      <c r="D525" s="15" t="s">
        <v>616</v>
      </c>
      <c r="E525" s="22">
        <v>43472</v>
      </c>
      <c r="F525" s="11" t="s">
        <v>485</v>
      </c>
      <c r="G525" s="11" t="s">
        <v>19</v>
      </c>
    </row>
    <row r="526" spans="1:7" x14ac:dyDescent="0.35">
      <c r="A526" s="13">
        <v>10510</v>
      </c>
      <c r="B526" s="1" t="s">
        <v>1000</v>
      </c>
      <c r="C526" s="15" t="s">
        <v>28</v>
      </c>
      <c r="D526" s="15" t="s">
        <v>616</v>
      </c>
      <c r="E526" s="22">
        <v>43773</v>
      </c>
      <c r="F526" s="11" t="s">
        <v>485</v>
      </c>
      <c r="G526" s="11" t="s">
        <v>19</v>
      </c>
    </row>
    <row r="527" spans="1:7" x14ac:dyDescent="0.35">
      <c r="A527" s="13">
        <v>10511</v>
      </c>
      <c r="B527" s="1" t="s">
        <v>1001</v>
      </c>
      <c r="C527" s="15" t="s">
        <v>1002</v>
      </c>
      <c r="D527" s="15" t="s">
        <v>557</v>
      </c>
      <c r="E527" s="22">
        <v>43500</v>
      </c>
      <c r="F527" s="11" t="s">
        <v>476</v>
      </c>
      <c r="G527" s="11" t="s">
        <v>19</v>
      </c>
    </row>
    <row r="528" spans="1:7" x14ac:dyDescent="0.35">
      <c r="A528" s="14">
        <v>10512</v>
      </c>
      <c r="B528" s="4" t="s">
        <v>1003</v>
      </c>
      <c r="E528" s="23"/>
    </row>
    <row r="529" spans="1:5" x14ac:dyDescent="0.35">
      <c r="A529" s="14">
        <v>10513</v>
      </c>
      <c r="B529" s="4" t="s">
        <v>1004</v>
      </c>
      <c r="E529" s="23"/>
    </row>
    <row r="530" spans="1:5" x14ac:dyDescent="0.35">
      <c r="A530" s="14">
        <v>10515</v>
      </c>
      <c r="B530" s="4" t="s">
        <v>1005</v>
      </c>
      <c r="E530" s="23"/>
    </row>
    <row r="531" spans="1:5" x14ac:dyDescent="0.35">
      <c r="A531" s="14">
        <v>10517</v>
      </c>
      <c r="B531" s="4" t="s">
        <v>1006</v>
      </c>
      <c r="E531" s="23"/>
    </row>
    <row r="532" spans="1:5" x14ac:dyDescent="0.35">
      <c r="A532" s="14">
        <v>10519</v>
      </c>
      <c r="B532" s="4" t="s">
        <v>1007</v>
      </c>
      <c r="E532" s="23"/>
    </row>
    <row r="533" spans="1:5" x14ac:dyDescent="0.35">
      <c r="A533" s="14">
        <v>10520</v>
      </c>
      <c r="B533" s="4" t="s">
        <v>1008</v>
      </c>
      <c r="E533" s="23"/>
    </row>
    <row r="534" spans="1:5" x14ac:dyDescent="0.35">
      <c r="A534" s="14">
        <v>10521</v>
      </c>
      <c r="B534" s="4" t="s">
        <v>1009</v>
      </c>
      <c r="E534" s="23"/>
    </row>
    <row r="535" spans="1:5" x14ac:dyDescent="0.35">
      <c r="A535" s="14">
        <v>10525</v>
      </c>
      <c r="B535" s="4" t="s">
        <v>282</v>
      </c>
      <c r="E535" s="23"/>
    </row>
    <row r="536" spans="1:5" x14ac:dyDescent="0.35">
      <c r="A536" s="14">
        <v>10526</v>
      </c>
      <c r="B536" s="4" t="s">
        <v>267</v>
      </c>
      <c r="E536" s="23"/>
    </row>
    <row r="537" spans="1:5" x14ac:dyDescent="0.35">
      <c r="A537" s="14">
        <v>10527</v>
      </c>
      <c r="B537" s="4" t="s">
        <v>1010</v>
      </c>
      <c r="E537" s="23"/>
    </row>
    <row r="538" spans="1:5" x14ac:dyDescent="0.35">
      <c r="A538" s="14">
        <v>10529</v>
      </c>
      <c r="B538" s="4" t="s">
        <v>281</v>
      </c>
      <c r="E538" s="23"/>
    </row>
    <row r="539" spans="1:5" x14ac:dyDescent="0.35">
      <c r="A539" s="14">
        <v>10530</v>
      </c>
      <c r="B539" s="4" t="s">
        <v>1011</v>
      </c>
      <c r="E539" s="23"/>
    </row>
    <row r="540" spans="1:5" x14ac:dyDescent="0.35">
      <c r="A540" s="14">
        <v>10533</v>
      </c>
      <c r="B540" s="4" t="s">
        <v>1012</v>
      </c>
      <c r="E540" s="23"/>
    </row>
    <row r="541" spans="1:5" x14ac:dyDescent="0.35">
      <c r="A541" s="14">
        <v>10534</v>
      </c>
      <c r="B541" s="4" t="s">
        <v>1013</v>
      </c>
      <c r="E541" s="23"/>
    </row>
    <row r="542" spans="1:5" x14ac:dyDescent="0.35">
      <c r="A542" s="14">
        <v>10535</v>
      </c>
      <c r="B542" s="4" t="s">
        <v>285</v>
      </c>
      <c r="E542" s="23"/>
    </row>
    <row r="543" spans="1:5" x14ac:dyDescent="0.35">
      <c r="A543" s="14">
        <v>10536</v>
      </c>
      <c r="B543" s="4" t="s">
        <v>1014</v>
      </c>
      <c r="E543" s="23"/>
    </row>
    <row r="544" spans="1:5" x14ac:dyDescent="0.35">
      <c r="A544" s="14">
        <v>10538</v>
      </c>
      <c r="B544" s="4" t="s">
        <v>1015</v>
      </c>
      <c r="E544" s="23"/>
    </row>
    <row r="545" spans="1:5" x14ac:dyDescent="0.35">
      <c r="A545" s="14">
        <v>10540</v>
      </c>
      <c r="B545" s="4" t="s">
        <v>1016</v>
      </c>
      <c r="E545" s="23"/>
    </row>
    <row r="546" spans="1:5" x14ac:dyDescent="0.35">
      <c r="A546" s="14">
        <v>10541</v>
      </c>
      <c r="B546" s="4" t="s">
        <v>1017</v>
      </c>
      <c r="E546" s="23"/>
    </row>
    <row r="547" spans="1:5" x14ac:dyDescent="0.35">
      <c r="A547" s="14">
        <v>10542</v>
      </c>
      <c r="B547" s="4" t="s">
        <v>1018</v>
      </c>
      <c r="E547" s="23"/>
    </row>
    <row r="548" spans="1:5" x14ac:dyDescent="0.35">
      <c r="A548" s="14">
        <v>10543</v>
      </c>
      <c r="B548" s="4" t="s">
        <v>1019</v>
      </c>
      <c r="E548" s="23"/>
    </row>
    <row r="549" spans="1:5" x14ac:dyDescent="0.35">
      <c r="A549" s="14">
        <v>10545</v>
      </c>
      <c r="B549" s="4" t="s">
        <v>1020</v>
      </c>
      <c r="E549" s="23"/>
    </row>
    <row r="550" spans="1:5" x14ac:dyDescent="0.35">
      <c r="A550" s="14">
        <v>10547</v>
      </c>
      <c r="B550" s="4" t="s">
        <v>1021</v>
      </c>
      <c r="E550" s="23"/>
    </row>
    <row r="551" spans="1:5" x14ac:dyDescent="0.35">
      <c r="A551" s="14">
        <v>10548</v>
      </c>
      <c r="B551" s="4" t="s">
        <v>1022</v>
      </c>
      <c r="E551" s="23"/>
    </row>
    <row r="552" spans="1:5" x14ac:dyDescent="0.35">
      <c r="A552" s="14">
        <v>10549</v>
      </c>
      <c r="B552" s="4" t="s">
        <v>1023</v>
      </c>
      <c r="E552" s="23"/>
    </row>
    <row r="553" spans="1:5" x14ac:dyDescent="0.35">
      <c r="A553" s="14">
        <v>10552</v>
      </c>
      <c r="B553" s="4" t="s">
        <v>1024</v>
      </c>
      <c r="E553" s="23"/>
    </row>
    <row r="554" spans="1:5" x14ac:dyDescent="0.35">
      <c r="A554" s="14">
        <v>10553</v>
      </c>
      <c r="B554" s="4" t="s">
        <v>1025</v>
      </c>
      <c r="E554" s="23"/>
    </row>
    <row r="555" spans="1:5" x14ac:dyDescent="0.35">
      <c r="A555" s="14">
        <v>10553</v>
      </c>
      <c r="B555" s="4" t="s">
        <v>1025</v>
      </c>
      <c r="E555" s="23"/>
    </row>
    <row r="556" spans="1:5" x14ac:dyDescent="0.35">
      <c r="A556" s="14">
        <v>10554</v>
      </c>
      <c r="B556" s="4" t="s">
        <v>1026</v>
      </c>
      <c r="E556" s="23"/>
    </row>
    <row r="557" spans="1:5" x14ac:dyDescent="0.35">
      <c r="A557" s="14">
        <v>10554</v>
      </c>
      <c r="B557" s="4" t="s">
        <v>1026</v>
      </c>
      <c r="E557" s="23"/>
    </row>
    <row r="558" spans="1:5" x14ac:dyDescent="0.35">
      <c r="A558" s="14">
        <v>10558</v>
      </c>
      <c r="B558" s="4" t="s">
        <v>1027</v>
      </c>
      <c r="E558" s="23"/>
    </row>
    <row r="559" spans="1:5" x14ac:dyDescent="0.35">
      <c r="A559" s="14">
        <v>10559</v>
      </c>
      <c r="B559" s="4" t="s">
        <v>1028</v>
      </c>
      <c r="E559" s="23"/>
    </row>
    <row r="560" spans="1:5" x14ac:dyDescent="0.35">
      <c r="A560" s="14">
        <v>10560</v>
      </c>
      <c r="B560" s="4" t="s">
        <v>1029</v>
      </c>
      <c r="E560" s="23"/>
    </row>
    <row r="561" spans="1:5" x14ac:dyDescent="0.35">
      <c r="A561" s="14">
        <v>10561</v>
      </c>
      <c r="B561" s="4" t="s">
        <v>1030</v>
      </c>
      <c r="E561" s="23"/>
    </row>
    <row r="562" spans="1:5" x14ac:dyDescent="0.35">
      <c r="A562" s="14">
        <v>10562</v>
      </c>
      <c r="B562" s="4" t="s">
        <v>127</v>
      </c>
      <c r="E562" s="23"/>
    </row>
    <row r="563" spans="1:5" x14ac:dyDescent="0.35">
      <c r="A563" s="14">
        <v>10566</v>
      </c>
      <c r="B563" s="4" t="s">
        <v>1031</v>
      </c>
      <c r="E563" s="23"/>
    </row>
    <row r="564" spans="1:5" x14ac:dyDescent="0.35">
      <c r="A564" s="14">
        <v>10568</v>
      </c>
      <c r="B564" s="4" t="s">
        <v>1032</v>
      </c>
      <c r="E564" s="23"/>
    </row>
    <row r="565" spans="1:5" x14ac:dyDescent="0.35">
      <c r="A565" s="14">
        <v>10571</v>
      </c>
      <c r="B565" s="4" t="s">
        <v>1033</v>
      </c>
      <c r="E565" s="23"/>
    </row>
    <row r="566" spans="1:5" x14ac:dyDescent="0.35">
      <c r="A566" s="14">
        <v>10571</v>
      </c>
      <c r="B566" s="4" t="s">
        <v>1033</v>
      </c>
      <c r="E566" s="23"/>
    </row>
    <row r="567" spans="1:5" x14ac:dyDescent="0.35">
      <c r="A567" s="14">
        <v>10572</v>
      </c>
      <c r="B567" s="4" t="s">
        <v>1034</v>
      </c>
      <c r="E567" s="23"/>
    </row>
    <row r="568" spans="1:5" x14ac:dyDescent="0.35">
      <c r="A568" s="14">
        <v>10574</v>
      </c>
      <c r="B568" s="4" t="s">
        <v>1035</v>
      </c>
      <c r="E568" s="23"/>
    </row>
    <row r="569" spans="1:5" x14ac:dyDescent="0.35">
      <c r="A569" s="14">
        <v>10574</v>
      </c>
      <c r="B569" s="4" t="s">
        <v>1035</v>
      </c>
      <c r="E569" s="23"/>
    </row>
    <row r="570" spans="1:5" x14ac:dyDescent="0.35">
      <c r="A570" s="14">
        <v>10575</v>
      </c>
      <c r="B570" s="4" t="s">
        <v>1036</v>
      </c>
      <c r="E570" s="23"/>
    </row>
    <row r="571" spans="1:5" x14ac:dyDescent="0.35">
      <c r="A571" s="14">
        <v>10577</v>
      </c>
      <c r="B571" s="4" t="s">
        <v>326</v>
      </c>
      <c r="E571" s="23"/>
    </row>
    <row r="572" spans="1:5" x14ac:dyDescent="0.35">
      <c r="A572" s="14">
        <v>10578</v>
      </c>
      <c r="B572" s="4" t="s">
        <v>1037</v>
      </c>
      <c r="E572" s="23"/>
    </row>
    <row r="573" spans="1:5" x14ac:dyDescent="0.35">
      <c r="A573" s="14">
        <v>10579</v>
      </c>
      <c r="B573" s="4" t="s">
        <v>1038</v>
      </c>
      <c r="E573" s="23"/>
    </row>
    <row r="574" spans="1:5" x14ac:dyDescent="0.35">
      <c r="A574" s="14">
        <v>10580</v>
      </c>
      <c r="B574" s="4" t="s">
        <v>1039</v>
      </c>
      <c r="E574" s="23"/>
    </row>
    <row r="575" spans="1:5" x14ac:dyDescent="0.35">
      <c r="A575" s="14">
        <v>10582</v>
      </c>
      <c r="B575" s="4" t="s">
        <v>1040</v>
      </c>
      <c r="E575" s="23"/>
    </row>
    <row r="576" spans="1:5" x14ac:dyDescent="0.35">
      <c r="A576" s="14">
        <v>10583</v>
      </c>
      <c r="B576" s="4" t="s">
        <v>1041</v>
      </c>
      <c r="E576" s="23"/>
    </row>
    <row r="577" spans="1:5" x14ac:dyDescent="0.35">
      <c r="A577" s="14">
        <v>10585</v>
      </c>
      <c r="B577" s="4" t="s">
        <v>1042</v>
      </c>
      <c r="E577" s="23"/>
    </row>
    <row r="578" spans="1:5" x14ac:dyDescent="0.35">
      <c r="A578" s="14">
        <v>10586</v>
      </c>
      <c r="B578" s="4" t="s">
        <v>268</v>
      </c>
      <c r="E578" s="23"/>
    </row>
    <row r="579" spans="1:5" x14ac:dyDescent="0.35">
      <c r="A579" s="14">
        <v>10587</v>
      </c>
      <c r="B579" s="4" t="s">
        <v>1043</v>
      </c>
      <c r="E579" s="23"/>
    </row>
    <row r="580" spans="1:5" x14ac:dyDescent="0.35">
      <c r="A580" s="14">
        <v>10587</v>
      </c>
      <c r="B580" s="4" t="s">
        <v>1043</v>
      </c>
      <c r="E580" s="23"/>
    </row>
    <row r="581" spans="1:5" x14ac:dyDescent="0.35">
      <c r="A581" s="14">
        <v>10588</v>
      </c>
      <c r="B581" s="4" t="s">
        <v>1044</v>
      </c>
      <c r="E581" s="23"/>
    </row>
    <row r="582" spans="1:5" x14ac:dyDescent="0.35">
      <c r="A582" s="14">
        <v>10589</v>
      </c>
      <c r="B582" s="4" t="s">
        <v>355</v>
      </c>
      <c r="E582" s="23"/>
    </row>
    <row r="583" spans="1:5" x14ac:dyDescent="0.35">
      <c r="A583" s="14">
        <v>10590</v>
      </c>
      <c r="B583" s="4" t="s">
        <v>1045</v>
      </c>
      <c r="E583" s="23"/>
    </row>
    <row r="584" spans="1:5" x14ac:dyDescent="0.35">
      <c r="A584" s="14">
        <v>10592</v>
      </c>
      <c r="B584" s="4" t="s">
        <v>1046</v>
      </c>
      <c r="E584" s="23"/>
    </row>
    <row r="585" spans="1:5" x14ac:dyDescent="0.35">
      <c r="A585" s="14">
        <v>10593</v>
      </c>
      <c r="B585" s="4" t="s">
        <v>1047</v>
      </c>
      <c r="E585" s="23"/>
    </row>
    <row r="586" spans="1:5" x14ac:dyDescent="0.35">
      <c r="A586" s="14">
        <v>10595</v>
      </c>
      <c r="B586" s="4" t="s">
        <v>1048</v>
      </c>
      <c r="E586" s="23"/>
    </row>
    <row r="587" spans="1:5" x14ac:dyDescent="0.35">
      <c r="A587" s="14">
        <v>10596</v>
      </c>
      <c r="B587" s="4" t="s">
        <v>1049</v>
      </c>
      <c r="E587" s="23"/>
    </row>
    <row r="588" spans="1:5" x14ac:dyDescent="0.35">
      <c r="A588" s="14">
        <v>10608</v>
      </c>
      <c r="B588" s="4" t="s">
        <v>1050</v>
      </c>
      <c r="E588" s="23"/>
    </row>
    <row r="589" spans="1:5" x14ac:dyDescent="0.35">
      <c r="A589" s="14">
        <v>10609</v>
      </c>
      <c r="B589" s="4" t="s">
        <v>1051</v>
      </c>
      <c r="E589" s="23"/>
    </row>
    <row r="590" spans="1:5" x14ac:dyDescent="0.35">
      <c r="A590" s="14">
        <v>10610</v>
      </c>
      <c r="B590" s="4" t="s">
        <v>298</v>
      </c>
      <c r="E590" s="23"/>
    </row>
    <row r="591" spans="1:5" x14ac:dyDescent="0.35">
      <c r="A591" s="14">
        <v>10612</v>
      </c>
      <c r="B591" s="4" t="s">
        <v>1052</v>
      </c>
      <c r="E591" s="23"/>
    </row>
    <row r="592" spans="1:5" x14ac:dyDescent="0.35">
      <c r="A592" s="14">
        <v>10613</v>
      </c>
      <c r="B592" s="4" t="s">
        <v>270</v>
      </c>
      <c r="E592" s="23"/>
    </row>
    <row r="593" spans="1:5" x14ac:dyDescent="0.35">
      <c r="A593" s="14">
        <v>10614</v>
      </c>
      <c r="B593" s="4" t="s">
        <v>1053</v>
      </c>
      <c r="E593" s="23"/>
    </row>
    <row r="594" spans="1:5" x14ac:dyDescent="0.35">
      <c r="A594" s="14">
        <v>10616</v>
      </c>
      <c r="B594" s="4" t="s">
        <v>198</v>
      </c>
      <c r="E594" s="23"/>
    </row>
    <row r="595" spans="1:5" x14ac:dyDescent="0.35">
      <c r="A595" s="14">
        <v>10617</v>
      </c>
      <c r="B595" s="4" t="s">
        <v>1054</v>
      </c>
      <c r="E595" s="23"/>
    </row>
    <row r="596" spans="1:5" x14ac:dyDescent="0.35">
      <c r="A596" s="14">
        <v>10624</v>
      </c>
      <c r="B596" s="4" t="s">
        <v>1055</v>
      </c>
      <c r="E596" s="23"/>
    </row>
    <row r="597" spans="1:5" x14ac:dyDescent="0.35">
      <c r="A597" s="14">
        <v>10625</v>
      </c>
      <c r="B597" s="4" t="s">
        <v>246</v>
      </c>
      <c r="E597" s="23"/>
    </row>
    <row r="598" spans="1:5" x14ac:dyDescent="0.35">
      <c r="A598" s="14">
        <v>10626</v>
      </c>
      <c r="B598" s="4" t="s">
        <v>276</v>
      </c>
      <c r="E598" s="23"/>
    </row>
    <row r="599" spans="1:5" x14ac:dyDescent="0.35">
      <c r="A599" s="14">
        <v>10627</v>
      </c>
      <c r="B599" s="4" t="s">
        <v>149</v>
      </c>
      <c r="E599" s="23"/>
    </row>
    <row r="600" spans="1:5" x14ac:dyDescent="0.35">
      <c r="A600" s="14">
        <v>10628</v>
      </c>
      <c r="B600" s="4" t="s">
        <v>271</v>
      </c>
      <c r="E600" s="23"/>
    </row>
    <row r="601" spans="1:5" x14ac:dyDescent="0.35">
      <c r="A601" s="14">
        <v>10634</v>
      </c>
      <c r="B601" s="4" t="s">
        <v>1056</v>
      </c>
      <c r="E601" s="23"/>
    </row>
    <row r="602" spans="1:5" x14ac:dyDescent="0.35">
      <c r="A602" s="14">
        <v>10635</v>
      </c>
      <c r="B602" s="4" t="s">
        <v>1057</v>
      </c>
      <c r="E602" s="23"/>
    </row>
    <row r="603" spans="1:5" x14ac:dyDescent="0.35">
      <c r="A603" s="14">
        <v>10636</v>
      </c>
      <c r="B603" s="4" t="s">
        <v>1058</v>
      </c>
      <c r="E603" s="23"/>
    </row>
    <row r="604" spans="1:5" x14ac:dyDescent="0.35">
      <c r="A604" s="14">
        <v>10637</v>
      </c>
      <c r="B604" s="4" t="s">
        <v>1059</v>
      </c>
      <c r="E604" s="23"/>
    </row>
    <row r="605" spans="1:5" x14ac:dyDescent="0.35">
      <c r="A605" s="14">
        <v>10638</v>
      </c>
      <c r="B605" s="4" t="s">
        <v>1060</v>
      </c>
      <c r="E605" s="23"/>
    </row>
    <row r="606" spans="1:5" x14ac:dyDescent="0.35">
      <c r="A606" s="14">
        <v>10639</v>
      </c>
      <c r="B606" s="4" t="s">
        <v>452</v>
      </c>
      <c r="E606" s="23"/>
    </row>
    <row r="607" spans="1:5" x14ac:dyDescent="0.35">
      <c r="A607" s="14">
        <v>10640</v>
      </c>
      <c r="B607" s="4" t="s">
        <v>1061</v>
      </c>
      <c r="E607" s="23"/>
    </row>
    <row r="608" spans="1:5" x14ac:dyDescent="0.35">
      <c r="A608" s="14">
        <v>10641</v>
      </c>
      <c r="B608" s="4" t="s">
        <v>1062</v>
      </c>
      <c r="E608" s="23"/>
    </row>
    <row r="609" spans="1:5" x14ac:dyDescent="0.35">
      <c r="A609" s="14">
        <v>10642</v>
      </c>
      <c r="B609" s="4" t="s">
        <v>1063</v>
      </c>
      <c r="E609" s="23"/>
    </row>
    <row r="610" spans="1:5" x14ac:dyDescent="0.35">
      <c r="A610" s="14">
        <v>10644</v>
      </c>
      <c r="B610" s="4" t="s">
        <v>313</v>
      </c>
      <c r="E610" s="23"/>
    </row>
    <row r="611" spans="1:5" x14ac:dyDescent="0.35">
      <c r="A611" s="14">
        <v>10645</v>
      </c>
      <c r="B611" s="4" t="s">
        <v>1064</v>
      </c>
      <c r="E611" s="23"/>
    </row>
    <row r="612" spans="1:5" x14ac:dyDescent="0.35">
      <c r="A612" s="14">
        <v>10646</v>
      </c>
      <c r="B612" s="4" t="s">
        <v>300</v>
      </c>
      <c r="E612" s="23"/>
    </row>
    <row r="613" spans="1:5" x14ac:dyDescent="0.35">
      <c r="A613" s="14">
        <v>10647</v>
      </c>
      <c r="B613" s="4" t="s">
        <v>1065</v>
      </c>
      <c r="E613" s="23"/>
    </row>
    <row r="614" spans="1:5" x14ac:dyDescent="0.35">
      <c r="A614" s="14">
        <v>10648</v>
      </c>
      <c r="B614" s="4" t="s">
        <v>1066</v>
      </c>
      <c r="E614" s="23"/>
    </row>
    <row r="615" spans="1:5" x14ac:dyDescent="0.35">
      <c r="A615" s="14">
        <v>10649</v>
      </c>
      <c r="B615" s="4" t="s">
        <v>1067</v>
      </c>
      <c r="E615" s="23"/>
    </row>
    <row r="616" spans="1:5" x14ac:dyDescent="0.35">
      <c r="A616" s="14">
        <v>10650</v>
      </c>
      <c r="B616" s="4" t="s">
        <v>1068</v>
      </c>
      <c r="E616" s="23"/>
    </row>
    <row r="617" spans="1:5" x14ac:dyDescent="0.35">
      <c r="A617" s="14">
        <v>10651</v>
      </c>
      <c r="B617" s="4" t="s">
        <v>1069</v>
      </c>
      <c r="E617" s="23"/>
    </row>
    <row r="618" spans="1:5" x14ac:dyDescent="0.35">
      <c r="A618" s="14">
        <v>10652</v>
      </c>
      <c r="B618" s="4" t="s">
        <v>1070</v>
      </c>
      <c r="E618" s="23"/>
    </row>
    <row r="619" spans="1:5" x14ac:dyDescent="0.35">
      <c r="A619" s="14">
        <v>10657</v>
      </c>
      <c r="B619" s="4" t="s">
        <v>318</v>
      </c>
      <c r="E619" s="23"/>
    </row>
    <row r="620" spans="1:5" x14ac:dyDescent="0.35">
      <c r="A620" s="14">
        <v>10659</v>
      </c>
      <c r="B620" s="4" t="s">
        <v>1071</v>
      </c>
      <c r="E620" s="23"/>
    </row>
    <row r="621" spans="1:5" x14ac:dyDescent="0.35">
      <c r="A621" s="14">
        <v>10660</v>
      </c>
      <c r="B621" s="4" t="s">
        <v>1072</v>
      </c>
      <c r="E621" s="23"/>
    </row>
    <row r="622" spans="1:5" x14ac:dyDescent="0.35">
      <c r="A622" s="14">
        <v>10661</v>
      </c>
      <c r="B622" s="4" t="s">
        <v>1073</v>
      </c>
      <c r="E622" s="23"/>
    </row>
    <row r="623" spans="1:5" x14ac:dyDescent="0.35">
      <c r="A623" s="14">
        <v>10662</v>
      </c>
      <c r="B623" s="4" t="s">
        <v>287</v>
      </c>
      <c r="E623" s="23"/>
    </row>
    <row r="624" spans="1:5" x14ac:dyDescent="0.35">
      <c r="A624" s="14">
        <v>10663</v>
      </c>
      <c r="B624" s="4" t="s">
        <v>218</v>
      </c>
      <c r="E624" s="23"/>
    </row>
    <row r="625" spans="1:5" x14ac:dyDescent="0.35">
      <c r="A625" s="14">
        <v>10665</v>
      </c>
      <c r="B625" s="4" t="s">
        <v>295</v>
      </c>
      <c r="E625" s="23"/>
    </row>
    <row r="626" spans="1:5" x14ac:dyDescent="0.35">
      <c r="A626" s="14">
        <v>10666</v>
      </c>
      <c r="B626" s="4" t="s">
        <v>1074</v>
      </c>
      <c r="E626" s="23"/>
    </row>
    <row r="627" spans="1:5" x14ac:dyDescent="0.35">
      <c r="A627" s="14">
        <v>10668</v>
      </c>
      <c r="B627" s="4" t="s">
        <v>1075</v>
      </c>
      <c r="E627" s="23"/>
    </row>
    <row r="628" spans="1:5" x14ac:dyDescent="0.35">
      <c r="A628" s="14">
        <v>10671</v>
      </c>
      <c r="B628" s="4" t="s">
        <v>208</v>
      </c>
      <c r="E628" s="23"/>
    </row>
    <row r="629" spans="1:5" x14ac:dyDescent="0.35">
      <c r="A629" s="14">
        <v>10672</v>
      </c>
      <c r="B629" s="4" t="s">
        <v>1076</v>
      </c>
      <c r="E629" s="23"/>
    </row>
    <row r="630" spans="1:5" x14ac:dyDescent="0.35">
      <c r="A630" s="14">
        <v>10673</v>
      </c>
      <c r="B630" s="4" t="s">
        <v>1077</v>
      </c>
      <c r="E630" s="23"/>
    </row>
    <row r="631" spans="1:5" x14ac:dyDescent="0.35">
      <c r="A631" s="14">
        <v>10675</v>
      </c>
      <c r="B631" s="4" t="s">
        <v>1078</v>
      </c>
      <c r="E631" s="23"/>
    </row>
    <row r="632" spans="1:5" x14ac:dyDescent="0.35">
      <c r="A632" s="14">
        <v>10676</v>
      </c>
      <c r="B632" s="4" t="s">
        <v>163</v>
      </c>
      <c r="E632" s="23"/>
    </row>
    <row r="633" spans="1:5" x14ac:dyDescent="0.35">
      <c r="A633" s="14">
        <v>10677</v>
      </c>
      <c r="B633" s="4" t="s">
        <v>1079</v>
      </c>
      <c r="E633" s="23"/>
    </row>
    <row r="634" spans="1:5" x14ac:dyDescent="0.35">
      <c r="A634" s="14">
        <v>10678</v>
      </c>
      <c r="B634" s="4" t="s">
        <v>1080</v>
      </c>
      <c r="E634" s="23"/>
    </row>
    <row r="635" spans="1:5" x14ac:dyDescent="0.35">
      <c r="A635" s="14">
        <v>10679</v>
      </c>
      <c r="B635" s="4" t="s">
        <v>1081</v>
      </c>
      <c r="E635" s="23"/>
    </row>
    <row r="636" spans="1:5" x14ac:dyDescent="0.35">
      <c r="A636" s="14">
        <v>10681</v>
      </c>
      <c r="B636" s="4" t="s">
        <v>1082</v>
      </c>
      <c r="E636" s="23"/>
    </row>
    <row r="637" spans="1:5" x14ac:dyDescent="0.35">
      <c r="A637" s="14">
        <v>10684</v>
      </c>
      <c r="B637" s="4" t="s">
        <v>1083</v>
      </c>
      <c r="E637" s="23"/>
    </row>
    <row r="638" spans="1:5" x14ac:dyDescent="0.35">
      <c r="A638" s="14">
        <v>10685</v>
      </c>
      <c r="B638" s="4" t="s">
        <v>1084</v>
      </c>
      <c r="E638" s="23"/>
    </row>
    <row r="639" spans="1:5" x14ac:dyDescent="0.35">
      <c r="A639" s="14">
        <v>10686</v>
      </c>
      <c r="B639" s="4" t="s">
        <v>288</v>
      </c>
      <c r="E639" s="23"/>
    </row>
    <row r="640" spans="1:5" x14ac:dyDescent="0.35">
      <c r="A640" s="14">
        <v>10688</v>
      </c>
      <c r="B640" s="4" t="s">
        <v>1085</v>
      </c>
      <c r="E640" s="23"/>
    </row>
    <row r="641" spans="1:5" x14ac:dyDescent="0.35">
      <c r="A641" s="14">
        <v>10689</v>
      </c>
      <c r="B641" s="4" t="s">
        <v>348</v>
      </c>
      <c r="E641" s="23"/>
    </row>
    <row r="642" spans="1:5" x14ac:dyDescent="0.35">
      <c r="A642" s="14">
        <v>10692</v>
      </c>
      <c r="B642" s="4" t="s">
        <v>1086</v>
      </c>
      <c r="E642" s="23"/>
    </row>
    <row r="643" spans="1:5" x14ac:dyDescent="0.35">
      <c r="A643" s="14">
        <v>10693</v>
      </c>
      <c r="B643" s="4" t="s">
        <v>1087</v>
      </c>
      <c r="E643" s="23"/>
    </row>
    <row r="644" spans="1:5" x14ac:dyDescent="0.35">
      <c r="A644" s="14">
        <v>10694</v>
      </c>
      <c r="B644" s="4" t="s">
        <v>1088</v>
      </c>
      <c r="E644" s="23"/>
    </row>
    <row r="645" spans="1:5" x14ac:dyDescent="0.35">
      <c r="A645" s="14">
        <v>10696</v>
      </c>
      <c r="B645" s="4" t="s">
        <v>1089</v>
      </c>
      <c r="E645" s="23"/>
    </row>
    <row r="646" spans="1:5" x14ac:dyDescent="0.35">
      <c r="A646" s="14">
        <v>10697</v>
      </c>
      <c r="B646" s="4" t="s">
        <v>1090</v>
      </c>
      <c r="E646" s="23"/>
    </row>
    <row r="647" spans="1:5" x14ac:dyDescent="0.35">
      <c r="A647" s="14">
        <v>10698</v>
      </c>
      <c r="B647" s="4" t="s">
        <v>1091</v>
      </c>
      <c r="E647" s="23"/>
    </row>
    <row r="648" spans="1:5" x14ac:dyDescent="0.35">
      <c r="A648" s="14">
        <v>10699</v>
      </c>
      <c r="B648" s="4" t="s">
        <v>211</v>
      </c>
      <c r="E648" s="23"/>
    </row>
    <row r="649" spans="1:5" x14ac:dyDescent="0.35">
      <c r="A649" s="14">
        <v>10700</v>
      </c>
      <c r="B649" s="4" t="s">
        <v>272</v>
      </c>
      <c r="E649" s="23"/>
    </row>
    <row r="650" spans="1:5" x14ac:dyDescent="0.35">
      <c r="A650" s="14">
        <v>10703</v>
      </c>
      <c r="B650" s="4" t="s">
        <v>128</v>
      </c>
      <c r="E650" s="23"/>
    </row>
    <row r="651" spans="1:5" x14ac:dyDescent="0.35">
      <c r="A651" s="14">
        <v>10705</v>
      </c>
      <c r="B651" s="4" t="s">
        <v>275</v>
      </c>
      <c r="E651" s="23"/>
    </row>
    <row r="652" spans="1:5" x14ac:dyDescent="0.35">
      <c r="A652" s="14">
        <v>10706</v>
      </c>
      <c r="B652" s="4" t="s">
        <v>1092</v>
      </c>
      <c r="E652" s="23"/>
    </row>
    <row r="653" spans="1:5" x14ac:dyDescent="0.35">
      <c r="A653" s="14">
        <v>10707</v>
      </c>
      <c r="B653" s="4" t="s">
        <v>1093</v>
      </c>
      <c r="E653" s="23"/>
    </row>
    <row r="654" spans="1:5" x14ac:dyDescent="0.35">
      <c r="A654" s="14">
        <v>10710</v>
      </c>
      <c r="B654" s="4" t="s">
        <v>1094</v>
      </c>
      <c r="E654" s="23"/>
    </row>
    <row r="655" spans="1:5" x14ac:dyDescent="0.35">
      <c r="A655" s="14">
        <v>10712</v>
      </c>
      <c r="B655" s="4" t="s">
        <v>1095</v>
      </c>
      <c r="E655" s="23"/>
    </row>
    <row r="656" spans="1:5" x14ac:dyDescent="0.35">
      <c r="A656" s="14">
        <v>10713</v>
      </c>
      <c r="B656" s="4" t="s">
        <v>266</v>
      </c>
      <c r="E656" s="23"/>
    </row>
    <row r="657" spans="1:5" x14ac:dyDescent="0.35">
      <c r="A657" s="14">
        <v>10715</v>
      </c>
      <c r="B657" s="4" t="s">
        <v>1096</v>
      </c>
      <c r="E657" s="23"/>
    </row>
    <row r="658" spans="1:5" x14ac:dyDescent="0.35">
      <c r="A658" s="14">
        <v>10717</v>
      </c>
      <c r="B658" s="4" t="s">
        <v>1097</v>
      </c>
      <c r="E658" s="23"/>
    </row>
    <row r="659" spans="1:5" x14ac:dyDescent="0.35">
      <c r="A659" s="14">
        <v>10721</v>
      </c>
      <c r="B659" s="4" t="s">
        <v>316</v>
      </c>
      <c r="E659" s="23"/>
    </row>
    <row r="660" spans="1:5" x14ac:dyDescent="0.35">
      <c r="A660" s="14">
        <v>10722</v>
      </c>
      <c r="B660" s="4" t="s">
        <v>207</v>
      </c>
      <c r="E660" s="23"/>
    </row>
    <row r="661" spans="1:5" x14ac:dyDescent="0.35">
      <c r="A661" s="14">
        <v>10723</v>
      </c>
      <c r="B661" s="4" t="s">
        <v>209</v>
      </c>
      <c r="E661" s="23"/>
    </row>
    <row r="662" spans="1:5" x14ac:dyDescent="0.35">
      <c r="A662" s="14">
        <v>10724</v>
      </c>
      <c r="B662" s="4" t="s">
        <v>1098</v>
      </c>
      <c r="E662" s="23"/>
    </row>
    <row r="663" spans="1:5" x14ac:dyDescent="0.35">
      <c r="A663" s="14">
        <v>10725</v>
      </c>
      <c r="B663" s="4" t="s">
        <v>1099</v>
      </c>
      <c r="E663" s="23"/>
    </row>
    <row r="664" spans="1:5" x14ac:dyDescent="0.35">
      <c r="A664" s="14">
        <v>10726</v>
      </c>
      <c r="B664" s="4" t="s">
        <v>1100</v>
      </c>
      <c r="E664" s="23"/>
    </row>
    <row r="665" spans="1:5" x14ac:dyDescent="0.35">
      <c r="A665" s="14">
        <v>10727</v>
      </c>
      <c r="B665" s="4" t="s">
        <v>1101</v>
      </c>
      <c r="E665" s="23"/>
    </row>
    <row r="666" spans="1:5" x14ac:dyDescent="0.35">
      <c r="A666" s="14">
        <v>10728</v>
      </c>
      <c r="B666" s="4" t="s">
        <v>1102</v>
      </c>
      <c r="E666" s="23"/>
    </row>
    <row r="667" spans="1:5" x14ac:dyDescent="0.35">
      <c r="A667" s="14">
        <v>10730</v>
      </c>
      <c r="B667" s="4" t="s">
        <v>1103</v>
      </c>
      <c r="E667" s="23"/>
    </row>
    <row r="668" spans="1:5" x14ac:dyDescent="0.35">
      <c r="A668" s="14">
        <v>10733</v>
      </c>
      <c r="B668" s="4" t="s">
        <v>1104</v>
      </c>
      <c r="E668" s="23"/>
    </row>
    <row r="669" spans="1:5" x14ac:dyDescent="0.35">
      <c r="A669" s="14">
        <v>10734</v>
      </c>
      <c r="B669" s="4" t="s">
        <v>335</v>
      </c>
      <c r="E669" s="23"/>
    </row>
    <row r="670" spans="1:5" x14ac:dyDescent="0.35">
      <c r="A670" s="14">
        <v>10736</v>
      </c>
      <c r="B670" s="4" t="s">
        <v>186</v>
      </c>
      <c r="E670" s="23"/>
    </row>
    <row r="671" spans="1:5" x14ac:dyDescent="0.35">
      <c r="A671" s="14">
        <v>10737</v>
      </c>
      <c r="B671" s="4" t="s">
        <v>1105</v>
      </c>
      <c r="E671" s="23"/>
    </row>
    <row r="672" spans="1:5" x14ac:dyDescent="0.35">
      <c r="A672" s="14">
        <v>10738</v>
      </c>
      <c r="B672" s="4" t="s">
        <v>1106</v>
      </c>
      <c r="E672" s="23"/>
    </row>
    <row r="673" spans="1:5" x14ac:dyDescent="0.35">
      <c r="A673" s="14">
        <v>10739</v>
      </c>
      <c r="B673" s="4" t="s">
        <v>1107</v>
      </c>
      <c r="E673" s="23"/>
    </row>
    <row r="674" spans="1:5" x14ac:dyDescent="0.35">
      <c r="A674" s="14">
        <v>10741</v>
      </c>
      <c r="B674" s="4" t="s">
        <v>166</v>
      </c>
      <c r="E674" s="23"/>
    </row>
    <row r="675" spans="1:5" x14ac:dyDescent="0.35">
      <c r="A675" s="14">
        <v>10742</v>
      </c>
      <c r="B675" s="4" t="s">
        <v>1108</v>
      </c>
      <c r="E675" s="23"/>
    </row>
    <row r="676" spans="1:5" x14ac:dyDescent="0.35">
      <c r="A676" s="14">
        <v>10743</v>
      </c>
      <c r="B676" s="4" t="s">
        <v>237</v>
      </c>
      <c r="E676" s="23"/>
    </row>
    <row r="677" spans="1:5" x14ac:dyDescent="0.35">
      <c r="A677" s="14">
        <v>10744</v>
      </c>
      <c r="B677" s="4" t="s">
        <v>1109</v>
      </c>
      <c r="E677" s="23"/>
    </row>
    <row r="678" spans="1:5" x14ac:dyDescent="0.35">
      <c r="A678" s="14">
        <v>10835</v>
      </c>
      <c r="B678" s="4" t="s">
        <v>427</v>
      </c>
      <c r="E678" s="23"/>
    </row>
    <row r="679" spans="1:5" x14ac:dyDescent="0.35">
      <c r="A679" s="14">
        <v>10746</v>
      </c>
      <c r="B679" s="4" t="s">
        <v>1110</v>
      </c>
      <c r="E679" s="23"/>
    </row>
    <row r="680" spans="1:5" x14ac:dyDescent="0.35">
      <c r="A680" s="14">
        <v>10748</v>
      </c>
      <c r="B680" s="4" t="s">
        <v>1111</v>
      </c>
      <c r="E680" s="23"/>
    </row>
    <row r="681" spans="1:5" x14ac:dyDescent="0.35">
      <c r="A681" s="14">
        <v>10752</v>
      </c>
      <c r="B681" s="4" t="s">
        <v>1112</v>
      </c>
      <c r="E681" s="23"/>
    </row>
    <row r="682" spans="1:5" x14ac:dyDescent="0.35">
      <c r="A682" s="14">
        <v>10754</v>
      </c>
      <c r="B682" s="4" t="s">
        <v>1113</v>
      </c>
      <c r="E682" s="23"/>
    </row>
    <row r="683" spans="1:5" x14ac:dyDescent="0.35">
      <c r="A683" s="14">
        <v>10756</v>
      </c>
      <c r="B683" s="4" t="s">
        <v>1114</v>
      </c>
      <c r="E683" s="23"/>
    </row>
    <row r="684" spans="1:5" x14ac:dyDescent="0.35">
      <c r="A684" s="14">
        <v>10757</v>
      </c>
      <c r="B684" s="4" t="s">
        <v>1115</v>
      </c>
      <c r="E684" s="23"/>
    </row>
    <row r="685" spans="1:5" x14ac:dyDescent="0.35">
      <c r="A685" s="14">
        <v>10758</v>
      </c>
      <c r="B685" s="4" t="s">
        <v>148</v>
      </c>
      <c r="E685" s="23"/>
    </row>
    <row r="686" spans="1:5" x14ac:dyDescent="0.35">
      <c r="A686" s="14">
        <v>10759</v>
      </c>
      <c r="B686" s="4" t="s">
        <v>1116</v>
      </c>
      <c r="E686" s="23"/>
    </row>
    <row r="687" spans="1:5" x14ac:dyDescent="0.35">
      <c r="A687" s="14">
        <v>10760</v>
      </c>
      <c r="B687" s="4" t="s">
        <v>1117</v>
      </c>
      <c r="E687" s="23"/>
    </row>
    <row r="688" spans="1:5" x14ac:dyDescent="0.35">
      <c r="A688" s="14">
        <v>10761</v>
      </c>
      <c r="B688" s="4" t="s">
        <v>280</v>
      </c>
      <c r="E688" s="23"/>
    </row>
    <row r="689" spans="1:5" x14ac:dyDescent="0.35">
      <c r="A689" s="14">
        <v>10762</v>
      </c>
      <c r="B689" s="4" t="s">
        <v>1118</v>
      </c>
      <c r="E689" s="23"/>
    </row>
    <row r="690" spans="1:5" x14ac:dyDescent="0.35">
      <c r="A690" s="14">
        <v>10763</v>
      </c>
      <c r="B690" s="4" t="s">
        <v>1119</v>
      </c>
      <c r="E690" s="23"/>
    </row>
    <row r="691" spans="1:5" x14ac:dyDescent="0.35">
      <c r="A691" s="14">
        <v>10765</v>
      </c>
      <c r="B691" s="4" t="s">
        <v>274</v>
      </c>
      <c r="E691" s="23"/>
    </row>
    <row r="692" spans="1:5" x14ac:dyDescent="0.35">
      <c r="A692" s="14">
        <v>10766</v>
      </c>
      <c r="B692" s="4" t="s">
        <v>112</v>
      </c>
      <c r="E692" s="23"/>
    </row>
    <row r="693" spans="1:5" x14ac:dyDescent="0.35">
      <c r="A693" s="14">
        <v>10767</v>
      </c>
      <c r="B693" s="4" t="s">
        <v>167</v>
      </c>
      <c r="E693" s="23"/>
    </row>
    <row r="694" spans="1:5" x14ac:dyDescent="0.35">
      <c r="A694" s="14">
        <v>10768</v>
      </c>
      <c r="B694" s="4" t="s">
        <v>1120</v>
      </c>
      <c r="E694" s="23"/>
    </row>
    <row r="695" spans="1:5" x14ac:dyDescent="0.35">
      <c r="A695" s="14">
        <v>10769</v>
      </c>
      <c r="B695" s="4" t="s">
        <v>1121</v>
      </c>
      <c r="E695" s="23"/>
    </row>
    <row r="696" spans="1:5" x14ac:dyDescent="0.35">
      <c r="A696" s="14">
        <v>10770</v>
      </c>
      <c r="B696" s="4" t="s">
        <v>1122</v>
      </c>
      <c r="E696" s="23"/>
    </row>
    <row r="697" spans="1:5" x14ac:dyDescent="0.35">
      <c r="A697" s="14">
        <v>10771</v>
      </c>
      <c r="B697" s="4" t="s">
        <v>129</v>
      </c>
      <c r="E697" s="23"/>
    </row>
    <row r="698" spans="1:5" x14ac:dyDescent="0.35">
      <c r="A698" s="14">
        <v>10776</v>
      </c>
      <c r="B698" s="4" t="s">
        <v>1123</v>
      </c>
      <c r="E698" s="23"/>
    </row>
    <row r="699" spans="1:5" x14ac:dyDescent="0.35">
      <c r="A699" s="14">
        <v>10777</v>
      </c>
      <c r="B699" s="4" t="s">
        <v>1124</v>
      </c>
      <c r="E699" s="23"/>
    </row>
    <row r="700" spans="1:5" x14ac:dyDescent="0.35">
      <c r="A700" s="14">
        <v>10778</v>
      </c>
      <c r="B700" s="4" t="s">
        <v>1125</v>
      </c>
      <c r="E700" s="23"/>
    </row>
    <row r="701" spans="1:5" x14ac:dyDescent="0.35">
      <c r="A701" s="14">
        <v>10779</v>
      </c>
      <c r="B701" s="4" t="s">
        <v>1126</v>
      </c>
      <c r="E701" s="23"/>
    </row>
    <row r="702" spans="1:5" x14ac:dyDescent="0.35">
      <c r="A702" s="14">
        <v>10780</v>
      </c>
      <c r="B702" s="4" t="s">
        <v>1127</v>
      </c>
      <c r="E702" s="23"/>
    </row>
    <row r="703" spans="1:5" x14ac:dyDescent="0.35">
      <c r="A703" s="14">
        <v>10781</v>
      </c>
      <c r="B703" s="4" t="s">
        <v>1128</v>
      </c>
      <c r="E703" s="23"/>
    </row>
    <row r="704" spans="1:5" x14ac:dyDescent="0.35">
      <c r="A704" s="14">
        <v>10782</v>
      </c>
      <c r="B704" s="4" t="s">
        <v>354</v>
      </c>
      <c r="E704" s="23"/>
    </row>
    <row r="705" spans="1:5" x14ac:dyDescent="0.35">
      <c r="A705" s="14">
        <v>10783</v>
      </c>
      <c r="B705" s="4" t="s">
        <v>236</v>
      </c>
      <c r="E705" s="23"/>
    </row>
    <row r="706" spans="1:5" x14ac:dyDescent="0.35">
      <c r="A706" s="14">
        <v>10784</v>
      </c>
      <c r="B706" s="4" t="s">
        <v>1129</v>
      </c>
      <c r="E706" s="23"/>
    </row>
    <row r="707" spans="1:5" x14ac:dyDescent="0.35">
      <c r="A707" s="14">
        <v>10785</v>
      </c>
      <c r="B707" s="4" t="s">
        <v>307</v>
      </c>
      <c r="E707" s="23"/>
    </row>
    <row r="708" spans="1:5" x14ac:dyDescent="0.35">
      <c r="A708" s="14">
        <v>10786</v>
      </c>
      <c r="B708" s="4" t="s">
        <v>257</v>
      </c>
      <c r="E708" s="23"/>
    </row>
    <row r="709" spans="1:5" x14ac:dyDescent="0.35">
      <c r="A709" s="14">
        <v>10787</v>
      </c>
      <c r="B709" s="4" t="s">
        <v>1130</v>
      </c>
      <c r="E709" s="23"/>
    </row>
    <row r="710" spans="1:5" x14ac:dyDescent="0.35">
      <c r="A710" s="14">
        <v>10788</v>
      </c>
      <c r="B710" s="4" t="s">
        <v>153</v>
      </c>
      <c r="E710" s="23"/>
    </row>
    <row r="711" spans="1:5" x14ac:dyDescent="0.35">
      <c r="A711" s="14">
        <v>10792</v>
      </c>
      <c r="B711" s="4" t="s">
        <v>1131</v>
      </c>
      <c r="E711" s="23"/>
    </row>
    <row r="712" spans="1:5" x14ac:dyDescent="0.35">
      <c r="A712" s="14">
        <v>10793</v>
      </c>
      <c r="B712" s="4" t="s">
        <v>1132</v>
      </c>
      <c r="E712" s="23"/>
    </row>
    <row r="713" spans="1:5" x14ac:dyDescent="0.35">
      <c r="A713" s="14">
        <v>10794</v>
      </c>
      <c r="B713" s="4" t="s">
        <v>344</v>
      </c>
      <c r="E713" s="23"/>
    </row>
    <row r="714" spans="1:5" x14ac:dyDescent="0.35">
      <c r="A714" s="14">
        <v>10795</v>
      </c>
      <c r="B714" s="4" t="s">
        <v>1133</v>
      </c>
      <c r="E714" s="23"/>
    </row>
    <row r="715" spans="1:5" x14ac:dyDescent="0.35">
      <c r="A715" s="14">
        <v>10797</v>
      </c>
      <c r="B715" s="4" t="s">
        <v>1134</v>
      </c>
      <c r="E715" s="23"/>
    </row>
    <row r="716" spans="1:5" x14ac:dyDescent="0.35">
      <c r="A716" s="14">
        <v>10798</v>
      </c>
      <c r="B716" s="4" t="s">
        <v>1135</v>
      </c>
      <c r="E716" s="23"/>
    </row>
    <row r="717" spans="1:5" x14ac:dyDescent="0.35">
      <c r="A717" s="14">
        <v>10799</v>
      </c>
      <c r="B717" s="4" t="s">
        <v>1136</v>
      </c>
      <c r="E717" s="23"/>
    </row>
    <row r="718" spans="1:5" x14ac:dyDescent="0.35">
      <c r="A718" s="14">
        <v>10800</v>
      </c>
      <c r="B718" s="4" t="s">
        <v>1137</v>
      </c>
      <c r="E718" s="23"/>
    </row>
    <row r="719" spans="1:5" x14ac:dyDescent="0.35">
      <c r="A719" s="14">
        <v>10802</v>
      </c>
      <c r="B719" s="4" t="s">
        <v>193</v>
      </c>
      <c r="E719" s="23"/>
    </row>
    <row r="720" spans="1:5" x14ac:dyDescent="0.35">
      <c r="A720" s="14">
        <v>10806</v>
      </c>
      <c r="B720" s="4" t="s">
        <v>1138</v>
      </c>
      <c r="E720" s="23"/>
    </row>
    <row r="721" spans="1:5" x14ac:dyDescent="0.35">
      <c r="A721" s="14">
        <v>10807</v>
      </c>
      <c r="B721" s="4" t="s">
        <v>111</v>
      </c>
      <c r="E721" s="23"/>
    </row>
    <row r="722" spans="1:5" x14ac:dyDescent="0.35">
      <c r="A722" s="14">
        <v>10808</v>
      </c>
      <c r="B722" s="4" t="s">
        <v>1139</v>
      </c>
      <c r="E722" s="23"/>
    </row>
    <row r="723" spans="1:5" x14ac:dyDescent="0.35">
      <c r="A723" s="14">
        <v>10810</v>
      </c>
      <c r="B723" s="4" t="s">
        <v>1140</v>
      </c>
      <c r="E723" s="23"/>
    </row>
    <row r="724" spans="1:5" x14ac:dyDescent="0.35">
      <c r="A724" s="14">
        <v>10815</v>
      </c>
      <c r="B724" s="4" t="s">
        <v>1141</v>
      </c>
      <c r="E724" s="23"/>
    </row>
    <row r="725" spans="1:5" x14ac:dyDescent="0.35">
      <c r="A725" s="14">
        <v>14019</v>
      </c>
      <c r="B725" s="4" t="s">
        <v>1142</v>
      </c>
      <c r="E725" s="23"/>
    </row>
    <row r="726" spans="1:5" x14ac:dyDescent="0.35">
      <c r="A726" s="14">
        <v>14023</v>
      </c>
      <c r="B726" s="4" t="s">
        <v>1143</v>
      </c>
      <c r="E726" s="23"/>
    </row>
    <row r="727" spans="1:5" x14ac:dyDescent="0.35">
      <c r="A727" s="14">
        <v>15018</v>
      </c>
      <c r="B727" s="4" t="s">
        <v>1144</v>
      </c>
      <c r="E727" s="23"/>
    </row>
    <row r="728" spans="1:5" x14ac:dyDescent="0.35">
      <c r="A728" s="14">
        <v>19784</v>
      </c>
      <c r="B728" s="4" t="s">
        <v>1145</v>
      </c>
      <c r="E728" s="23"/>
    </row>
    <row r="729" spans="1:5" x14ac:dyDescent="0.35">
      <c r="A729" s="14">
        <v>20007</v>
      </c>
      <c r="B729" s="4" t="s">
        <v>1146</v>
      </c>
      <c r="E729" s="23"/>
    </row>
    <row r="730" spans="1:5" x14ac:dyDescent="0.35">
      <c r="A730" s="14">
        <v>101170</v>
      </c>
      <c r="B730" s="4" t="s">
        <v>1147</v>
      </c>
      <c r="E730" s="23"/>
    </row>
    <row r="731" spans="1:5" x14ac:dyDescent="0.35">
      <c r="A731" s="14">
        <v>110020</v>
      </c>
      <c r="B731" s="4" t="s">
        <v>1148</v>
      </c>
      <c r="E731" s="23"/>
    </row>
    <row r="732" spans="1:5" x14ac:dyDescent="0.35">
      <c r="A732" s="14">
        <v>10816</v>
      </c>
      <c r="B732" s="4" t="s">
        <v>1149</v>
      </c>
      <c r="E732" s="23"/>
    </row>
    <row r="733" spans="1:5" x14ac:dyDescent="0.35">
      <c r="A733" s="14">
        <v>10814</v>
      </c>
      <c r="B733" s="4" t="s">
        <v>168</v>
      </c>
      <c r="E733" s="23"/>
    </row>
    <row r="734" spans="1:5" x14ac:dyDescent="0.35">
      <c r="A734" s="14">
        <v>10805</v>
      </c>
      <c r="B734" s="4" t="s">
        <v>1150</v>
      </c>
      <c r="E734" s="23"/>
    </row>
    <row r="735" spans="1:5" x14ac:dyDescent="0.35">
      <c r="A735" s="14">
        <v>10817</v>
      </c>
      <c r="B735" s="4" t="s">
        <v>1151</v>
      </c>
      <c r="E735" s="23"/>
    </row>
    <row r="736" spans="1:5" x14ac:dyDescent="0.35">
      <c r="A736" s="14">
        <v>10809</v>
      </c>
      <c r="B736" s="4" t="s">
        <v>315</v>
      </c>
      <c r="E736" s="23"/>
    </row>
    <row r="737" spans="1:5" x14ac:dyDescent="0.35">
      <c r="A737" s="14">
        <v>10813</v>
      </c>
      <c r="B737" s="4" t="s">
        <v>239</v>
      </c>
      <c r="E737" s="23"/>
    </row>
    <row r="738" spans="1:5" x14ac:dyDescent="0.35">
      <c r="A738" s="14">
        <v>4178</v>
      </c>
      <c r="B738" s="4" t="s">
        <v>1152</v>
      </c>
      <c r="E738" s="23"/>
    </row>
    <row r="739" spans="1:5" x14ac:dyDescent="0.35">
      <c r="A739" s="14">
        <v>4179</v>
      </c>
      <c r="B739" s="4" t="s">
        <v>1153</v>
      </c>
      <c r="E739" s="23"/>
    </row>
    <row r="740" spans="1:5" x14ac:dyDescent="0.35">
      <c r="A740" s="14">
        <v>10819</v>
      </c>
      <c r="B740" s="4" t="s">
        <v>1154</v>
      </c>
      <c r="E740" s="23"/>
    </row>
    <row r="741" spans="1:5" x14ac:dyDescent="0.35">
      <c r="A741" s="14">
        <v>10829</v>
      </c>
      <c r="B741" s="4" t="s">
        <v>291</v>
      </c>
      <c r="E741" s="23"/>
    </row>
    <row r="742" spans="1:5" x14ac:dyDescent="0.35">
      <c r="A742" s="14">
        <v>10830</v>
      </c>
      <c r="B742" s="4" t="s">
        <v>1155</v>
      </c>
      <c r="E742" s="23"/>
    </row>
    <row r="743" spans="1:5" x14ac:dyDescent="0.35">
      <c r="A743" s="14">
        <v>10824</v>
      </c>
      <c r="B743" s="4" t="s">
        <v>130</v>
      </c>
      <c r="E743" s="23"/>
    </row>
    <row r="744" spans="1:5" x14ac:dyDescent="0.35">
      <c r="A744" s="14">
        <v>10827</v>
      </c>
      <c r="B744" s="4" t="s">
        <v>1156</v>
      </c>
      <c r="E744" s="23"/>
    </row>
    <row r="745" spans="1:5" x14ac:dyDescent="0.35">
      <c r="A745" s="14">
        <v>10828</v>
      </c>
      <c r="B745" s="4" t="s">
        <v>255</v>
      </c>
      <c r="E745" s="23"/>
    </row>
    <row r="746" spans="1:5" x14ac:dyDescent="0.35">
      <c r="A746" s="14">
        <v>10416</v>
      </c>
      <c r="B746" s="4" t="s">
        <v>1157</v>
      </c>
      <c r="E746" s="23"/>
    </row>
    <row r="747" spans="1:5" x14ac:dyDescent="0.35">
      <c r="A747" s="14">
        <v>10820</v>
      </c>
      <c r="B747" s="4" t="s">
        <v>314</v>
      </c>
      <c r="E747" s="23"/>
    </row>
    <row r="748" spans="1:5" x14ac:dyDescent="0.35">
      <c r="A748" s="14">
        <v>10821</v>
      </c>
      <c r="B748" s="4" t="s">
        <v>212</v>
      </c>
      <c r="E748" s="23"/>
    </row>
    <row r="749" spans="1:5" x14ac:dyDescent="0.35">
      <c r="A749" s="14">
        <v>10823</v>
      </c>
      <c r="B749" s="4" t="s">
        <v>1158</v>
      </c>
      <c r="E749" s="23"/>
    </row>
    <row r="750" spans="1:5" x14ac:dyDescent="0.35">
      <c r="A750" s="14">
        <v>10822</v>
      </c>
      <c r="B750" s="4" t="s">
        <v>1159</v>
      </c>
      <c r="E750" s="23"/>
    </row>
    <row r="751" spans="1:5" x14ac:dyDescent="0.35">
      <c r="A751" s="14">
        <v>10836</v>
      </c>
      <c r="B751" s="4" t="s">
        <v>1160</v>
      </c>
      <c r="E751" s="23"/>
    </row>
    <row r="752" spans="1:5" x14ac:dyDescent="0.35">
      <c r="A752" s="14">
        <v>10838</v>
      </c>
      <c r="B752" s="4" t="s">
        <v>1161</v>
      </c>
      <c r="E752" s="23"/>
    </row>
    <row r="753" spans="1:5" x14ac:dyDescent="0.35">
      <c r="A753" s="14">
        <v>10840</v>
      </c>
      <c r="B753" s="4" t="s">
        <v>1162</v>
      </c>
      <c r="E753" s="23"/>
    </row>
    <row r="754" spans="1:5" x14ac:dyDescent="0.35">
      <c r="A754" s="14">
        <v>10825</v>
      </c>
      <c r="B754" s="4" t="s">
        <v>150</v>
      </c>
      <c r="E754" s="23"/>
    </row>
    <row r="755" spans="1:5" x14ac:dyDescent="0.35">
      <c r="A755" s="14">
        <v>10826</v>
      </c>
      <c r="B755" s="4" t="s">
        <v>151</v>
      </c>
      <c r="E755" s="23"/>
    </row>
    <row r="756" spans="1:5" x14ac:dyDescent="0.35">
      <c r="A756" s="14">
        <v>10831</v>
      </c>
      <c r="B756" s="4" t="s">
        <v>149</v>
      </c>
      <c r="E756" s="23"/>
    </row>
    <row r="757" spans="1:5" x14ac:dyDescent="0.35">
      <c r="A757" s="14">
        <v>4181</v>
      </c>
      <c r="B757" s="4" t="s">
        <v>1163</v>
      </c>
      <c r="E757" s="23"/>
    </row>
    <row r="758" spans="1:5" x14ac:dyDescent="0.35">
      <c r="A758" s="14">
        <v>10843</v>
      </c>
      <c r="B758" s="4" t="s">
        <v>213</v>
      </c>
      <c r="E758" s="23"/>
    </row>
    <row r="759" spans="1:5" x14ac:dyDescent="0.35">
      <c r="A759" s="14">
        <v>10412</v>
      </c>
      <c r="B759" s="4" t="s">
        <v>1164</v>
      </c>
      <c r="E759" s="23"/>
    </row>
    <row r="760" spans="1:5" x14ac:dyDescent="0.35">
      <c r="A760" s="14">
        <v>10745</v>
      </c>
      <c r="B760" s="4" t="s">
        <v>321</v>
      </c>
      <c r="E760" s="23"/>
    </row>
    <row r="761" spans="1:5" x14ac:dyDescent="0.35">
      <c r="A761" s="14">
        <v>3067</v>
      </c>
      <c r="B761" s="4" t="s">
        <v>1165</v>
      </c>
      <c r="E761" s="23"/>
    </row>
    <row r="762" spans="1:5" x14ac:dyDescent="0.35">
      <c r="A762" s="14">
        <v>10841</v>
      </c>
      <c r="B762" s="4" t="s">
        <v>1166</v>
      </c>
      <c r="E762" s="23"/>
    </row>
    <row r="763" spans="1:5" x14ac:dyDescent="0.35">
      <c r="A763" s="14">
        <v>10844</v>
      </c>
      <c r="B763" s="4" t="s">
        <v>214</v>
      </c>
      <c r="E763" s="23"/>
    </row>
    <row r="764" spans="1:5" x14ac:dyDescent="0.35">
      <c r="A764" s="14">
        <v>10842</v>
      </c>
      <c r="B764" s="4" t="s">
        <v>215</v>
      </c>
      <c r="E764" s="23"/>
    </row>
    <row r="765" spans="1:5" x14ac:dyDescent="0.35">
      <c r="A765" s="14">
        <v>10849</v>
      </c>
      <c r="B765" s="4" t="s">
        <v>105</v>
      </c>
      <c r="E765" s="23"/>
    </row>
    <row r="766" spans="1:5" x14ac:dyDescent="0.35">
      <c r="A766" s="14">
        <v>10850</v>
      </c>
      <c r="B766" s="4" t="s">
        <v>1167</v>
      </c>
      <c r="E766" s="23"/>
    </row>
    <row r="767" spans="1:5" x14ac:dyDescent="0.35">
      <c r="A767" s="14">
        <v>10852</v>
      </c>
      <c r="B767" s="4" t="s">
        <v>1168</v>
      </c>
      <c r="E767" s="23"/>
    </row>
    <row r="768" spans="1:5" x14ac:dyDescent="0.35">
      <c r="A768" s="14">
        <v>10851</v>
      </c>
      <c r="B768" s="4" t="s">
        <v>1169</v>
      </c>
      <c r="E768" s="23"/>
    </row>
    <row r="769" spans="1:5" x14ac:dyDescent="0.35">
      <c r="A769" s="14">
        <v>10845</v>
      </c>
      <c r="B769" s="4" t="s">
        <v>96</v>
      </c>
      <c r="E769" s="23"/>
    </row>
    <row r="770" spans="1:5" x14ac:dyDescent="0.35">
      <c r="A770" s="14">
        <v>10848</v>
      </c>
      <c r="B770" s="4" t="s">
        <v>182</v>
      </c>
      <c r="E770" s="23"/>
    </row>
    <row r="771" spans="1:5" x14ac:dyDescent="0.35">
      <c r="A771" s="14">
        <v>10847</v>
      </c>
      <c r="B771" s="4" t="s">
        <v>325</v>
      </c>
      <c r="E771" s="23"/>
    </row>
    <row r="772" spans="1:5" x14ac:dyDescent="0.35">
      <c r="A772" s="14">
        <v>10041</v>
      </c>
      <c r="B772" s="4" t="s">
        <v>1170</v>
      </c>
      <c r="E772" s="23"/>
    </row>
    <row r="773" spans="1:5" x14ac:dyDescent="0.35">
      <c r="A773" s="14">
        <v>10751</v>
      </c>
      <c r="B773" s="4" t="s">
        <v>82</v>
      </c>
      <c r="E773" s="23"/>
    </row>
    <row r="774" spans="1:5" x14ac:dyDescent="0.35">
      <c r="A774" s="14">
        <v>10089</v>
      </c>
      <c r="B774" s="4" t="s">
        <v>84</v>
      </c>
      <c r="E774" s="23"/>
    </row>
    <row r="775" spans="1:5" x14ac:dyDescent="0.35">
      <c r="A775" s="14">
        <v>10345</v>
      </c>
      <c r="B775" s="4" t="s">
        <v>85</v>
      </c>
      <c r="E775" s="23"/>
    </row>
    <row r="776" spans="1:5" x14ac:dyDescent="0.35">
      <c r="A776" s="14">
        <v>1997</v>
      </c>
      <c r="B776" s="4" t="s">
        <v>1171</v>
      </c>
      <c r="E776" s="23"/>
    </row>
    <row r="777" spans="1:5" x14ac:dyDescent="0.35">
      <c r="A777" s="14">
        <v>10687</v>
      </c>
      <c r="B777" s="4" t="s">
        <v>340</v>
      </c>
      <c r="E777" s="23"/>
    </row>
    <row r="778" spans="1:5" x14ac:dyDescent="0.35">
      <c r="A778" s="14">
        <v>10775</v>
      </c>
      <c r="B778" s="4" t="s">
        <v>86</v>
      </c>
      <c r="E778" s="23"/>
    </row>
    <row r="779" spans="1:5" x14ac:dyDescent="0.35">
      <c r="A779" s="14">
        <v>10547</v>
      </c>
      <c r="B779" s="4" t="s">
        <v>1021</v>
      </c>
      <c r="E779" s="23"/>
    </row>
    <row r="780" spans="1:5" x14ac:dyDescent="0.35">
      <c r="A780" s="14">
        <v>10674</v>
      </c>
      <c r="B780" s="4" t="s">
        <v>88</v>
      </c>
      <c r="E780" s="23"/>
    </row>
    <row r="781" spans="1:5" x14ac:dyDescent="0.35">
      <c r="A781" s="14">
        <v>10709</v>
      </c>
      <c r="B781" s="4" t="s">
        <v>1172</v>
      </c>
      <c r="E781" s="23"/>
    </row>
    <row r="782" spans="1:5" x14ac:dyDescent="0.35">
      <c r="A782" s="14">
        <v>1442</v>
      </c>
      <c r="B782" s="4" t="s">
        <v>1173</v>
      </c>
      <c r="E782" s="23"/>
    </row>
    <row r="783" spans="1:5" x14ac:dyDescent="0.35">
      <c r="A783" s="14">
        <v>10431</v>
      </c>
      <c r="B783" s="4" t="s">
        <v>89</v>
      </c>
      <c r="E783" s="23"/>
    </row>
    <row r="784" spans="1:5" x14ac:dyDescent="0.35">
      <c r="A784" s="14">
        <v>10667</v>
      </c>
      <c r="B784" s="4" t="s">
        <v>90</v>
      </c>
      <c r="E784" s="23"/>
    </row>
    <row r="785" spans="1:5" x14ac:dyDescent="0.35">
      <c r="A785" s="14">
        <v>10719</v>
      </c>
      <c r="B785" s="4" t="s">
        <v>341</v>
      </c>
      <c r="E785" s="23"/>
    </row>
    <row r="786" spans="1:5" x14ac:dyDescent="0.35">
      <c r="A786" s="14">
        <v>10315</v>
      </c>
      <c r="B786" s="4" t="s">
        <v>1174</v>
      </c>
      <c r="E786" s="23"/>
    </row>
    <row r="787" spans="1:5" x14ac:dyDescent="0.35">
      <c r="A787" s="14">
        <v>1947</v>
      </c>
      <c r="B787" s="4" t="s">
        <v>91</v>
      </c>
      <c r="E787" s="23"/>
    </row>
    <row r="788" spans="1:5" x14ac:dyDescent="0.35">
      <c r="A788" s="14">
        <v>10235</v>
      </c>
      <c r="B788" s="4" t="s">
        <v>92</v>
      </c>
      <c r="E788" s="23"/>
    </row>
    <row r="789" spans="1:5" x14ac:dyDescent="0.35">
      <c r="A789" s="14">
        <v>1600</v>
      </c>
      <c r="B789" s="4" t="s">
        <v>93</v>
      </c>
      <c r="E789" s="23"/>
    </row>
    <row r="790" spans="1:5" x14ac:dyDescent="0.35">
      <c r="A790" s="14">
        <v>10362</v>
      </c>
      <c r="B790" s="4" t="s">
        <v>94</v>
      </c>
      <c r="E790" s="23"/>
    </row>
    <row r="791" spans="1:5" x14ac:dyDescent="0.35">
      <c r="A791" s="14">
        <v>4184</v>
      </c>
      <c r="B791" s="4" t="s">
        <v>225</v>
      </c>
      <c r="E791" s="23"/>
    </row>
    <row r="792" spans="1:5" x14ac:dyDescent="0.35">
      <c r="A792" s="14">
        <v>4183</v>
      </c>
      <c r="B792" s="4" t="s">
        <v>227</v>
      </c>
      <c r="E792" s="23"/>
    </row>
    <row r="793" spans="1:5" x14ac:dyDescent="0.35">
      <c r="A793" s="14">
        <v>10856</v>
      </c>
      <c r="B793" s="4" t="s">
        <v>152</v>
      </c>
      <c r="E793" s="23"/>
    </row>
    <row r="794" spans="1:5" x14ac:dyDescent="0.35">
      <c r="A794" s="14">
        <v>10859</v>
      </c>
      <c r="B794" s="4" t="s">
        <v>1175</v>
      </c>
      <c r="E794" s="23"/>
    </row>
    <row r="795" spans="1:5" x14ac:dyDescent="0.35">
      <c r="A795" s="14">
        <v>10862</v>
      </c>
      <c r="B795" s="4" t="s">
        <v>132</v>
      </c>
      <c r="E795" s="23"/>
    </row>
    <row r="796" spans="1:5" x14ac:dyDescent="0.35">
      <c r="A796" s="14">
        <v>10858</v>
      </c>
      <c r="B796" s="4" t="s">
        <v>170</v>
      </c>
      <c r="E796" s="23"/>
    </row>
    <row r="797" spans="1:5" x14ac:dyDescent="0.35">
      <c r="A797" s="14">
        <v>10857</v>
      </c>
      <c r="B797" s="4" t="s">
        <v>169</v>
      </c>
      <c r="E797" s="23"/>
    </row>
    <row r="798" spans="1:5" x14ac:dyDescent="0.35">
      <c r="A798" s="14">
        <v>10863</v>
      </c>
      <c r="B798" s="4" t="s">
        <v>171</v>
      </c>
      <c r="E798" s="23"/>
    </row>
    <row r="799" spans="1:5" x14ac:dyDescent="0.35">
      <c r="A799" s="14">
        <v>10864</v>
      </c>
      <c r="B799" s="4" t="s">
        <v>107</v>
      </c>
      <c r="E799" s="23"/>
    </row>
    <row r="800" spans="1:5" x14ac:dyDescent="0.35">
      <c r="A800" s="14">
        <v>10860</v>
      </c>
      <c r="B800" s="4" t="s">
        <v>101</v>
      </c>
      <c r="E800" s="23"/>
    </row>
    <row r="801" spans="1:5" x14ac:dyDescent="0.35">
      <c r="A801" s="14">
        <v>2992</v>
      </c>
      <c r="B801" s="4" t="s">
        <v>1176</v>
      </c>
      <c r="E801" s="23"/>
    </row>
    <row r="802" spans="1:5" x14ac:dyDescent="0.35">
      <c r="A802" s="14">
        <v>10861</v>
      </c>
      <c r="B802" s="4" t="s">
        <v>1177</v>
      </c>
      <c r="E802" s="23"/>
    </row>
    <row r="803" spans="1:5" x14ac:dyDescent="0.35">
      <c r="A803" s="14">
        <v>10871</v>
      </c>
      <c r="B803" s="4" t="s">
        <v>1178</v>
      </c>
      <c r="E803" s="23"/>
    </row>
    <row r="804" spans="1:5" x14ac:dyDescent="0.35">
      <c r="A804" s="14">
        <v>10887</v>
      </c>
      <c r="B804" s="4" t="s">
        <v>1179</v>
      </c>
      <c r="E804" s="23"/>
    </row>
    <row r="805" spans="1:5" x14ac:dyDescent="0.35">
      <c r="A805" s="14">
        <v>10891</v>
      </c>
      <c r="B805" s="4" t="s">
        <v>87</v>
      </c>
      <c r="E805" s="23"/>
    </row>
    <row r="806" spans="1:5" x14ac:dyDescent="0.35">
      <c r="A806" s="14">
        <v>10865</v>
      </c>
      <c r="B806" s="4" t="s">
        <v>1180</v>
      </c>
      <c r="E806" s="23"/>
    </row>
    <row r="807" spans="1:5" x14ac:dyDescent="0.35">
      <c r="A807" s="14">
        <v>10885</v>
      </c>
      <c r="B807" s="4" t="s">
        <v>1181</v>
      </c>
      <c r="E807" s="23"/>
    </row>
    <row r="808" spans="1:5" x14ac:dyDescent="0.35">
      <c r="A808" s="14">
        <v>10869</v>
      </c>
      <c r="B808" s="4" t="s">
        <v>443</v>
      </c>
      <c r="E808" s="23"/>
    </row>
    <row r="809" spans="1:5" x14ac:dyDescent="0.35">
      <c r="A809" s="14">
        <v>10890</v>
      </c>
      <c r="B809" s="4" t="s">
        <v>194</v>
      </c>
      <c r="E809" s="23"/>
    </row>
    <row r="810" spans="1:5" x14ac:dyDescent="0.35">
      <c r="A810" s="14">
        <v>10888</v>
      </c>
      <c r="B810" s="4" t="s">
        <v>395</v>
      </c>
      <c r="E810" s="23"/>
    </row>
    <row r="811" spans="1:5" x14ac:dyDescent="0.35">
      <c r="A811" s="14">
        <v>10875</v>
      </c>
      <c r="B811" s="4" t="s">
        <v>240</v>
      </c>
      <c r="E811" s="23"/>
    </row>
    <row r="812" spans="1:5" x14ac:dyDescent="0.35">
      <c r="A812" s="14">
        <v>10894</v>
      </c>
      <c r="B812" s="4" t="s">
        <v>243</v>
      </c>
      <c r="E812" s="23"/>
    </row>
    <row r="813" spans="1:5" x14ac:dyDescent="0.35">
      <c r="A813" s="14">
        <v>10900</v>
      </c>
      <c r="B813" s="4" t="s">
        <v>265</v>
      </c>
      <c r="E813" s="23"/>
    </row>
    <row r="814" spans="1:5" x14ac:dyDescent="0.35">
      <c r="A814" s="14">
        <v>4185</v>
      </c>
      <c r="B814" s="4" t="s">
        <v>1182</v>
      </c>
      <c r="E814" s="23"/>
    </row>
    <row r="815" spans="1:5" x14ac:dyDescent="0.35">
      <c r="A815" s="14">
        <v>4186</v>
      </c>
      <c r="B815" s="4" t="s">
        <v>229</v>
      </c>
      <c r="E815" s="23"/>
    </row>
    <row r="816" spans="1:5" x14ac:dyDescent="0.35">
      <c r="A816" s="14">
        <v>10897</v>
      </c>
      <c r="B816" s="4" t="s">
        <v>154</v>
      </c>
      <c r="E816" s="23"/>
    </row>
    <row r="817" spans="1:5" x14ac:dyDescent="0.35">
      <c r="A817" s="14">
        <v>10898</v>
      </c>
      <c r="B817" s="4" t="s">
        <v>172</v>
      </c>
      <c r="E817" s="23"/>
    </row>
    <row r="818" spans="1:5" x14ac:dyDescent="0.35">
      <c r="A818" s="14">
        <v>10866</v>
      </c>
      <c r="B818" s="4" t="s">
        <v>108</v>
      </c>
      <c r="E818" s="23"/>
    </row>
    <row r="819" spans="1:5" x14ac:dyDescent="0.35">
      <c r="A819" s="14">
        <v>10889</v>
      </c>
      <c r="B819" s="4" t="s">
        <v>113</v>
      </c>
      <c r="E819" s="23"/>
    </row>
    <row r="820" spans="1:5" x14ac:dyDescent="0.35">
      <c r="A820" s="14">
        <v>10880</v>
      </c>
      <c r="B820" s="4" t="s">
        <v>1183</v>
      </c>
      <c r="E820" s="23"/>
    </row>
    <row r="821" spans="1:5" x14ac:dyDescent="0.35">
      <c r="A821" s="14">
        <v>10867</v>
      </c>
      <c r="B821" s="4" t="s">
        <v>1184</v>
      </c>
      <c r="E821" s="23"/>
    </row>
    <row r="822" spans="1:5" x14ac:dyDescent="0.35">
      <c r="A822" s="14">
        <v>10876</v>
      </c>
      <c r="B822" s="4" t="s">
        <v>431</v>
      </c>
      <c r="E822" s="23"/>
    </row>
    <row r="823" spans="1:5" x14ac:dyDescent="0.35">
      <c r="A823" s="14">
        <v>10892</v>
      </c>
      <c r="B823" s="4" t="s">
        <v>134</v>
      </c>
      <c r="E823" s="23"/>
    </row>
    <row r="824" spans="1:5" x14ac:dyDescent="0.35">
      <c r="A824" s="14">
        <v>10874</v>
      </c>
      <c r="B824" s="4" t="s">
        <v>133</v>
      </c>
      <c r="E824" s="23"/>
    </row>
    <row r="825" spans="1:5" x14ac:dyDescent="0.35">
      <c r="A825" s="14">
        <v>10902</v>
      </c>
      <c r="B825" s="4" t="s">
        <v>216</v>
      </c>
      <c r="E825" s="23"/>
    </row>
    <row r="826" spans="1:5" x14ac:dyDescent="0.35">
      <c r="A826" s="14">
        <v>10895</v>
      </c>
      <c r="B826" s="4" t="s">
        <v>217</v>
      </c>
      <c r="E826" s="23"/>
    </row>
    <row r="827" spans="1:5" x14ac:dyDescent="0.35">
      <c r="A827" s="14">
        <v>10909</v>
      </c>
      <c r="B827" s="4" t="s">
        <v>322</v>
      </c>
      <c r="E827" s="23"/>
    </row>
    <row r="828" spans="1:5" x14ac:dyDescent="0.35">
      <c r="A828" s="14">
        <v>10907</v>
      </c>
      <c r="B828" s="4" t="s">
        <v>109</v>
      </c>
      <c r="E828" s="23"/>
    </row>
    <row r="829" spans="1:5" x14ac:dyDescent="0.35">
      <c r="A829" s="14">
        <v>10901</v>
      </c>
      <c r="B829" s="4" t="s">
        <v>173</v>
      </c>
      <c r="E829" s="23"/>
    </row>
    <row r="830" spans="1:5" x14ac:dyDescent="0.35">
      <c r="A830" s="14">
        <v>10915</v>
      </c>
      <c r="B830" s="4" t="s">
        <v>174</v>
      </c>
      <c r="E830" s="23"/>
    </row>
    <row r="831" spans="1:5" x14ac:dyDescent="0.35">
      <c r="A831" s="14">
        <v>10904</v>
      </c>
      <c r="B831" s="4" t="s">
        <v>258</v>
      </c>
      <c r="E831" s="23"/>
    </row>
    <row r="832" spans="1:5" x14ac:dyDescent="0.35">
      <c r="A832" s="14">
        <v>10918</v>
      </c>
      <c r="B832" s="4" t="s">
        <v>1185</v>
      </c>
      <c r="E832" s="23"/>
    </row>
    <row r="833" spans="1:5" x14ac:dyDescent="0.35">
      <c r="A833" s="14">
        <v>10921</v>
      </c>
      <c r="B833" s="4" t="s">
        <v>339</v>
      </c>
      <c r="E833" s="23"/>
    </row>
    <row r="834" spans="1:5" x14ac:dyDescent="0.35">
      <c r="A834" s="14">
        <v>10899</v>
      </c>
      <c r="B834" s="4" t="s">
        <v>242</v>
      </c>
      <c r="E834" s="23"/>
    </row>
    <row r="835" spans="1:5" x14ac:dyDescent="0.35">
      <c r="A835" s="14">
        <v>10903</v>
      </c>
      <c r="B835" s="4" t="s">
        <v>241</v>
      </c>
      <c r="E835" s="23"/>
    </row>
    <row r="836" spans="1:5" x14ac:dyDescent="0.35">
      <c r="A836" s="14">
        <v>10910</v>
      </c>
      <c r="B836" s="4" t="s">
        <v>248</v>
      </c>
      <c r="E836" s="23"/>
    </row>
    <row r="837" spans="1:5" x14ac:dyDescent="0.35">
      <c r="A837" s="14">
        <v>10914</v>
      </c>
      <c r="B837" s="4" t="s">
        <v>247</v>
      </c>
      <c r="E837" s="23"/>
    </row>
    <row r="838" spans="1:5" x14ac:dyDescent="0.35">
      <c r="A838" s="14">
        <v>10923</v>
      </c>
      <c r="B838" s="4" t="s">
        <v>250</v>
      </c>
      <c r="E838" s="23"/>
    </row>
    <row r="839" spans="1:5" x14ac:dyDescent="0.35">
      <c r="A839" s="14">
        <v>10920</v>
      </c>
      <c r="B839" s="4" t="s">
        <v>251</v>
      </c>
      <c r="E839" s="23"/>
    </row>
    <row r="840" spans="1:5" x14ac:dyDescent="0.35">
      <c r="A840" s="14">
        <v>10919</v>
      </c>
      <c r="B840" s="4" t="s">
        <v>253</v>
      </c>
      <c r="E840" s="23"/>
    </row>
    <row r="841" spans="1:5" x14ac:dyDescent="0.35">
      <c r="A841" s="14">
        <v>10924</v>
      </c>
      <c r="B841" s="4" t="s">
        <v>249</v>
      </c>
      <c r="E841" s="23"/>
    </row>
    <row r="842" spans="1:5" x14ac:dyDescent="0.35">
      <c r="A842" s="14">
        <v>10925</v>
      </c>
      <c r="B842" s="4" t="s">
        <v>1186</v>
      </c>
      <c r="E842" s="23"/>
    </row>
    <row r="843" spans="1:5" x14ac:dyDescent="0.35">
      <c r="A843" s="14">
        <v>10922</v>
      </c>
      <c r="B843" s="4" t="s">
        <v>244</v>
      </c>
      <c r="E843" s="23"/>
    </row>
    <row r="844" spans="1:5" x14ac:dyDescent="0.35">
      <c r="A844" s="14">
        <v>10934</v>
      </c>
      <c r="B844" s="4" t="s">
        <v>1187</v>
      </c>
      <c r="E844" s="23"/>
    </row>
    <row r="845" spans="1:5" x14ac:dyDescent="0.35">
      <c r="A845" s="14">
        <v>10933</v>
      </c>
      <c r="B845" s="4" t="s">
        <v>191</v>
      </c>
      <c r="E845" s="23"/>
    </row>
    <row r="846" spans="1:5" x14ac:dyDescent="0.35">
      <c r="A846" s="14">
        <v>10917</v>
      </c>
      <c r="B846" s="4" t="s">
        <v>323</v>
      </c>
      <c r="E846" s="23"/>
    </row>
    <row r="847" spans="1:5" x14ac:dyDescent="0.35">
      <c r="A847" s="14">
        <v>10905</v>
      </c>
      <c r="B847" s="4" t="s">
        <v>1188</v>
      </c>
      <c r="E847" s="23"/>
    </row>
    <row r="848" spans="1:5" x14ac:dyDescent="0.35">
      <c r="A848" s="14">
        <v>10930</v>
      </c>
      <c r="B848" s="4" t="s">
        <v>1189</v>
      </c>
      <c r="E848" s="23"/>
    </row>
    <row r="849" spans="1:5" x14ac:dyDescent="0.35">
      <c r="A849" s="14">
        <v>10941</v>
      </c>
      <c r="B849" s="4" t="s">
        <v>102</v>
      </c>
      <c r="E849" s="23"/>
    </row>
    <row r="850" spans="1:5" x14ac:dyDescent="0.35">
      <c r="A850" s="14">
        <v>10944</v>
      </c>
      <c r="B850" s="4" t="s">
        <v>1190</v>
      </c>
      <c r="E850" s="23"/>
    </row>
    <row r="851" spans="1:5" x14ac:dyDescent="0.35">
      <c r="A851" s="14">
        <v>10955</v>
      </c>
      <c r="B851" s="4" t="s">
        <v>190</v>
      </c>
      <c r="E851" s="23"/>
    </row>
    <row r="852" spans="1:5" x14ac:dyDescent="0.35">
      <c r="A852" s="14">
        <v>10940</v>
      </c>
      <c r="B852" s="4" t="s">
        <v>220</v>
      </c>
      <c r="E852" s="23"/>
    </row>
    <row r="853" spans="1:5" x14ac:dyDescent="0.35">
      <c r="A853" s="14">
        <v>10949</v>
      </c>
      <c r="B853" s="4" t="s">
        <v>221</v>
      </c>
      <c r="E853" s="23"/>
    </row>
    <row r="854" spans="1:5" x14ac:dyDescent="0.35">
      <c r="A854" s="14">
        <v>4191</v>
      </c>
      <c r="B854" s="4" t="s">
        <v>226</v>
      </c>
      <c r="E854" s="23"/>
    </row>
    <row r="855" spans="1:5" x14ac:dyDescent="0.35">
      <c r="A855" s="14">
        <v>4188</v>
      </c>
      <c r="B855" s="4" t="s">
        <v>1191</v>
      </c>
      <c r="E855" s="23"/>
    </row>
    <row r="856" spans="1:5" x14ac:dyDescent="0.35">
      <c r="A856" s="14">
        <v>4190</v>
      </c>
      <c r="B856" s="4" t="s">
        <v>1192</v>
      </c>
      <c r="E856" s="23"/>
    </row>
    <row r="857" spans="1:5" x14ac:dyDescent="0.35">
      <c r="A857" s="14">
        <v>4189</v>
      </c>
      <c r="B857" s="4" t="s">
        <v>234</v>
      </c>
      <c r="E857" s="23"/>
    </row>
    <row r="858" spans="1:5" x14ac:dyDescent="0.35">
      <c r="A858" s="14">
        <v>4192</v>
      </c>
      <c r="B858" s="4" t="s">
        <v>1193</v>
      </c>
      <c r="E858" s="23"/>
    </row>
    <row r="859" spans="1:5" x14ac:dyDescent="0.35">
      <c r="A859" s="14">
        <v>10916</v>
      </c>
      <c r="B859" s="4" t="s">
        <v>155</v>
      </c>
      <c r="E859" s="23"/>
    </row>
    <row r="860" spans="1:5" x14ac:dyDescent="0.35">
      <c r="A860" s="14">
        <v>10928</v>
      </c>
      <c r="B860" s="4" t="s">
        <v>156</v>
      </c>
      <c r="E860" s="23"/>
    </row>
    <row r="861" spans="1:5" x14ac:dyDescent="0.35">
      <c r="A861" s="14">
        <v>10943</v>
      </c>
      <c r="B861" s="4" t="s">
        <v>157</v>
      </c>
      <c r="E861" s="23"/>
    </row>
    <row r="862" spans="1:5" x14ac:dyDescent="0.35">
      <c r="A862" s="14">
        <v>10936</v>
      </c>
      <c r="B862" s="4" t="s">
        <v>175</v>
      </c>
      <c r="E862" s="23"/>
    </row>
    <row r="863" spans="1:5" x14ac:dyDescent="0.35">
      <c r="A863" s="14">
        <v>10937</v>
      </c>
      <c r="B863" s="4" t="s">
        <v>176</v>
      </c>
      <c r="E863" s="23"/>
    </row>
    <row r="864" spans="1:5" x14ac:dyDescent="0.35">
      <c r="A864" s="14">
        <v>10947</v>
      </c>
      <c r="B864" s="4" t="s">
        <v>177</v>
      </c>
      <c r="E864" s="23"/>
    </row>
    <row r="865" spans="1:5" x14ac:dyDescent="0.35">
      <c r="A865" s="14">
        <v>10946</v>
      </c>
      <c r="B865" s="4" t="s">
        <v>135</v>
      </c>
      <c r="E865" s="23"/>
    </row>
    <row r="866" spans="1:5" x14ac:dyDescent="0.35">
      <c r="A866" s="14">
        <v>10939</v>
      </c>
      <c r="B866" s="4" t="s">
        <v>110</v>
      </c>
      <c r="E866" s="23"/>
    </row>
    <row r="867" spans="1:5" x14ac:dyDescent="0.35">
      <c r="A867" s="14">
        <v>10935</v>
      </c>
      <c r="B867" s="4" t="s">
        <v>1194</v>
      </c>
      <c r="E867" s="23"/>
    </row>
    <row r="868" spans="1:5" x14ac:dyDescent="0.35">
      <c r="A868" s="14">
        <v>10932</v>
      </c>
      <c r="B868" s="4" t="s">
        <v>245</v>
      </c>
      <c r="E868" s="23"/>
    </row>
    <row r="869" spans="1:5" x14ac:dyDescent="0.35">
      <c r="A869" s="14">
        <v>10927</v>
      </c>
      <c r="B869" s="4" t="s">
        <v>260</v>
      </c>
      <c r="E869" s="23"/>
    </row>
    <row r="870" spans="1:5" x14ac:dyDescent="0.35">
      <c r="A870" s="14">
        <v>10929</v>
      </c>
      <c r="B870" s="4" t="s">
        <v>1195</v>
      </c>
      <c r="E870" s="23"/>
    </row>
    <row r="871" spans="1:5" x14ac:dyDescent="0.35">
      <c r="A871" s="14">
        <v>10971</v>
      </c>
      <c r="B871" s="4" t="s">
        <v>264</v>
      </c>
      <c r="E871" s="23"/>
    </row>
    <row r="872" spans="1:5" x14ac:dyDescent="0.35">
      <c r="A872" s="14">
        <v>10969</v>
      </c>
      <c r="B872" s="4" t="s">
        <v>252</v>
      </c>
      <c r="E872" s="23"/>
    </row>
    <row r="873" spans="1:5" x14ac:dyDescent="0.35">
      <c r="A873" s="14">
        <v>10977</v>
      </c>
      <c r="B873" s="4" t="s">
        <v>422</v>
      </c>
      <c r="E873" s="23"/>
    </row>
    <row r="874" spans="1:5" x14ac:dyDescent="0.35">
      <c r="A874" s="14">
        <v>10975</v>
      </c>
      <c r="B874" s="4" t="s">
        <v>103</v>
      </c>
      <c r="E874" s="23"/>
    </row>
    <row r="875" spans="1:5" x14ac:dyDescent="0.35">
      <c r="A875" s="14">
        <v>10961</v>
      </c>
      <c r="B875" s="4" t="s">
        <v>104</v>
      </c>
      <c r="E875" s="23"/>
    </row>
    <row r="876" spans="1:5" x14ac:dyDescent="0.35">
      <c r="A876" s="14">
        <v>10963</v>
      </c>
      <c r="B876" s="4" t="s">
        <v>1196</v>
      </c>
      <c r="E876" s="23"/>
    </row>
    <row r="877" spans="1:5" x14ac:dyDescent="0.35">
      <c r="A877" s="14">
        <v>10962</v>
      </c>
      <c r="B877" s="4" t="s">
        <v>178</v>
      </c>
      <c r="E877" s="23"/>
    </row>
    <row r="878" spans="1:5" x14ac:dyDescent="0.35">
      <c r="A878" s="14">
        <v>10978</v>
      </c>
      <c r="B878" s="4" t="s">
        <v>179</v>
      </c>
      <c r="E878" s="23"/>
    </row>
    <row r="879" spans="1:5" x14ac:dyDescent="0.35">
      <c r="A879" s="14">
        <v>10953</v>
      </c>
      <c r="B879" s="4" t="s">
        <v>158</v>
      </c>
      <c r="E879" s="23"/>
    </row>
    <row r="880" spans="1:5" x14ac:dyDescent="0.35">
      <c r="A880" s="14">
        <v>10958</v>
      </c>
      <c r="B880" s="4" t="s">
        <v>159</v>
      </c>
      <c r="E880" s="23"/>
    </row>
    <row r="881" spans="1:5" x14ac:dyDescent="0.35">
      <c r="A881" s="14">
        <v>10951</v>
      </c>
      <c r="B881" s="4" t="s">
        <v>162</v>
      </c>
      <c r="E881" s="23"/>
    </row>
    <row r="882" spans="1:5" x14ac:dyDescent="0.35">
      <c r="A882" s="14">
        <v>10959</v>
      </c>
      <c r="B882" s="4" t="s">
        <v>115</v>
      </c>
      <c r="E882" s="23"/>
    </row>
    <row r="883" spans="1:5" x14ac:dyDescent="0.35">
      <c r="A883" s="14">
        <v>10957</v>
      </c>
      <c r="B883" s="4" t="s">
        <v>116</v>
      </c>
      <c r="E883" s="23"/>
    </row>
    <row r="884" spans="1:5" x14ac:dyDescent="0.35">
      <c r="A884" s="14">
        <v>10954</v>
      </c>
      <c r="B884" s="4" t="s">
        <v>117</v>
      </c>
      <c r="E884" s="23"/>
    </row>
    <row r="885" spans="1:5" x14ac:dyDescent="0.35">
      <c r="A885" s="14">
        <v>10960</v>
      </c>
      <c r="B885" s="4" t="s">
        <v>114</v>
      </c>
      <c r="E885" s="23"/>
    </row>
    <row r="886" spans="1:5" x14ac:dyDescent="0.35">
      <c r="A886" s="14">
        <v>10956</v>
      </c>
      <c r="B886" s="4" t="s">
        <v>137</v>
      </c>
      <c r="E886" s="23"/>
    </row>
    <row r="887" spans="1:5" x14ac:dyDescent="0.35">
      <c r="A887" s="14">
        <v>10952</v>
      </c>
      <c r="B887" s="4" t="s">
        <v>136</v>
      </c>
      <c r="E887" s="23"/>
    </row>
    <row r="888" spans="1:5" x14ac:dyDescent="0.35">
      <c r="A888" s="14">
        <v>10980</v>
      </c>
      <c r="B888" s="4" t="s">
        <v>1197</v>
      </c>
      <c r="E888" s="23"/>
    </row>
    <row r="889" spans="1:5" x14ac:dyDescent="0.35">
      <c r="A889" s="14">
        <v>10990</v>
      </c>
      <c r="B889" s="4" t="s">
        <v>192</v>
      </c>
      <c r="E889" s="23"/>
    </row>
    <row r="890" spans="1:5" x14ac:dyDescent="0.35">
      <c r="A890" s="14">
        <v>10966</v>
      </c>
      <c r="B890" s="4" t="s">
        <v>319</v>
      </c>
      <c r="E890" s="23"/>
    </row>
    <row r="891" spans="1:5" x14ac:dyDescent="0.35">
      <c r="A891" s="14">
        <v>10965</v>
      </c>
      <c r="B891" s="4" t="s">
        <v>1198</v>
      </c>
      <c r="E891" s="23"/>
    </row>
    <row r="892" spans="1:5" x14ac:dyDescent="0.35">
      <c r="A892" s="14">
        <v>10986</v>
      </c>
      <c r="B892" s="4" t="s">
        <v>180</v>
      </c>
      <c r="E892" s="23"/>
    </row>
    <row r="893" spans="1:5" x14ac:dyDescent="0.35">
      <c r="A893" s="14">
        <v>10983</v>
      </c>
      <c r="B893" s="4" t="s">
        <v>181</v>
      </c>
      <c r="E893" s="23"/>
    </row>
    <row r="894" spans="1:5" x14ac:dyDescent="0.35">
      <c r="A894" s="14">
        <v>10979</v>
      </c>
      <c r="B894" s="4" t="s">
        <v>160</v>
      </c>
      <c r="E894" s="23"/>
    </row>
    <row r="895" spans="1:5" x14ac:dyDescent="0.35">
      <c r="A895" s="14">
        <v>10984</v>
      </c>
      <c r="B895" s="4" t="s">
        <v>161</v>
      </c>
      <c r="E895" s="23"/>
    </row>
    <row r="896" spans="1:5" x14ac:dyDescent="0.35">
      <c r="A896" s="14">
        <v>10988</v>
      </c>
      <c r="B896" s="4" t="s">
        <v>164</v>
      </c>
      <c r="E896" s="23"/>
    </row>
    <row r="897" spans="1:5" x14ac:dyDescent="0.35">
      <c r="A897" s="14">
        <v>10976</v>
      </c>
      <c r="B897" s="4" t="s">
        <v>138</v>
      </c>
      <c r="E897" s="23"/>
    </row>
    <row r="898" spans="1:5" x14ac:dyDescent="0.35">
      <c r="A898" s="14">
        <v>10985</v>
      </c>
      <c r="B898" s="4" t="s">
        <v>140</v>
      </c>
      <c r="E898" s="23"/>
    </row>
    <row r="899" spans="1:5" x14ac:dyDescent="0.35">
      <c r="A899" s="14">
        <v>10982</v>
      </c>
      <c r="B899" s="4" t="s">
        <v>139</v>
      </c>
      <c r="E899" s="23"/>
    </row>
    <row r="900" spans="1:5" x14ac:dyDescent="0.35">
      <c r="A900" s="14">
        <v>10994</v>
      </c>
      <c r="B900" s="4" t="s">
        <v>1199</v>
      </c>
      <c r="E900" s="23"/>
    </row>
    <row r="901" spans="1:5" x14ac:dyDescent="0.35">
      <c r="A901" s="14">
        <v>4196</v>
      </c>
      <c r="B901" s="4" t="s">
        <v>233</v>
      </c>
      <c r="E901" s="23"/>
    </row>
    <row r="902" spans="1:5" x14ac:dyDescent="0.35">
      <c r="A902" s="14">
        <v>10973</v>
      </c>
      <c r="B902" s="4" t="s">
        <v>320</v>
      </c>
      <c r="E902" s="23"/>
    </row>
    <row r="903" spans="1:5" x14ac:dyDescent="0.35">
      <c r="A903" s="14">
        <v>10989</v>
      </c>
      <c r="B903" s="4" t="s">
        <v>327</v>
      </c>
      <c r="E903" s="23"/>
    </row>
    <row r="904" spans="1:5" x14ac:dyDescent="0.35">
      <c r="A904" s="14">
        <v>10981</v>
      </c>
      <c r="B904" s="4" t="s">
        <v>332</v>
      </c>
      <c r="E904" s="23"/>
    </row>
    <row r="905" spans="1:5" x14ac:dyDescent="0.35">
      <c r="A905" s="14">
        <v>11009</v>
      </c>
      <c r="B905" s="4" t="s">
        <v>95</v>
      </c>
      <c r="E905" s="23"/>
    </row>
    <row r="906" spans="1:5" x14ac:dyDescent="0.35">
      <c r="A906" s="14">
        <v>10993</v>
      </c>
      <c r="B906" s="4" t="s">
        <v>165</v>
      </c>
      <c r="E906" s="23"/>
    </row>
    <row r="907" spans="1:5" x14ac:dyDescent="0.35">
      <c r="A907" s="14">
        <v>10995</v>
      </c>
      <c r="B907" s="4" t="s">
        <v>118</v>
      </c>
      <c r="E907" s="23"/>
    </row>
    <row r="908" spans="1:5" x14ac:dyDescent="0.35">
      <c r="A908" s="14">
        <v>11000</v>
      </c>
      <c r="B908" s="4" t="s">
        <v>1200</v>
      </c>
      <c r="E908" s="23"/>
    </row>
    <row r="909" spans="1:5" x14ac:dyDescent="0.35">
      <c r="A909" s="14">
        <v>11003</v>
      </c>
      <c r="B909" s="4" t="s">
        <v>141</v>
      </c>
      <c r="E909" s="23"/>
    </row>
    <row r="910" spans="1:5" x14ac:dyDescent="0.35">
      <c r="A910" s="14">
        <v>11013</v>
      </c>
      <c r="B910" s="4" t="s">
        <v>1201</v>
      </c>
      <c r="E910" s="23"/>
    </row>
    <row r="911" spans="1:5" x14ac:dyDescent="0.35">
      <c r="A911" s="14">
        <v>11004</v>
      </c>
      <c r="B911" s="4" t="s">
        <v>254</v>
      </c>
      <c r="E911" s="23"/>
    </row>
    <row r="912" spans="1:5" x14ac:dyDescent="0.35">
      <c r="A912" s="14">
        <v>10991</v>
      </c>
      <c r="B912" s="4" t="s">
        <v>1202</v>
      </c>
      <c r="E912" s="23"/>
    </row>
    <row r="913" spans="1:5" x14ac:dyDescent="0.35">
      <c r="A913" s="14">
        <v>11005</v>
      </c>
      <c r="B913" s="4" t="s">
        <v>256</v>
      </c>
      <c r="E913" s="23"/>
    </row>
    <row r="914" spans="1:5" x14ac:dyDescent="0.35">
      <c r="A914" s="14">
        <v>11006</v>
      </c>
      <c r="B914" s="4" t="s">
        <v>259</v>
      </c>
      <c r="E914" s="23"/>
    </row>
    <row r="915" spans="1:5" x14ac:dyDescent="0.35">
      <c r="A915" s="14">
        <v>10998</v>
      </c>
      <c r="B915" s="4" t="s">
        <v>263</v>
      </c>
      <c r="E915" s="23"/>
    </row>
    <row r="916" spans="1:5" x14ac:dyDescent="0.35">
      <c r="A916" s="14">
        <v>11008</v>
      </c>
      <c r="B916" s="4" t="s">
        <v>324</v>
      </c>
      <c r="E916" s="23"/>
    </row>
    <row r="917" spans="1:5" x14ac:dyDescent="0.35">
      <c r="A917" s="14">
        <v>11011</v>
      </c>
      <c r="B917" s="4" t="s">
        <v>119</v>
      </c>
      <c r="E917" s="23"/>
    </row>
    <row r="918" spans="1:5" x14ac:dyDescent="0.35">
      <c r="A918" s="14">
        <v>11026</v>
      </c>
      <c r="B918" s="4" t="s">
        <v>120</v>
      </c>
      <c r="E918" s="23"/>
    </row>
    <row r="919" spans="1:5" x14ac:dyDescent="0.35">
      <c r="A919" s="14">
        <v>11015</v>
      </c>
      <c r="B919" s="4" t="s">
        <v>142</v>
      </c>
      <c r="E919" s="23"/>
    </row>
    <row r="920" spans="1:5" x14ac:dyDescent="0.35">
      <c r="A920" s="14">
        <v>11019</v>
      </c>
      <c r="B920" s="4" t="s">
        <v>143</v>
      </c>
      <c r="E920" s="23"/>
    </row>
    <row r="921" spans="1:5" x14ac:dyDescent="0.35">
      <c r="A921" s="14">
        <v>11024</v>
      </c>
      <c r="B921" s="4" t="s">
        <v>144</v>
      </c>
      <c r="E921" s="23"/>
    </row>
    <row r="922" spans="1:5" x14ac:dyDescent="0.35">
      <c r="A922" s="14">
        <v>11025</v>
      </c>
      <c r="B922" s="4" t="s">
        <v>145</v>
      </c>
      <c r="E922" s="23"/>
    </row>
    <row r="923" spans="1:5" x14ac:dyDescent="0.35">
      <c r="A923" s="14">
        <v>11020</v>
      </c>
      <c r="B923" s="4" t="s">
        <v>188</v>
      </c>
      <c r="E923" s="23"/>
    </row>
    <row r="924" spans="1:5" x14ac:dyDescent="0.35">
      <c r="A924" s="14">
        <v>11018</v>
      </c>
      <c r="B924" s="4" t="s">
        <v>189</v>
      </c>
      <c r="E924" s="23"/>
    </row>
    <row r="925" spans="1:5" x14ac:dyDescent="0.35">
      <c r="A925" s="14">
        <v>11017</v>
      </c>
      <c r="B925" s="4" t="s">
        <v>196</v>
      </c>
      <c r="E925" s="23"/>
    </row>
    <row r="926" spans="1:5" x14ac:dyDescent="0.35">
      <c r="A926" s="14">
        <v>11021</v>
      </c>
      <c r="B926" s="4" t="s">
        <v>197</v>
      </c>
      <c r="E926" s="23"/>
    </row>
    <row r="927" spans="1:5" x14ac:dyDescent="0.35">
      <c r="A927" s="14">
        <v>4200</v>
      </c>
      <c r="B927" s="4" t="s">
        <v>235</v>
      </c>
      <c r="E927" s="23"/>
    </row>
    <row r="928" spans="1:5" x14ac:dyDescent="0.35">
      <c r="A928" s="14">
        <v>11012</v>
      </c>
      <c r="B928" s="4" t="s">
        <v>336</v>
      </c>
      <c r="E928" s="23"/>
    </row>
    <row r="929" spans="1:5" x14ac:dyDescent="0.35">
      <c r="A929" s="14">
        <v>11016</v>
      </c>
      <c r="B929" s="4" t="s">
        <v>261</v>
      </c>
      <c r="E929" s="23"/>
    </row>
    <row r="930" spans="1:5" x14ac:dyDescent="0.35">
      <c r="A930" s="14">
        <v>10950</v>
      </c>
      <c r="B930" s="4" t="s">
        <v>334</v>
      </c>
      <c r="E930" s="23"/>
    </row>
    <row r="931" spans="1:5" x14ac:dyDescent="0.35">
      <c r="A931" s="14">
        <v>11042</v>
      </c>
      <c r="B931" s="4" t="s">
        <v>375</v>
      </c>
      <c r="E931" s="23"/>
    </row>
    <row r="932" spans="1:5" x14ac:dyDescent="0.35">
      <c r="A932" s="14">
        <v>11032</v>
      </c>
      <c r="B932" s="4" t="s">
        <v>342</v>
      </c>
      <c r="E932" s="23"/>
    </row>
    <row r="933" spans="1:5" x14ac:dyDescent="0.35">
      <c r="A933" s="14">
        <v>11030</v>
      </c>
      <c r="B933" s="4" t="s">
        <v>343</v>
      </c>
      <c r="E933" s="23"/>
    </row>
    <row r="934" spans="1:5" x14ac:dyDescent="0.35">
      <c r="A934" s="14">
        <v>11046</v>
      </c>
      <c r="B934" s="4" t="s">
        <v>376</v>
      </c>
      <c r="E934" s="23"/>
    </row>
    <row r="935" spans="1:5" x14ac:dyDescent="0.35">
      <c r="A935" s="14">
        <v>4199</v>
      </c>
      <c r="B935" s="4" t="s">
        <v>346</v>
      </c>
      <c r="E935" s="23"/>
    </row>
    <row r="936" spans="1:5" x14ac:dyDescent="0.35">
      <c r="A936" s="14">
        <v>11037</v>
      </c>
      <c r="B936" s="4" t="s">
        <v>349</v>
      </c>
      <c r="E936" s="23"/>
    </row>
    <row r="937" spans="1:5" x14ac:dyDescent="0.35">
      <c r="A937" s="14">
        <v>11038</v>
      </c>
      <c r="B937" s="4" t="s">
        <v>350</v>
      </c>
      <c r="E937" s="23"/>
    </row>
    <row r="938" spans="1:5" x14ac:dyDescent="0.35">
      <c r="A938" s="14">
        <v>11039</v>
      </c>
      <c r="B938" s="4" t="s">
        <v>351</v>
      </c>
      <c r="E938" s="23"/>
    </row>
    <row r="939" spans="1:5" x14ac:dyDescent="0.35">
      <c r="A939" s="14">
        <v>11028</v>
      </c>
      <c r="B939" s="4" t="s">
        <v>357</v>
      </c>
      <c r="E939" s="23"/>
    </row>
    <row r="940" spans="1:5" x14ac:dyDescent="0.35">
      <c r="A940" s="14">
        <v>11036</v>
      </c>
      <c r="B940" s="4" t="s">
        <v>372</v>
      </c>
      <c r="E940" s="23"/>
    </row>
    <row r="941" spans="1:5" x14ac:dyDescent="0.35">
      <c r="A941" s="14">
        <v>11047</v>
      </c>
      <c r="B941" s="4" t="s">
        <v>358</v>
      </c>
      <c r="E941" s="23"/>
    </row>
    <row r="942" spans="1:5" x14ac:dyDescent="0.35">
      <c r="A942" s="14">
        <v>11035</v>
      </c>
      <c r="B942" s="4" t="s">
        <v>359</v>
      </c>
      <c r="E942" s="23"/>
    </row>
    <row r="943" spans="1:5" x14ac:dyDescent="0.35">
      <c r="A943" s="14">
        <v>11034</v>
      </c>
      <c r="B943" s="4" t="s">
        <v>360</v>
      </c>
      <c r="E943" s="23"/>
    </row>
    <row r="944" spans="1:5" x14ac:dyDescent="0.35">
      <c r="A944" s="14">
        <v>11041</v>
      </c>
      <c r="B944" s="4" t="s">
        <v>361</v>
      </c>
      <c r="E944" s="23"/>
    </row>
    <row r="945" spans="1:5" x14ac:dyDescent="0.35">
      <c r="A945" s="14">
        <v>11052</v>
      </c>
      <c r="B945" s="4" t="s">
        <v>362</v>
      </c>
      <c r="E945" s="23"/>
    </row>
    <row r="946" spans="1:5" x14ac:dyDescent="0.35">
      <c r="A946" s="14">
        <v>11031</v>
      </c>
      <c r="B946" s="4" t="s">
        <v>363</v>
      </c>
      <c r="E946" s="23"/>
    </row>
    <row r="947" spans="1:5" x14ac:dyDescent="0.35">
      <c r="A947" s="14">
        <v>11033</v>
      </c>
      <c r="B947" s="4" t="s">
        <v>364</v>
      </c>
      <c r="E947" s="23"/>
    </row>
    <row r="948" spans="1:5" x14ac:dyDescent="0.35">
      <c r="A948" s="14">
        <v>11040</v>
      </c>
      <c r="B948" s="4" t="s">
        <v>365</v>
      </c>
      <c r="E948" s="23"/>
    </row>
    <row r="949" spans="1:5" x14ac:dyDescent="0.35">
      <c r="A949" s="14">
        <v>11060</v>
      </c>
      <c r="B949" s="4" t="s">
        <v>366</v>
      </c>
      <c r="E949" s="23"/>
    </row>
    <row r="950" spans="1:5" x14ac:dyDescent="0.35">
      <c r="A950" s="14">
        <v>11054</v>
      </c>
      <c r="B950" s="4" t="s">
        <v>367</v>
      </c>
      <c r="E950" s="23"/>
    </row>
    <row r="951" spans="1:5" x14ac:dyDescent="0.35">
      <c r="A951" s="14">
        <v>11029</v>
      </c>
      <c r="B951" s="4" t="s">
        <v>368</v>
      </c>
      <c r="E951" s="23"/>
    </row>
    <row r="952" spans="1:5" x14ac:dyDescent="0.35">
      <c r="A952" s="14">
        <v>11058</v>
      </c>
      <c r="B952" s="4" t="s">
        <v>369</v>
      </c>
      <c r="E952" s="23"/>
    </row>
    <row r="953" spans="1:5" x14ac:dyDescent="0.35">
      <c r="A953" s="14">
        <v>10791</v>
      </c>
      <c r="B953" s="4" t="s">
        <v>370</v>
      </c>
      <c r="E953" s="23"/>
    </row>
    <row r="954" spans="1:5" x14ac:dyDescent="0.35">
      <c r="A954" s="14">
        <v>11059</v>
      </c>
      <c r="B954" s="4" t="s">
        <v>371</v>
      </c>
      <c r="E954" s="23"/>
    </row>
    <row r="955" spans="1:5" x14ac:dyDescent="0.35">
      <c r="A955" s="14">
        <v>11056</v>
      </c>
      <c r="B955" s="4" t="s">
        <v>373</v>
      </c>
      <c r="E955" s="23"/>
    </row>
    <row r="956" spans="1:5" x14ac:dyDescent="0.35">
      <c r="A956" s="14">
        <v>11045</v>
      </c>
      <c r="B956" s="4" t="s">
        <v>377</v>
      </c>
      <c r="E956" s="23"/>
    </row>
    <row r="957" spans="1:5" x14ac:dyDescent="0.35">
      <c r="A957" s="14">
        <v>11053</v>
      </c>
      <c r="B957" s="4" t="s">
        <v>378</v>
      </c>
      <c r="E957" s="23"/>
    </row>
    <row r="958" spans="1:5" x14ac:dyDescent="0.35">
      <c r="A958" s="14">
        <v>11050</v>
      </c>
      <c r="B958" s="4" t="s">
        <v>379</v>
      </c>
      <c r="E958" s="23"/>
    </row>
    <row r="959" spans="1:5" x14ac:dyDescent="0.35">
      <c r="A959" s="14">
        <v>11051</v>
      </c>
      <c r="B959" s="4" t="s">
        <v>380</v>
      </c>
      <c r="E959" s="23"/>
    </row>
    <row r="960" spans="1:5" x14ac:dyDescent="0.35">
      <c r="A960" s="14">
        <v>11048</v>
      </c>
      <c r="B960" s="4" t="s">
        <v>381</v>
      </c>
      <c r="E960" s="23"/>
    </row>
    <row r="961" spans="1:5" x14ac:dyDescent="0.35">
      <c r="A961" s="14">
        <v>11057</v>
      </c>
      <c r="B961" s="4" t="s">
        <v>383</v>
      </c>
      <c r="E961" s="23"/>
    </row>
    <row r="962" spans="1:5" x14ac:dyDescent="0.35">
      <c r="A962" s="14">
        <v>11061</v>
      </c>
      <c r="B962" s="4" t="s">
        <v>382</v>
      </c>
      <c r="E962" s="23"/>
    </row>
    <row r="963" spans="1:5" x14ac:dyDescent="0.35">
      <c r="A963" s="14">
        <v>11062</v>
      </c>
      <c r="B963" s="4" t="s">
        <v>388</v>
      </c>
      <c r="E963" s="23"/>
    </row>
    <row r="964" spans="1:5" x14ac:dyDescent="0.35">
      <c r="A964" s="14">
        <v>11049</v>
      </c>
      <c r="B964" s="4" t="s">
        <v>384</v>
      </c>
      <c r="E964" s="23"/>
    </row>
    <row r="965" spans="1:5" x14ac:dyDescent="0.35">
      <c r="A965" s="14">
        <v>11065</v>
      </c>
      <c r="B965" s="4" t="s">
        <v>387</v>
      </c>
      <c r="E965" s="23"/>
    </row>
    <row r="966" spans="1:5" x14ac:dyDescent="0.35">
      <c r="A966" s="14">
        <v>11064</v>
      </c>
      <c r="B966" s="4" t="s">
        <v>389</v>
      </c>
      <c r="E966" s="23"/>
    </row>
    <row r="967" spans="1:5" x14ac:dyDescent="0.35">
      <c r="A967" s="14">
        <v>11063</v>
      </c>
      <c r="B967" s="4" t="s">
        <v>390</v>
      </c>
      <c r="E967" s="23"/>
    </row>
    <row r="968" spans="1:5" x14ac:dyDescent="0.35">
      <c r="A968" s="14">
        <v>11067</v>
      </c>
      <c r="B968" s="4" t="s">
        <v>392</v>
      </c>
      <c r="E968" s="23"/>
    </row>
    <row r="969" spans="1:5" x14ac:dyDescent="0.35">
      <c r="A969" s="14">
        <v>11070</v>
      </c>
      <c r="B969" s="4" t="s">
        <v>393</v>
      </c>
      <c r="E969" s="23"/>
    </row>
    <row r="970" spans="1:5" x14ac:dyDescent="0.35">
      <c r="A970" s="14">
        <v>140421</v>
      </c>
      <c r="B970" s="4" t="s">
        <v>375</v>
      </c>
      <c r="E970" s="23"/>
    </row>
    <row r="971" spans="1:5" x14ac:dyDescent="0.35">
      <c r="A971" s="14">
        <v>11071</v>
      </c>
      <c r="B971" s="4" t="s">
        <v>394</v>
      </c>
      <c r="E971" s="23"/>
    </row>
    <row r="972" spans="1:5" x14ac:dyDescent="0.35">
      <c r="A972" s="14">
        <v>11068</v>
      </c>
      <c r="B972" s="4" t="s">
        <v>396</v>
      </c>
      <c r="E972" s="23"/>
    </row>
    <row r="973" spans="1:5" x14ac:dyDescent="0.35">
      <c r="A973" s="14">
        <v>11074</v>
      </c>
      <c r="B973" s="4" t="s">
        <v>400</v>
      </c>
      <c r="E973" s="23"/>
    </row>
    <row r="974" spans="1:5" x14ac:dyDescent="0.35">
      <c r="A974" s="14">
        <v>11075</v>
      </c>
      <c r="B974" s="4" t="s">
        <v>401</v>
      </c>
      <c r="E974" s="23"/>
    </row>
    <row r="975" spans="1:5" x14ac:dyDescent="0.35">
      <c r="A975" s="14">
        <v>11073</v>
      </c>
      <c r="B975" s="4" t="s">
        <v>402</v>
      </c>
      <c r="E975" s="23"/>
    </row>
    <row r="976" spans="1:5" x14ac:dyDescent="0.35">
      <c r="A976" s="14">
        <v>11077</v>
      </c>
      <c r="B976" s="4" t="s">
        <v>404</v>
      </c>
      <c r="E976" s="23"/>
    </row>
    <row r="977" spans="1:5" x14ac:dyDescent="0.35">
      <c r="A977" s="14">
        <v>11082</v>
      </c>
      <c r="B977" s="4" t="s">
        <v>405</v>
      </c>
      <c r="E977" s="23"/>
    </row>
    <row r="978" spans="1:5" x14ac:dyDescent="0.35">
      <c r="A978" s="14">
        <v>11081</v>
      </c>
      <c r="B978" s="4" t="s">
        <v>407</v>
      </c>
      <c r="E978" s="23"/>
    </row>
    <row r="979" spans="1:5" x14ac:dyDescent="0.35">
      <c r="A979" s="14">
        <v>11089</v>
      </c>
      <c r="B979" s="4" t="s">
        <v>408</v>
      </c>
      <c r="E979" s="23"/>
    </row>
    <row r="980" spans="1:5" x14ac:dyDescent="0.35">
      <c r="A980" s="14">
        <v>4203</v>
      </c>
      <c r="B980" s="4" t="s">
        <v>409</v>
      </c>
      <c r="E980" s="23"/>
    </row>
    <row r="981" spans="1:5" x14ac:dyDescent="0.35">
      <c r="A981" s="14">
        <v>11079</v>
      </c>
      <c r="B981" s="4" t="s">
        <v>410</v>
      </c>
      <c r="E981" s="23"/>
    </row>
    <row r="982" spans="1:5" x14ac:dyDescent="0.35">
      <c r="A982" s="14">
        <v>11086</v>
      </c>
      <c r="B982" s="4" t="s">
        <v>426</v>
      </c>
      <c r="E982" s="23"/>
    </row>
    <row r="983" spans="1:5" x14ac:dyDescent="0.35">
      <c r="A983" s="14">
        <v>11083</v>
      </c>
      <c r="B983" s="4" t="s">
        <v>429</v>
      </c>
      <c r="E983" s="23"/>
    </row>
    <row r="984" spans="1:5" x14ac:dyDescent="0.35">
      <c r="A984" s="14">
        <v>11098</v>
      </c>
      <c r="B984" s="4" t="s">
        <v>413</v>
      </c>
      <c r="E984" s="23"/>
    </row>
    <row r="985" spans="1:5" x14ac:dyDescent="0.35">
      <c r="A985" s="14">
        <v>11103</v>
      </c>
      <c r="B985" s="4" t="s">
        <v>414</v>
      </c>
      <c r="E985" s="23"/>
    </row>
    <row r="986" spans="1:5" x14ac:dyDescent="0.35">
      <c r="A986" s="14">
        <v>11104</v>
      </c>
      <c r="B986" s="4" t="s">
        <v>415</v>
      </c>
      <c r="E986" s="23"/>
    </row>
    <row r="987" spans="1:5" x14ac:dyDescent="0.35">
      <c r="A987" s="14">
        <v>11099</v>
      </c>
      <c r="B987" s="4" t="s">
        <v>416</v>
      </c>
      <c r="E987" s="23"/>
    </row>
    <row r="988" spans="1:5" x14ac:dyDescent="0.35">
      <c r="A988" s="14">
        <v>11097</v>
      </c>
      <c r="B988" s="4" t="s">
        <v>417</v>
      </c>
      <c r="E988" s="23"/>
    </row>
    <row r="989" spans="1:5" x14ac:dyDescent="0.35">
      <c r="A989" s="14">
        <v>11094</v>
      </c>
      <c r="B989" s="4" t="s">
        <v>418</v>
      </c>
      <c r="E989" s="23"/>
    </row>
    <row r="990" spans="1:5" x14ac:dyDescent="0.35">
      <c r="A990" s="14">
        <v>11090</v>
      </c>
      <c r="B990" s="4" t="s">
        <v>419</v>
      </c>
      <c r="E990" s="23"/>
    </row>
    <row r="991" spans="1:5" x14ac:dyDescent="0.35">
      <c r="A991" s="14">
        <v>11093</v>
      </c>
      <c r="B991" s="4" t="s">
        <v>420</v>
      </c>
      <c r="E991" s="23"/>
    </row>
    <row r="992" spans="1:5" x14ac:dyDescent="0.35">
      <c r="A992" s="14">
        <v>11100</v>
      </c>
      <c r="B992" s="4" t="s">
        <v>421</v>
      </c>
      <c r="E992" s="23"/>
    </row>
    <row r="993" spans="1:5" x14ac:dyDescent="0.35">
      <c r="A993" s="14">
        <v>11091</v>
      </c>
      <c r="B993" s="4" t="s">
        <v>423</v>
      </c>
      <c r="E993" s="23"/>
    </row>
    <row r="994" spans="1:5" x14ac:dyDescent="0.35">
      <c r="A994" s="14">
        <v>11095</v>
      </c>
      <c r="B994" s="4" t="s">
        <v>424</v>
      </c>
      <c r="E994" s="23"/>
    </row>
    <row r="995" spans="1:5" x14ac:dyDescent="0.35">
      <c r="A995" s="14">
        <v>11101</v>
      </c>
      <c r="B995" s="4" t="s">
        <v>425</v>
      </c>
      <c r="E995" s="23"/>
    </row>
    <row r="996" spans="1:5" x14ac:dyDescent="0.35">
      <c r="A996" s="14">
        <v>11102</v>
      </c>
      <c r="B996" s="4" t="s">
        <v>1203</v>
      </c>
      <c r="E996" s="23"/>
    </row>
    <row r="997" spans="1:5" x14ac:dyDescent="0.35">
      <c r="A997" s="14">
        <v>11076</v>
      </c>
      <c r="B997" s="4" t="s">
        <v>428</v>
      </c>
      <c r="E997" s="23"/>
    </row>
    <row r="998" spans="1:5" x14ac:dyDescent="0.35">
      <c r="A998" s="14">
        <v>11087</v>
      </c>
      <c r="B998" s="4" t="s">
        <v>444</v>
      </c>
      <c r="E998" s="23"/>
    </row>
    <row r="999" spans="1:5" x14ac:dyDescent="0.35">
      <c r="A999" s="14">
        <v>11147</v>
      </c>
      <c r="B999" s="4" t="s">
        <v>432</v>
      </c>
      <c r="E999" s="23"/>
    </row>
    <row r="1000" spans="1:5" x14ac:dyDescent="0.35">
      <c r="A1000" s="14">
        <v>11138</v>
      </c>
      <c r="B1000" s="4" t="s">
        <v>441</v>
      </c>
      <c r="E1000" s="23"/>
    </row>
    <row r="1001" spans="1:5" x14ac:dyDescent="0.35">
      <c r="A1001" s="14">
        <v>11126</v>
      </c>
      <c r="B1001" s="4" t="s">
        <v>442</v>
      </c>
      <c r="E1001" s="23"/>
    </row>
    <row r="1002" spans="1:5" x14ac:dyDescent="0.35">
      <c r="A1002" s="14">
        <v>11123</v>
      </c>
      <c r="B1002" s="4" t="s">
        <v>433</v>
      </c>
      <c r="E1002" s="23"/>
    </row>
    <row r="1003" spans="1:5" x14ac:dyDescent="0.35">
      <c r="A1003" s="14">
        <v>11124</v>
      </c>
      <c r="B1003" s="4" t="s">
        <v>434</v>
      </c>
      <c r="E1003" s="23"/>
    </row>
    <row r="1004" spans="1:5" x14ac:dyDescent="0.35">
      <c r="A1004" s="14">
        <v>11148</v>
      </c>
      <c r="B1004" s="4" t="s">
        <v>435</v>
      </c>
      <c r="E1004" s="23"/>
    </row>
    <row r="1005" spans="1:5" x14ac:dyDescent="0.35">
      <c r="A1005" s="14">
        <v>11109</v>
      </c>
      <c r="B1005" s="4" t="s">
        <v>436</v>
      </c>
      <c r="E1005" s="23"/>
    </row>
    <row r="1006" spans="1:5" x14ac:dyDescent="0.35">
      <c r="A1006" s="14">
        <v>11139</v>
      </c>
      <c r="B1006" s="4" t="s">
        <v>437</v>
      </c>
      <c r="E1006" s="23"/>
    </row>
    <row r="1007" spans="1:5" x14ac:dyDescent="0.35">
      <c r="A1007" s="14">
        <v>11140</v>
      </c>
      <c r="B1007" s="4" t="s">
        <v>438</v>
      </c>
      <c r="E1007" s="23"/>
    </row>
    <row r="1008" spans="1:5" x14ac:dyDescent="0.35">
      <c r="A1008" s="14">
        <v>11127</v>
      </c>
      <c r="B1008" s="4" t="s">
        <v>439</v>
      </c>
      <c r="E1008" s="23"/>
    </row>
    <row r="1009" spans="1:5" x14ac:dyDescent="0.35">
      <c r="A1009" s="14">
        <v>11149</v>
      </c>
      <c r="B1009" s="4" t="s">
        <v>440</v>
      </c>
      <c r="E1009" s="23"/>
    </row>
    <row r="1010" spans="1:5" x14ac:dyDescent="0.35">
      <c r="A1010" s="14">
        <v>11110</v>
      </c>
      <c r="B1010" s="4" t="s">
        <v>446</v>
      </c>
      <c r="E1010" s="23"/>
    </row>
    <row r="1011" spans="1:5" x14ac:dyDescent="0.35">
      <c r="A1011" s="14">
        <v>11152</v>
      </c>
      <c r="B1011" s="4" t="s">
        <v>447</v>
      </c>
      <c r="E1011" s="23"/>
    </row>
    <row r="1012" spans="1:5" x14ac:dyDescent="0.35">
      <c r="A1012" s="14">
        <v>11162</v>
      </c>
      <c r="B1012" s="4" t="s">
        <v>448</v>
      </c>
      <c r="E1012" s="23"/>
    </row>
    <row r="1013" spans="1:5" x14ac:dyDescent="0.35">
      <c r="A1013" s="14">
        <v>11155</v>
      </c>
      <c r="B1013" s="4" t="s">
        <v>449</v>
      </c>
      <c r="E1013" s="23"/>
    </row>
    <row r="1014" spans="1:5" x14ac:dyDescent="0.35">
      <c r="A1014" s="14">
        <v>11166</v>
      </c>
      <c r="B1014" s="4" t="s">
        <v>450</v>
      </c>
      <c r="E1014" s="23"/>
    </row>
    <row r="1015" spans="1:5" x14ac:dyDescent="0.35">
      <c r="A1015" s="14">
        <v>11154</v>
      </c>
      <c r="B1015" s="4" t="s">
        <v>451</v>
      </c>
      <c r="E1015" s="23"/>
    </row>
    <row r="1016" spans="1:5" x14ac:dyDescent="0.35">
      <c r="A1016" s="14">
        <v>11136</v>
      </c>
      <c r="B1016" s="4" t="s">
        <v>453</v>
      </c>
      <c r="E1016" s="23"/>
    </row>
    <row r="1017" spans="1:5" x14ac:dyDescent="0.35">
      <c r="A1017" s="14">
        <v>11159</v>
      </c>
      <c r="B1017" s="4" t="s">
        <v>454</v>
      </c>
      <c r="E1017" s="23"/>
    </row>
    <row r="1018" spans="1:5" x14ac:dyDescent="0.35">
      <c r="A1018" s="14">
        <v>11144</v>
      </c>
      <c r="B1018" s="4" t="s">
        <v>455</v>
      </c>
      <c r="E1018" s="23"/>
    </row>
    <row r="1019" spans="1:5" x14ac:dyDescent="0.35">
      <c r="A1019" s="14">
        <v>11157</v>
      </c>
      <c r="B1019" s="4" t="s">
        <v>456</v>
      </c>
      <c r="E1019" s="23"/>
    </row>
    <row r="1020" spans="1:5" x14ac:dyDescent="0.35">
      <c r="A1020" s="14">
        <v>11170</v>
      </c>
      <c r="B1020" s="4" t="s">
        <v>457</v>
      </c>
      <c r="E1020" s="23"/>
    </row>
    <row r="1021" spans="1:5" x14ac:dyDescent="0.35">
      <c r="A1021" s="14">
        <v>11171</v>
      </c>
      <c r="B1021" s="4" t="s">
        <v>1358</v>
      </c>
      <c r="E1021" s="23"/>
    </row>
    <row r="1022" spans="1:5" x14ac:dyDescent="0.35">
      <c r="A1022" s="14">
        <v>11183</v>
      </c>
      <c r="B1022" s="4" t="s">
        <v>1359</v>
      </c>
      <c r="E1022" s="23"/>
    </row>
    <row r="1023" spans="1:5" x14ac:dyDescent="0.35">
      <c r="A1023" s="14">
        <v>11167</v>
      </c>
      <c r="B1023" s="4" t="s">
        <v>1360</v>
      </c>
      <c r="E1023" s="23"/>
    </row>
    <row r="1024" spans="1:5" x14ac:dyDescent="0.35">
      <c r="A1024" s="14">
        <v>11176</v>
      </c>
      <c r="B1024" s="4" t="s">
        <v>1361</v>
      </c>
      <c r="E1024" s="23"/>
    </row>
    <row r="1025" spans="1:5" x14ac:dyDescent="0.35">
      <c r="A1025" s="14">
        <v>11187</v>
      </c>
      <c r="B1025" s="4" t="s">
        <v>1362</v>
      </c>
      <c r="E1025" s="23"/>
    </row>
    <row r="1026" spans="1:5" x14ac:dyDescent="0.35">
      <c r="A1026" s="14">
        <v>11181</v>
      </c>
      <c r="B1026" s="4" t="s">
        <v>1363</v>
      </c>
      <c r="E1026" s="23"/>
    </row>
    <row r="1027" spans="1:5" x14ac:dyDescent="0.35">
      <c r="A1027" s="14">
        <v>4206</v>
      </c>
      <c r="B1027" s="4" t="s">
        <v>1364</v>
      </c>
      <c r="E1027" s="23"/>
    </row>
    <row r="1028" spans="1:5" x14ac:dyDescent="0.35">
      <c r="A1028" s="14">
        <v>11165</v>
      </c>
      <c r="B1028" s="4" t="s">
        <v>1365</v>
      </c>
      <c r="E1028" s="23"/>
    </row>
    <row r="1029" spans="1:5" x14ac:dyDescent="0.35">
      <c r="A1029" s="14">
        <v>11169</v>
      </c>
      <c r="B1029" s="4" t="s">
        <v>1366</v>
      </c>
      <c r="E1029" s="23"/>
    </row>
    <row r="1030" spans="1:5" x14ac:dyDescent="0.35">
      <c r="A1030" s="14">
        <v>11112</v>
      </c>
      <c r="B1030" s="4" t="s">
        <v>1367</v>
      </c>
      <c r="E1030" s="23"/>
    </row>
    <row r="1031" spans="1:5" x14ac:dyDescent="0.35">
      <c r="A1031" s="14">
        <v>911169</v>
      </c>
      <c r="B1031" s="4" t="s">
        <v>1368</v>
      </c>
      <c r="E1031" s="23"/>
    </row>
    <row r="1032" spans="1:5" x14ac:dyDescent="0.35">
      <c r="A1032" s="14">
        <v>4207</v>
      </c>
      <c r="B1032" s="4" t="s">
        <v>1098</v>
      </c>
      <c r="E1032" s="23"/>
    </row>
    <row r="1033" spans="1:5" x14ac:dyDescent="0.35">
      <c r="A1033" s="14">
        <v>11198</v>
      </c>
      <c r="B1033" s="4" t="s">
        <v>1376</v>
      </c>
      <c r="E1033" s="23"/>
    </row>
    <row r="1034" spans="1:5" x14ac:dyDescent="0.35">
      <c r="A1034" s="14">
        <v>11188</v>
      </c>
      <c r="B1034" s="4" t="s">
        <v>1377</v>
      </c>
      <c r="E1034" s="23"/>
    </row>
    <row r="1035" spans="1:5" x14ac:dyDescent="0.35">
      <c r="A1035" s="14">
        <v>11202</v>
      </c>
      <c r="B1035" s="4" t="s">
        <v>1378</v>
      </c>
      <c r="E1035" s="23"/>
    </row>
    <row r="1036" spans="1:5" x14ac:dyDescent="0.35">
      <c r="A1036" s="14">
        <v>11203</v>
      </c>
      <c r="B1036" s="4" t="s">
        <v>1379</v>
      </c>
      <c r="E1036" s="23"/>
    </row>
    <row r="1037" spans="1:5" x14ac:dyDescent="0.35">
      <c r="A1037" s="14">
        <v>11190</v>
      </c>
      <c r="B1037" s="4" t="s">
        <v>1380</v>
      </c>
      <c r="E1037" s="23"/>
    </row>
    <row r="1038" spans="1:5" x14ac:dyDescent="0.35">
      <c r="A1038" s="14">
        <v>11208</v>
      </c>
      <c r="B1038" s="4" t="s">
        <v>1381</v>
      </c>
      <c r="E1038" s="23"/>
    </row>
    <row r="1039" spans="1:5" x14ac:dyDescent="0.35">
      <c r="A1039" s="14">
        <v>11207</v>
      </c>
      <c r="B1039" s="4" t="s">
        <v>1382</v>
      </c>
      <c r="E1039" s="23"/>
    </row>
    <row r="1040" spans="1:5" x14ac:dyDescent="0.35">
      <c r="A1040" s="14">
        <v>11195</v>
      </c>
      <c r="B1040" s="4" t="s">
        <v>1383</v>
      </c>
      <c r="E1040" s="23"/>
    </row>
    <row r="1041" spans="1:5" x14ac:dyDescent="0.35">
      <c r="A1041" s="14">
        <v>11196</v>
      </c>
      <c r="B1041" s="4" t="s">
        <v>1384</v>
      </c>
      <c r="E1041" s="23"/>
    </row>
    <row r="1042" spans="1:5" x14ac:dyDescent="0.35">
      <c r="A1042" s="14">
        <v>11201</v>
      </c>
      <c r="B1042" s="4" t="s">
        <v>1385</v>
      </c>
      <c r="E1042" s="23"/>
    </row>
    <row r="1043" spans="1:5" x14ac:dyDescent="0.35">
      <c r="A1043" s="14">
        <v>11209</v>
      </c>
      <c r="B1043" s="4" t="s">
        <v>1386</v>
      </c>
      <c r="E1043" s="23"/>
    </row>
    <row r="1044" spans="1:5" x14ac:dyDescent="0.35">
      <c r="A1044" s="14">
        <v>11205</v>
      </c>
      <c r="B1044" s="4" t="s">
        <v>1387</v>
      </c>
      <c r="E1044" s="23"/>
    </row>
    <row r="1045" spans="1:5" x14ac:dyDescent="0.35">
      <c r="A1045" s="14">
        <v>11197</v>
      </c>
      <c r="B1045" s="4" t="s">
        <v>1388</v>
      </c>
      <c r="E1045" s="23"/>
    </row>
    <row r="1046" spans="1:5" x14ac:dyDescent="0.35">
      <c r="A1046" s="14">
        <v>11214</v>
      </c>
      <c r="B1046" s="4" t="s">
        <v>1389</v>
      </c>
      <c r="E1046" s="23"/>
    </row>
    <row r="1047" spans="1:5" x14ac:dyDescent="0.35">
      <c r="A1047" s="14">
        <v>11216</v>
      </c>
      <c r="B1047" s="4" t="s">
        <v>1390</v>
      </c>
      <c r="E1047" s="23"/>
    </row>
    <row r="1048" spans="1:5" x14ac:dyDescent="0.35">
      <c r="A1048" s="14">
        <v>11224</v>
      </c>
      <c r="B1048" s="4" t="s">
        <v>1391</v>
      </c>
      <c r="E1048" s="23"/>
    </row>
    <row r="1049" spans="1:5" x14ac:dyDescent="0.35">
      <c r="A1049" s="14">
        <v>11225</v>
      </c>
      <c r="B1049" s="4" t="s">
        <v>1392</v>
      </c>
      <c r="E1049" s="23"/>
    </row>
    <row r="1050" spans="1:5" x14ac:dyDescent="0.35">
      <c r="A1050" s="14">
        <v>11178</v>
      </c>
      <c r="B1050" s="4" t="s">
        <v>1393</v>
      </c>
      <c r="E1050" s="23"/>
    </row>
    <row r="1051" spans="1:5" x14ac:dyDescent="0.35">
      <c r="A1051" s="14">
        <v>11184</v>
      </c>
      <c r="B1051" s="4" t="s">
        <v>1394</v>
      </c>
      <c r="E1051" s="23"/>
    </row>
    <row r="1052" spans="1:5" x14ac:dyDescent="0.35">
      <c r="A1052" s="14">
        <v>11200</v>
      </c>
      <c r="B1052" s="4" t="s">
        <v>1395</v>
      </c>
      <c r="E1052" s="23"/>
    </row>
    <row r="1053" spans="1:5" x14ac:dyDescent="0.35">
      <c r="A1053" s="14">
        <v>11185</v>
      </c>
      <c r="B1053" s="4" t="s">
        <v>1396</v>
      </c>
      <c r="E1053" s="23"/>
    </row>
    <row r="1054" spans="1:5" x14ac:dyDescent="0.35">
      <c r="A1054" s="14">
        <v>11177</v>
      </c>
      <c r="B1054" s="4" t="s">
        <v>1397</v>
      </c>
      <c r="E1054" s="23"/>
    </row>
    <row r="1055" spans="1:5" x14ac:dyDescent="0.35">
      <c r="A1055" s="14">
        <v>11212</v>
      </c>
      <c r="B1055" s="4" t="s">
        <v>1398</v>
      </c>
      <c r="E1055" s="23"/>
    </row>
    <row r="1056" spans="1:5" x14ac:dyDescent="0.35">
      <c r="A1056" s="14">
        <v>11220</v>
      </c>
      <c r="B1056" s="4" t="s">
        <v>1399</v>
      </c>
      <c r="E1056" s="23"/>
    </row>
    <row r="1057" spans="1:5" x14ac:dyDescent="0.35">
      <c r="A1057" s="14">
        <v>11221</v>
      </c>
      <c r="B1057" s="4" t="s">
        <v>1400</v>
      </c>
      <c r="E1057" s="23"/>
    </row>
    <row r="1058" spans="1:5" x14ac:dyDescent="0.35">
      <c r="A1058" s="14">
        <v>11218</v>
      </c>
      <c r="B1058" s="4" t="s">
        <v>1401</v>
      </c>
      <c r="E1058" s="23"/>
    </row>
    <row r="1059" spans="1:5" x14ac:dyDescent="0.35">
      <c r="A1059" s="14">
        <v>11240</v>
      </c>
      <c r="B1059" s="4" t="s">
        <v>1415</v>
      </c>
      <c r="E1059" s="23"/>
    </row>
    <row r="1060" spans="1:5" x14ac:dyDescent="0.35">
      <c r="A1060" s="14">
        <v>11241</v>
      </c>
      <c r="B1060" s="4" t="s">
        <v>1416</v>
      </c>
      <c r="E1060" s="23"/>
    </row>
    <row r="1061" spans="1:5" x14ac:dyDescent="0.35">
      <c r="A1061" s="14">
        <v>11235</v>
      </c>
      <c r="B1061" s="4" t="s">
        <v>1440</v>
      </c>
      <c r="E1061" s="23"/>
    </row>
    <row r="1062" spans="1:5" x14ac:dyDescent="0.35">
      <c r="A1062" s="14">
        <v>11243</v>
      </c>
      <c r="B1062" s="4" t="s">
        <v>1441</v>
      </c>
      <c r="E1062" s="23"/>
    </row>
    <row r="1063" spans="1:5" x14ac:dyDescent="0.35">
      <c r="A1063" s="14">
        <v>11242</v>
      </c>
      <c r="B1063" s="4" t="s">
        <v>1473</v>
      </c>
      <c r="E1063" s="23"/>
    </row>
    <row r="1064" spans="1:5" x14ac:dyDescent="0.35">
      <c r="A1064" s="14">
        <v>4208</v>
      </c>
      <c r="B1064" s="4" t="s">
        <v>1482</v>
      </c>
      <c r="E1064" s="23"/>
    </row>
    <row r="1065" spans="1:5" x14ac:dyDescent="0.35">
      <c r="A1065" s="14">
        <v>4204</v>
      </c>
      <c r="B1065" s="4" t="s">
        <v>1492</v>
      </c>
      <c r="E1065" s="23"/>
    </row>
    <row r="1066" spans="1:5" x14ac:dyDescent="0.35">
      <c r="A1066" s="14">
        <v>4210</v>
      </c>
      <c r="B1066" s="4" t="s">
        <v>1493</v>
      </c>
      <c r="E1066" s="23"/>
    </row>
    <row r="1067" spans="1:5" x14ac:dyDescent="0.35">
      <c r="A1067" s="14">
        <v>11233</v>
      </c>
      <c r="B1067" s="4" t="s">
        <v>1497</v>
      </c>
      <c r="E1067" s="23"/>
    </row>
    <row r="1068" spans="1:5" x14ac:dyDescent="0.35">
      <c r="A1068" s="14">
        <v>11237</v>
      </c>
      <c r="B1068" s="4" t="s">
        <v>1500</v>
      </c>
      <c r="E1068" s="23"/>
    </row>
    <row r="1069" spans="1:5" x14ac:dyDescent="0.35">
      <c r="A1069" s="14">
        <v>11228</v>
      </c>
      <c r="B1069" s="4" t="s">
        <v>1557</v>
      </c>
      <c r="E1069" s="23"/>
    </row>
    <row r="1070" spans="1:5" x14ac:dyDescent="0.35">
      <c r="A1070" s="14">
        <v>11226</v>
      </c>
      <c r="B1070" s="4" t="s">
        <v>1565</v>
      </c>
      <c r="E1070" s="23"/>
    </row>
    <row r="1071" spans="1:5" x14ac:dyDescent="0.35">
      <c r="A1071" s="14">
        <v>11231</v>
      </c>
      <c r="B1071" s="4" t="s">
        <v>1573</v>
      </c>
      <c r="E1071" s="23"/>
    </row>
    <row r="1072" spans="1:5" x14ac:dyDescent="0.35">
      <c r="A1072" s="14">
        <v>11230</v>
      </c>
      <c r="B1072" s="4" t="s">
        <v>1574</v>
      </c>
      <c r="E1072" s="23"/>
    </row>
    <row r="1073" spans="1:5" x14ac:dyDescent="0.35">
      <c r="A1073" s="14">
        <v>11244</v>
      </c>
      <c r="B1073" s="4" t="s">
        <v>1575</v>
      </c>
      <c r="E1073" s="23"/>
    </row>
    <row r="1074" spans="1:5" x14ac:dyDescent="0.35">
      <c r="A1074" s="14">
        <v>11238</v>
      </c>
      <c r="B1074" s="4" t="s">
        <v>1576</v>
      </c>
      <c r="E1074" s="23"/>
    </row>
    <row r="1075" spans="1:5" x14ac:dyDescent="0.35">
      <c r="A1075" s="14">
        <v>11234</v>
      </c>
      <c r="B1075" s="4" t="s">
        <v>1577</v>
      </c>
      <c r="E1075" s="23"/>
    </row>
    <row r="1076" spans="1:5" x14ac:dyDescent="0.35">
      <c r="A1076" s="14">
        <v>11248</v>
      </c>
      <c r="B1076" s="4" t="s">
        <v>1613</v>
      </c>
      <c r="E1076" s="23"/>
    </row>
    <row r="1077" spans="1:5" x14ac:dyDescent="0.35">
      <c r="A1077" s="14">
        <v>11254</v>
      </c>
      <c r="B1077" s="4" t="s">
        <v>1614</v>
      </c>
      <c r="E1077" s="23"/>
    </row>
    <row r="1078" spans="1:5" x14ac:dyDescent="0.35">
      <c r="A1078" s="14">
        <v>11250</v>
      </c>
      <c r="B1078" s="4" t="s">
        <v>1677</v>
      </c>
      <c r="E1078" s="23"/>
    </row>
    <row r="1079" spans="1:5" x14ac:dyDescent="0.35">
      <c r="A1079" s="14">
        <v>11249</v>
      </c>
      <c r="B1079" s="4" t="s">
        <v>1678</v>
      </c>
      <c r="E1079" s="23"/>
    </row>
    <row r="1080" spans="1:5" x14ac:dyDescent="0.35">
      <c r="A1080" s="14">
        <v>11210</v>
      </c>
      <c r="B1080" s="4" t="s">
        <v>1679</v>
      </c>
      <c r="E1080" s="23"/>
    </row>
    <row r="1081" spans="1:5" x14ac:dyDescent="0.35">
      <c r="A1081" s="14">
        <v>11255</v>
      </c>
      <c r="B1081" s="4" t="s">
        <v>1694</v>
      </c>
      <c r="E1081" s="23"/>
    </row>
    <row r="1082" spans="1:5" x14ac:dyDescent="0.35">
      <c r="A1082" s="14">
        <v>11259</v>
      </c>
      <c r="B1082" s="4" t="s">
        <v>1695</v>
      </c>
      <c r="E1082" s="23"/>
    </row>
    <row r="1083" spans="1:5" x14ac:dyDescent="0.35">
      <c r="A1083" s="14">
        <v>11257</v>
      </c>
      <c r="B1083" s="4" t="s">
        <v>1710</v>
      </c>
      <c r="E1083" s="23"/>
    </row>
    <row r="1084" spans="1:5" x14ac:dyDescent="0.35">
      <c r="A1084" s="14">
        <v>11258</v>
      </c>
      <c r="B1084" s="4" t="s">
        <v>1711</v>
      </c>
      <c r="E1084" s="23"/>
    </row>
  </sheetData>
  <pageMargins left="0.511811024" right="0.511811024" top="0.78740157499999996" bottom="0.78740157499999996" header="0.31496062000000002" footer="0.31496062000000002"/>
  <pageSetup paperSize="9" orientation="portrait" horizontalDpi="300" verticalDpi="30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2">
    <tabColor theme="1"/>
  </sheetPr>
  <dimension ref="A1:I1287"/>
  <sheetViews>
    <sheetView showZeros="0" topLeftCell="A1265" zoomScale="110" zoomScaleNormal="110" workbookViewId="0">
      <selection activeCell="E1276" sqref="E1276:F1287"/>
    </sheetView>
  </sheetViews>
  <sheetFormatPr defaultRowHeight="14.5" x14ac:dyDescent="0.35"/>
  <cols>
    <col min="1" max="1" width="32.54296875" bestFit="1" customWidth="1"/>
    <col min="2" max="2" width="26.81640625" bestFit="1" customWidth="1"/>
    <col min="3" max="3" width="15.54296875" bestFit="1" customWidth="1"/>
    <col min="4" max="4" width="12.1796875" style="3" bestFit="1" customWidth="1"/>
    <col min="5" max="5" width="77.1796875" customWidth="1"/>
    <col min="6" max="6" width="11.81640625" style="12" bestFit="1" customWidth="1"/>
    <col min="7" max="7" width="9.81640625" bestFit="1" customWidth="1"/>
    <col min="8" max="8" width="12.54296875" bestFit="1" customWidth="1"/>
    <col min="9" max="9" width="12.81640625" bestFit="1" customWidth="1"/>
  </cols>
  <sheetData>
    <row r="1" spans="1:9" s="1" customFormat="1" x14ac:dyDescent="0.35">
      <c r="A1" s="1" t="s">
        <v>1204</v>
      </c>
      <c r="B1" s="1" t="s">
        <v>1205</v>
      </c>
      <c r="C1" s="1" t="s">
        <v>1206</v>
      </c>
      <c r="D1" s="1" t="s">
        <v>1207</v>
      </c>
      <c r="E1" s="1" t="s">
        <v>1208</v>
      </c>
      <c r="F1" s="58" t="s">
        <v>1209</v>
      </c>
      <c r="G1" s="1" t="s">
        <v>472</v>
      </c>
      <c r="H1" s="1" t="s">
        <v>1210</v>
      </c>
      <c r="I1" s="1" t="s">
        <v>1211</v>
      </c>
    </row>
    <row r="2" spans="1:9" hidden="1" x14ac:dyDescent="0.35">
      <c r="A2" s="37" t="str">
        <f t="shared" ref="A2:A64" si="0">B2&amp;C2&amp;D2</f>
        <v>DESVIO DE ROTAMotorista1</v>
      </c>
      <c r="B2" s="37" t="s">
        <v>126</v>
      </c>
      <c r="C2" s="37" t="s">
        <v>122</v>
      </c>
      <c r="D2" s="37">
        <v>1</v>
      </c>
      <c r="E2" s="37" t="s">
        <v>1212</v>
      </c>
      <c r="F2" s="38">
        <v>0.08</v>
      </c>
      <c r="G2" s="39">
        <f>IF(OR(B2="FIXO",B2="XFIXO"),IF(F2="","ERRO",10*F2)*'BD Campos'!$W$2,IF(F2="","ERRO",10*F2)*'BD Campos'!$W$3)</f>
        <v>0.8</v>
      </c>
      <c r="H2" s="40">
        <v>0.05</v>
      </c>
      <c r="I2" s="41">
        <f t="shared" ref="I2:I64" si="1">H2*G2*-1</f>
        <v>-4.0000000000000008E-2</v>
      </c>
    </row>
    <row r="3" spans="1:9" hidden="1" x14ac:dyDescent="0.35">
      <c r="A3" s="37" t="str">
        <f t="shared" si="0"/>
        <v>DESVIO DE ROTAMotorista2</v>
      </c>
      <c r="B3" s="37" t="s">
        <v>126</v>
      </c>
      <c r="C3" s="37" t="s">
        <v>122</v>
      </c>
      <c r="D3" s="37">
        <v>2</v>
      </c>
      <c r="E3" s="37" t="s">
        <v>1213</v>
      </c>
      <c r="F3" s="38">
        <v>0.08</v>
      </c>
      <c r="G3" s="39">
        <f>IF(OR(B3="FIXO",B3="XFIXO"),IF(F3="","ERRO",10*F3)*'BD Campos'!$W$2,IF(F3="","ERRO",10*F3)*'BD Campos'!$W$3)</f>
        <v>0.8</v>
      </c>
      <c r="H3" s="40">
        <v>0.05</v>
      </c>
      <c r="I3" s="41">
        <f t="shared" si="1"/>
        <v>-4.0000000000000008E-2</v>
      </c>
    </row>
    <row r="4" spans="1:9" hidden="1" x14ac:dyDescent="0.35">
      <c r="A4" s="37" t="str">
        <f t="shared" si="0"/>
        <v>DESVIO DE ROTAMotorista3</v>
      </c>
      <c r="B4" s="37" t="s">
        <v>126</v>
      </c>
      <c r="C4" s="37" t="s">
        <v>122</v>
      </c>
      <c r="D4" s="37">
        <v>3</v>
      </c>
      <c r="E4" s="37" t="s">
        <v>1214</v>
      </c>
      <c r="F4" s="38">
        <v>0.08</v>
      </c>
      <c r="G4" s="39">
        <f>IF(OR(B4="FIXO",B4="XFIXO"),IF(F4="","ERRO",10*F4)*'BD Campos'!$W$2,IF(F4="","ERRO",10*F4)*'BD Campos'!$W$3)</f>
        <v>0.8</v>
      </c>
      <c r="H4" s="40">
        <v>0.05</v>
      </c>
      <c r="I4" s="41">
        <f t="shared" si="1"/>
        <v>-4.0000000000000008E-2</v>
      </c>
    </row>
    <row r="5" spans="1:9" hidden="1" x14ac:dyDescent="0.35">
      <c r="A5" s="37" t="str">
        <f t="shared" si="0"/>
        <v>DESVIO DE ROTAMotorista4</v>
      </c>
      <c r="B5" s="37" t="s">
        <v>126</v>
      </c>
      <c r="C5" s="37" t="s">
        <v>122</v>
      </c>
      <c r="D5" s="37">
        <v>4</v>
      </c>
      <c r="E5" s="37" t="s">
        <v>1215</v>
      </c>
      <c r="F5" s="38">
        <v>0.08</v>
      </c>
      <c r="G5" s="39">
        <f>IF(OR(B5="FIXO",B5="XFIXO"),IF(F5="","ERRO",10*F5)*'BD Campos'!$W$2,IF(F5="","ERRO",10*F5)*'BD Campos'!$W$3)</f>
        <v>0.8</v>
      </c>
      <c r="H5" s="40">
        <v>0.05</v>
      </c>
      <c r="I5" s="41">
        <f t="shared" si="1"/>
        <v>-4.0000000000000008E-2</v>
      </c>
    </row>
    <row r="6" spans="1:9" hidden="1" x14ac:dyDescent="0.35">
      <c r="A6" s="37" t="str">
        <f t="shared" si="0"/>
        <v>DESVIO DE ROTAMotorista5</v>
      </c>
      <c r="B6" s="37" t="s">
        <v>126</v>
      </c>
      <c r="C6" s="37" t="s">
        <v>122</v>
      </c>
      <c r="D6" s="37">
        <v>5</v>
      </c>
      <c r="E6" s="37" t="s">
        <v>1216</v>
      </c>
      <c r="F6" s="38">
        <v>0.08</v>
      </c>
      <c r="G6" s="39">
        <f>IF(OR(B6="FIXO",B6="XFIXO"),IF(F6="","ERRO",10*F6)*'BD Campos'!$W$2,IF(F6="","ERRO",10*F6)*'BD Campos'!$W$3)</f>
        <v>0.8</v>
      </c>
      <c r="H6" s="40">
        <v>0.05</v>
      </c>
      <c r="I6" s="41">
        <f t="shared" si="1"/>
        <v>-4.0000000000000008E-2</v>
      </c>
    </row>
    <row r="7" spans="1:9" hidden="1" x14ac:dyDescent="0.35">
      <c r="A7" s="37" t="str">
        <f t="shared" si="0"/>
        <v>DESVIO DE ROTAMotorista6</v>
      </c>
      <c r="B7" s="37" t="s">
        <v>126</v>
      </c>
      <c r="C7" s="37" t="s">
        <v>122</v>
      </c>
      <c r="D7" s="37">
        <v>6</v>
      </c>
      <c r="E7" s="37" t="s">
        <v>1217</v>
      </c>
      <c r="F7" s="38">
        <v>0.08</v>
      </c>
      <c r="G7" s="39">
        <f>IF(OR(B7="FIXO",B7="XFIXO"),IF(F7="","ERRO",10*F7)*'BD Campos'!$W$2,IF(F7="","ERRO",10*F7)*'BD Campos'!$W$3)</f>
        <v>0.8</v>
      </c>
      <c r="H7" s="40">
        <v>0.05</v>
      </c>
      <c r="I7" s="41">
        <f t="shared" si="1"/>
        <v>-4.0000000000000008E-2</v>
      </c>
    </row>
    <row r="8" spans="1:9" hidden="1" x14ac:dyDescent="0.35">
      <c r="A8" s="37" t="str">
        <f t="shared" si="0"/>
        <v>DESVIO DE ROTAMotorista7</v>
      </c>
      <c r="B8" s="37" t="s">
        <v>126</v>
      </c>
      <c r="C8" s="37" t="s">
        <v>122</v>
      </c>
      <c r="D8" s="37">
        <v>7</v>
      </c>
      <c r="E8" s="37" t="s">
        <v>1218</v>
      </c>
      <c r="F8" s="38">
        <v>0.08</v>
      </c>
      <c r="G8" s="39">
        <f>IF(OR(B8="FIXO",B8="XFIXO"),IF(F8="","ERRO",10*F8)*'BD Campos'!$W$2,IF(F8="","ERRO",10*F8)*'BD Campos'!$W$3)</f>
        <v>0.8</v>
      </c>
      <c r="H8" s="40">
        <v>0.05</v>
      </c>
      <c r="I8" s="41">
        <f t="shared" si="1"/>
        <v>-4.0000000000000008E-2</v>
      </c>
    </row>
    <row r="9" spans="1:9" hidden="1" x14ac:dyDescent="0.35">
      <c r="A9" s="37" t="str">
        <f t="shared" si="0"/>
        <v>DESVIO DE ROTAMotorista8</v>
      </c>
      <c r="B9" s="37" t="s">
        <v>126</v>
      </c>
      <c r="C9" s="37" t="s">
        <v>122</v>
      </c>
      <c r="D9" s="37">
        <v>8</v>
      </c>
      <c r="E9" s="37" t="s">
        <v>1219</v>
      </c>
      <c r="F9" s="38">
        <v>0.08</v>
      </c>
      <c r="G9" s="39">
        <f>IF(OR(B9="FIXO",B9="XFIXO"),IF(F9="","ERRO",10*F9)*'BD Campos'!$W$2,IF(F9="","ERRO",10*F9)*'BD Campos'!$W$3)</f>
        <v>0.8</v>
      </c>
      <c r="H9" s="40">
        <v>0.05</v>
      </c>
      <c r="I9" s="41">
        <f t="shared" si="1"/>
        <v>-4.0000000000000008E-2</v>
      </c>
    </row>
    <row r="10" spans="1:9" hidden="1" x14ac:dyDescent="0.35">
      <c r="A10" s="37" t="str">
        <f t="shared" si="0"/>
        <v>DESVIO DE ROTAMotorista9</v>
      </c>
      <c r="B10" s="37" t="s">
        <v>126</v>
      </c>
      <c r="C10" s="37" t="s">
        <v>122</v>
      </c>
      <c r="D10" s="37">
        <v>9</v>
      </c>
      <c r="E10" s="37" t="s">
        <v>1220</v>
      </c>
      <c r="F10" s="38">
        <v>0.08</v>
      </c>
      <c r="G10" s="39">
        <f>IF(OR(B10="FIXO",B10="XFIXO"),IF(F10="","ERRO",10*F10)*'BD Campos'!$W$2,IF(F10="","ERRO",10*F10)*'BD Campos'!$W$3)</f>
        <v>0.8</v>
      </c>
      <c r="H10" s="40">
        <v>0.05</v>
      </c>
      <c r="I10" s="41">
        <f t="shared" si="1"/>
        <v>-4.0000000000000008E-2</v>
      </c>
    </row>
    <row r="11" spans="1:9" hidden="1" x14ac:dyDescent="0.35">
      <c r="A11" s="37" t="str">
        <f t="shared" si="0"/>
        <v>DESVIO DE ROTAMotorista10</v>
      </c>
      <c r="B11" s="37" t="s">
        <v>126</v>
      </c>
      <c r="C11" s="37" t="s">
        <v>122</v>
      </c>
      <c r="D11" s="37">
        <v>10</v>
      </c>
      <c r="E11" s="37" t="s">
        <v>1221</v>
      </c>
      <c r="F11" s="38">
        <v>0.08</v>
      </c>
      <c r="G11" s="39">
        <f>IF(OR(B11="FIXO",B11="XFIXO"),IF(F11="","ERRO",10*F11)*'BD Campos'!$W$2,IF(F11="","ERRO",10*F11)*'BD Campos'!$W$3)</f>
        <v>0.8</v>
      </c>
      <c r="H11" s="40">
        <v>0.05</v>
      </c>
      <c r="I11" s="41">
        <f t="shared" si="1"/>
        <v>-4.0000000000000008E-2</v>
      </c>
    </row>
    <row r="12" spans="1:9" hidden="1" x14ac:dyDescent="0.35">
      <c r="A12" s="37" t="str">
        <f t="shared" si="0"/>
        <v>DESVIO DE ROTAMotorista11</v>
      </c>
      <c r="B12" s="37" t="s">
        <v>126</v>
      </c>
      <c r="C12" s="37" t="s">
        <v>122</v>
      </c>
      <c r="D12" s="37">
        <v>11</v>
      </c>
      <c r="E12" s="37" t="s">
        <v>1222</v>
      </c>
      <c r="F12" s="38">
        <v>0.1</v>
      </c>
      <c r="G12" s="39">
        <f>IF(OR(B12="FIXO",B12="XFIXO"),IF(F12="","ERRO",10*F12)*'BD Campos'!$W$2,IF(F12="","ERRO",10*F12)*'BD Campos'!$W$3)</f>
        <v>1</v>
      </c>
      <c r="H12" s="40">
        <v>0.05</v>
      </c>
      <c r="I12" s="41">
        <f t="shared" si="1"/>
        <v>-0.05</v>
      </c>
    </row>
    <row r="13" spans="1:9" hidden="1" x14ac:dyDescent="0.35">
      <c r="A13" s="42" t="str">
        <f t="shared" si="0"/>
        <v>DESVIO DE ROTAMotorista12</v>
      </c>
      <c r="B13" s="37" t="s">
        <v>126</v>
      </c>
      <c r="C13" s="37" t="s">
        <v>122</v>
      </c>
      <c r="D13" s="37">
        <v>12</v>
      </c>
      <c r="E13" s="37" t="s">
        <v>1223</v>
      </c>
      <c r="F13" s="38">
        <v>0.1</v>
      </c>
      <c r="G13" s="39">
        <f>IF(OR(B13="FIXO",B13="XFIXO"),IF(F13="","ERRO",10*F13)*'BD Campos'!$W$2,IF(F13="","ERRO",10*F13)*'BD Campos'!$W$3)</f>
        <v>1</v>
      </c>
      <c r="H13" s="40">
        <v>0.05</v>
      </c>
      <c r="I13" s="41">
        <f t="shared" si="1"/>
        <v>-0.05</v>
      </c>
    </row>
    <row r="14" spans="1:9" hidden="1" x14ac:dyDescent="0.35">
      <c r="A14" s="43" t="str">
        <f t="shared" si="0"/>
        <v>PARADA INDEVIDAMotorista1</v>
      </c>
      <c r="B14" s="43" t="s">
        <v>121</v>
      </c>
      <c r="C14" s="37" t="s">
        <v>122</v>
      </c>
      <c r="D14" s="37">
        <v>1</v>
      </c>
      <c r="E14" s="37" t="s">
        <v>1212</v>
      </c>
      <c r="F14" s="38">
        <v>0.09</v>
      </c>
      <c r="G14" s="39">
        <f>IF(OR(B14="FIXO",B14="XFIXO"),IF(F14="","ERRO",10*F14)*'BD Campos'!$W$2,IF(F14="","ERRO",10*F14)*'BD Campos'!$W$3)</f>
        <v>0.89999999999999991</v>
      </c>
      <c r="H14" s="40">
        <v>0.05</v>
      </c>
      <c r="I14" s="41">
        <f t="shared" si="1"/>
        <v>-4.4999999999999998E-2</v>
      </c>
    </row>
    <row r="15" spans="1:9" hidden="1" x14ac:dyDescent="0.35">
      <c r="A15" s="43" t="str">
        <f t="shared" si="0"/>
        <v>PARADA INDEVIDAMotorista2</v>
      </c>
      <c r="B15" s="43" t="s">
        <v>121</v>
      </c>
      <c r="C15" s="37" t="s">
        <v>122</v>
      </c>
      <c r="D15" s="37">
        <v>2</v>
      </c>
      <c r="E15" s="37" t="s">
        <v>1213</v>
      </c>
      <c r="F15" s="38">
        <v>0.09</v>
      </c>
      <c r="G15" s="39">
        <f>IF(OR(B15="FIXO",B15="XFIXO"),IF(F15="","ERRO",10*F15)*'BD Campos'!$W$2,IF(F15="","ERRO",10*F15)*'BD Campos'!$W$3)</f>
        <v>0.89999999999999991</v>
      </c>
      <c r="H15" s="40">
        <v>0.05</v>
      </c>
      <c r="I15" s="41">
        <f t="shared" si="1"/>
        <v>-4.4999999999999998E-2</v>
      </c>
    </row>
    <row r="16" spans="1:9" hidden="1" x14ac:dyDescent="0.35">
      <c r="A16" s="43" t="str">
        <f t="shared" si="0"/>
        <v>PARADA INDEVIDAMotorista3</v>
      </c>
      <c r="B16" s="43" t="s">
        <v>121</v>
      </c>
      <c r="C16" s="37" t="s">
        <v>122</v>
      </c>
      <c r="D16" s="37">
        <v>3</v>
      </c>
      <c r="E16" s="37" t="s">
        <v>1214</v>
      </c>
      <c r="F16" s="38">
        <v>0.09</v>
      </c>
      <c r="G16" s="39">
        <f>IF(OR(B16="FIXO",B16="XFIXO"),IF(F16="","ERRO",10*F16)*'BD Campos'!$W$2,IF(F16="","ERRO",10*F16)*'BD Campos'!$W$3)</f>
        <v>0.89999999999999991</v>
      </c>
      <c r="H16" s="40">
        <v>0.05</v>
      </c>
      <c r="I16" s="41">
        <f t="shared" si="1"/>
        <v>-4.4999999999999998E-2</v>
      </c>
    </row>
    <row r="17" spans="1:9" hidden="1" x14ac:dyDescent="0.35">
      <c r="A17" s="43" t="str">
        <f t="shared" si="0"/>
        <v>PARADA INDEVIDAMotorista4</v>
      </c>
      <c r="B17" s="43" t="s">
        <v>121</v>
      </c>
      <c r="C17" s="37" t="s">
        <v>122</v>
      </c>
      <c r="D17" s="37">
        <v>4</v>
      </c>
      <c r="E17" s="37" t="s">
        <v>1215</v>
      </c>
      <c r="F17" s="38">
        <v>0.09</v>
      </c>
      <c r="G17" s="39">
        <f>IF(OR(B17="FIXO",B17="XFIXO"),IF(F17="","ERRO",10*F17)*'BD Campos'!$W$2,IF(F17="","ERRO",10*F17)*'BD Campos'!$W$3)</f>
        <v>0.89999999999999991</v>
      </c>
      <c r="H17" s="40">
        <v>0.05</v>
      </c>
      <c r="I17" s="41">
        <f t="shared" si="1"/>
        <v>-4.4999999999999998E-2</v>
      </c>
    </row>
    <row r="18" spans="1:9" hidden="1" x14ac:dyDescent="0.35">
      <c r="A18" s="43" t="str">
        <f t="shared" si="0"/>
        <v>PARADA INDEVIDAMotorista5</v>
      </c>
      <c r="B18" s="43" t="s">
        <v>121</v>
      </c>
      <c r="C18" s="37" t="s">
        <v>122</v>
      </c>
      <c r="D18" s="37">
        <v>5</v>
      </c>
      <c r="E18" s="37" t="s">
        <v>1216</v>
      </c>
      <c r="F18" s="38">
        <v>0.09</v>
      </c>
      <c r="G18" s="39">
        <f>IF(OR(B18="FIXO",B18="XFIXO"),IF(F18="","ERRO",10*F18)*'BD Campos'!$W$2,IF(F18="","ERRO",10*F18)*'BD Campos'!$W$3)</f>
        <v>0.89999999999999991</v>
      </c>
      <c r="H18" s="40">
        <v>0.05</v>
      </c>
      <c r="I18" s="41">
        <f t="shared" si="1"/>
        <v>-4.4999999999999998E-2</v>
      </c>
    </row>
    <row r="19" spans="1:9" hidden="1" x14ac:dyDescent="0.35">
      <c r="A19" s="43" t="str">
        <f t="shared" si="0"/>
        <v>PARADA INDEVIDAMotorista6</v>
      </c>
      <c r="B19" s="43" t="s">
        <v>121</v>
      </c>
      <c r="C19" s="37" t="s">
        <v>122</v>
      </c>
      <c r="D19" s="37">
        <v>6</v>
      </c>
      <c r="E19" s="37" t="s">
        <v>1217</v>
      </c>
      <c r="F19" s="38">
        <v>0.09</v>
      </c>
      <c r="G19" s="39">
        <f>IF(OR(B19="FIXO",B19="XFIXO"),IF(F19="","ERRO",10*F19)*'BD Campos'!$W$2,IF(F19="","ERRO",10*F19)*'BD Campos'!$W$3)</f>
        <v>0.89999999999999991</v>
      </c>
      <c r="H19" s="40">
        <v>0.05</v>
      </c>
      <c r="I19" s="41">
        <f t="shared" si="1"/>
        <v>-4.4999999999999998E-2</v>
      </c>
    </row>
    <row r="20" spans="1:9" hidden="1" x14ac:dyDescent="0.35">
      <c r="A20" s="43" t="str">
        <f t="shared" si="0"/>
        <v>PARADA INDEVIDAMotorista7</v>
      </c>
      <c r="B20" s="43" t="s">
        <v>121</v>
      </c>
      <c r="C20" s="37" t="s">
        <v>122</v>
      </c>
      <c r="D20" s="37">
        <v>7</v>
      </c>
      <c r="E20" s="43" t="s">
        <v>1218</v>
      </c>
      <c r="F20" s="38">
        <v>0.09</v>
      </c>
      <c r="G20" s="39">
        <f>IF(OR(B20="FIXO",B20="XFIXO"),IF(F20="","ERRO",10*F20)*'BD Campos'!$W$2,IF(F20="","ERRO",10*F20)*'BD Campos'!$W$3)</f>
        <v>0.89999999999999991</v>
      </c>
      <c r="H20" s="40">
        <v>0.05</v>
      </c>
      <c r="I20" s="41">
        <f t="shared" si="1"/>
        <v>-4.4999999999999998E-2</v>
      </c>
    </row>
    <row r="21" spans="1:9" hidden="1" x14ac:dyDescent="0.35">
      <c r="A21" s="43" t="str">
        <f t="shared" si="0"/>
        <v>PARADA INDEVIDAMotorista8</v>
      </c>
      <c r="B21" s="43" t="s">
        <v>121</v>
      </c>
      <c r="C21" s="37" t="s">
        <v>122</v>
      </c>
      <c r="D21" s="37">
        <v>8</v>
      </c>
      <c r="E21" s="43" t="s">
        <v>1224</v>
      </c>
      <c r="F21" s="38">
        <v>9.2499999999999999E-2</v>
      </c>
      <c r="G21" s="39">
        <f>IF(OR(B21="FIXO",B21="XFIXO"),IF(F21="","ERRO",10*F21)*'BD Campos'!$W$2,IF(F21="","ERRO",10*F21)*'BD Campos'!$W$3)</f>
        <v>0.92500000000000004</v>
      </c>
      <c r="H21" s="40">
        <v>0.05</v>
      </c>
      <c r="I21" s="41">
        <f t="shared" si="1"/>
        <v>-4.6250000000000006E-2</v>
      </c>
    </row>
    <row r="22" spans="1:9" hidden="1" x14ac:dyDescent="0.35">
      <c r="A22" s="43" t="str">
        <f t="shared" si="0"/>
        <v>PARADA INDEVIDAMotorista9</v>
      </c>
      <c r="B22" s="43" t="s">
        <v>121</v>
      </c>
      <c r="C22" s="37" t="s">
        <v>122</v>
      </c>
      <c r="D22" s="37">
        <v>9</v>
      </c>
      <c r="E22" s="37" t="s">
        <v>1220</v>
      </c>
      <c r="F22" s="38">
        <v>9.2499999999999999E-2</v>
      </c>
      <c r="G22" s="39">
        <f>IF(OR(B22="FIXO",B22="XFIXO"),IF(F22="","ERRO",10*F22)*'BD Campos'!$W$2,IF(F22="","ERRO",10*F22)*'BD Campos'!$W$3)</f>
        <v>0.92500000000000004</v>
      </c>
      <c r="H22" s="40">
        <v>0.05</v>
      </c>
      <c r="I22" s="41">
        <f t="shared" si="1"/>
        <v>-4.6250000000000006E-2</v>
      </c>
    </row>
    <row r="23" spans="1:9" hidden="1" x14ac:dyDescent="0.35">
      <c r="A23" s="43" t="str">
        <f t="shared" si="0"/>
        <v>PARADA INDEVIDAMotorista10</v>
      </c>
      <c r="B23" s="43" t="s">
        <v>121</v>
      </c>
      <c r="C23" s="37" t="s">
        <v>122</v>
      </c>
      <c r="D23" s="37">
        <v>10</v>
      </c>
      <c r="E23" s="43" t="s">
        <v>1225</v>
      </c>
      <c r="F23" s="38">
        <v>0.09</v>
      </c>
      <c r="G23" s="39">
        <f>IF(OR(B23="FIXO",B23="XFIXO"),IF(F23="","ERRO",10*F23)*'BD Campos'!$W$2,IF(F23="","ERRO",10*F23)*'BD Campos'!$W$3)</f>
        <v>0.89999999999999991</v>
      </c>
      <c r="H23" s="40">
        <v>0.05</v>
      </c>
      <c r="I23" s="41">
        <f t="shared" si="1"/>
        <v>-4.4999999999999998E-2</v>
      </c>
    </row>
    <row r="24" spans="1:9" hidden="1" x14ac:dyDescent="0.35">
      <c r="A24" s="44" t="str">
        <f t="shared" si="0"/>
        <v>PARADA INDEVIDAMotorista11</v>
      </c>
      <c r="B24" s="43" t="s">
        <v>121</v>
      </c>
      <c r="C24" s="37" t="s">
        <v>122</v>
      </c>
      <c r="D24" s="37">
        <v>11</v>
      </c>
      <c r="E24" s="43" t="s">
        <v>1223</v>
      </c>
      <c r="F24" s="38">
        <v>9.5000000000000001E-2</v>
      </c>
      <c r="G24" s="39">
        <f>IF(OR(B24="FIXO",B24="XFIXO"),IF(F24="","ERRO",10*F24)*'BD Campos'!$W$2,IF(F24="","ERRO",10*F24)*'BD Campos'!$W$3)</f>
        <v>0.95</v>
      </c>
      <c r="H24" s="40">
        <v>0.05</v>
      </c>
      <c r="I24" s="41">
        <f t="shared" si="1"/>
        <v>-4.7500000000000001E-2</v>
      </c>
    </row>
    <row r="25" spans="1:9" hidden="1" x14ac:dyDescent="0.35">
      <c r="A25" s="37" t="str">
        <f t="shared" si="0"/>
        <v>POSIÇÃO EM ATRASOMotorista1</v>
      </c>
      <c r="B25" s="37" t="s">
        <v>123</v>
      </c>
      <c r="C25" s="37" t="s">
        <v>122</v>
      </c>
      <c r="D25" s="37">
        <v>1</v>
      </c>
      <c r="E25" s="37" t="s">
        <v>1212</v>
      </c>
      <c r="F25" s="38">
        <v>0.1</v>
      </c>
      <c r="G25" s="39">
        <f>IF(OR(B25="FIXO",B25="XFIXO"),IF(F25="","ERRO",10*F25)*'BD Campos'!$W$2,IF(F25="","ERRO",10*F25)*'BD Campos'!$W$3)</f>
        <v>1</v>
      </c>
      <c r="H25" s="40">
        <v>0.05</v>
      </c>
      <c r="I25" s="41">
        <f t="shared" si="1"/>
        <v>-0.05</v>
      </c>
    </row>
    <row r="26" spans="1:9" hidden="1" x14ac:dyDescent="0.35">
      <c r="A26" s="37" t="str">
        <f t="shared" si="0"/>
        <v>POSIÇÃO EM ATRASOMotorista2</v>
      </c>
      <c r="B26" s="37" t="s">
        <v>123</v>
      </c>
      <c r="C26" s="37" t="s">
        <v>122</v>
      </c>
      <c r="D26" s="37">
        <v>2</v>
      </c>
      <c r="E26" s="37" t="s">
        <v>1213</v>
      </c>
      <c r="F26" s="38">
        <v>0.1</v>
      </c>
      <c r="G26" s="39">
        <f>IF(OR(B26="FIXO",B26="XFIXO"),IF(F26="","ERRO",10*F26)*'BD Campos'!$W$2,IF(F26="","ERRO",10*F26)*'BD Campos'!$W$3)</f>
        <v>1</v>
      </c>
      <c r="H26" s="40">
        <v>0.05</v>
      </c>
      <c r="I26" s="41">
        <f t="shared" si="1"/>
        <v>-0.05</v>
      </c>
    </row>
    <row r="27" spans="1:9" hidden="1" x14ac:dyDescent="0.35">
      <c r="A27" s="37" t="str">
        <f t="shared" si="0"/>
        <v>POSIÇÃO EM ATRASOMotorista3</v>
      </c>
      <c r="B27" s="37" t="s">
        <v>123</v>
      </c>
      <c r="C27" s="37" t="s">
        <v>122</v>
      </c>
      <c r="D27" s="37">
        <v>3</v>
      </c>
      <c r="E27" s="37" t="s">
        <v>1214</v>
      </c>
      <c r="F27" s="38">
        <v>0.1</v>
      </c>
      <c r="G27" s="39">
        <f>IF(OR(B27="FIXO",B27="XFIXO"),IF(F27="","ERRO",10*F27)*'BD Campos'!$W$2,IF(F27="","ERRO",10*F27)*'BD Campos'!$W$3)</f>
        <v>1</v>
      </c>
      <c r="H27" s="40">
        <v>0.05</v>
      </c>
      <c r="I27" s="41">
        <f t="shared" si="1"/>
        <v>-0.05</v>
      </c>
    </row>
    <row r="28" spans="1:9" hidden="1" x14ac:dyDescent="0.35">
      <c r="A28" s="37" t="str">
        <f t="shared" si="0"/>
        <v>POSIÇÃO EM ATRASOMotorista4</v>
      </c>
      <c r="B28" s="37" t="s">
        <v>123</v>
      </c>
      <c r="C28" s="37" t="s">
        <v>122</v>
      </c>
      <c r="D28" s="37">
        <v>4</v>
      </c>
      <c r="E28" s="37" t="s">
        <v>1215</v>
      </c>
      <c r="F28" s="38">
        <v>0.1</v>
      </c>
      <c r="G28" s="39">
        <f>IF(OR(B28="FIXO",B28="XFIXO"),IF(F28="","ERRO",10*F28)*'BD Campos'!$W$2,IF(F28="","ERRO",10*F28)*'BD Campos'!$W$3)</f>
        <v>1</v>
      </c>
      <c r="H28" s="40">
        <v>0.05</v>
      </c>
      <c r="I28" s="41">
        <f t="shared" si="1"/>
        <v>-0.05</v>
      </c>
    </row>
    <row r="29" spans="1:9" hidden="1" x14ac:dyDescent="0.35">
      <c r="A29" s="37" t="str">
        <f t="shared" si="0"/>
        <v>POSIÇÃO EM ATRASOMotorista5</v>
      </c>
      <c r="B29" s="37" t="s">
        <v>123</v>
      </c>
      <c r="C29" s="37" t="s">
        <v>122</v>
      </c>
      <c r="D29" s="37">
        <v>5</v>
      </c>
      <c r="E29" s="37" t="s">
        <v>1216</v>
      </c>
      <c r="F29" s="38">
        <v>0.1</v>
      </c>
      <c r="G29" s="39">
        <f>IF(OR(B29="FIXO",B29="XFIXO"),IF(F29="","ERRO",10*F29)*'BD Campos'!$W$2,IF(F29="","ERRO",10*F29)*'BD Campos'!$W$3)</f>
        <v>1</v>
      </c>
      <c r="H29" s="40">
        <v>0.05</v>
      </c>
      <c r="I29" s="41">
        <f t="shared" si="1"/>
        <v>-0.05</v>
      </c>
    </row>
    <row r="30" spans="1:9" hidden="1" x14ac:dyDescent="0.35">
      <c r="A30" s="37" t="str">
        <f t="shared" si="0"/>
        <v>POSIÇÃO EM ATRASOMotorista6</v>
      </c>
      <c r="B30" s="37" t="s">
        <v>123</v>
      </c>
      <c r="C30" s="37" t="s">
        <v>122</v>
      </c>
      <c r="D30" s="37">
        <v>6</v>
      </c>
      <c r="E30" s="37" t="s">
        <v>1217</v>
      </c>
      <c r="F30" s="38">
        <v>0.1</v>
      </c>
      <c r="G30" s="39">
        <f>IF(OR(B30="FIXO",B30="XFIXO"),IF(F30="","ERRO",10*F30)*'BD Campos'!$W$2,IF(F30="","ERRO",10*F30)*'BD Campos'!$W$3)</f>
        <v>1</v>
      </c>
      <c r="H30" s="40">
        <v>0.05</v>
      </c>
      <c r="I30" s="41">
        <f t="shared" si="1"/>
        <v>-0.05</v>
      </c>
    </row>
    <row r="31" spans="1:9" hidden="1" x14ac:dyDescent="0.35">
      <c r="A31" s="37" t="str">
        <f t="shared" si="0"/>
        <v>POSIÇÃO EM ATRASOMotorista7</v>
      </c>
      <c r="B31" s="37" t="s">
        <v>123</v>
      </c>
      <c r="C31" s="37" t="s">
        <v>122</v>
      </c>
      <c r="D31" s="37">
        <v>7</v>
      </c>
      <c r="E31" s="37" t="s">
        <v>1218</v>
      </c>
      <c r="F31" s="38">
        <v>0.1</v>
      </c>
      <c r="G31" s="39">
        <f>IF(OR(B31="FIXO",B31="XFIXO"),IF(F31="","ERRO",10*F31)*'BD Campos'!$W$2,IF(F31="","ERRO",10*F31)*'BD Campos'!$W$3)</f>
        <v>1</v>
      </c>
      <c r="H31" s="40">
        <v>0.05</v>
      </c>
      <c r="I31" s="41">
        <f t="shared" si="1"/>
        <v>-0.05</v>
      </c>
    </row>
    <row r="32" spans="1:9" hidden="1" x14ac:dyDescent="0.35">
      <c r="A32" s="37" t="str">
        <f t="shared" si="0"/>
        <v>POSIÇÃO EM ATRASOMotorista8</v>
      </c>
      <c r="B32" s="37" t="s">
        <v>123</v>
      </c>
      <c r="C32" s="37" t="s">
        <v>122</v>
      </c>
      <c r="D32" s="37">
        <v>8</v>
      </c>
      <c r="E32" s="37" t="s">
        <v>1226</v>
      </c>
      <c r="F32" s="38">
        <v>0.1</v>
      </c>
      <c r="G32" s="39">
        <f>IF(OR(B32="FIXO",B32="XFIXO"),IF(F32="","ERRO",10*F32)*'BD Campos'!$W$2,IF(F32="","ERRO",10*F32)*'BD Campos'!$W$3)</f>
        <v>1</v>
      </c>
      <c r="H32" s="40">
        <v>0.05</v>
      </c>
      <c r="I32" s="41">
        <f t="shared" si="1"/>
        <v>-0.05</v>
      </c>
    </row>
    <row r="33" spans="1:9" hidden="1" x14ac:dyDescent="0.35">
      <c r="A33" s="37" t="str">
        <f t="shared" si="0"/>
        <v>POSIÇÃO EM ATRASOMotorista9</v>
      </c>
      <c r="B33" s="37" t="s">
        <v>123</v>
      </c>
      <c r="C33" s="37" t="s">
        <v>122</v>
      </c>
      <c r="D33" s="37">
        <v>9</v>
      </c>
      <c r="E33" s="37" t="s">
        <v>1227</v>
      </c>
      <c r="F33" s="38">
        <v>0.1</v>
      </c>
      <c r="G33" s="39">
        <f>IF(OR(B33="FIXO",B33="XFIXO"),IF(F33="","ERRO",10*F33)*'BD Campos'!$W$2,IF(F33="","ERRO",10*F33)*'BD Campos'!$W$3)</f>
        <v>1</v>
      </c>
      <c r="H33" s="40">
        <v>0.05</v>
      </c>
      <c r="I33" s="41">
        <f t="shared" si="1"/>
        <v>-0.05</v>
      </c>
    </row>
    <row r="34" spans="1:9" hidden="1" x14ac:dyDescent="0.35">
      <c r="A34" s="42" t="str">
        <f t="shared" si="0"/>
        <v>POSIÇÃO EM ATRASOMotorista10</v>
      </c>
      <c r="B34" s="37" t="s">
        <v>123</v>
      </c>
      <c r="C34" s="37" t="s">
        <v>122</v>
      </c>
      <c r="D34" s="37">
        <v>10</v>
      </c>
      <c r="E34" s="37" t="s">
        <v>1228</v>
      </c>
      <c r="F34" s="38">
        <v>0.1</v>
      </c>
      <c r="G34" s="39">
        <f>IF(OR(B34="FIXO",B34="XFIXO"),IF(F34="","ERRO",10*F34)*'BD Campos'!$W$2,IF(F34="","ERRO",10*F34)*'BD Campos'!$W$3)</f>
        <v>1</v>
      </c>
      <c r="H34" s="40">
        <v>0.05</v>
      </c>
      <c r="I34" s="41">
        <f t="shared" si="1"/>
        <v>-0.05</v>
      </c>
    </row>
    <row r="35" spans="1:9" hidden="1" x14ac:dyDescent="0.35">
      <c r="A35" s="37" t="str">
        <f t="shared" si="0"/>
        <v>ALERTAS PRIORITÁRIOSMotorista1</v>
      </c>
      <c r="B35" s="37" t="s">
        <v>147</v>
      </c>
      <c r="C35" s="37" t="s">
        <v>122</v>
      </c>
      <c r="D35" s="37">
        <v>1</v>
      </c>
      <c r="E35" s="37" t="s">
        <v>1212</v>
      </c>
      <c r="F35" s="38">
        <v>0.11</v>
      </c>
      <c r="G35" s="39">
        <f>IF(OR(B35="FIXO",B35="XFIXO"),IF(F35="","ERRO",10*F35)*'BD Campos'!$W$2,IF(F35="","ERRO",10*F35)*'BD Campos'!$W$3)</f>
        <v>1.1000000000000001</v>
      </c>
      <c r="H35" s="40">
        <v>0.05</v>
      </c>
      <c r="I35" s="41">
        <f t="shared" si="1"/>
        <v>-5.5000000000000007E-2</v>
      </c>
    </row>
    <row r="36" spans="1:9" hidden="1" x14ac:dyDescent="0.35">
      <c r="A36" s="37" t="str">
        <f t="shared" si="0"/>
        <v>ALERTAS PRIORITÁRIOSMotorista2</v>
      </c>
      <c r="B36" s="37" t="s">
        <v>147</v>
      </c>
      <c r="C36" s="37" t="s">
        <v>122</v>
      </c>
      <c r="D36" s="37">
        <v>2</v>
      </c>
      <c r="E36" s="37" t="s">
        <v>1213</v>
      </c>
      <c r="F36" s="38">
        <v>0.11</v>
      </c>
      <c r="G36" s="39">
        <f>IF(OR(B36="FIXO",B36="XFIXO"),IF(F36="","ERRO",10*F36)*'BD Campos'!$W$2,IF(F36="","ERRO",10*F36)*'BD Campos'!$W$3)</f>
        <v>1.1000000000000001</v>
      </c>
      <c r="H36" s="40">
        <v>0.05</v>
      </c>
      <c r="I36" s="41">
        <f t="shared" si="1"/>
        <v>-5.5000000000000007E-2</v>
      </c>
    </row>
    <row r="37" spans="1:9" hidden="1" x14ac:dyDescent="0.35">
      <c r="A37" s="37" t="str">
        <f t="shared" si="0"/>
        <v>ALERTAS PRIORITÁRIOSMotorista3</v>
      </c>
      <c r="B37" s="37" t="s">
        <v>147</v>
      </c>
      <c r="C37" s="37" t="s">
        <v>122</v>
      </c>
      <c r="D37" s="37">
        <v>3</v>
      </c>
      <c r="E37" s="37" t="s">
        <v>1214</v>
      </c>
      <c r="F37" s="38">
        <v>0.11</v>
      </c>
      <c r="G37" s="39">
        <f>IF(OR(B37="FIXO",B37="XFIXO"),IF(F37="","ERRO",10*F37)*'BD Campos'!$W$2,IF(F37="","ERRO",10*F37)*'BD Campos'!$W$3)</f>
        <v>1.1000000000000001</v>
      </c>
      <c r="H37" s="40">
        <v>0.05</v>
      </c>
      <c r="I37" s="41">
        <f t="shared" si="1"/>
        <v>-5.5000000000000007E-2</v>
      </c>
    </row>
    <row r="38" spans="1:9" hidden="1" x14ac:dyDescent="0.35">
      <c r="A38" s="37" t="str">
        <f t="shared" si="0"/>
        <v>ALERTAS PRIORITÁRIOSMotorista4</v>
      </c>
      <c r="B38" s="37" t="s">
        <v>147</v>
      </c>
      <c r="C38" s="37" t="s">
        <v>122</v>
      </c>
      <c r="D38" s="37">
        <v>4</v>
      </c>
      <c r="E38" s="37" t="s">
        <v>1215</v>
      </c>
      <c r="F38" s="38">
        <v>0.11</v>
      </c>
      <c r="G38" s="39">
        <f>IF(OR(B38="FIXO",B38="XFIXO"),IF(F38="","ERRO",10*F38)*'BD Campos'!$W$2,IF(F38="","ERRO",10*F38)*'BD Campos'!$W$3)</f>
        <v>1.1000000000000001</v>
      </c>
      <c r="H38" s="40">
        <v>0.05</v>
      </c>
      <c r="I38" s="41">
        <f t="shared" si="1"/>
        <v>-5.5000000000000007E-2</v>
      </c>
    </row>
    <row r="39" spans="1:9" hidden="1" x14ac:dyDescent="0.35">
      <c r="A39" s="37" t="str">
        <f t="shared" si="0"/>
        <v>ALERTAS PRIORITÁRIOSMotorista5</v>
      </c>
      <c r="B39" s="37" t="s">
        <v>147</v>
      </c>
      <c r="C39" s="37" t="s">
        <v>122</v>
      </c>
      <c r="D39" s="37">
        <v>5</v>
      </c>
      <c r="E39" s="37" t="s">
        <v>1216</v>
      </c>
      <c r="F39" s="38">
        <v>0.11</v>
      </c>
      <c r="G39" s="39">
        <f>IF(OR(B39="FIXO",B39="XFIXO"),IF(F39="","ERRO",10*F39)*'BD Campos'!$W$2,IF(F39="","ERRO",10*F39)*'BD Campos'!$W$3)</f>
        <v>1.1000000000000001</v>
      </c>
      <c r="H39" s="40">
        <v>0.05</v>
      </c>
      <c r="I39" s="41">
        <f t="shared" si="1"/>
        <v>-5.5000000000000007E-2</v>
      </c>
    </row>
    <row r="40" spans="1:9" hidden="1" x14ac:dyDescent="0.35">
      <c r="A40" s="37" t="str">
        <f t="shared" si="0"/>
        <v>ALERTAS PRIORITÁRIOSMotorista6</v>
      </c>
      <c r="B40" s="37" t="s">
        <v>147</v>
      </c>
      <c r="C40" s="37" t="s">
        <v>122</v>
      </c>
      <c r="D40" s="37">
        <v>6</v>
      </c>
      <c r="E40" s="37" t="s">
        <v>1217</v>
      </c>
      <c r="F40" s="38">
        <v>0.16</v>
      </c>
      <c r="G40" s="39">
        <f>IF(OR(B40="FIXO",B40="XFIXO"),IF(F40="","ERRO",10*F40)*'BD Campos'!$W$2,IF(F40="","ERRO",10*F40)*'BD Campos'!$W$3)</f>
        <v>1.6</v>
      </c>
      <c r="H40" s="40">
        <v>0.05</v>
      </c>
      <c r="I40" s="41">
        <f t="shared" si="1"/>
        <v>-8.0000000000000016E-2</v>
      </c>
    </row>
    <row r="41" spans="1:9" hidden="1" x14ac:dyDescent="0.35">
      <c r="A41" s="37" t="str">
        <f t="shared" si="0"/>
        <v>ALERTAS PRIORITÁRIOSMotorista7</v>
      </c>
      <c r="B41" s="37" t="s">
        <v>147</v>
      </c>
      <c r="C41" s="37" t="s">
        <v>122</v>
      </c>
      <c r="D41" s="37">
        <v>7</v>
      </c>
      <c r="E41" s="37" t="s">
        <v>1218</v>
      </c>
      <c r="F41" s="38">
        <v>0.12</v>
      </c>
      <c r="G41" s="39">
        <f>IF(OR(B41="FIXO",B41="XFIXO"),IF(F41="","ERRO",10*F41)*'BD Campos'!$W$2,IF(F41="","ERRO",10*F41)*'BD Campos'!$W$3)</f>
        <v>1.2</v>
      </c>
      <c r="H41" s="40">
        <v>0.05</v>
      </c>
      <c r="I41" s="41">
        <f t="shared" si="1"/>
        <v>-0.06</v>
      </c>
    </row>
    <row r="42" spans="1:9" hidden="1" x14ac:dyDescent="0.35">
      <c r="A42" s="37" t="str">
        <f t="shared" si="0"/>
        <v>ALERTAS PRIORITÁRIOSMotorista8</v>
      </c>
      <c r="B42" s="37" t="s">
        <v>147</v>
      </c>
      <c r="C42" s="37" t="s">
        <v>122</v>
      </c>
      <c r="D42" s="37">
        <v>8</v>
      </c>
      <c r="E42" s="37" t="s">
        <v>1229</v>
      </c>
      <c r="F42" s="38">
        <v>0.17</v>
      </c>
      <c r="G42" s="39">
        <f>IF(OR(B42="FIXO",B42="XFIXO"),IF(F42="","ERRO",10*F42)*'BD Campos'!$W$2,IF(F42="","ERRO",10*F42)*'BD Campos'!$W$3)</f>
        <v>1.7000000000000002</v>
      </c>
      <c r="H42" s="40">
        <v>0.05</v>
      </c>
      <c r="I42" s="41">
        <f t="shared" si="1"/>
        <v>-8.500000000000002E-2</v>
      </c>
    </row>
    <row r="43" spans="1:9" hidden="1" x14ac:dyDescent="0.35">
      <c r="A43" s="37" t="str">
        <f t="shared" si="0"/>
        <v>DESVIO DE ROTAMotorista 21</v>
      </c>
      <c r="B43" s="37" t="s">
        <v>126</v>
      </c>
      <c r="C43" s="37" t="s">
        <v>204</v>
      </c>
      <c r="D43" s="37">
        <v>1</v>
      </c>
      <c r="E43" s="37" t="s">
        <v>1212</v>
      </c>
      <c r="F43" s="38">
        <v>0.08</v>
      </c>
      <c r="G43" s="39">
        <f>IF(OR(B43="FIXO",B43="XFIXO"),IF(F43="","ERRO",10*F43)*'BD Campos'!$W$2,IF(F43="","ERRO",10*F43)*'BD Campos'!$W$3)</f>
        <v>0.8</v>
      </c>
      <c r="H43" s="40">
        <v>0.05</v>
      </c>
      <c r="I43" s="41">
        <f t="shared" si="1"/>
        <v>-4.0000000000000008E-2</v>
      </c>
    </row>
    <row r="44" spans="1:9" hidden="1" x14ac:dyDescent="0.35">
      <c r="A44" s="37" t="str">
        <f t="shared" si="0"/>
        <v>DESVIO DE ROTAMotorista 22</v>
      </c>
      <c r="B44" s="37" t="s">
        <v>126</v>
      </c>
      <c r="C44" s="37" t="s">
        <v>204</v>
      </c>
      <c r="D44" s="37">
        <v>2</v>
      </c>
      <c r="E44" s="37" t="s">
        <v>1213</v>
      </c>
      <c r="F44" s="38">
        <v>0.08</v>
      </c>
      <c r="G44" s="39">
        <f>IF(OR(B44="FIXO",B44="XFIXO"),IF(F44="","ERRO",10*F44)*'BD Campos'!$W$2,IF(F44="","ERRO",10*F44)*'BD Campos'!$W$3)</f>
        <v>0.8</v>
      </c>
      <c r="H44" s="40">
        <v>0.05</v>
      </c>
      <c r="I44" s="41">
        <f t="shared" si="1"/>
        <v>-4.0000000000000008E-2</v>
      </c>
    </row>
    <row r="45" spans="1:9" hidden="1" x14ac:dyDescent="0.35">
      <c r="A45" s="37" t="str">
        <f t="shared" si="0"/>
        <v>DESVIO DE ROTAMotorista 23</v>
      </c>
      <c r="B45" s="37" t="s">
        <v>126</v>
      </c>
      <c r="C45" s="37" t="s">
        <v>204</v>
      </c>
      <c r="D45" s="37">
        <v>3</v>
      </c>
      <c r="E45" s="37" t="s">
        <v>1214</v>
      </c>
      <c r="F45" s="38">
        <v>0.08</v>
      </c>
      <c r="G45" s="39">
        <f>IF(OR(B45="FIXO",B45="XFIXO"),IF(F45="","ERRO",10*F45)*'BD Campos'!$W$2,IF(F45="","ERRO",10*F45)*'BD Campos'!$W$3)</f>
        <v>0.8</v>
      </c>
      <c r="H45" s="40">
        <v>0.05</v>
      </c>
      <c r="I45" s="41">
        <f t="shared" si="1"/>
        <v>-4.0000000000000008E-2</v>
      </c>
    </row>
    <row r="46" spans="1:9" hidden="1" x14ac:dyDescent="0.35">
      <c r="A46" s="37" t="str">
        <f t="shared" si="0"/>
        <v>DESVIO DE ROTAMotorista 24</v>
      </c>
      <c r="B46" s="37" t="s">
        <v>126</v>
      </c>
      <c r="C46" s="37" t="s">
        <v>204</v>
      </c>
      <c r="D46" s="37">
        <v>4</v>
      </c>
      <c r="E46" s="37" t="s">
        <v>1215</v>
      </c>
      <c r="F46" s="38">
        <v>0.08</v>
      </c>
      <c r="G46" s="39">
        <f>IF(OR(B46="FIXO",B46="XFIXO"),IF(F46="","ERRO",10*F46)*'BD Campos'!$W$2,IF(F46="","ERRO",10*F46)*'BD Campos'!$W$3)</f>
        <v>0.8</v>
      </c>
      <c r="H46" s="40">
        <v>0.05</v>
      </c>
      <c r="I46" s="41">
        <f t="shared" si="1"/>
        <v>-4.0000000000000008E-2</v>
      </c>
    </row>
    <row r="47" spans="1:9" hidden="1" x14ac:dyDescent="0.35">
      <c r="A47" s="37" t="str">
        <f t="shared" si="0"/>
        <v>DESVIO DE ROTAMotorista 25</v>
      </c>
      <c r="B47" s="37" t="s">
        <v>126</v>
      </c>
      <c r="C47" s="37" t="s">
        <v>204</v>
      </c>
      <c r="D47" s="37">
        <v>5</v>
      </c>
      <c r="E47" s="37" t="s">
        <v>1216</v>
      </c>
      <c r="F47" s="38">
        <v>0.08</v>
      </c>
      <c r="G47" s="39">
        <f>IF(OR(B47="FIXO",B47="XFIXO"),IF(F47="","ERRO",10*F47)*'BD Campos'!$W$2,IF(F47="","ERRO",10*F47)*'BD Campos'!$W$3)</f>
        <v>0.8</v>
      </c>
      <c r="H47" s="40">
        <v>0.05</v>
      </c>
      <c r="I47" s="41">
        <f t="shared" si="1"/>
        <v>-4.0000000000000008E-2</v>
      </c>
    </row>
    <row r="48" spans="1:9" hidden="1" x14ac:dyDescent="0.35">
      <c r="A48" s="37" t="str">
        <f t="shared" si="0"/>
        <v>DESVIO DE ROTAMotorista 26</v>
      </c>
      <c r="B48" s="37" t="s">
        <v>126</v>
      </c>
      <c r="C48" s="37" t="s">
        <v>204</v>
      </c>
      <c r="D48" s="37">
        <v>6</v>
      </c>
      <c r="E48" s="37" t="s">
        <v>1217</v>
      </c>
      <c r="F48" s="38">
        <v>0.08</v>
      </c>
      <c r="G48" s="39">
        <f>IF(OR(B48="FIXO",B48="XFIXO"),IF(F48="","ERRO",10*F48)*'BD Campos'!$W$2,IF(F48="","ERRO",10*F48)*'BD Campos'!$W$3)</f>
        <v>0.8</v>
      </c>
      <c r="H48" s="40">
        <v>0.05</v>
      </c>
      <c r="I48" s="41">
        <f t="shared" si="1"/>
        <v>-4.0000000000000008E-2</v>
      </c>
    </row>
    <row r="49" spans="1:9" hidden="1" x14ac:dyDescent="0.35">
      <c r="A49" s="37" t="str">
        <f t="shared" si="0"/>
        <v>DESVIO DE ROTAMotorista 27</v>
      </c>
      <c r="B49" s="37" t="s">
        <v>126</v>
      </c>
      <c r="C49" s="37" t="s">
        <v>204</v>
      </c>
      <c r="D49" s="37">
        <v>7</v>
      </c>
      <c r="E49" s="37" t="s">
        <v>1218</v>
      </c>
      <c r="F49" s="38">
        <v>0.08</v>
      </c>
      <c r="G49" s="39">
        <f>IF(OR(B49="FIXO",B49="XFIXO"),IF(F49="","ERRO",10*F49)*'BD Campos'!$W$2,IF(F49="","ERRO",10*F49)*'BD Campos'!$W$3)</f>
        <v>0.8</v>
      </c>
      <c r="H49" s="40">
        <v>0.05</v>
      </c>
      <c r="I49" s="41">
        <f t="shared" si="1"/>
        <v>-4.0000000000000008E-2</v>
      </c>
    </row>
    <row r="50" spans="1:9" hidden="1" x14ac:dyDescent="0.35">
      <c r="A50" s="37" t="str">
        <f t="shared" si="0"/>
        <v>DESVIO DE ROTAMotorista 28</v>
      </c>
      <c r="B50" s="37" t="s">
        <v>126</v>
      </c>
      <c r="C50" s="37" t="s">
        <v>204</v>
      </c>
      <c r="D50" s="37">
        <v>8</v>
      </c>
      <c r="E50" s="37" t="s">
        <v>1219</v>
      </c>
      <c r="F50" s="38">
        <v>0.08</v>
      </c>
      <c r="G50" s="39">
        <f>IF(OR(B50="FIXO",B50="XFIXO"),IF(F50="","ERRO",10*F50)*'BD Campos'!$W$2,IF(F50="","ERRO",10*F50)*'BD Campos'!$W$3)</f>
        <v>0.8</v>
      </c>
      <c r="H50" s="40">
        <v>0.05</v>
      </c>
      <c r="I50" s="41">
        <f t="shared" si="1"/>
        <v>-4.0000000000000008E-2</v>
      </c>
    </row>
    <row r="51" spans="1:9" hidden="1" x14ac:dyDescent="0.35">
      <c r="A51" s="37" t="str">
        <f t="shared" si="0"/>
        <v>DESVIO DE ROTAMotorista 29</v>
      </c>
      <c r="B51" s="37" t="s">
        <v>126</v>
      </c>
      <c r="C51" s="37" t="s">
        <v>204</v>
      </c>
      <c r="D51" s="37">
        <v>9</v>
      </c>
      <c r="E51" s="37" t="s">
        <v>1220</v>
      </c>
      <c r="F51" s="38">
        <v>0.08</v>
      </c>
      <c r="G51" s="39">
        <f>IF(OR(B51="FIXO",B51="XFIXO"),IF(F51="","ERRO",10*F51)*'BD Campos'!$W$2,IF(F51="","ERRO",10*F51)*'BD Campos'!$W$3)</f>
        <v>0.8</v>
      </c>
      <c r="H51" s="40">
        <v>0.05</v>
      </c>
      <c r="I51" s="41">
        <f t="shared" si="1"/>
        <v>-4.0000000000000008E-2</v>
      </c>
    </row>
    <row r="52" spans="1:9" hidden="1" x14ac:dyDescent="0.35">
      <c r="A52" s="37" t="str">
        <f t="shared" si="0"/>
        <v>DESVIO DE ROTAMotorista 210</v>
      </c>
      <c r="B52" s="37" t="s">
        <v>126</v>
      </c>
      <c r="C52" s="37" t="s">
        <v>204</v>
      </c>
      <c r="D52" s="37">
        <v>10</v>
      </c>
      <c r="E52" s="37" t="s">
        <v>1221</v>
      </c>
      <c r="F52" s="38">
        <v>0.08</v>
      </c>
      <c r="G52" s="39">
        <f>IF(OR(B52="FIXO",B52="XFIXO"),IF(F52="","ERRO",10*F52)*'BD Campos'!$W$2,IF(F52="","ERRO",10*F52)*'BD Campos'!$W$3)</f>
        <v>0.8</v>
      </c>
      <c r="H52" s="40">
        <v>0.05</v>
      </c>
      <c r="I52" s="41">
        <f t="shared" si="1"/>
        <v>-4.0000000000000008E-2</v>
      </c>
    </row>
    <row r="53" spans="1:9" hidden="1" x14ac:dyDescent="0.35">
      <c r="A53" s="37" t="str">
        <f t="shared" si="0"/>
        <v>DESVIO DE ROTAMotorista 211</v>
      </c>
      <c r="B53" s="37" t="s">
        <v>126</v>
      </c>
      <c r="C53" s="37" t="s">
        <v>204</v>
      </c>
      <c r="D53" s="37">
        <v>11</v>
      </c>
      <c r="E53" s="37" t="s">
        <v>1222</v>
      </c>
      <c r="F53" s="38">
        <v>0.1</v>
      </c>
      <c r="G53" s="39">
        <f>IF(OR(B53="FIXO",B53="XFIXO"),IF(F53="","ERRO",10*F53)*'BD Campos'!$W$2,IF(F53="","ERRO",10*F53)*'BD Campos'!$W$3)</f>
        <v>1</v>
      </c>
      <c r="H53" s="40">
        <v>0.05</v>
      </c>
      <c r="I53" s="41">
        <f t="shared" si="1"/>
        <v>-0.05</v>
      </c>
    </row>
    <row r="54" spans="1:9" hidden="1" x14ac:dyDescent="0.35">
      <c r="A54" s="42" t="str">
        <f t="shared" si="0"/>
        <v>DESVIO DE ROTAMotorista 212</v>
      </c>
      <c r="B54" s="37" t="s">
        <v>126</v>
      </c>
      <c r="C54" s="37" t="s">
        <v>204</v>
      </c>
      <c r="D54" s="37">
        <v>12</v>
      </c>
      <c r="E54" s="37" t="s">
        <v>1223</v>
      </c>
      <c r="F54" s="38">
        <v>0.1</v>
      </c>
      <c r="G54" s="39">
        <f>IF(OR(B54="FIXO",B54="XFIXO"),IF(F54="","ERRO",10*F54)*'BD Campos'!$W$2,IF(F54="","ERRO",10*F54)*'BD Campos'!$W$3)</f>
        <v>1</v>
      </c>
      <c r="H54" s="40">
        <v>0.05</v>
      </c>
      <c r="I54" s="41">
        <f t="shared" si="1"/>
        <v>-0.05</v>
      </c>
    </row>
    <row r="55" spans="1:9" hidden="1" x14ac:dyDescent="0.35">
      <c r="A55" s="43" t="str">
        <f t="shared" si="0"/>
        <v>PARADA INDEVIDAMotorista 21</v>
      </c>
      <c r="B55" s="43" t="s">
        <v>121</v>
      </c>
      <c r="C55" s="37" t="s">
        <v>204</v>
      </c>
      <c r="D55" s="37">
        <v>1</v>
      </c>
      <c r="E55" s="37" t="s">
        <v>1212</v>
      </c>
      <c r="F55" s="38">
        <v>0.09</v>
      </c>
      <c r="G55" s="39">
        <f>IF(OR(B55="FIXO",B55="XFIXO"),IF(F55="","ERRO",10*F55)*'BD Campos'!$W$2,IF(F55="","ERRO",10*F55)*'BD Campos'!$W$3)</f>
        <v>0.89999999999999991</v>
      </c>
      <c r="H55" s="40">
        <v>0.05</v>
      </c>
      <c r="I55" s="41">
        <f t="shared" si="1"/>
        <v>-4.4999999999999998E-2</v>
      </c>
    </row>
    <row r="56" spans="1:9" hidden="1" x14ac:dyDescent="0.35">
      <c r="A56" s="43" t="str">
        <f t="shared" si="0"/>
        <v>PARADA INDEVIDAMotorista 22</v>
      </c>
      <c r="B56" s="43" t="s">
        <v>121</v>
      </c>
      <c r="C56" s="37" t="s">
        <v>204</v>
      </c>
      <c r="D56" s="37">
        <v>2</v>
      </c>
      <c r="E56" s="37" t="s">
        <v>1213</v>
      </c>
      <c r="F56" s="38">
        <v>0.09</v>
      </c>
      <c r="G56" s="39">
        <f>IF(OR(B56="FIXO",B56="XFIXO"),IF(F56="","ERRO",10*F56)*'BD Campos'!$W$2,IF(F56="","ERRO",10*F56)*'BD Campos'!$W$3)</f>
        <v>0.89999999999999991</v>
      </c>
      <c r="H56" s="40">
        <v>0.05</v>
      </c>
      <c r="I56" s="41">
        <f t="shared" si="1"/>
        <v>-4.4999999999999998E-2</v>
      </c>
    </row>
    <row r="57" spans="1:9" hidden="1" x14ac:dyDescent="0.35">
      <c r="A57" s="43" t="str">
        <f t="shared" si="0"/>
        <v>PARADA INDEVIDAMotorista 23</v>
      </c>
      <c r="B57" s="43" t="s">
        <v>121</v>
      </c>
      <c r="C57" s="37" t="s">
        <v>204</v>
      </c>
      <c r="D57" s="37">
        <v>3</v>
      </c>
      <c r="E57" s="37" t="s">
        <v>1214</v>
      </c>
      <c r="F57" s="38">
        <v>0.09</v>
      </c>
      <c r="G57" s="39">
        <f>IF(OR(B57="FIXO",B57="XFIXO"),IF(F57="","ERRO",10*F57)*'BD Campos'!$W$2,IF(F57="","ERRO",10*F57)*'BD Campos'!$W$3)</f>
        <v>0.89999999999999991</v>
      </c>
      <c r="H57" s="40">
        <v>0.05</v>
      </c>
      <c r="I57" s="41">
        <f t="shared" si="1"/>
        <v>-4.4999999999999998E-2</v>
      </c>
    </row>
    <row r="58" spans="1:9" hidden="1" x14ac:dyDescent="0.35">
      <c r="A58" s="43" t="str">
        <f t="shared" si="0"/>
        <v>PARADA INDEVIDAMotorista 24</v>
      </c>
      <c r="B58" s="43" t="s">
        <v>121</v>
      </c>
      <c r="C58" s="37" t="s">
        <v>204</v>
      </c>
      <c r="D58" s="37">
        <v>4</v>
      </c>
      <c r="E58" s="37" t="s">
        <v>1215</v>
      </c>
      <c r="F58" s="38">
        <v>0.09</v>
      </c>
      <c r="G58" s="39">
        <f>IF(OR(B58="FIXO",B58="XFIXO"),IF(F58="","ERRO",10*F58)*'BD Campos'!$W$2,IF(F58="","ERRO",10*F58)*'BD Campos'!$W$3)</f>
        <v>0.89999999999999991</v>
      </c>
      <c r="H58" s="40">
        <v>0.05</v>
      </c>
      <c r="I58" s="41">
        <f t="shared" si="1"/>
        <v>-4.4999999999999998E-2</v>
      </c>
    </row>
    <row r="59" spans="1:9" hidden="1" x14ac:dyDescent="0.35">
      <c r="A59" s="43" t="str">
        <f t="shared" si="0"/>
        <v>PARADA INDEVIDAMotorista 25</v>
      </c>
      <c r="B59" s="43" t="s">
        <v>121</v>
      </c>
      <c r="C59" s="37" t="s">
        <v>204</v>
      </c>
      <c r="D59" s="37">
        <v>5</v>
      </c>
      <c r="E59" s="37" t="s">
        <v>1216</v>
      </c>
      <c r="F59" s="38">
        <v>0.09</v>
      </c>
      <c r="G59" s="39">
        <f>IF(OR(B59="FIXO",B59="XFIXO"),IF(F59="","ERRO",10*F59)*'BD Campos'!$W$2,IF(F59="","ERRO",10*F59)*'BD Campos'!$W$3)</f>
        <v>0.89999999999999991</v>
      </c>
      <c r="H59" s="40">
        <v>0.05</v>
      </c>
      <c r="I59" s="41">
        <f t="shared" si="1"/>
        <v>-4.4999999999999998E-2</v>
      </c>
    </row>
    <row r="60" spans="1:9" hidden="1" x14ac:dyDescent="0.35">
      <c r="A60" s="43" t="str">
        <f t="shared" si="0"/>
        <v>PARADA INDEVIDAMotorista 26</v>
      </c>
      <c r="B60" s="43" t="s">
        <v>121</v>
      </c>
      <c r="C60" s="37" t="s">
        <v>204</v>
      </c>
      <c r="D60" s="37">
        <v>6</v>
      </c>
      <c r="E60" s="37" t="s">
        <v>1217</v>
      </c>
      <c r="F60" s="38">
        <v>0.09</v>
      </c>
      <c r="G60" s="39">
        <f>IF(OR(B60="FIXO",B60="XFIXO"),IF(F60="","ERRO",10*F60)*'BD Campos'!$W$2,IF(F60="","ERRO",10*F60)*'BD Campos'!$W$3)</f>
        <v>0.89999999999999991</v>
      </c>
      <c r="H60" s="40">
        <v>0.05</v>
      </c>
      <c r="I60" s="41">
        <f t="shared" si="1"/>
        <v>-4.4999999999999998E-2</v>
      </c>
    </row>
    <row r="61" spans="1:9" hidden="1" x14ac:dyDescent="0.35">
      <c r="A61" s="43" t="str">
        <f t="shared" si="0"/>
        <v>PARADA INDEVIDAMotorista 27</v>
      </c>
      <c r="B61" s="43" t="s">
        <v>121</v>
      </c>
      <c r="C61" s="37" t="s">
        <v>204</v>
      </c>
      <c r="D61" s="37">
        <v>7</v>
      </c>
      <c r="E61" s="43" t="s">
        <v>1218</v>
      </c>
      <c r="F61" s="38">
        <v>0.09</v>
      </c>
      <c r="G61" s="39">
        <f>IF(OR(B61="FIXO",B61="XFIXO"),IF(F61="","ERRO",10*F61)*'BD Campos'!$W$2,IF(F61="","ERRO",10*F61)*'BD Campos'!$W$3)</f>
        <v>0.89999999999999991</v>
      </c>
      <c r="H61" s="40">
        <v>0.05</v>
      </c>
      <c r="I61" s="41">
        <f t="shared" si="1"/>
        <v>-4.4999999999999998E-2</v>
      </c>
    </row>
    <row r="62" spans="1:9" hidden="1" x14ac:dyDescent="0.35">
      <c r="A62" s="43" t="str">
        <f t="shared" si="0"/>
        <v>PARADA INDEVIDAMotorista 28</v>
      </c>
      <c r="B62" s="43" t="s">
        <v>121</v>
      </c>
      <c r="C62" s="37" t="s">
        <v>204</v>
      </c>
      <c r="D62" s="37">
        <v>8</v>
      </c>
      <c r="E62" s="43" t="s">
        <v>1224</v>
      </c>
      <c r="F62" s="38">
        <v>9.2499999999999999E-2</v>
      </c>
      <c r="G62" s="39">
        <f>IF(OR(B62="FIXO",B62="XFIXO"),IF(F62="","ERRO",10*F62)*'BD Campos'!$W$2,IF(F62="","ERRO",10*F62)*'BD Campos'!$W$3)</f>
        <v>0.92500000000000004</v>
      </c>
      <c r="H62" s="40">
        <v>0.05</v>
      </c>
      <c r="I62" s="41">
        <f t="shared" si="1"/>
        <v>-4.6250000000000006E-2</v>
      </c>
    </row>
    <row r="63" spans="1:9" hidden="1" x14ac:dyDescent="0.35">
      <c r="A63" s="43" t="str">
        <f t="shared" si="0"/>
        <v>PARADA INDEVIDAMotorista 29</v>
      </c>
      <c r="B63" s="43" t="s">
        <v>121</v>
      </c>
      <c r="C63" s="37" t="s">
        <v>204</v>
      </c>
      <c r="D63" s="37">
        <v>9</v>
      </c>
      <c r="E63" s="37" t="s">
        <v>1220</v>
      </c>
      <c r="F63" s="38">
        <v>9.2499999999999999E-2</v>
      </c>
      <c r="G63" s="39">
        <f>IF(OR(B63="FIXO",B63="XFIXO"),IF(F63="","ERRO",10*F63)*'BD Campos'!$W$2,IF(F63="","ERRO",10*F63)*'BD Campos'!$W$3)</f>
        <v>0.92500000000000004</v>
      </c>
      <c r="H63" s="40">
        <v>0.05</v>
      </c>
      <c r="I63" s="41">
        <f t="shared" si="1"/>
        <v>-4.6250000000000006E-2</v>
      </c>
    </row>
    <row r="64" spans="1:9" hidden="1" x14ac:dyDescent="0.35">
      <c r="A64" s="43" t="str">
        <f t="shared" si="0"/>
        <v>PARADA INDEVIDAMotorista 210</v>
      </c>
      <c r="B64" s="43" t="s">
        <v>121</v>
      </c>
      <c r="C64" s="37" t="s">
        <v>204</v>
      </c>
      <c r="D64" s="37">
        <v>10</v>
      </c>
      <c r="E64" s="43" t="s">
        <v>1225</v>
      </c>
      <c r="F64" s="38">
        <v>0.09</v>
      </c>
      <c r="G64" s="39">
        <f>IF(OR(B64="FIXO",B64="XFIXO"),IF(F64="","ERRO",10*F64)*'BD Campos'!$W$2,IF(F64="","ERRO",10*F64)*'BD Campos'!$W$3)</f>
        <v>0.89999999999999991</v>
      </c>
      <c r="H64" s="40">
        <v>0.05</v>
      </c>
      <c r="I64" s="41">
        <f t="shared" si="1"/>
        <v>-4.4999999999999998E-2</v>
      </c>
    </row>
    <row r="65" spans="1:9" hidden="1" x14ac:dyDescent="0.35">
      <c r="A65" s="44" t="str">
        <f t="shared" ref="A65:A128" si="2">B65&amp;C65&amp;D65</f>
        <v>PARADA INDEVIDAMotorista 211</v>
      </c>
      <c r="B65" s="43" t="s">
        <v>121</v>
      </c>
      <c r="C65" s="37" t="s">
        <v>204</v>
      </c>
      <c r="D65" s="37">
        <v>11</v>
      </c>
      <c r="E65" s="43" t="s">
        <v>1223</v>
      </c>
      <c r="F65" s="38">
        <v>9.5000000000000001E-2</v>
      </c>
      <c r="G65" s="39">
        <f>IF(OR(B65="FIXO",B65="XFIXO"),IF(F65="","ERRO",10*F65)*'BD Campos'!$W$2,IF(F65="","ERRO",10*F65)*'BD Campos'!$W$3)</f>
        <v>0.95</v>
      </c>
      <c r="H65" s="40">
        <v>0.05</v>
      </c>
      <c r="I65" s="41">
        <f t="shared" ref="I65:I128" si="3">H65*G65*-1</f>
        <v>-4.7500000000000001E-2</v>
      </c>
    </row>
    <row r="66" spans="1:9" hidden="1" x14ac:dyDescent="0.35">
      <c r="A66" s="37" t="str">
        <f t="shared" si="2"/>
        <v>POSIÇÃO EM ATRASOMotorista 21</v>
      </c>
      <c r="B66" s="37" t="s">
        <v>123</v>
      </c>
      <c r="C66" s="37" t="s">
        <v>204</v>
      </c>
      <c r="D66" s="37">
        <v>1</v>
      </c>
      <c r="E66" s="37" t="s">
        <v>1212</v>
      </c>
      <c r="F66" s="38">
        <v>0.1</v>
      </c>
      <c r="G66" s="39">
        <f>IF(OR(B66="FIXO",B66="XFIXO"),IF(F66="","ERRO",10*F66)*'BD Campos'!$W$2,IF(F66="","ERRO",10*F66)*'BD Campos'!$W$3)</f>
        <v>1</v>
      </c>
      <c r="H66" s="40">
        <v>0.05</v>
      </c>
      <c r="I66" s="41">
        <f t="shared" si="3"/>
        <v>-0.05</v>
      </c>
    </row>
    <row r="67" spans="1:9" hidden="1" x14ac:dyDescent="0.35">
      <c r="A67" s="37" t="str">
        <f t="shared" si="2"/>
        <v>POSIÇÃO EM ATRASOMotorista 22</v>
      </c>
      <c r="B67" s="37" t="s">
        <v>123</v>
      </c>
      <c r="C67" s="37" t="s">
        <v>204</v>
      </c>
      <c r="D67" s="37">
        <v>2</v>
      </c>
      <c r="E67" s="37" t="s">
        <v>1213</v>
      </c>
      <c r="F67" s="38">
        <v>0.1</v>
      </c>
      <c r="G67" s="39">
        <f>IF(OR(B67="FIXO",B67="XFIXO"),IF(F67="","ERRO",10*F67)*'BD Campos'!$W$2,IF(F67="","ERRO",10*F67)*'BD Campos'!$W$3)</f>
        <v>1</v>
      </c>
      <c r="H67" s="40">
        <v>0.05</v>
      </c>
      <c r="I67" s="41">
        <f t="shared" si="3"/>
        <v>-0.05</v>
      </c>
    </row>
    <row r="68" spans="1:9" hidden="1" x14ac:dyDescent="0.35">
      <c r="A68" s="37" t="str">
        <f t="shared" si="2"/>
        <v>POSIÇÃO EM ATRASOMotorista 23</v>
      </c>
      <c r="B68" s="37" t="s">
        <v>123</v>
      </c>
      <c r="C68" s="37" t="s">
        <v>204</v>
      </c>
      <c r="D68" s="37">
        <v>3</v>
      </c>
      <c r="E68" s="37" t="s">
        <v>1214</v>
      </c>
      <c r="F68" s="38">
        <v>0.1</v>
      </c>
      <c r="G68" s="39">
        <f>IF(OR(B68="FIXO",B68="XFIXO"),IF(F68="","ERRO",10*F68)*'BD Campos'!$W$2,IF(F68="","ERRO",10*F68)*'BD Campos'!$W$3)</f>
        <v>1</v>
      </c>
      <c r="H68" s="40">
        <v>0.05</v>
      </c>
      <c r="I68" s="41">
        <f t="shared" si="3"/>
        <v>-0.05</v>
      </c>
    </row>
    <row r="69" spans="1:9" hidden="1" x14ac:dyDescent="0.35">
      <c r="A69" s="37" t="str">
        <f t="shared" si="2"/>
        <v>POSIÇÃO EM ATRASOMotorista 24</v>
      </c>
      <c r="B69" s="37" t="s">
        <v>123</v>
      </c>
      <c r="C69" s="37" t="s">
        <v>204</v>
      </c>
      <c r="D69" s="37">
        <v>4</v>
      </c>
      <c r="E69" s="37" t="s">
        <v>1215</v>
      </c>
      <c r="F69" s="38">
        <v>0.1</v>
      </c>
      <c r="G69" s="39">
        <f>IF(OR(B69="FIXO",B69="XFIXO"),IF(F69="","ERRO",10*F69)*'BD Campos'!$W$2,IF(F69="","ERRO",10*F69)*'BD Campos'!$W$3)</f>
        <v>1</v>
      </c>
      <c r="H69" s="40">
        <v>0.05</v>
      </c>
      <c r="I69" s="41">
        <f t="shared" si="3"/>
        <v>-0.05</v>
      </c>
    </row>
    <row r="70" spans="1:9" hidden="1" x14ac:dyDescent="0.35">
      <c r="A70" s="37" t="str">
        <f t="shared" si="2"/>
        <v>POSIÇÃO EM ATRASOMotorista 25</v>
      </c>
      <c r="B70" s="37" t="s">
        <v>123</v>
      </c>
      <c r="C70" s="37" t="s">
        <v>204</v>
      </c>
      <c r="D70" s="37">
        <v>5</v>
      </c>
      <c r="E70" s="37" t="s">
        <v>1216</v>
      </c>
      <c r="F70" s="38">
        <v>0.1</v>
      </c>
      <c r="G70" s="39">
        <f>IF(OR(B70="FIXO",B70="XFIXO"),IF(F70="","ERRO",10*F70)*'BD Campos'!$W$2,IF(F70="","ERRO",10*F70)*'BD Campos'!$W$3)</f>
        <v>1</v>
      </c>
      <c r="H70" s="40">
        <v>0.05</v>
      </c>
      <c r="I70" s="41">
        <f t="shared" si="3"/>
        <v>-0.05</v>
      </c>
    </row>
    <row r="71" spans="1:9" hidden="1" x14ac:dyDescent="0.35">
      <c r="A71" s="37" t="str">
        <f t="shared" si="2"/>
        <v>POSIÇÃO EM ATRASOMotorista 26</v>
      </c>
      <c r="B71" s="37" t="s">
        <v>123</v>
      </c>
      <c r="C71" s="37" t="s">
        <v>204</v>
      </c>
      <c r="D71" s="37">
        <v>6</v>
      </c>
      <c r="E71" s="37" t="s">
        <v>1217</v>
      </c>
      <c r="F71" s="38">
        <v>0.1</v>
      </c>
      <c r="G71" s="39">
        <f>IF(OR(B71="FIXO",B71="XFIXO"),IF(F71="","ERRO",10*F71)*'BD Campos'!$W$2,IF(F71="","ERRO",10*F71)*'BD Campos'!$W$3)</f>
        <v>1</v>
      </c>
      <c r="H71" s="40">
        <v>0.05</v>
      </c>
      <c r="I71" s="41">
        <f t="shared" si="3"/>
        <v>-0.05</v>
      </c>
    </row>
    <row r="72" spans="1:9" hidden="1" x14ac:dyDescent="0.35">
      <c r="A72" s="37" t="str">
        <f t="shared" si="2"/>
        <v>POSIÇÃO EM ATRASOMotorista 27</v>
      </c>
      <c r="B72" s="37" t="s">
        <v>123</v>
      </c>
      <c r="C72" s="37" t="s">
        <v>204</v>
      </c>
      <c r="D72" s="37">
        <v>7</v>
      </c>
      <c r="E72" s="37" t="s">
        <v>1218</v>
      </c>
      <c r="F72" s="38">
        <v>0.1</v>
      </c>
      <c r="G72" s="39">
        <f>IF(OR(B72="FIXO",B72="XFIXO"),IF(F72="","ERRO",10*F72)*'BD Campos'!$W$2,IF(F72="","ERRO",10*F72)*'BD Campos'!$W$3)</f>
        <v>1</v>
      </c>
      <c r="H72" s="40">
        <v>0.05</v>
      </c>
      <c r="I72" s="41">
        <f t="shared" si="3"/>
        <v>-0.05</v>
      </c>
    </row>
    <row r="73" spans="1:9" hidden="1" x14ac:dyDescent="0.35">
      <c r="A73" s="37" t="str">
        <f t="shared" si="2"/>
        <v>POSIÇÃO EM ATRASOMotorista 28</v>
      </c>
      <c r="B73" s="37" t="s">
        <v>123</v>
      </c>
      <c r="C73" s="37" t="s">
        <v>204</v>
      </c>
      <c r="D73" s="37">
        <v>8</v>
      </c>
      <c r="E73" s="37" t="s">
        <v>1226</v>
      </c>
      <c r="F73" s="38">
        <v>0.1</v>
      </c>
      <c r="G73" s="39">
        <f>IF(OR(B73="FIXO",B73="XFIXO"),IF(F73="","ERRO",10*F73)*'BD Campos'!$W$2,IF(F73="","ERRO",10*F73)*'BD Campos'!$W$3)</f>
        <v>1</v>
      </c>
      <c r="H73" s="40">
        <v>0.05</v>
      </c>
      <c r="I73" s="41">
        <f t="shared" si="3"/>
        <v>-0.05</v>
      </c>
    </row>
    <row r="74" spans="1:9" hidden="1" x14ac:dyDescent="0.35">
      <c r="A74" s="37" t="str">
        <f t="shared" si="2"/>
        <v>POSIÇÃO EM ATRASOMotorista 29</v>
      </c>
      <c r="B74" s="37" t="s">
        <v>123</v>
      </c>
      <c r="C74" s="37" t="s">
        <v>204</v>
      </c>
      <c r="D74" s="37">
        <v>9</v>
      </c>
      <c r="E74" s="37" t="s">
        <v>1227</v>
      </c>
      <c r="F74" s="38">
        <v>0.1</v>
      </c>
      <c r="G74" s="39">
        <f>IF(OR(B74="FIXO",B74="XFIXO"),IF(F74="","ERRO",10*F74)*'BD Campos'!$W$2,IF(F74="","ERRO",10*F74)*'BD Campos'!$W$3)</f>
        <v>1</v>
      </c>
      <c r="H74" s="40">
        <v>0.05</v>
      </c>
      <c r="I74" s="41">
        <f t="shared" si="3"/>
        <v>-0.05</v>
      </c>
    </row>
    <row r="75" spans="1:9" hidden="1" x14ac:dyDescent="0.35">
      <c r="A75" s="42" t="str">
        <f t="shared" si="2"/>
        <v>POSIÇÃO EM ATRASOMotorista 210</v>
      </c>
      <c r="B75" s="37" t="s">
        <v>123</v>
      </c>
      <c r="C75" s="37" t="s">
        <v>204</v>
      </c>
      <c r="D75" s="37">
        <v>10</v>
      </c>
      <c r="E75" s="37" t="s">
        <v>1228</v>
      </c>
      <c r="F75" s="38">
        <v>0.1</v>
      </c>
      <c r="G75" s="39">
        <f>IF(OR(B75="FIXO",B75="XFIXO"),IF(F75="","ERRO",10*F75)*'BD Campos'!$W$2,IF(F75="","ERRO",10*F75)*'BD Campos'!$W$3)</f>
        <v>1</v>
      </c>
      <c r="H75" s="40">
        <v>0.05</v>
      </c>
      <c r="I75" s="41">
        <f t="shared" si="3"/>
        <v>-0.05</v>
      </c>
    </row>
    <row r="76" spans="1:9" hidden="1" x14ac:dyDescent="0.35">
      <c r="A76" s="37" t="str">
        <f t="shared" si="2"/>
        <v>ALERTAS PRIORITÁRIOSMotorista 21</v>
      </c>
      <c r="B76" s="37" t="s">
        <v>147</v>
      </c>
      <c r="C76" s="37" t="s">
        <v>204</v>
      </c>
      <c r="D76" s="37">
        <v>1</v>
      </c>
      <c r="E76" s="37" t="s">
        <v>1212</v>
      </c>
      <c r="F76" s="38">
        <v>0.11</v>
      </c>
      <c r="G76" s="39">
        <f>IF(OR(B76="FIXO",B76="XFIXO"),IF(F76="","ERRO",10*F76)*'BD Campos'!$W$2,IF(F76="","ERRO",10*F76)*'BD Campos'!$W$3)</f>
        <v>1.1000000000000001</v>
      </c>
      <c r="H76" s="40">
        <v>0.05</v>
      </c>
      <c r="I76" s="41">
        <f t="shared" si="3"/>
        <v>-5.5000000000000007E-2</v>
      </c>
    </row>
    <row r="77" spans="1:9" hidden="1" x14ac:dyDescent="0.35">
      <c r="A77" s="37" t="str">
        <f t="shared" si="2"/>
        <v>ALERTAS PRIORITÁRIOSMotorista 22</v>
      </c>
      <c r="B77" s="37" t="s">
        <v>147</v>
      </c>
      <c r="C77" s="37" t="s">
        <v>204</v>
      </c>
      <c r="D77" s="37">
        <v>2</v>
      </c>
      <c r="E77" s="37" t="s">
        <v>1213</v>
      </c>
      <c r="F77" s="38">
        <v>0.11</v>
      </c>
      <c r="G77" s="39">
        <f>IF(OR(B77="FIXO",B77="XFIXO"),IF(F77="","ERRO",10*F77)*'BD Campos'!$W$2,IF(F77="","ERRO",10*F77)*'BD Campos'!$W$3)</f>
        <v>1.1000000000000001</v>
      </c>
      <c r="H77" s="40">
        <v>0.05</v>
      </c>
      <c r="I77" s="41">
        <f t="shared" si="3"/>
        <v>-5.5000000000000007E-2</v>
      </c>
    </row>
    <row r="78" spans="1:9" hidden="1" x14ac:dyDescent="0.35">
      <c r="A78" s="37" t="str">
        <f t="shared" si="2"/>
        <v>ALERTAS PRIORITÁRIOSMotorista 23</v>
      </c>
      <c r="B78" s="37" t="s">
        <v>147</v>
      </c>
      <c r="C78" s="37" t="s">
        <v>204</v>
      </c>
      <c r="D78" s="37">
        <v>3</v>
      </c>
      <c r="E78" s="37" t="s">
        <v>1214</v>
      </c>
      <c r="F78" s="38">
        <v>0.11</v>
      </c>
      <c r="G78" s="39">
        <f>IF(OR(B78="FIXO",B78="XFIXO"),IF(F78="","ERRO",10*F78)*'BD Campos'!$W$2,IF(F78="","ERRO",10*F78)*'BD Campos'!$W$3)</f>
        <v>1.1000000000000001</v>
      </c>
      <c r="H78" s="40">
        <v>0.05</v>
      </c>
      <c r="I78" s="41">
        <f t="shared" si="3"/>
        <v>-5.5000000000000007E-2</v>
      </c>
    </row>
    <row r="79" spans="1:9" hidden="1" x14ac:dyDescent="0.35">
      <c r="A79" s="37" t="str">
        <f t="shared" si="2"/>
        <v>ALERTAS PRIORITÁRIOSMotorista 24</v>
      </c>
      <c r="B79" s="37" t="s">
        <v>147</v>
      </c>
      <c r="C79" s="37" t="s">
        <v>204</v>
      </c>
      <c r="D79" s="37">
        <v>4</v>
      </c>
      <c r="E79" s="37" t="s">
        <v>1215</v>
      </c>
      <c r="F79" s="38">
        <v>0.11</v>
      </c>
      <c r="G79" s="39">
        <f>IF(OR(B79="FIXO",B79="XFIXO"),IF(F79="","ERRO",10*F79)*'BD Campos'!$W$2,IF(F79="","ERRO",10*F79)*'BD Campos'!$W$3)</f>
        <v>1.1000000000000001</v>
      </c>
      <c r="H79" s="40">
        <v>0.05</v>
      </c>
      <c r="I79" s="41">
        <f t="shared" si="3"/>
        <v>-5.5000000000000007E-2</v>
      </c>
    </row>
    <row r="80" spans="1:9" hidden="1" x14ac:dyDescent="0.35">
      <c r="A80" s="37" t="str">
        <f t="shared" si="2"/>
        <v>ALERTAS PRIORITÁRIOSMotorista 25</v>
      </c>
      <c r="B80" s="37" t="s">
        <v>147</v>
      </c>
      <c r="C80" s="37" t="s">
        <v>204</v>
      </c>
      <c r="D80" s="37">
        <v>5</v>
      </c>
      <c r="E80" s="37" t="s">
        <v>1216</v>
      </c>
      <c r="F80" s="38">
        <v>0.11</v>
      </c>
      <c r="G80" s="39">
        <f>IF(OR(B80="FIXO",B80="XFIXO"),IF(F80="","ERRO",10*F80)*'BD Campos'!$W$2,IF(F80="","ERRO",10*F80)*'BD Campos'!$W$3)</f>
        <v>1.1000000000000001</v>
      </c>
      <c r="H80" s="40">
        <v>0.05</v>
      </c>
      <c r="I80" s="41">
        <f t="shared" si="3"/>
        <v>-5.5000000000000007E-2</v>
      </c>
    </row>
    <row r="81" spans="1:9" hidden="1" x14ac:dyDescent="0.35">
      <c r="A81" s="37" t="str">
        <f t="shared" si="2"/>
        <v>ALERTAS PRIORITÁRIOSMotorista 26</v>
      </c>
      <c r="B81" s="37" t="s">
        <v>147</v>
      </c>
      <c r="C81" s="37" t="s">
        <v>204</v>
      </c>
      <c r="D81" s="37">
        <v>6</v>
      </c>
      <c r="E81" s="37" t="s">
        <v>1217</v>
      </c>
      <c r="F81" s="38">
        <v>0.16</v>
      </c>
      <c r="G81" s="39">
        <f>IF(OR(B81="FIXO",B81="XFIXO"),IF(F81="","ERRO",10*F81)*'BD Campos'!$W$2,IF(F81="","ERRO",10*F81)*'BD Campos'!$W$3)</f>
        <v>1.6</v>
      </c>
      <c r="H81" s="40">
        <v>0.05</v>
      </c>
      <c r="I81" s="41">
        <f t="shared" si="3"/>
        <v>-8.0000000000000016E-2</v>
      </c>
    </row>
    <row r="82" spans="1:9" hidden="1" x14ac:dyDescent="0.35">
      <c r="A82" s="37" t="str">
        <f t="shared" si="2"/>
        <v>ALERTAS PRIORITÁRIOSMotorista 27</v>
      </c>
      <c r="B82" s="37" t="s">
        <v>147</v>
      </c>
      <c r="C82" s="37" t="s">
        <v>204</v>
      </c>
      <c r="D82" s="37">
        <v>7</v>
      </c>
      <c r="E82" s="37" t="s">
        <v>1218</v>
      </c>
      <c r="F82" s="38">
        <v>0.12</v>
      </c>
      <c r="G82" s="39">
        <f>IF(OR(B82="FIXO",B82="XFIXO"),IF(F82="","ERRO",10*F82)*'BD Campos'!$W$2,IF(F82="","ERRO",10*F82)*'BD Campos'!$W$3)</f>
        <v>1.2</v>
      </c>
      <c r="H82" s="40">
        <v>0.05</v>
      </c>
      <c r="I82" s="41">
        <f t="shared" si="3"/>
        <v>-0.06</v>
      </c>
    </row>
    <row r="83" spans="1:9" hidden="1" x14ac:dyDescent="0.35">
      <c r="A83" s="37" t="str">
        <f t="shared" si="2"/>
        <v>ALERTAS PRIORITÁRIOSMotorista 28</v>
      </c>
      <c r="B83" s="37" t="s">
        <v>147</v>
      </c>
      <c r="C83" s="37" t="s">
        <v>204</v>
      </c>
      <c r="D83" s="37">
        <v>8</v>
      </c>
      <c r="E83" s="37" t="s">
        <v>1229</v>
      </c>
      <c r="F83" s="38">
        <v>0.17</v>
      </c>
      <c r="G83" s="39">
        <f>IF(OR(B83="FIXO",B83="XFIXO"),IF(F83="","ERRO",10*F83)*'BD Campos'!$W$2,IF(F83="","ERRO",10*F83)*'BD Campos'!$W$3)</f>
        <v>1.7000000000000002</v>
      </c>
      <c r="H83" s="40">
        <v>0.05</v>
      </c>
      <c r="I83" s="41">
        <f t="shared" si="3"/>
        <v>-8.500000000000002E-2</v>
      </c>
    </row>
    <row r="84" spans="1:9" hidden="1" x14ac:dyDescent="0.35">
      <c r="A84" s="37" t="str">
        <f t="shared" si="2"/>
        <v>DESVIO DE ROTACliente1</v>
      </c>
      <c r="B84" s="37" t="s">
        <v>126</v>
      </c>
      <c r="C84" s="37" t="s">
        <v>124</v>
      </c>
      <c r="D84" s="37">
        <v>1</v>
      </c>
      <c r="E84" s="37" t="s">
        <v>1212</v>
      </c>
      <c r="F84" s="38">
        <v>0.1</v>
      </c>
      <c r="G84" s="39">
        <f>IF(OR(B84="FIXO",B84="XFIXO"),IF(F84="","ERRO",10*F84)*'BD Campos'!$W$2,IF(F84="","ERRO",10*F84)*'BD Campos'!$W$3)</f>
        <v>1</v>
      </c>
      <c r="H84" s="40">
        <v>0.05</v>
      </c>
      <c r="I84" s="41">
        <f t="shared" si="3"/>
        <v>-0.05</v>
      </c>
    </row>
    <row r="85" spans="1:9" s="19" customFormat="1" hidden="1" x14ac:dyDescent="0.35">
      <c r="A85" s="37" t="str">
        <f t="shared" si="2"/>
        <v>DESVIO DE ROTACliente2</v>
      </c>
      <c r="B85" s="37" t="s">
        <v>126</v>
      </c>
      <c r="C85" s="37" t="s">
        <v>124</v>
      </c>
      <c r="D85" s="37">
        <v>2</v>
      </c>
      <c r="E85" s="37" t="s">
        <v>1213</v>
      </c>
      <c r="F85" s="38">
        <v>0.1</v>
      </c>
      <c r="G85" s="39">
        <f>IF(OR(B85="FIXO",B85="XFIXO"),IF(F85="","ERRO",10*F85)*'BD Campos'!$W$2,IF(F85="","ERRO",10*F85)*'BD Campos'!$W$3)</f>
        <v>1</v>
      </c>
      <c r="H85" s="40">
        <v>0.05</v>
      </c>
      <c r="I85" s="41">
        <f t="shared" si="3"/>
        <v>-0.05</v>
      </c>
    </row>
    <row r="86" spans="1:9" s="19" customFormat="1" hidden="1" x14ac:dyDescent="0.35">
      <c r="A86" s="37" t="str">
        <f t="shared" si="2"/>
        <v>DESVIO DE ROTACliente3</v>
      </c>
      <c r="B86" s="37" t="s">
        <v>126</v>
      </c>
      <c r="C86" s="37" t="s">
        <v>124</v>
      </c>
      <c r="D86" s="37">
        <v>3</v>
      </c>
      <c r="E86" s="37" t="s">
        <v>1214</v>
      </c>
      <c r="F86" s="38">
        <v>0.1</v>
      </c>
      <c r="G86" s="39">
        <f>IF(OR(B86="FIXO",B86="XFIXO"),IF(F86="","ERRO",10*F86)*'BD Campos'!$W$2,IF(F86="","ERRO",10*F86)*'BD Campos'!$W$3)</f>
        <v>1</v>
      </c>
      <c r="H86" s="40">
        <v>0.05</v>
      </c>
      <c r="I86" s="41">
        <f t="shared" si="3"/>
        <v>-0.05</v>
      </c>
    </row>
    <row r="87" spans="1:9" s="19" customFormat="1" hidden="1" x14ac:dyDescent="0.35">
      <c r="A87" s="37" t="str">
        <f t="shared" si="2"/>
        <v>DESVIO DE ROTACliente4</v>
      </c>
      <c r="B87" s="37" t="s">
        <v>126</v>
      </c>
      <c r="C87" s="37" t="s">
        <v>124</v>
      </c>
      <c r="D87" s="37">
        <v>4</v>
      </c>
      <c r="E87" s="37" t="s">
        <v>1215</v>
      </c>
      <c r="F87" s="38">
        <v>0.1</v>
      </c>
      <c r="G87" s="39">
        <f>IF(OR(B87="FIXO",B87="XFIXO"),IF(F87="","ERRO",10*F87)*'BD Campos'!$W$2,IF(F87="","ERRO",10*F87)*'BD Campos'!$W$3)</f>
        <v>1</v>
      </c>
      <c r="H87" s="40">
        <v>0.05</v>
      </c>
      <c r="I87" s="41">
        <f t="shared" si="3"/>
        <v>-0.05</v>
      </c>
    </row>
    <row r="88" spans="1:9" s="19" customFormat="1" hidden="1" x14ac:dyDescent="0.35">
      <c r="A88" s="37" t="str">
        <f t="shared" si="2"/>
        <v>DESVIO DE ROTACliente5</v>
      </c>
      <c r="B88" s="37" t="s">
        <v>126</v>
      </c>
      <c r="C88" s="37" t="s">
        <v>124</v>
      </c>
      <c r="D88" s="37">
        <v>5</v>
      </c>
      <c r="E88" s="37" t="s">
        <v>1216</v>
      </c>
      <c r="F88" s="38">
        <v>0.1</v>
      </c>
      <c r="G88" s="39">
        <f>IF(OR(B88="FIXO",B88="XFIXO"),IF(F88="","ERRO",10*F88)*'BD Campos'!$W$2,IF(F88="","ERRO",10*F88)*'BD Campos'!$W$3)</f>
        <v>1</v>
      </c>
      <c r="H88" s="40">
        <v>0.05</v>
      </c>
      <c r="I88" s="41">
        <f t="shared" si="3"/>
        <v>-0.05</v>
      </c>
    </row>
    <row r="89" spans="1:9" s="19" customFormat="1" hidden="1" x14ac:dyDescent="0.35">
      <c r="A89" s="37" t="str">
        <f t="shared" si="2"/>
        <v>DESVIO DE ROTACliente6</v>
      </c>
      <c r="B89" s="37" t="s">
        <v>126</v>
      </c>
      <c r="C89" s="37" t="s">
        <v>124</v>
      </c>
      <c r="D89" s="37">
        <v>6</v>
      </c>
      <c r="E89" s="37" t="s">
        <v>1217</v>
      </c>
      <c r="F89" s="38">
        <v>0.1</v>
      </c>
      <c r="G89" s="39">
        <f>IF(OR(B89="FIXO",B89="XFIXO"),IF(F89="","ERRO",10*F89)*'BD Campos'!$W$2,IF(F89="","ERRO",10*F89)*'BD Campos'!$W$3)</f>
        <v>1</v>
      </c>
      <c r="H89" s="40">
        <v>0.05</v>
      </c>
      <c r="I89" s="41">
        <f t="shared" si="3"/>
        <v>-0.05</v>
      </c>
    </row>
    <row r="90" spans="1:9" s="19" customFormat="1" hidden="1" x14ac:dyDescent="0.35">
      <c r="A90" s="37" t="str">
        <f t="shared" si="2"/>
        <v>DESVIO DE ROTACliente7</v>
      </c>
      <c r="B90" s="37" t="s">
        <v>126</v>
      </c>
      <c r="C90" s="37" t="s">
        <v>124</v>
      </c>
      <c r="D90" s="37">
        <v>7</v>
      </c>
      <c r="E90" s="45" t="s">
        <v>1230</v>
      </c>
      <c r="F90" s="38">
        <v>0.1</v>
      </c>
      <c r="G90" s="39">
        <f>IF(OR(B90="FIXO",B90="XFIXO"),IF(F90="","ERRO",10*F90)*'BD Campos'!$W$2,IF(F90="","ERRO",10*F90)*'BD Campos'!$W$3)</f>
        <v>1</v>
      </c>
      <c r="H90" s="40">
        <v>0.05</v>
      </c>
      <c r="I90" s="41">
        <f t="shared" si="3"/>
        <v>-0.05</v>
      </c>
    </row>
    <row r="91" spans="1:9" s="19" customFormat="1" hidden="1" x14ac:dyDescent="0.35">
      <c r="A91" s="37" t="str">
        <f t="shared" si="2"/>
        <v>DESVIO DE ROTACliente8</v>
      </c>
      <c r="B91" s="37" t="s">
        <v>126</v>
      </c>
      <c r="C91" s="37" t="s">
        <v>124</v>
      </c>
      <c r="D91" s="37">
        <v>8</v>
      </c>
      <c r="E91" s="45" t="s">
        <v>1231</v>
      </c>
      <c r="F91" s="38">
        <v>0.1</v>
      </c>
      <c r="G91" s="39">
        <f>IF(OR(B91="FIXO",B91="XFIXO"),IF(F91="","ERRO",10*F91)*'BD Campos'!$W$2,IF(F91="","ERRO",10*F91)*'BD Campos'!$W$3)</f>
        <v>1</v>
      </c>
      <c r="H91" s="40">
        <v>0.05</v>
      </c>
      <c r="I91" s="41">
        <f t="shared" si="3"/>
        <v>-0.05</v>
      </c>
    </row>
    <row r="92" spans="1:9" s="19" customFormat="1" hidden="1" x14ac:dyDescent="0.35">
      <c r="A92" s="37" t="str">
        <f t="shared" si="2"/>
        <v>DESVIO DE ROTACliente9</v>
      </c>
      <c r="B92" s="37" t="s">
        <v>126</v>
      </c>
      <c r="C92" s="37" t="s">
        <v>124</v>
      </c>
      <c r="D92" s="37">
        <v>9</v>
      </c>
      <c r="E92" s="45" t="s">
        <v>1232</v>
      </c>
      <c r="F92" s="38">
        <v>0.1</v>
      </c>
      <c r="G92" s="39">
        <f>IF(OR(B92="FIXO",B92="XFIXO"),IF(F92="","ERRO",10*F92)*'BD Campos'!$W$2,IF(F92="","ERRO",10*F92)*'BD Campos'!$W$3)</f>
        <v>1</v>
      </c>
      <c r="H92" s="40">
        <v>0.05</v>
      </c>
      <c r="I92" s="41">
        <f t="shared" si="3"/>
        <v>-0.05</v>
      </c>
    </row>
    <row r="93" spans="1:9" s="19" customFormat="1" hidden="1" x14ac:dyDescent="0.35">
      <c r="A93" s="37" t="str">
        <f t="shared" si="2"/>
        <v>DESVIO DE ROTACliente10</v>
      </c>
      <c r="B93" s="37" t="s">
        <v>126</v>
      </c>
      <c r="C93" s="37" t="s">
        <v>124</v>
      </c>
      <c r="D93" s="37">
        <v>10</v>
      </c>
      <c r="E93" s="37" t="s">
        <v>1220</v>
      </c>
      <c r="F93" s="38">
        <v>0.1</v>
      </c>
      <c r="G93" s="39">
        <f>IF(OR(B93="FIXO",B93="XFIXO"),IF(F93="","ERRO",10*F93)*'BD Campos'!$W$2,IF(F93="","ERRO",10*F93)*'BD Campos'!$W$3)</f>
        <v>1</v>
      </c>
      <c r="H93" s="40">
        <v>0.05</v>
      </c>
      <c r="I93" s="41">
        <f t="shared" si="3"/>
        <v>-0.05</v>
      </c>
    </row>
    <row r="94" spans="1:9" s="19" customFormat="1" hidden="1" x14ac:dyDescent="0.35">
      <c r="A94" s="37" t="str">
        <f t="shared" si="2"/>
        <v>PARADA INDEVIDACliente1</v>
      </c>
      <c r="B94" s="37" t="s">
        <v>121</v>
      </c>
      <c r="C94" s="37" t="s">
        <v>124</v>
      </c>
      <c r="D94" s="43">
        <v>1</v>
      </c>
      <c r="E94" s="37" t="s">
        <v>1212</v>
      </c>
      <c r="F94" s="38">
        <v>0.09</v>
      </c>
      <c r="G94" s="39">
        <f>IF(OR(B94="FIXO",B94="XFIXO"),IF(F94="","ERRO",10*F94)*'BD Campos'!$W$2,IF(F94="","ERRO",10*F94)*'BD Campos'!$W$3)</f>
        <v>0.89999999999999991</v>
      </c>
      <c r="H94" s="40">
        <v>0.05</v>
      </c>
      <c r="I94" s="41">
        <f t="shared" si="3"/>
        <v>-4.4999999999999998E-2</v>
      </c>
    </row>
    <row r="95" spans="1:9" s="19" customFormat="1" hidden="1" x14ac:dyDescent="0.35">
      <c r="A95" s="37" t="str">
        <f t="shared" si="2"/>
        <v>PARADA INDEVIDACliente2</v>
      </c>
      <c r="B95" s="37" t="s">
        <v>121</v>
      </c>
      <c r="C95" s="37" t="s">
        <v>124</v>
      </c>
      <c r="D95" s="43">
        <v>2</v>
      </c>
      <c r="E95" s="37" t="s">
        <v>1213</v>
      </c>
      <c r="F95" s="38">
        <v>0.09</v>
      </c>
      <c r="G95" s="39">
        <f>IF(OR(B95="FIXO",B95="XFIXO"),IF(F95="","ERRO",10*F95)*'BD Campos'!$W$2,IF(F95="","ERRO",10*F95)*'BD Campos'!$W$3)</f>
        <v>0.89999999999999991</v>
      </c>
      <c r="H95" s="40">
        <v>0.05</v>
      </c>
      <c r="I95" s="41">
        <f t="shared" si="3"/>
        <v>-4.4999999999999998E-2</v>
      </c>
    </row>
    <row r="96" spans="1:9" s="19" customFormat="1" hidden="1" x14ac:dyDescent="0.35">
      <c r="A96" s="37" t="str">
        <f t="shared" si="2"/>
        <v>PARADA INDEVIDACliente3</v>
      </c>
      <c r="B96" s="37" t="s">
        <v>121</v>
      </c>
      <c r="C96" s="37" t="s">
        <v>124</v>
      </c>
      <c r="D96" s="43">
        <v>3</v>
      </c>
      <c r="E96" s="37" t="s">
        <v>1214</v>
      </c>
      <c r="F96" s="38">
        <v>0.09</v>
      </c>
      <c r="G96" s="39">
        <f>IF(OR(B96="FIXO",B96="XFIXO"),IF(F96="","ERRO",10*F96)*'BD Campos'!$W$2,IF(F96="","ERRO",10*F96)*'BD Campos'!$W$3)</f>
        <v>0.89999999999999991</v>
      </c>
      <c r="H96" s="40">
        <v>0.05</v>
      </c>
      <c r="I96" s="41">
        <f t="shared" si="3"/>
        <v>-4.4999999999999998E-2</v>
      </c>
    </row>
    <row r="97" spans="1:9" s="19" customFormat="1" hidden="1" x14ac:dyDescent="0.35">
      <c r="A97" s="37" t="str">
        <f t="shared" si="2"/>
        <v>PARADA INDEVIDACliente4</v>
      </c>
      <c r="B97" s="37" t="s">
        <v>121</v>
      </c>
      <c r="C97" s="37" t="s">
        <v>124</v>
      </c>
      <c r="D97" s="43">
        <v>4</v>
      </c>
      <c r="E97" s="37" t="s">
        <v>1215</v>
      </c>
      <c r="F97" s="38">
        <v>0.09</v>
      </c>
      <c r="G97" s="39">
        <f>IF(OR(B97="FIXO",B97="XFIXO"),IF(F97="","ERRO",10*F97)*'BD Campos'!$W$2,IF(F97="","ERRO",10*F97)*'BD Campos'!$W$3)</f>
        <v>0.89999999999999991</v>
      </c>
      <c r="H97" s="40">
        <v>0.05</v>
      </c>
      <c r="I97" s="41">
        <f t="shared" si="3"/>
        <v>-4.4999999999999998E-2</v>
      </c>
    </row>
    <row r="98" spans="1:9" s="19" customFormat="1" hidden="1" x14ac:dyDescent="0.35">
      <c r="A98" s="37" t="str">
        <f t="shared" si="2"/>
        <v>PARADA INDEVIDACliente5</v>
      </c>
      <c r="B98" s="37" t="s">
        <v>121</v>
      </c>
      <c r="C98" s="37" t="s">
        <v>124</v>
      </c>
      <c r="D98" s="43">
        <v>5</v>
      </c>
      <c r="E98" s="37" t="s">
        <v>1216</v>
      </c>
      <c r="F98" s="38">
        <v>0.09</v>
      </c>
      <c r="G98" s="39">
        <f>IF(OR(B98="FIXO",B98="XFIXO"),IF(F98="","ERRO",10*F98)*'BD Campos'!$W$2,IF(F98="","ERRO",10*F98)*'BD Campos'!$W$3)</f>
        <v>0.89999999999999991</v>
      </c>
      <c r="H98" s="40">
        <v>0.05</v>
      </c>
      <c r="I98" s="41">
        <f t="shared" si="3"/>
        <v>-4.4999999999999998E-2</v>
      </c>
    </row>
    <row r="99" spans="1:9" s="19" customFormat="1" hidden="1" x14ac:dyDescent="0.35">
      <c r="A99" s="37" t="str">
        <f t="shared" si="2"/>
        <v>PARADA INDEVIDACliente6</v>
      </c>
      <c r="B99" s="37" t="s">
        <v>121</v>
      </c>
      <c r="C99" s="37" t="s">
        <v>124</v>
      </c>
      <c r="D99" s="43">
        <v>6</v>
      </c>
      <c r="E99" s="37" t="s">
        <v>1217</v>
      </c>
      <c r="F99" s="38">
        <v>0.09</v>
      </c>
      <c r="G99" s="39">
        <f>IF(OR(B99="FIXO",B99="XFIXO"),IF(F99="","ERRO",10*F99)*'BD Campos'!$W$2,IF(F99="","ERRO",10*F99)*'BD Campos'!$W$3)</f>
        <v>0.89999999999999991</v>
      </c>
      <c r="H99" s="40">
        <v>0.05</v>
      </c>
      <c r="I99" s="41">
        <f t="shared" si="3"/>
        <v>-4.4999999999999998E-2</v>
      </c>
    </row>
    <row r="100" spans="1:9" s="19" customFormat="1" hidden="1" x14ac:dyDescent="0.35">
      <c r="A100" s="37" t="str">
        <f t="shared" si="2"/>
        <v>PARADA INDEVIDACliente7</v>
      </c>
      <c r="B100" s="37" t="s">
        <v>121</v>
      </c>
      <c r="C100" s="37" t="s">
        <v>124</v>
      </c>
      <c r="D100" s="43">
        <v>7</v>
      </c>
      <c r="E100" s="37" t="s">
        <v>1233</v>
      </c>
      <c r="F100" s="38">
        <v>0.09</v>
      </c>
      <c r="G100" s="39">
        <f>IF(OR(B100="FIXO",B100="XFIXO"),IF(F100="","ERRO",10*F100)*'BD Campos'!$W$2,IF(F100="","ERRO",10*F100)*'BD Campos'!$W$3)</f>
        <v>0.89999999999999991</v>
      </c>
      <c r="H100" s="40">
        <v>0.05</v>
      </c>
      <c r="I100" s="41">
        <f t="shared" si="3"/>
        <v>-4.4999999999999998E-2</v>
      </c>
    </row>
    <row r="101" spans="1:9" s="19" customFormat="1" hidden="1" x14ac:dyDescent="0.35">
      <c r="A101" s="37" t="str">
        <f t="shared" si="2"/>
        <v>PARADA INDEVIDACliente8</v>
      </c>
      <c r="B101" s="37" t="s">
        <v>121</v>
      </c>
      <c r="C101" s="37" t="s">
        <v>124</v>
      </c>
      <c r="D101" s="43">
        <v>8</v>
      </c>
      <c r="E101" s="37" t="s">
        <v>1234</v>
      </c>
      <c r="F101" s="38">
        <v>9.5000000000000001E-2</v>
      </c>
      <c r="G101" s="39">
        <f>IF(OR(B101="FIXO",B101="XFIXO"),IF(F101="","ERRO",10*F101)*'BD Campos'!$W$2,IF(F101="","ERRO",10*F101)*'BD Campos'!$W$3)</f>
        <v>0.95</v>
      </c>
      <c r="H101" s="40">
        <v>0.05</v>
      </c>
      <c r="I101" s="41">
        <f t="shared" si="3"/>
        <v>-4.7500000000000001E-2</v>
      </c>
    </row>
    <row r="102" spans="1:9" s="19" customFormat="1" hidden="1" x14ac:dyDescent="0.35">
      <c r="A102" s="37" t="str">
        <f t="shared" si="2"/>
        <v>PARADA INDEVIDACliente9</v>
      </c>
      <c r="B102" s="37" t="s">
        <v>121</v>
      </c>
      <c r="C102" s="37" t="s">
        <v>124</v>
      </c>
      <c r="D102" s="43">
        <v>9</v>
      </c>
      <c r="E102" s="37" t="s">
        <v>1235</v>
      </c>
      <c r="F102" s="38">
        <v>9.5000000000000001E-2</v>
      </c>
      <c r="G102" s="39">
        <f>IF(OR(B102="FIXO",B102="XFIXO"),IF(F102="","ERRO",10*F102)*'BD Campos'!$W$2,IF(F102="","ERRO",10*F102)*'BD Campos'!$W$3)</f>
        <v>0.95</v>
      </c>
      <c r="H102" s="40">
        <v>0.05</v>
      </c>
      <c r="I102" s="41">
        <f t="shared" si="3"/>
        <v>-4.7500000000000001E-2</v>
      </c>
    </row>
    <row r="103" spans="1:9" s="19" customFormat="1" hidden="1" x14ac:dyDescent="0.35">
      <c r="A103" s="37" t="str">
        <f t="shared" si="2"/>
        <v>PARADA INDEVIDACliente10</v>
      </c>
      <c r="B103" s="37" t="s">
        <v>121</v>
      </c>
      <c r="C103" s="37" t="s">
        <v>124</v>
      </c>
      <c r="D103" s="43">
        <v>10</v>
      </c>
      <c r="E103" s="37" t="s">
        <v>1223</v>
      </c>
      <c r="F103" s="38">
        <v>0.09</v>
      </c>
      <c r="G103" s="39">
        <f>IF(OR(B103="FIXO",B103="XFIXO"),IF(F103="","ERRO",10*F103)*'BD Campos'!$W$2,IF(F103="","ERRO",10*F103)*'BD Campos'!$W$3)</f>
        <v>0.89999999999999991</v>
      </c>
      <c r="H103" s="40">
        <v>0.05</v>
      </c>
      <c r="I103" s="41">
        <f t="shared" si="3"/>
        <v>-4.4999999999999998E-2</v>
      </c>
    </row>
    <row r="104" spans="1:9" s="19" customFormat="1" hidden="1" x14ac:dyDescent="0.35">
      <c r="A104" s="37" t="str">
        <f t="shared" si="2"/>
        <v>PARADA INDEVIDACliente11</v>
      </c>
      <c r="B104" s="37" t="s">
        <v>121</v>
      </c>
      <c r="C104" s="37" t="s">
        <v>124</v>
      </c>
      <c r="D104" s="43">
        <v>11</v>
      </c>
      <c r="E104" s="37" t="s">
        <v>1236</v>
      </c>
      <c r="F104" s="38">
        <v>0.09</v>
      </c>
      <c r="G104" s="39">
        <f>IF(OR(B104="FIXO",B104="XFIXO"),IF(F104="","ERRO",10*F104)*'BD Campos'!$W$2,IF(F104="","ERRO",10*F104)*'BD Campos'!$W$3)</f>
        <v>0.89999999999999991</v>
      </c>
      <c r="H104" s="40">
        <v>0.05</v>
      </c>
      <c r="I104" s="41">
        <f t="shared" si="3"/>
        <v>-4.4999999999999998E-2</v>
      </c>
    </row>
    <row r="105" spans="1:9" s="19" customFormat="1" hidden="1" x14ac:dyDescent="0.35">
      <c r="A105" s="37" t="str">
        <f t="shared" si="2"/>
        <v>POSIÇÃO EM ATRASOCliente1</v>
      </c>
      <c r="B105" s="37" t="s">
        <v>123</v>
      </c>
      <c r="C105" s="37" t="s">
        <v>124</v>
      </c>
      <c r="D105" s="43">
        <v>1</v>
      </c>
      <c r="E105" s="37" t="s">
        <v>1212</v>
      </c>
      <c r="F105" s="38">
        <v>0.09</v>
      </c>
      <c r="G105" s="39">
        <f>IF(OR(B105="FIXO",B105="XFIXO"),IF(F105="","ERRO",10*F105)*'BD Campos'!$W$2,IF(F105="","ERRO",10*F105)*'BD Campos'!$W$3)</f>
        <v>0.89999999999999991</v>
      </c>
      <c r="H105" s="40">
        <v>0.05</v>
      </c>
      <c r="I105" s="41">
        <f t="shared" si="3"/>
        <v>-4.4999999999999998E-2</v>
      </c>
    </row>
    <row r="106" spans="1:9" s="19" customFormat="1" hidden="1" x14ac:dyDescent="0.35">
      <c r="A106" s="37" t="str">
        <f t="shared" si="2"/>
        <v>POSIÇÃO EM ATRASOCliente2</v>
      </c>
      <c r="B106" s="37" t="s">
        <v>123</v>
      </c>
      <c r="C106" s="37" t="s">
        <v>124</v>
      </c>
      <c r="D106" s="43">
        <v>2</v>
      </c>
      <c r="E106" s="37" t="s">
        <v>1213</v>
      </c>
      <c r="F106" s="38">
        <v>0.09</v>
      </c>
      <c r="G106" s="39">
        <f>IF(OR(B106="FIXO",B106="XFIXO"),IF(F106="","ERRO",10*F106)*'BD Campos'!$W$2,IF(F106="","ERRO",10*F106)*'BD Campos'!$W$3)</f>
        <v>0.89999999999999991</v>
      </c>
      <c r="H106" s="40">
        <v>0.05</v>
      </c>
      <c r="I106" s="41">
        <f t="shared" si="3"/>
        <v>-4.4999999999999998E-2</v>
      </c>
    </row>
    <row r="107" spans="1:9" s="19" customFormat="1" hidden="1" x14ac:dyDescent="0.35">
      <c r="A107" s="37" t="str">
        <f t="shared" si="2"/>
        <v>POSIÇÃO EM ATRASOCliente3</v>
      </c>
      <c r="B107" s="37" t="s">
        <v>123</v>
      </c>
      <c r="C107" s="37" t="s">
        <v>124</v>
      </c>
      <c r="D107" s="43">
        <v>3</v>
      </c>
      <c r="E107" s="37" t="s">
        <v>1214</v>
      </c>
      <c r="F107" s="38">
        <v>0.09</v>
      </c>
      <c r="G107" s="39">
        <f>IF(OR(B107="FIXO",B107="XFIXO"),IF(F107="","ERRO",10*F107)*'BD Campos'!$W$2,IF(F107="","ERRO",10*F107)*'BD Campos'!$W$3)</f>
        <v>0.89999999999999991</v>
      </c>
      <c r="H107" s="40">
        <v>0.05</v>
      </c>
      <c r="I107" s="41">
        <f t="shared" si="3"/>
        <v>-4.4999999999999998E-2</v>
      </c>
    </row>
    <row r="108" spans="1:9" s="19" customFormat="1" hidden="1" x14ac:dyDescent="0.35">
      <c r="A108" s="37" t="str">
        <f t="shared" si="2"/>
        <v>POSIÇÃO EM ATRASOCliente4</v>
      </c>
      <c r="B108" s="37" t="s">
        <v>123</v>
      </c>
      <c r="C108" s="37" t="s">
        <v>124</v>
      </c>
      <c r="D108" s="43">
        <v>4</v>
      </c>
      <c r="E108" s="37" t="s">
        <v>1215</v>
      </c>
      <c r="F108" s="38">
        <v>0.09</v>
      </c>
      <c r="G108" s="39">
        <f>IF(OR(B108="FIXO",B108="XFIXO"),IF(F108="","ERRO",10*F108)*'BD Campos'!$W$2,IF(F108="","ERRO",10*F108)*'BD Campos'!$W$3)</f>
        <v>0.89999999999999991</v>
      </c>
      <c r="H108" s="40">
        <v>0.05</v>
      </c>
      <c r="I108" s="41">
        <f t="shared" si="3"/>
        <v>-4.4999999999999998E-2</v>
      </c>
    </row>
    <row r="109" spans="1:9" s="19" customFormat="1" hidden="1" x14ac:dyDescent="0.35">
      <c r="A109" s="37" t="str">
        <f t="shared" si="2"/>
        <v>POSIÇÃO EM ATRASOCliente5</v>
      </c>
      <c r="B109" s="37" t="s">
        <v>123</v>
      </c>
      <c r="C109" s="37" t="s">
        <v>124</v>
      </c>
      <c r="D109" s="43">
        <v>5</v>
      </c>
      <c r="E109" s="37" t="s">
        <v>1216</v>
      </c>
      <c r="F109" s="38">
        <v>0.09</v>
      </c>
      <c r="G109" s="39">
        <f>IF(OR(B109="FIXO",B109="XFIXO"),IF(F109="","ERRO",10*F109)*'BD Campos'!$W$2,IF(F109="","ERRO",10*F109)*'BD Campos'!$W$3)</f>
        <v>0.89999999999999991</v>
      </c>
      <c r="H109" s="40">
        <v>0.05</v>
      </c>
      <c r="I109" s="41">
        <f t="shared" si="3"/>
        <v>-4.4999999999999998E-2</v>
      </c>
    </row>
    <row r="110" spans="1:9" s="19" customFormat="1" hidden="1" x14ac:dyDescent="0.35">
      <c r="A110" s="37" t="str">
        <f t="shared" si="2"/>
        <v>POSIÇÃO EM ATRASOCliente6</v>
      </c>
      <c r="B110" s="37" t="s">
        <v>123</v>
      </c>
      <c r="C110" s="37" t="s">
        <v>124</v>
      </c>
      <c r="D110" s="43">
        <v>6</v>
      </c>
      <c r="E110" s="37" t="s">
        <v>1217</v>
      </c>
      <c r="F110" s="38">
        <v>0.09</v>
      </c>
      <c r="G110" s="39">
        <f>IF(OR(B110="FIXO",B110="XFIXO"),IF(F110="","ERRO",10*F110)*'BD Campos'!$W$2,IF(F110="","ERRO",10*F110)*'BD Campos'!$W$3)</f>
        <v>0.89999999999999991</v>
      </c>
      <c r="H110" s="40">
        <v>0.05</v>
      </c>
      <c r="I110" s="41">
        <f t="shared" si="3"/>
        <v>-4.4999999999999998E-2</v>
      </c>
    </row>
    <row r="111" spans="1:9" s="19" customFormat="1" hidden="1" x14ac:dyDescent="0.35">
      <c r="A111" s="37" t="str">
        <f t="shared" si="2"/>
        <v>POSIÇÃO EM ATRASOCliente7</v>
      </c>
      <c r="B111" s="37" t="s">
        <v>123</v>
      </c>
      <c r="C111" s="37" t="s">
        <v>124</v>
      </c>
      <c r="D111" s="43">
        <v>7</v>
      </c>
      <c r="E111" s="37" t="s">
        <v>1233</v>
      </c>
      <c r="F111" s="38">
        <v>0.09</v>
      </c>
      <c r="G111" s="39">
        <f>IF(OR(B111="FIXO",B111="XFIXO"),IF(F111="","ERRO",10*F111)*'BD Campos'!$W$2,IF(F111="","ERRO",10*F111)*'BD Campos'!$W$3)</f>
        <v>0.89999999999999991</v>
      </c>
      <c r="H111" s="40">
        <v>0.05</v>
      </c>
      <c r="I111" s="41">
        <f t="shared" si="3"/>
        <v>-4.4999999999999998E-2</v>
      </c>
    </row>
    <row r="112" spans="1:9" s="19" customFormat="1" hidden="1" x14ac:dyDescent="0.35">
      <c r="A112" s="37" t="str">
        <f t="shared" si="2"/>
        <v>POSIÇÃO EM ATRASOCliente8</v>
      </c>
      <c r="B112" s="37" t="s">
        <v>123</v>
      </c>
      <c r="C112" s="37" t="s">
        <v>124</v>
      </c>
      <c r="D112" s="43">
        <v>8</v>
      </c>
      <c r="E112" s="37" t="s">
        <v>1237</v>
      </c>
      <c r="F112" s="38">
        <v>9.5000000000000001E-2</v>
      </c>
      <c r="G112" s="39">
        <f>IF(OR(B112="FIXO",B112="XFIXO"),IF(F112="","ERRO",10*F112)*'BD Campos'!$W$2,IF(F112="","ERRO",10*F112)*'BD Campos'!$W$3)</f>
        <v>0.95</v>
      </c>
      <c r="H112" s="40">
        <v>0.05</v>
      </c>
      <c r="I112" s="41">
        <f t="shared" si="3"/>
        <v>-4.7500000000000001E-2</v>
      </c>
    </row>
    <row r="113" spans="1:9" s="19" customFormat="1" hidden="1" x14ac:dyDescent="0.35">
      <c r="A113" s="37" t="str">
        <f t="shared" si="2"/>
        <v>POSIÇÃO EM ATRASOCliente9</v>
      </c>
      <c r="B113" s="37" t="s">
        <v>123</v>
      </c>
      <c r="C113" s="37" t="s">
        <v>124</v>
      </c>
      <c r="D113" s="43">
        <v>9</v>
      </c>
      <c r="E113" s="37" t="s">
        <v>1238</v>
      </c>
      <c r="F113" s="38">
        <v>9.5000000000000001E-2</v>
      </c>
      <c r="G113" s="39">
        <f>IF(OR(B113="FIXO",B113="XFIXO"),IF(F113="","ERRO",10*F113)*'BD Campos'!$W$2,IF(F113="","ERRO",10*F113)*'BD Campos'!$W$3)</f>
        <v>0.95</v>
      </c>
      <c r="H113" s="40">
        <v>0.05</v>
      </c>
      <c r="I113" s="41">
        <f t="shared" si="3"/>
        <v>-4.7500000000000001E-2</v>
      </c>
    </row>
    <row r="114" spans="1:9" s="19" customFormat="1" hidden="1" x14ac:dyDescent="0.35">
      <c r="A114" s="37" t="str">
        <f t="shared" si="2"/>
        <v>POSIÇÃO EM ATRASOCliente10</v>
      </c>
      <c r="B114" s="37" t="s">
        <v>123</v>
      </c>
      <c r="C114" s="37" t="s">
        <v>124</v>
      </c>
      <c r="D114" s="43">
        <v>10</v>
      </c>
      <c r="E114" s="37" t="s">
        <v>1239</v>
      </c>
      <c r="F114" s="38">
        <v>0.09</v>
      </c>
      <c r="G114" s="39">
        <f>IF(OR(B114="FIXO",B114="XFIXO"),IF(F114="","ERRO",10*F114)*'BD Campos'!$W$2,IF(F114="","ERRO",10*F114)*'BD Campos'!$W$3)</f>
        <v>0.89999999999999991</v>
      </c>
      <c r="H114" s="40">
        <v>0.05</v>
      </c>
      <c r="I114" s="41">
        <f t="shared" si="3"/>
        <v>-4.4999999999999998E-2</v>
      </c>
    </row>
    <row r="115" spans="1:9" s="19" customFormat="1" hidden="1" x14ac:dyDescent="0.35">
      <c r="A115" s="37" t="str">
        <f t="shared" si="2"/>
        <v>POSIÇÃO EM ATRASOCliente11</v>
      </c>
      <c r="B115" s="37" t="s">
        <v>123</v>
      </c>
      <c r="C115" s="37" t="s">
        <v>124</v>
      </c>
      <c r="D115" s="43">
        <v>11</v>
      </c>
      <c r="E115" s="37" t="s">
        <v>1240</v>
      </c>
      <c r="F115" s="38">
        <v>0.09</v>
      </c>
      <c r="G115" s="39">
        <f>IF(OR(B115="FIXO",B115="XFIXO"),IF(F115="","ERRO",10*F115)*'BD Campos'!$W$2,IF(F115="","ERRO",10*F115)*'BD Campos'!$W$3)</f>
        <v>0.89999999999999991</v>
      </c>
      <c r="H115" s="40">
        <v>0.05</v>
      </c>
      <c r="I115" s="41">
        <f t="shared" si="3"/>
        <v>-4.4999999999999998E-2</v>
      </c>
    </row>
    <row r="116" spans="1:9" s="19" customFormat="1" hidden="1" x14ac:dyDescent="0.35">
      <c r="A116" s="37" t="str">
        <f t="shared" si="2"/>
        <v>ALERTAS PRIORITÁRIOSCliente1</v>
      </c>
      <c r="B116" s="37" t="s">
        <v>147</v>
      </c>
      <c r="C116" s="37" t="s">
        <v>124</v>
      </c>
      <c r="D116" s="43">
        <v>1</v>
      </c>
      <c r="E116" s="37" t="s">
        <v>1212</v>
      </c>
      <c r="F116" s="38">
        <v>0.1</v>
      </c>
      <c r="G116" s="39">
        <f>IF(OR(B116="FIXO",B116="XFIXO"),IF(F116="","ERRO",10*F116)*'BD Campos'!$W$2,IF(F116="","ERRO",10*F116)*'BD Campos'!$W$3)</f>
        <v>1</v>
      </c>
      <c r="H116" s="40">
        <v>0.05</v>
      </c>
      <c r="I116" s="41">
        <f t="shared" si="3"/>
        <v>-0.05</v>
      </c>
    </row>
    <row r="117" spans="1:9" s="19" customFormat="1" hidden="1" x14ac:dyDescent="0.35">
      <c r="A117" s="37" t="str">
        <f t="shared" si="2"/>
        <v>ALERTAS PRIORITÁRIOSCliente2</v>
      </c>
      <c r="B117" s="37" t="s">
        <v>147</v>
      </c>
      <c r="C117" s="37" t="s">
        <v>124</v>
      </c>
      <c r="D117" s="43">
        <v>2</v>
      </c>
      <c r="E117" s="37" t="s">
        <v>1213</v>
      </c>
      <c r="F117" s="38">
        <v>0.1</v>
      </c>
      <c r="G117" s="39">
        <f>IF(OR(B117="FIXO",B117="XFIXO"),IF(F117="","ERRO",10*F117)*'BD Campos'!$W$2,IF(F117="","ERRO",10*F117)*'BD Campos'!$W$3)</f>
        <v>1</v>
      </c>
      <c r="H117" s="40">
        <v>0.05</v>
      </c>
      <c r="I117" s="41">
        <f t="shared" si="3"/>
        <v>-0.05</v>
      </c>
    </row>
    <row r="118" spans="1:9" s="19" customFormat="1" hidden="1" x14ac:dyDescent="0.35">
      <c r="A118" s="37" t="str">
        <f t="shared" si="2"/>
        <v>ALERTAS PRIORITÁRIOSCliente3</v>
      </c>
      <c r="B118" s="37" t="s">
        <v>147</v>
      </c>
      <c r="C118" s="37" t="s">
        <v>124</v>
      </c>
      <c r="D118" s="43">
        <v>3</v>
      </c>
      <c r="E118" s="37" t="s">
        <v>1214</v>
      </c>
      <c r="F118" s="38">
        <v>0.1</v>
      </c>
      <c r="G118" s="39">
        <f>IF(OR(B118="FIXO",B118="XFIXO"),IF(F118="","ERRO",10*F118)*'BD Campos'!$W$2,IF(F118="","ERRO",10*F118)*'BD Campos'!$W$3)</f>
        <v>1</v>
      </c>
      <c r="H118" s="40">
        <v>0.05</v>
      </c>
      <c r="I118" s="41">
        <f t="shared" si="3"/>
        <v>-0.05</v>
      </c>
    </row>
    <row r="119" spans="1:9" s="19" customFormat="1" hidden="1" x14ac:dyDescent="0.35">
      <c r="A119" s="37" t="str">
        <f t="shared" si="2"/>
        <v>ALERTAS PRIORITÁRIOSCliente4</v>
      </c>
      <c r="B119" s="37" t="s">
        <v>147</v>
      </c>
      <c r="C119" s="37" t="s">
        <v>124</v>
      </c>
      <c r="D119" s="43">
        <v>4</v>
      </c>
      <c r="E119" s="37" t="s">
        <v>1215</v>
      </c>
      <c r="F119" s="38">
        <v>0.1</v>
      </c>
      <c r="G119" s="39">
        <f>IF(OR(B119="FIXO",B119="XFIXO"),IF(F119="","ERRO",10*F119)*'BD Campos'!$W$2,IF(F119="","ERRO",10*F119)*'BD Campos'!$W$3)</f>
        <v>1</v>
      </c>
      <c r="H119" s="40">
        <v>0.05</v>
      </c>
      <c r="I119" s="41">
        <f t="shared" si="3"/>
        <v>-0.05</v>
      </c>
    </row>
    <row r="120" spans="1:9" s="19" customFormat="1" hidden="1" x14ac:dyDescent="0.35">
      <c r="A120" s="37" t="str">
        <f t="shared" si="2"/>
        <v>ALERTAS PRIORITÁRIOSCliente5</v>
      </c>
      <c r="B120" s="37" t="s">
        <v>147</v>
      </c>
      <c r="C120" s="37" t="s">
        <v>124</v>
      </c>
      <c r="D120" s="43">
        <v>5</v>
      </c>
      <c r="E120" s="37" t="s">
        <v>1216</v>
      </c>
      <c r="F120" s="38">
        <v>0.1</v>
      </c>
      <c r="G120" s="39">
        <f>IF(OR(B120="FIXO",B120="XFIXO"),IF(F120="","ERRO",10*F120)*'BD Campos'!$W$2,IF(F120="","ERRO",10*F120)*'BD Campos'!$W$3)</f>
        <v>1</v>
      </c>
      <c r="H120" s="40">
        <v>0.05</v>
      </c>
      <c r="I120" s="41">
        <f t="shared" si="3"/>
        <v>-0.05</v>
      </c>
    </row>
    <row r="121" spans="1:9" s="19" customFormat="1" hidden="1" x14ac:dyDescent="0.35">
      <c r="A121" s="37" t="str">
        <f t="shared" si="2"/>
        <v>ALERTAS PRIORITÁRIOSCliente6</v>
      </c>
      <c r="B121" s="37" t="s">
        <v>147</v>
      </c>
      <c r="C121" s="37" t="s">
        <v>124</v>
      </c>
      <c r="D121" s="43">
        <v>6</v>
      </c>
      <c r="E121" s="37" t="s">
        <v>1217</v>
      </c>
      <c r="F121" s="38">
        <v>0.1</v>
      </c>
      <c r="G121" s="39">
        <f>IF(OR(B121="FIXO",B121="XFIXO"),IF(F121="","ERRO",10*F121)*'BD Campos'!$W$2,IF(F121="","ERRO",10*F121)*'BD Campos'!$W$3)</f>
        <v>1</v>
      </c>
      <c r="H121" s="40">
        <v>0.05</v>
      </c>
      <c r="I121" s="41">
        <f t="shared" si="3"/>
        <v>-0.05</v>
      </c>
    </row>
    <row r="122" spans="1:9" s="19" customFormat="1" hidden="1" x14ac:dyDescent="0.35">
      <c r="A122" s="37" t="str">
        <f t="shared" si="2"/>
        <v>ALERTAS PRIORITÁRIOSCliente7</v>
      </c>
      <c r="B122" s="37" t="s">
        <v>147</v>
      </c>
      <c r="C122" s="37" t="s">
        <v>124</v>
      </c>
      <c r="D122" s="43">
        <v>7</v>
      </c>
      <c r="E122" s="45" t="s">
        <v>1230</v>
      </c>
      <c r="F122" s="38">
        <v>0.1</v>
      </c>
      <c r="G122" s="39">
        <f>IF(OR(B122="FIXO",B122="XFIXO"),IF(F122="","ERRO",10*F122)*'BD Campos'!$W$2,IF(F122="","ERRO",10*F122)*'BD Campos'!$W$3)</f>
        <v>1</v>
      </c>
      <c r="H122" s="40">
        <v>0.05</v>
      </c>
      <c r="I122" s="41">
        <f t="shared" si="3"/>
        <v>-0.05</v>
      </c>
    </row>
    <row r="123" spans="1:9" s="19" customFormat="1" hidden="1" x14ac:dyDescent="0.35">
      <c r="A123" s="37" t="str">
        <f t="shared" si="2"/>
        <v>ALERTAS PRIORITÁRIOSCliente8</v>
      </c>
      <c r="B123" s="37" t="s">
        <v>147</v>
      </c>
      <c r="C123" s="37" t="s">
        <v>124</v>
      </c>
      <c r="D123" s="43">
        <v>8</v>
      </c>
      <c r="E123" s="37" t="s">
        <v>1241</v>
      </c>
      <c r="F123" s="38">
        <v>0.1</v>
      </c>
      <c r="G123" s="39">
        <f>IF(OR(B123="FIXO",B123="XFIXO"),IF(F123="","ERRO",10*F123)*'BD Campos'!$W$2,IF(F123="","ERRO",10*F123)*'BD Campos'!$W$3)</f>
        <v>1</v>
      </c>
      <c r="H123" s="40">
        <v>0.05</v>
      </c>
      <c r="I123" s="41">
        <f t="shared" si="3"/>
        <v>-0.05</v>
      </c>
    </row>
    <row r="124" spans="1:9" s="19" customFormat="1" hidden="1" x14ac:dyDescent="0.35">
      <c r="A124" s="37" t="str">
        <f t="shared" si="2"/>
        <v>ALERTAS PRIORITÁRIOSCliente9</v>
      </c>
      <c r="B124" s="37" t="s">
        <v>147</v>
      </c>
      <c r="C124" s="37" t="s">
        <v>124</v>
      </c>
      <c r="D124" s="43">
        <v>9</v>
      </c>
      <c r="E124" s="37" t="s">
        <v>1242</v>
      </c>
      <c r="F124" s="38">
        <v>0.05</v>
      </c>
      <c r="G124" s="39">
        <f>IF(OR(B124="FIXO",B124="XFIXO"),IF(F124="","ERRO",10*F124)*'BD Campos'!$W$2,IF(F124="","ERRO",10*F124)*'BD Campos'!$W$3)</f>
        <v>0.5</v>
      </c>
      <c r="H124" s="40">
        <v>0.05</v>
      </c>
      <c r="I124" s="41">
        <f t="shared" si="3"/>
        <v>-2.5000000000000001E-2</v>
      </c>
    </row>
    <row r="125" spans="1:9" s="19" customFormat="1" hidden="1" x14ac:dyDescent="0.35">
      <c r="A125" s="37" t="str">
        <f t="shared" si="2"/>
        <v>ALERTAS PRIORITÁRIOSCliente10</v>
      </c>
      <c r="B125" s="37" t="s">
        <v>147</v>
      </c>
      <c r="C125" s="37" t="s">
        <v>124</v>
      </c>
      <c r="D125" s="43">
        <v>10</v>
      </c>
      <c r="E125" s="45" t="s">
        <v>1243</v>
      </c>
      <c r="F125" s="38">
        <v>0.05</v>
      </c>
      <c r="G125" s="39">
        <f>IF(OR(B125="FIXO",B125="XFIXO"),IF(F125="","ERRO",10*F125)*'BD Campos'!$W$2,IF(F125="","ERRO",10*F125)*'BD Campos'!$W$3)</f>
        <v>0.5</v>
      </c>
      <c r="H125" s="40">
        <v>0.05</v>
      </c>
      <c r="I125" s="41">
        <f t="shared" si="3"/>
        <v>-2.5000000000000001E-2</v>
      </c>
    </row>
    <row r="126" spans="1:9" s="19" customFormat="1" hidden="1" x14ac:dyDescent="0.35">
      <c r="A126" s="37" t="str">
        <f t="shared" si="2"/>
        <v>ALERTAS PRIORITÁRIOSCliente11</v>
      </c>
      <c r="B126" s="37" t="s">
        <v>147</v>
      </c>
      <c r="C126" s="37" t="s">
        <v>124</v>
      </c>
      <c r="D126" s="43">
        <v>11</v>
      </c>
      <c r="E126" s="37" t="s">
        <v>1240</v>
      </c>
      <c r="F126" s="38">
        <v>0.1</v>
      </c>
      <c r="G126" s="39">
        <f>IF(OR(B126="FIXO",B126="XFIXO"),IF(F126="","ERRO",10*F126)*'BD Campos'!$W$2,IF(F126="","ERRO",10*F126)*'BD Campos'!$W$3)</f>
        <v>1</v>
      </c>
      <c r="H126" s="40">
        <v>0.05</v>
      </c>
      <c r="I126" s="41">
        <f t="shared" si="3"/>
        <v>-0.05</v>
      </c>
    </row>
    <row r="127" spans="1:9" hidden="1" x14ac:dyDescent="0.35">
      <c r="A127" s="37" t="str">
        <f t="shared" si="2"/>
        <v>DESVIO DE ROTACliente 21</v>
      </c>
      <c r="B127" s="37" t="s">
        <v>126</v>
      </c>
      <c r="C127" s="37" t="s">
        <v>185</v>
      </c>
      <c r="D127" s="37">
        <v>1</v>
      </c>
      <c r="E127" s="37" t="s">
        <v>1212</v>
      </c>
      <c r="F127" s="38">
        <v>0.1</v>
      </c>
      <c r="G127" s="39">
        <f>IF(OR(B127="FIXO",B127="XFIXO"),IF(F127="","ERRO",10*F127)*'BD Campos'!$W$2,IF(F127="","ERRO",10*F127)*'BD Campos'!$W$3)</f>
        <v>1</v>
      </c>
      <c r="H127" s="40">
        <v>0.05</v>
      </c>
      <c r="I127" s="41">
        <f t="shared" si="3"/>
        <v>-0.05</v>
      </c>
    </row>
    <row r="128" spans="1:9" s="19" customFormat="1" hidden="1" x14ac:dyDescent="0.35">
      <c r="A128" s="37" t="str">
        <f t="shared" si="2"/>
        <v>DESVIO DE ROTACliente 22</v>
      </c>
      <c r="B128" s="37" t="s">
        <v>126</v>
      </c>
      <c r="C128" s="37" t="s">
        <v>185</v>
      </c>
      <c r="D128" s="37">
        <v>2</v>
      </c>
      <c r="E128" s="37" t="s">
        <v>1213</v>
      </c>
      <c r="F128" s="38">
        <v>0.1</v>
      </c>
      <c r="G128" s="39">
        <f>IF(OR(B128="FIXO",B128="XFIXO"),IF(F128="","ERRO",10*F128)*'BD Campos'!$W$2,IF(F128="","ERRO",10*F128)*'BD Campos'!$W$3)</f>
        <v>1</v>
      </c>
      <c r="H128" s="40">
        <v>0.05</v>
      </c>
      <c r="I128" s="41">
        <f t="shared" si="3"/>
        <v>-0.05</v>
      </c>
    </row>
    <row r="129" spans="1:9" s="19" customFormat="1" hidden="1" x14ac:dyDescent="0.35">
      <c r="A129" s="37" t="str">
        <f t="shared" ref="A129:A193" si="4">B129&amp;C129&amp;D129</f>
        <v>DESVIO DE ROTACliente 23</v>
      </c>
      <c r="B129" s="37" t="s">
        <v>126</v>
      </c>
      <c r="C129" s="37" t="s">
        <v>185</v>
      </c>
      <c r="D129" s="37">
        <v>3</v>
      </c>
      <c r="E129" s="37" t="s">
        <v>1214</v>
      </c>
      <c r="F129" s="38">
        <v>0.1</v>
      </c>
      <c r="G129" s="39">
        <f>IF(OR(B129="FIXO",B129="XFIXO"),IF(F129="","ERRO",10*F129)*'BD Campos'!$W$2,IF(F129="","ERRO",10*F129)*'BD Campos'!$W$3)</f>
        <v>1</v>
      </c>
      <c r="H129" s="40">
        <v>0.05</v>
      </c>
      <c r="I129" s="41">
        <f t="shared" ref="I129:I193" si="5">H129*G129*-1</f>
        <v>-0.05</v>
      </c>
    </row>
    <row r="130" spans="1:9" s="19" customFormat="1" hidden="1" x14ac:dyDescent="0.35">
      <c r="A130" s="37" t="str">
        <f t="shared" si="4"/>
        <v>DESVIO DE ROTACliente 24</v>
      </c>
      <c r="B130" s="37" t="s">
        <v>126</v>
      </c>
      <c r="C130" s="37" t="s">
        <v>185</v>
      </c>
      <c r="D130" s="37">
        <v>4</v>
      </c>
      <c r="E130" s="37" t="s">
        <v>1215</v>
      </c>
      <c r="F130" s="38">
        <v>0.1</v>
      </c>
      <c r="G130" s="39">
        <f>IF(OR(B130="FIXO",B130="XFIXO"),IF(F130="","ERRO",10*F130)*'BD Campos'!$W$2,IF(F130="","ERRO",10*F130)*'BD Campos'!$W$3)</f>
        <v>1</v>
      </c>
      <c r="H130" s="40">
        <v>0.05</v>
      </c>
      <c r="I130" s="41">
        <f t="shared" si="5"/>
        <v>-0.05</v>
      </c>
    </row>
    <row r="131" spans="1:9" s="19" customFormat="1" hidden="1" x14ac:dyDescent="0.35">
      <c r="A131" s="37" t="str">
        <f t="shared" si="4"/>
        <v>DESVIO DE ROTACliente 25</v>
      </c>
      <c r="B131" s="37" t="s">
        <v>126</v>
      </c>
      <c r="C131" s="37" t="s">
        <v>185</v>
      </c>
      <c r="D131" s="37">
        <v>5</v>
      </c>
      <c r="E131" s="37" t="s">
        <v>1216</v>
      </c>
      <c r="F131" s="38">
        <v>0.1</v>
      </c>
      <c r="G131" s="39">
        <f>IF(OR(B131="FIXO",B131="XFIXO"),IF(F131="","ERRO",10*F131)*'BD Campos'!$W$2,IF(F131="","ERRO",10*F131)*'BD Campos'!$W$3)</f>
        <v>1</v>
      </c>
      <c r="H131" s="40">
        <v>0.05</v>
      </c>
      <c r="I131" s="41">
        <f t="shared" si="5"/>
        <v>-0.05</v>
      </c>
    </row>
    <row r="132" spans="1:9" s="19" customFormat="1" hidden="1" x14ac:dyDescent="0.35">
      <c r="A132" s="37" t="str">
        <f t="shared" si="4"/>
        <v>DESVIO DE ROTACliente 26</v>
      </c>
      <c r="B132" s="37" t="s">
        <v>126</v>
      </c>
      <c r="C132" s="37" t="s">
        <v>185</v>
      </c>
      <c r="D132" s="37">
        <v>6</v>
      </c>
      <c r="E132" s="37" t="s">
        <v>1217</v>
      </c>
      <c r="F132" s="38">
        <v>0.1</v>
      </c>
      <c r="G132" s="39">
        <f>IF(OR(B132="FIXO",B132="XFIXO"),IF(F132="","ERRO",10*F132)*'BD Campos'!$W$2,IF(F132="","ERRO",10*F132)*'BD Campos'!$W$3)</f>
        <v>1</v>
      </c>
      <c r="H132" s="40">
        <v>0.05</v>
      </c>
      <c r="I132" s="41">
        <f t="shared" si="5"/>
        <v>-0.05</v>
      </c>
    </row>
    <row r="133" spans="1:9" s="19" customFormat="1" hidden="1" x14ac:dyDescent="0.35">
      <c r="A133" s="37" t="str">
        <f t="shared" si="4"/>
        <v>DESVIO DE ROTACliente 27</v>
      </c>
      <c r="B133" s="37" t="s">
        <v>126</v>
      </c>
      <c r="C133" s="37" t="s">
        <v>185</v>
      </c>
      <c r="D133" s="37">
        <v>7</v>
      </c>
      <c r="E133" s="45" t="s">
        <v>1230</v>
      </c>
      <c r="F133" s="38">
        <v>0.1</v>
      </c>
      <c r="G133" s="39">
        <f>IF(OR(B133="FIXO",B133="XFIXO"),IF(F133="","ERRO",10*F133)*'BD Campos'!$W$2,IF(F133="","ERRO",10*F133)*'BD Campos'!$W$3)</f>
        <v>1</v>
      </c>
      <c r="H133" s="40">
        <v>0.05</v>
      </c>
      <c r="I133" s="41">
        <f t="shared" si="5"/>
        <v>-0.05</v>
      </c>
    </row>
    <row r="134" spans="1:9" s="19" customFormat="1" hidden="1" x14ac:dyDescent="0.35">
      <c r="A134" s="37" t="str">
        <f t="shared" si="4"/>
        <v>DESVIO DE ROTACliente 28</v>
      </c>
      <c r="B134" s="37" t="s">
        <v>126</v>
      </c>
      <c r="C134" s="37" t="s">
        <v>185</v>
      </c>
      <c r="D134" s="37">
        <v>8</v>
      </c>
      <c r="E134" s="45" t="s">
        <v>1231</v>
      </c>
      <c r="F134" s="38">
        <v>0.1</v>
      </c>
      <c r="G134" s="39">
        <f>IF(OR(B134="FIXO",B134="XFIXO"),IF(F134="","ERRO",10*F134)*'BD Campos'!$W$2,IF(F134="","ERRO",10*F134)*'BD Campos'!$W$3)</f>
        <v>1</v>
      </c>
      <c r="H134" s="40">
        <v>0.05</v>
      </c>
      <c r="I134" s="41">
        <f t="shared" si="5"/>
        <v>-0.05</v>
      </c>
    </row>
    <row r="135" spans="1:9" s="19" customFormat="1" hidden="1" x14ac:dyDescent="0.35">
      <c r="A135" s="37" t="str">
        <f t="shared" si="4"/>
        <v>DESVIO DE ROTACliente 29</v>
      </c>
      <c r="B135" s="37" t="s">
        <v>126</v>
      </c>
      <c r="C135" s="37" t="s">
        <v>185</v>
      </c>
      <c r="D135" s="37">
        <v>9</v>
      </c>
      <c r="E135" s="45" t="s">
        <v>1232</v>
      </c>
      <c r="F135" s="38">
        <v>0.1</v>
      </c>
      <c r="G135" s="39">
        <f>IF(OR(B135="FIXO",B135="XFIXO"),IF(F135="","ERRO",10*F135)*'BD Campos'!$W$2,IF(F135="","ERRO",10*F135)*'BD Campos'!$W$3)</f>
        <v>1</v>
      </c>
      <c r="H135" s="40">
        <v>0.05</v>
      </c>
      <c r="I135" s="41">
        <f t="shared" si="5"/>
        <v>-0.05</v>
      </c>
    </row>
    <row r="136" spans="1:9" s="19" customFormat="1" hidden="1" x14ac:dyDescent="0.35">
      <c r="A136" s="37" t="str">
        <f t="shared" si="4"/>
        <v>DESVIO DE ROTACliente 210</v>
      </c>
      <c r="B136" s="37" t="s">
        <v>126</v>
      </c>
      <c r="C136" s="37" t="s">
        <v>185</v>
      </c>
      <c r="D136" s="37">
        <v>10</v>
      </c>
      <c r="E136" s="37" t="s">
        <v>1220</v>
      </c>
      <c r="F136" s="38">
        <v>0.1</v>
      </c>
      <c r="G136" s="39">
        <f>IF(OR(B136="FIXO",B136="XFIXO"),IF(F136="","ERRO",10*F136)*'BD Campos'!$W$2,IF(F136="","ERRO",10*F136)*'BD Campos'!$W$3)</f>
        <v>1</v>
      </c>
      <c r="H136" s="40">
        <v>0.05</v>
      </c>
      <c r="I136" s="41">
        <f t="shared" si="5"/>
        <v>-0.05</v>
      </c>
    </row>
    <row r="137" spans="1:9" s="19" customFormat="1" hidden="1" x14ac:dyDescent="0.35">
      <c r="A137" s="37" t="str">
        <f t="shared" si="4"/>
        <v>PARADA INDEVIDACliente 21</v>
      </c>
      <c r="B137" s="37" t="s">
        <v>121</v>
      </c>
      <c r="C137" s="37" t="s">
        <v>185</v>
      </c>
      <c r="D137" s="43">
        <v>1</v>
      </c>
      <c r="E137" s="37" t="s">
        <v>1212</v>
      </c>
      <c r="F137" s="38">
        <v>0.09</v>
      </c>
      <c r="G137" s="39">
        <f>IF(OR(B137="FIXO",B137="XFIXO"),IF(F137="","ERRO",10*F137)*'BD Campos'!$W$2,IF(F137="","ERRO",10*F137)*'BD Campos'!$W$3)</f>
        <v>0.89999999999999991</v>
      </c>
      <c r="H137" s="40">
        <v>0.05</v>
      </c>
      <c r="I137" s="41">
        <f t="shared" si="5"/>
        <v>-4.4999999999999998E-2</v>
      </c>
    </row>
    <row r="138" spans="1:9" s="19" customFormat="1" hidden="1" x14ac:dyDescent="0.35">
      <c r="A138" s="37" t="str">
        <f t="shared" si="4"/>
        <v>PARADA INDEVIDACliente 22</v>
      </c>
      <c r="B138" s="37" t="s">
        <v>121</v>
      </c>
      <c r="C138" s="37" t="s">
        <v>185</v>
      </c>
      <c r="D138" s="43">
        <v>2</v>
      </c>
      <c r="E138" s="37" t="s">
        <v>1213</v>
      </c>
      <c r="F138" s="38">
        <v>0.09</v>
      </c>
      <c r="G138" s="39">
        <f>IF(OR(B138="FIXO",B138="XFIXO"),IF(F138="","ERRO",10*F138)*'BD Campos'!$W$2,IF(F138="","ERRO",10*F138)*'BD Campos'!$W$3)</f>
        <v>0.89999999999999991</v>
      </c>
      <c r="H138" s="40">
        <v>0.05</v>
      </c>
      <c r="I138" s="41">
        <f t="shared" si="5"/>
        <v>-4.4999999999999998E-2</v>
      </c>
    </row>
    <row r="139" spans="1:9" s="19" customFormat="1" hidden="1" x14ac:dyDescent="0.35">
      <c r="A139" s="37" t="str">
        <f t="shared" si="4"/>
        <v>PARADA INDEVIDACliente 23</v>
      </c>
      <c r="B139" s="37" t="s">
        <v>121</v>
      </c>
      <c r="C139" s="37" t="s">
        <v>185</v>
      </c>
      <c r="D139" s="43">
        <v>3</v>
      </c>
      <c r="E139" s="37" t="s">
        <v>1214</v>
      </c>
      <c r="F139" s="38">
        <v>0.09</v>
      </c>
      <c r="G139" s="39">
        <f>IF(OR(B139="FIXO",B139="XFIXO"),IF(F139="","ERRO",10*F139)*'BD Campos'!$W$2,IF(F139="","ERRO",10*F139)*'BD Campos'!$W$3)</f>
        <v>0.89999999999999991</v>
      </c>
      <c r="H139" s="40">
        <v>0.05</v>
      </c>
      <c r="I139" s="41">
        <f t="shared" si="5"/>
        <v>-4.4999999999999998E-2</v>
      </c>
    </row>
    <row r="140" spans="1:9" s="19" customFormat="1" hidden="1" x14ac:dyDescent="0.35">
      <c r="A140" s="37" t="str">
        <f t="shared" si="4"/>
        <v>PARADA INDEVIDACliente 24</v>
      </c>
      <c r="B140" s="37" t="s">
        <v>121</v>
      </c>
      <c r="C140" s="37" t="s">
        <v>185</v>
      </c>
      <c r="D140" s="43">
        <v>4</v>
      </c>
      <c r="E140" s="37" t="s">
        <v>1215</v>
      </c>
      <c r="F140" s="38">
        <v>0.09</v>
      </c>
      <c r="G140" s="39">
        <f>IF(OR(B140="FIXO",B140="XFIXO"),IF(F140="","ERRO",10*F140)*'BD Campos'!$W$2,IF(F140="","ERRO",10*F140)*'BD Campos'!$W$3)</f>
        <v>0.89999999999999991</v>
      </c>
      <c r="H140" s="40">
        <v>0.05</v>
      </c>
      <c r="I140" s="41">
        <f t="shared" si="5"/>
        <v>-4.4999999999999998E-2</v>
      </c>
    </row>
    <row r="141" spans="1:9" s="19" customFormat="1" hidden="1" x14ac:dyDescent="0.35">
      <c r="A141" s="37" t="str">
        <f t="shared" si="4"/>
        <v>PARADA INDEVIDACliente 25</v>
      </c>
      <c r="B141" s="37" t="s">
        <v>121</v>
      </c>
      <c r="C141" s="37" t="s">
        <v>185</v>
      </c>
      <c r="D141" s="43">
        <v>5</v>
      </c>
      <c r="E141" s="37" t="s">
        <v>1216</v>
      </c>
      <c r="F141" s="38">
        <v>0.09</v>
      </c>
      <c r="G141" s="39">
        <f>IF(OR(B141="FIXO",B141="XFIXO"),IF(F141="","ERRO",10*F141)*'BD Campos'!$W$2,IF(F141="","ERRO",10*F141)*'BD Campos'!$W$3)</f>
        <v>0.89999999999999991</v>
      </c>
      <c r="H141" s="40">
        <v>0.05</v>
      </c>
      <c r="I141" s="41">
        <f t="shared" si="5"/>
        <v>-4.4999999999999998E-2</v>
      </c>
    </row>
    <row r="142" spans="1:9" s="19" customFormat="1" hidden="1" x14ac:dyDescent="0.35">
      <c r="A142" s="37" t="str">
        <f t="shared" si="4"/>
        <v>PARADA INDEVIDACliente 26</v>
      </c>
      <c r="B142" s="37" t="s">
        <v>121</v>
      </c>
      <c r="C142" s="37" t="s">
        <v>185</v>
      </c>
      <c r="D142" s="43">
        <v>6</v>
      </c>
      <c r="E142" s="37" t="s">
        <v>1217</v>
      </c>
      <c r="F142" s="38">
        <v>0.09</v>
      </c>
      <c r="G142" s="39">
        <f>IF(OR(B142="FIXO",B142="XFIXO"),IF(F142="","ERRO",10*F142)*'BD Campos'!$W$2,IF(F142="","ERRO",10*F142)*'BD Campos'!$W$3)</f>
        <v>0.89999999999999991</v>
      </c>
      <c r="H142" s="40">
        <v>0.05</v>
      </c>
      <c r="I142" s="41">
        <f t="shared" si="5"/>
        <v>-4.4999999999999998E-2</v>
      </c>
    </row>
    <row r="143" spans="1:9" s="19" customFormat="1" hidden="1" x14ac:dyDescent="0.35">
      <c r="A143" s="37" t="str">
        <f t="shared" si="4"/>
        <v>PARADA INDEVIDACliente 27</v>
      </c>
      <c r="B143" s="37" t="s">
        <v>121</v>
      </c>
      <c r="C143" s="37" t="s">
        <v>185</v>
      </c>
      <c r="D143" s="43">
        <v>7</v>
      </c>
      <c r="E143" s="37" t="s">
        <v>1233</v>
      </c>
      <c r="F143" s="38">
        <v>0.09</v>
      </c>
      <c r="G143" s="39">
        <f>IF(OR(B143="FIXO",B143="XFIXO"),IF(F143="","ERRO",10*F143)*'BD Campos'!$W$2,IF(F143="","ERRO",10*F143)*'BD Campos'!$W$3)</f>
        <v>0.89999999999999991</v>
      </c>
      <c r="H143" s="40">
        <v>0.05</v>
      </c>
      <c r="I143" s="41">
        <f t="shared" si="5"/>
        <v>-4.4999999999999998E-2</v>
      </c>
    </row>
    <row r="144" spans="1:9" s="19" customFormat="1" hidden="1" x14ac:dyDescent="0.35">
      <c r="A144" s="37" t="str">
        <f t="shared" si="4"/>
        <v>PARADA INDEVIDACliente 28</v>
      </c>
      <c r="B144" s="37" t="s">
        <v>121</v>
      </c>
      <c r="C144" s="37" t="s">
        <v>185</v>
      </c>
      <c r="D144" s="43">
        <v>8</v>
      </c>
      <c r="E144" s="37" t="s">
        <v>1234</v>
      </c>
      <c r="F144" s="38">
        <v>9.5000000000000001E-2</v>
      </c>
      <c r="G144" s="39">
        <f>IF(OR(B144="FIXO",B144="XFIXO"),IF(F144="","ERRO",10*F144)*'BD Campos'!$W$2,IF(F144="","ERRO",10*F144)*'BD Campos'!$W$3)</f>
        <v>0.95</v>
      </c>
      <c r="H144" s="40">
        <v>0.05</v>
      </c>
      <c r="I144" s="41">
        <f t="shared" si="5"/>
        <v>-4.7500000000000001E-2</v>
      </c>
    </row>
    <row r="145" spans="1:9" s="19" customFormat="1" hidden="1" x14ac:dyDescent="0.35">
      <c r="A145" s="37" t="str">
        <f t="shared" si="4"/>
        <v>PARADA INDEVIDACliente 29</v>
      </c>
      <c r="B145" s="37" t="s">
        <v>121</v>
      </c>
      <c r="C145" s="37" t="s">
        <v>185</v>
      </c>
      <c r="D145" s="43">
        <v>9</v>
      </c>
      <c r="E145" s="37" t="s">
        <v>1235</v>
      </c>
      <c r="F145" s="38">
        <v>9.5000000000000001E-2</v>
      </c>
      <c r="G145" s="39">
        <f>IF(OR(B145="FIXO",B145="XFIXO"),IF(F145="","ERRO",10*F145)*'BD Campos'!$W$2,IF(F145="","ERRO",10*F145)*'BD Campos'!$W$3)</f>
        <v>0.95</v>
      </c>
      <c r="H145" s="40">
        <v>0.05</v>
      </c>
      <c r="I145" s="41">
        <f t="shared" si="5"/>
        <v>-4.7500000000000001E-2</v>
      </c>
    </row>
    <row r="146" spans="1:9" s="19" customFormat="1" hidden="1" x14ac:dyDescent="0.35">
      <c r="A146" s="37" t="str">
        <f t="shared" si="4"/>
        <v>PARADA INDEVIDACliente 210</v>
      </c>
      <c r="B146" s="37" t="s">
        <v>121</v>
      </c>
      <c r="C146" s="37" t="s">
        <v>185</v>
      </c>
      <c r="D146" s="43">
        <v>10</v>
      </c>
      <c r="E146" s="37" t="s">
        <v>1223</v>
      </c>
      <c r="F146" s="38">
        <v>0.09</v>
      </c>
      <c r="G146" s="39">
        <f>IF(OR(B146="FIXO",B146="XFIXO"),IF(F146="","ERRO",10*F146)*'BD Campos'!$W$2,IF(F146="","ERRO",10*F146)*'BD Campos'!$W$3)</f>
        <v>0.89999999999999991</v>
      </c>
      <c r="H146" s="40">
        <v>0.05</v>
      </c>
      <c r="I146" s="41">
        <f t="shared" si="5"/>
        <v>-4.4999999999999998E-2</v>
      </c>
    </row>
    <row r="147" spans="1:9" s="19" customFormat="1" hidden="1" x14ac:dyDescent="0.35">
      <c r="A147" s="37" t="str">
        <f t="shared" si="4"/>
        <v>PARADA INDEVIDACliente 211</v>
      </c>
      <c r="B147" s="37" t="s">
        <v>121</v>
      </c>
      <c r="C147" s="37" t="s">
        <v>185</v>
      </c>
      <c r="D147" s="43">
        <v>11</v>
      </c>
      <c r="E147" s="37" t="s">
        <v>1236</v>
      </c>
      <c r="F147" s="38">
        <v>0.09</v>
      </c>
      <c r="G147" s="39">
        <f>IF(OR(B147="FIXO",B147="XFIXO"),IF(F147="","ERRO",10*F147)*'BD Campos'!$W$2,IF(F147="","ERRO",10*F147)*'BD Campos'!$W$3)</f>
        <v>0.89999999999999991</v>
      </c>
      <c r="H147" s="40">
        <v>0.05</v>
      </c>
      <c r="I147" s="41">
        <f t="shared" si="5"/>
        <v>-4.4999999999999998E-2</v>
      </c>
    </row>
    <row r="148" spans="1:9" s="19" customFormat="1" hidden="1" x14ac:dyDescent="0.35">
      <c r="A148" s="37" t="str">
        <f t="shared" si="4"/>
        <v>POSIÇÃO EM ATRASOCliente 21</v>
      </c>
      <c r="B148" s="37" t="s">
        <v>123</v>
      </c>
      <c r="C148" s="37" t="s">
        <v>185</v>
      </c>
      <c r="D148" s="43">
        <v>1</v>
      </c>
      <c r="E148" s="37" t="s">
        <v>1212</v>
      </c>
      <c r="F148" s="38">
        <v>0.09</v>
      </c>
      <c r="G148" s="39">
        <f>IF(OR(B148="FIXO",B148="XFIXO"),IF(F148="","ERRO",10*F148)*'BD Campos'!$W$2,IF(F148="","ERRO",10*F148)*'BD Campos'!$W$3)</f>
        <v>0.89999999999999991</v>
      </c>
      <c r="H148" s="40">
        <v>0.05</v>
      </c>
      <c r="I148" s="41">
        <f t="shared" si="5"/>
        <v>-4.4999999999999998E-2</v>
      </c>
    </row>
    <row r="149" spans="1:9" s="19" customFormat="1" hidden="1" x14ac:dyDescent="0.35">
      <c r="A149" s="37" t="str">
        <f t="shared" si="4"/>
        <v>POSIÇÃO EM ATRASOCliente 22</v>
      </c>
      <c r="B149" s="37" t="s">
        <v>123</v>
      </c>
      <c r="C149" s="37" t="s">
        <v>185</v>
      </c>
      <c r="D149" s="43">
        <v>2</v>
      </c>
      <c r="E149" s="37" t="s">
        <v>1213</v>
      </c>
      <c r="F149" s="38">
        <v>0.09</v>
      </c>
      <c r="G149" s="39">
        <f>IF(OR(B149="FIXO",B149="XFIXO"),IF(F149="","ERRO",10*F149)*'BD Campos'!$W$2,IF(F149="","ERRO",10*F149)*'BD Campos'!$W$3)</f>
        <v>0.89999999999999991</v>
      </c>
      <c r="H149" s="40">
        <v>0.05</v>
      </c>
      <c r="I149" s="41">
        <f t="shared" si="5"/>
        <v>-4.4999999999999998E-2</v>
      </c>
    </row>
    <row r="150" spans="1:9" s="19" customFormat="1" hidden="1" x14ac:dyDescent="0.35">
      <c r="A150" s="37" t="str">
        <f t="shared" si="4"/>
        <v>POSIÇÃO EM ATRASOCliente 23</v>
      </c>
      <c r="B150" s="37" t="s">
        <v>123</v>
      </c>
      <c r="C150" s="37" t="s">
        <v>185</v>
      </c>
      <c r="D150" s="43">
        <v>3</v>
      </c>
      <c r="E150" s="37" t="s">
        <v>1214</v>
      </c>
      <c r="F150" s="38">
        <v>0.09</v>
      </c>
      <c r="G150" s="39">
        <f>IF(OR(B150="FIXO",B150="XFIXO"),IF(F150="","ERRO",10*F150)*'BD Campos'!$W$2,IF(F150="","ERRO",10*F150)*'BD Campos'!$W$3)</f>
        <v>0.89999999999999991</v>
      </c>
      <c r="H150" s="40">
        <v>0.05</v>
      </c>
      <c r="I150" s="41">
        <f t="shared" si="5"/>
        <v>-4.4999999999999998E-2</v>
      </c>
    </row>
    <row r="151" spans="1:9" s="19" customFormat="1" hidden="1" x14ac:dyDescent="0.35">
      <c r="A151" s="37" t="str">
        <f t="shared" si="4"/>
        <v>POSIÇÃO EM ATRASOCliente 24</v>
      </c>
      <c r="B151" s="37" t="s">
        <v>123</v>
      </c>
      <c r="C151" s="37" t="s">
        <v>185</v>
      </c>
      <c r="D151" s="43">
        <v>4</v>
      </c>
      <c r="E151" s="37" t="s">
        <v>1215</v>
      </c>
      <c r="F151" s="38">
        <v>0.09</v>
      </c>
      <c r="G151" s="39">
        <f>IF(OR(B151="FIXO",B151="XFIXO"),IF(F151="","ERRO",10*F151)*'BD Campos'!$W$2,IF(F151="","ERRO",10*F151)*'BD Campos'!$W$3)</f>
        <v>0.89999999999999991</v>
      </c>
      <c r="H151" s="40">
        <v>0.05</v>
      </c>
      <c r="I151" s="41">
        <f t="shared" si="5"/>
        <v>-4.4999999999999998E-2</v>
      </c>
    </row>
    <row r="152" spans="1:9" s="19" customFormat="1" hidden="1" x14ac:dyDescent="0.35">
      <c r="A152" s="37" t="str">
        <f t="shared" si="4"/>
        <v>POSIÇÃO EM ATRASOCliente 25</v>
      </c>
      <c r="B152" s="37" t="s">
        <v>123</v>
      </c>
      <c r="C152" s="37" t="s">
        <v>185</v>
      </c>
      <c r="D152" s="43">
        <v>5</v>
      </c>
      <c r="E152" s="37" t="s">
        <v>1216</v>
      </c>
      <c r="F152" s="38">
        <v>0.09</v>
      </c>
      <c r="G152" s="39">
        <f>IF(OR(B152="FIXO",B152="XFIXO"),IF(F152="","ERRO",10*F152)*'BD Campos'!$W$2,IF(F152="","ERRO",10*F152)*'BD Campos'!$W$3)</f>
        <v>0.89999999999999991</v>
      </c>
      <c r="H152" s="40">
        <v>0.05</v>
      </c>
      <c r="I152" s="41">
        <f t="shared" si="5"/>
        <v>-4.4999999999999998E-2</v>
      </c>
    </row>
    <row r="153" spans="1:9" s="19" customFormat="1" hidden="1" x14ac:dyDescent="0.35">
      <c r="A153" s="37" t="str">
        <f t="shared" si="4"/>
        <v>POSIÇÃO EM ATRASOCliente 26</v>
      </c>
      <c r="B153" s="37" t="s">
        <v>123</v>
      </c>
      <c r="C153" s="37" t="s">
        <v>185</v>
      </c>
      <c r="D153" s="43">
        <v>6</v>
      </c>
      <c r="E153" s="37" t="s">
        <v>1217</v>
      </c>
      <c r="F153" s="38">
        <v>0.09</v>
      </c>
      <c r="G153" s="39">
        <f>IF(OR(B153="FIXO",B153="XFIXO"),IF(F153="","ERRO",10*F153)*'BD Campos'!$W$2,IF(F153="","ERRO",10*F153)*'BD Campos'!$W$3)</f>
        <v>0.89999999999999991</v>
      </c>
      <c r="H153" s="40">
        <v>0.05</v>
      </c>
      <c r="I153" s="41">
        <f t="shared" si="5"/>
        <v>-4.4999999999999998E-2</v>
      </c>
    </row>
    <row r="154" spans="1:9" s="19" customFormat="1" hidden="1" x14ac:dyDescent="0.35">
      <c r="A154" s="37" t="str">
        <f t="shared" si="4"/>
        <v>POSIÇÃO EM ATRASOCliente 27</v>
      </c>
      <c r="B154" s="37" t="s">
        <v>123</v>
      </c>
      <c r="C154" s="37" t="s">
        <v>185</v>
      </c>
      <c r="D154" s="43">
        <v>7</v>
      </c>
      <c r="E154" s="37" t="s">
        <v>1233</v>
      </c>
      <c r="F154" s="38">
        <v>0.09</v>
      </c>
      <c r="G154" s="39">
        <f>IF(OR(B154="FIXO",B154="XFIXO"),IF(F154="","ERRO",10*F154)*'BD Campos'!$W$2,IF(F154="","ERRO",10*F154)*'BD Campos'!$W$3)</f>
        <v>0.89999999999999991</v>
      </c>
      <c r="H154" s="40">
        <v>0.05</v>
      </c>
      <c r="I154" s="41">
        <f t="shared" si="5"/>
        <v>-4.4999999999999998E-2</v>
      </c>
    </row>
    <row r="155" spans="1:9" s="19" customFormat="1" hidden="1" x14ac:dyDescent="0.35">
      <c r="A155" s="37" t="str">
        <f t="shared" si="4"/>
        <v>POSIÇÃO EM ATRASOCliente 28</v>
      </c>
      <c r="B155" s="37" t="s">
        <v>123</v>
      </c>
      <c r="C155" s="37" t="s">
        <v>185</v>
      </c>
      <c r="D155" s="43">
        <v>8</v>
      </c>
      <c r="E155" s="37" t="s">
        <v>1237</v>
      </c>
      <c r="F155" s="38">
        <v>9.5000000000000001E-2</v>
      </c>
      <c r="G155" s="39">
        <f>IF(OR(B155="FIXO",B155="XFIXO"),IF(F155="","ERRO",10*F155)*'BD Campos'!$W$2,IF(F155="","ERRO",10*F155)*'BD Campos'!$W$3)</f>
        <v>0.95</v>
      </c>
      <c r="H155" s="40">
        <v>0.05</v>
      </c>
      <c r="I155" s="41">
        <f t="shared" si="5"/>
        <v>-4.7500000000000001E-2</v>
      </c>
    </row>
    <row r="156" spans="1:9" s="19" customFormat="1" hidden="1" x14ac:dyDescent="0.35">
      <c r="A156" s="37" t="str">
        <f t="shared" si="4"/>
        <v>POSIÇÃO EM ATRASOCliente 29</v>
      </c>
      <c r="B156" s="37" t="s">
        <v>123</v>
      </c>
      <c r="C156" s="37" t="s">
        <v>185</v>
      </c>
      <c r="D156" s="43">
        <v>9</v>
      </c>
      <c r="E156" s="37" t="s">
        <v>1238</v>
      </c>
      <c r="F156" s="38">
        <v>9.5000000000000001E-2</v>
      </c>
      <c r="G156" s="39">
        <f>IF(OR(B156="FIXO",B156="XFIXO"),IF(F156="","ERRO",10*F156)*'BD Campos'!$W$2,IF(F156="","ERRO",10*F156)*'BD Campos'!$W$3)</f>
        <v>0.95</v>
      </c>
      <c r="H156" s="40">
        <v>0.05</v>
      </c>
      <c r="I156" s="41">
        <f t="shared" si="5"/>
        <v>-4.7500000000000001E-2</v>
      </c>
    </row>
    <row r="157" spans="1:9" s="19" customFormat="1" hidden="1" x14ac:dyDescent="0.35">
      <c r="A157" s="37" t="str">
        <f t="shared" si="4"/>
        <v>POSIÇÃO EM ATRASOCliente 210</v>
      </c>
      <c r="B157" s="37" t="s">
        <v>123</v>
      </c>
      <c r="C157" s="37" t="s">
        <v>185</v>
      </c>
      <c r="D157" s="43">
        <v>10</v>
      </c>
      <c r="E157" s="37" t="s">
        <v>1239</v>
      </c>
      <c r="F157" s="38">
        <v>0.09</v>
      </c>
      <c r="G157" s="39">
        <f>IF(OR(B157="FIXO",B157="XFIXO"),IF(F157="","ERRO",10*F157)*'BD Campos'!$W$2,IF(F157="","ERRO",10*F157)*'BD Campos'!$W$3)</f>
        <v>0.89999999999999991</v>
      </c>
      <c r="H157" s="40">
        <v>0.05</v>
      </c>
      <c r="I157" s="41">
        <f t="shared" si="5"/>
        <v>-4.4999999999999998E-2</v>
      </c>
    </row>
    <row r="158" spans="1:9" s="19" customFormat="1" hidden="1" x14ac:dyDescent="0.35">
      <c r="A158" s="37" t="str">
        <f t="shared" si="4"/>
        <v>POSIÇÃO EM ATRASOCliente 211</v>
      </c>
      <c r="B158" s="37" t="s">
        <v>123</v>
      </c>
      <c r="C158" s="37" t="s">
        <v>185</v>
      </c>
      <c r="D158" s="43">
        <v>11</v>
      </c>
      <c r="E158" s="37" t="s">
        <v>1240</v>
      </c>
      <c r="F158" s="38">
        <v>0.09</v>
      </c>
      <c r="G158" s="39">
        <f>IF(OR(B158="FIXO",B158="XFIXO"),IF(F158="","ERRO",10*F158)*'BD Campos'!$W$2,IF(F158="","ERRO",10*F158)*'BD Campos'!$W$3)</f>
        <v>0.89999999999999991</v>
      </c>
      <c r="H158" s="40">
        <v>0.05</v>
      </c>
      <c r="I158" s="41">
        <f t="shared" si="5"/>
        <v>-4.4999999999999998E-2</v>
      </c>
    </row>
    <row r="159" spans="1:9" s="19" customFormat="1" hidden="1" x14ac:dyDescent="0.35">
      <c r="A159" s="37" t="str">
        <f t="shared" si="4"/>
        <v>ALERTAS PRIORITÁRIOSCliente 21</v>
      </c>
      <c r="B159" s="37" t="s">
        <v>147</v>
      </c>
      <c r="C159" s="37" t="s">
        <v>185</v>
      </c>
      <c r="D159" s="43">
        <v>1</v>
      </c>
      <c r="E159" s="37" t="s">
        <v>1212</v>
      </c>
      <c r="F159" s="38">
        <v>0.1</v>
      </c>
      <c r="G159" s="39">
        <f>IF(OR(B159="FIXO",B159="XFIXO"),IF(F159="","ERRO",10*F159)*'BD Campos'!$W$2,IF(F159="","ERRO",10*F159)*'BD Campos'!$W$3)</f>
        <v>1</v>
      </c>
      <c r="H159" s="40">
        <v>0.05</v>
      </c>
      <c r="I159" s="41">
        <f t="shared" si="5"/>
        <v>-0.05</v>
      </c>
    </row>
    <row r="160" spans="1:9" s="19" customFormat="1" hidden="1" x14ac:dyDescent="0.35">
      <c r="A160" s="37" t="str">
        <f t="shared" si="4"/>
        <v>ALERTAS PRIORITÁRIOSCliente 22</v>
      </c>
      <c r="B160" s="37" t="s">
        <v>147</v>
      </c>
      <c r="C160" s="37" t="s">
        <v>185</v>
      </c>
      <c r="D160" s="43">
        <v>2</v>
      </c>
      <c r="E160" s="37" t="s">
        <v>1213</v>
      </c>
      <c r="F160" s="38">
        <v>0.1</v>
      </c>
      <c r="G160" s="39">
        <f>IF(OR(B160="FIXO",B160="XFIXO"),IF(F160="","ERRO",10*F160)*'BD Campos'!$W$2,IF(F160="","ERRO",10*F160)*'BD Campos'!$W$3)</f>
        <v>1</v>
      </c>
      <c r="H160" s="40">
        <v>0.05</v>
      </c>
      <c r="I160" s="41">
        <f t="shared" si="5"/>
        <v>-0.05</v>
      </c>
    </row>
    <row r="161" spans="1:9" s="19" customFormat="1" hidden="1" x14ac:dyDescent="0.35">
      <c r="A161" s="37" t="str">
        <f t="shared" si="4"/>
        <v>ALERTAS PRIORITÁRIOSCliente 23</v>
      </c>
      <c r="B161" s="37" t="s">
        <v>147</v>
      </c>
      <c r="C161" s="37" t="s">
        <v>185</v>
      </c>
      <c r="D161" s="43">
        <v>3</v>
      </c>
      <c r="E161" s="37" t="s">
        <v>1214</v>
      </c>
      <c r="F161" s="38">
        <v>0.1</v>
      </c>
      <c r="G161" s="39">
        <f>IF(OR(B161="FIXO",B161="XFIXO"),IF(F161="","ERRO",10*F161)*'BD Campos'!$W$2,IF(F161="","ERRO",10*F161)*'BD Campos'!$W$3)</f>
        <v>1</v>
      </c>
      <c r="H161" s="40">
        <v>0.05</v>
      </c>
      <c r="I161" s="41">
        <f t="shared" si="5"/>
        <v>-0.05</v>
      </c>
    </row>
    <row r="162" spans="1:9" s="19" customFormat="1" hidden="1" x14ac:dyDescent="0.35">
      <c r="A162" s="37" t="str">
        <f t="shared" si="4"/>
        <v>ALERTAS PRIORITÁRIOSCliente 24</v>
      </c>
      <c r="B162" s="37" t="s">
        <v>147</v>
      </c>
      <c r="C162" s="37" t="s">
        <v>185</v>
      </c>
      <c r="D162" s="43">
        <v>4</v>
      </c>
      <c r="E162" s="37" t="s">
        <v>1215</v>
      </c>
      <c r="F162" s="38">
        <v>0.1</v>
      </c>
      <c r="G162" s="39">
        <f>IF(OR(B162="FIXO",B162="XFIXO"),IF(F162="","ERRO",10*F162)*'BD Campos'!$W$2,IF(F162="","ERRO",10*F162)*'BD Campos'!$W$3)</f>
        <v>1</v>
      </c>
      <c r="H162" s="40">
        <v>0.05</v>
      </c>
      <c r="I162" s="41">
        <f t="shared" si="5"/>
        <v>-0.05</v>
      </c>
    </row>
    <row r="163" spans="1:9" s="19" customFormat="1" hidden="1" x14ac:dyDescent="0.35">
      <c r="A163" s="37" t="str">
        <f t="shared" si="4"/>
        <v>ALERTAS PRIORITÁRIOSCliente 25</v>
      </c>
      <c r="B163" s="37" t="s">
        <v>147</v>
      </c>
      <c r="C163" s="37" t="s">
        <v>185</v>
      </c>
      <c r="D163" s="43">
        <v>5</v>
      </c>
      <c r="E163" s="37" t="s">
        <v>1216</v>
      </c>
      <c r="F163" s="38">
        <v>0.1</v>
      </c>
      <c r="G163" s="39">
        <f>IF(OR(B163="FIXO",B163="XFIXO"),IF(F163="","ERRO",10*F163)*'BD Campos'!$W$2,IF(F163="","ERRO",10*F163)*'BD Campos'!$W$3)</f>
        <v>1</v>
      </c>
      <c r="H163" s="40">
        <v>0.05</v>
      </c>
      <c r="I163" s="41">
        <f t="shared" si="5"/>
        <v>-0.05</v>
      </c>
    </row>
    <row r="164" spans="1:9" s="19" customFormat="1" hidden="1" x14ac:dyDescent="0.35">
      <c r="A164" s="37" t="str">
        <f t="shared" si="4"/>
        <v>ALERTAS PRIORITÁRIOSCliente 26</v>
      </c>
      <c r="B164" s="37" t="s">
        <v>147</v>
      </c>
      <c r="C164" s="37" t="s">
        <v>185</v>
      </c>
      <c r="D164" s="43">
        <v>6</v>
      </c>
      <c r="E164" s="37" t="s">
        <v>1217</v>
      </c>
      <c r="F164" s="38">
        <v>0.1</v>
      </c>
      <c r="G164" s="39">
        <f>IF(OR(B164="FIXO",B164="XFIXO"),IF(F164="","ERRO",10*F164)*'BD Campos'!$W$2,IF(F164="","ERRO",10*F164)*'BD Campos'!$W$3)</f>
        <v>1</v>
      </c>
      <c r="H164" s="40">
        <v>0.05</v>
      </c>
      <c r="I164" s="41">
        <f t="shared" si="5"/>
        <v>-0.05</v>
      </c>
    </row>
    <row r="165" spans="1:9" s="19" customFormat="1" hidden="1" x14ac:dyDescent="0.35">
      <c r="A165" s="37" t="str">
        <f t="shared" si="4"/>
        <v>ALERTAS PRIORITÁRIOSCliente 27</v>
      </c>
      <c r="B165" s="37" t="s">
        <v>147</v>
      </c>
      <c r="C165" s="37" t="s">
        <v>185</v>
      </c>
      <c r="D165" s="43">
        <v>7</v>
      </c>
      <c r="E165" s="37" t="s">
        <v>1233</v>
      </c>
      <c r="F165" s="38">
        <v>0.1</v>
      </c>
      <c r="G165" s="39">
        <f>IF(OR(B165="FIXO",B165="XFIXO"),IF(F165="","ERRO",10*F165)*'BD Campos'!$W$2,IF(F165="","ERRO",10*F165)*'BD Campos'!$W$3)</f>
        <v>1</v>
      </c>
      <c r="H165" s="40">
        <v>0.05</v>
      </c>
      <c r="I165" s="41">
        <f t="shared" si="5"/>
        <v>-0.05</v>
      </c>
    </row>
    <row r="166" spans="1:9" s="19" customFormat="1" hidden="1" x14ac:dyDescent="0.35">
      <c r="A166" s="37" t="str">
        <f t="shared" si="4"/>
        <v>ALERTAS PRIORITÁRIOSCliente 28</v>
      </c>
      <c r="B166" s="37" t="s">
        <v>147</v>
      </c>
      <c r="C166" s="37" t="s">
        <v>185</v>
      </c>
      <c r="D166" s="43">
        <v>8</v>
      </c>
      <c r="E166" s="37" t="s">
        <v>1244</v>
      </c>
      <c r="F166" s="38">
        <v>0.1</v>
      </c>
      <c r="G166" s="39">
        <f>IF(OR(B166="FIXO",B166="XFIXO"),IF(F166="","ERRO",10*F166)*'BD Campos'!$W$2,IF(F166="","ERRO",10*F166)*'BD Campos'!$W$3)</f>
        <v>1</v>
      </c>
      <c r="H166" s="40">
        <v>0.05</v>
      </c>
      <c r="I166" s="41">
        <f t="shared" si="5"/>
        <v>-0.05</v>
      </c>
    </row>
    <row r="167" spans="1:9" s="19" customFormat="1" hidden="1" x14ac:dyDescent="0.35">
      <c r="A167" s="37" t="str">
        <f t="shared" si="4"/>
        <v>ALERTAS PRIORITÁRIOSCliente 29</v>
      </c>
      <c r="B167" s="37" t="s">
        <v>147</v>
      </c>
      <c r="C167" s="37" t="s">
        <v>185</v>
      </c>
      <c r="D167" s="43">
        <v>9</v>
      </c>
      <c r="E167" s="37" t="s">
        <v>1245</v>
      </c>
      <c r="F167" s="38">
        <v>0.05</v>
      </c>
      <c r="G167" s="39">
        <f>IF(OR(B167="FIXO",B167="XFIXO"),IF(F167="","ERRO",10*F167)*'BD Campos'!$W$2,IF(F167="","ERRO",10*F167)*'BD Campos'!$W$3)</f>
        <v>0.5</v>
      </c>
      <c r="H167" s="40">
        <v>0.05</v>
      </c>
      <c r="I167" s="41">
        <f t="shared" si="5"/>
        <v>-2.5000000000000001E-2</v>
      </c>
    </row>
    <row r="168" spans="1:9" s="19" customFormat="1" hidden="1" x14ac:dyDescent="0.35">
      <c r="A168" s="37" t="str">
        <f t="shared" si="4"/>
        <v>ALERTAS PRIORITÁRIOSCliente 210</v>
      </c>
      <c r="B168" s="37" t="s">
        <v>147</v>
      </c>
      <c r="C168" s="37" t="s">
        <v>185</v>
      </c>
      <c r="D168" s="43">
        <v>10</v>
      </c>
      <c r="E168" s="45" t="s">
        <v>1243</v>
      </c>
      <c r="F168" s="38">
        <v>0.05</v>
      </c>
      <c r="G168" s="39">
        <f>IF(OR(B168="FIXO",B168="XFIXO"),IF(F168="","ERRO",10*F168)*'BD Campos'!$W$2,IF(F168="","ERRO",10*F168)*'BD Campos'!$W$3)</f>
        <v>0.5</v>
      </c>
      <c r="H168" s="40">
        <v>0.05</v>
      </c>
      <c r="I168" s="41">
        <f t="shared" si="5"/>
        <v>-2.5000000000000001E-2</v>
      </c>
    </row>
    <row r="169" spans="1:9" s="19" customFormat="1" hidden="1" x14ac:dyDescent="0.35">
      <c r="A169" s="37" t="str">
        <f t="shared" si="4"/>
        <v>ALERTAS PRIORITÁRIOSCliente 211</v>
      </c>
      <c r="B169" s="37" t="s">
        <v>147</v>
      </c>
      <c r="C169" s="37" t="s">
        <v>185</v>
      </c>
      <c r="D169" s="43">
        <v>11</v>
      </c>
      <c r="E169" s="37" t="s">
        <v>1240</v>
      </c>
      <c r="F169" s="38">
        <v>0.1</v>
      </c>
      <c r="G169" s="39">
        <f>IF(OR(B169="FIXO",B169="XFIXO"),IF(F169="","ERRO",10*F169)*'BD Campos'!$W$2,IF(F169="","ERRO",10*F169)*'BD Campos'!$W$3)</f>
        <v>1</v>
      </c>
      <c r="H169" s="40">
        <v>0.05</v>
      </c>
      <c r="I169" s="41">
        <f t="shared" si="5"/>
        <v>-0.05</v>
      </c>
    </row>
    <row r="170" spans="1:9" s="19" customFormat="1" hidden="1" x14ac:dyDescent="0.35">
      <c r="A170" s="37" t="str">
        <f t="shared" si="4"/>
        <v>DESVIO DE ROTAPonto de Apoio1</v>
      </c>
      <c r="B170" s="43" t="s">
        <v>126</v>
      </c>
      <c r="C170" s="37" t="s">
        <v>125</v>
      </c>
      <c r="D170" s="43">
        <v>1</v>
      </c>
      <c r="E170" s="37" t="s">
        <v>1212</v>
      </c>
      <c r="F170" s="38">
        <v>0.1</v>
      </c>
      <c r="G170" s="39">
        <f>IF(OR(B170="FIXO",B170="XFIXO"),IF(F170="","ERRO",10*F170)*'BD Campos'!$W$2,IF(F170="","ERRO",10*F170)*'BD Campos'!$W$3)</f>
        <v>1</v>
      </c>
      <c r="H170" s="40">
        <v>0.05</v>
      </c>
      <c r="I170" s="41">
        <f t="shared" si="5"/>
        <v>-0.05</v>
      </c>
    </row>
    <row r="171" spans="1:9" s="19" customFormat="1" hidden="1" x14ac:dyDescent="0.35">
      <c r="A171" s="37" t="str">
        <f t="shared" si="4"/>
        <v>DESVIO DE ROTAPonto de Apoio2</v>
      </c>
      <c r="B171" s="43" t="s">
        <v>126</v>
      </c>
      <c r="C171" s="37" t="s">
        <v>125</v>
      </c>
      <c r="D171" s="43">
        <v>2</v>
      </c>
      <c r="E171" s="37" t="s">
        <v>1213</v>
      </c>
      <c r="F171" s="38">
        <v>0.1</v>
      </c>
      <c r="G171" s="39">
        <f>IF(OR(B171="FIXO",B171="XFIXO"),IF(F171="","ERRO",10*F171)*'BD Campos'!$W$2,IF(F171="","ERRO",10*F171)*'BD Campos'!$W$3)</f>
        <v>1</v>
      </c>
      <c r="H171" s="40">
        <v>0.05</v>
      </c>
      <c r="I171" s="41">
        <f t="shared" si="5"/>
        <v>-0.05</v>
      </c>
    </row>
    <row r="172" spans="1:9" s="19" customFormat="1" hidden="1" x14ac:dyDescent="0.35">
      <c r="A172" s="37" t="str">
        <f t="shared" si="4"/>
        <v>DESVIO DE ROTAPonto de Apoio3</v>
      </c>
      <c r="B172" s="43" t="s">
        <v>126</v>
      </c>
      <c r="C172" s="37" t="s">
        <v>125</v>
      </c>
      <c r="D172" s="43">
        <v>3</v>
      </c>
      <c r="E172" s="37" t="s">
        <v>1214</v>
      </c>
      <c r="F172" s="38">
        <v>0.1</v>
      </c>
      <c r="G172" s="39">
        <f>IF(OR(B172="FIXO",B172="XFIXO"),IF(F172="","ERRO",10*F172)*'BD Campos'!$W$2,IF(F172="","ERRO",10*F172)*'BD Campos'!$W$3)</f>
        <v>1</v>
      </c>
      <c r="H172" s="40">
        <v>0.05</v>
      </c>
      <c r="I172" s="41">
        <f t="shared" si="5"/>
        <v>-0.05</v>
      </c>
    </row>
    <row r="173" spans="1:9" s="19" customFormat="1" hidden="1" x14ac:dyDescent="0.35">
      <c r="A173" s="37" t="str">
        <f t="shared" si="4"/>
        <v>DESVIO DE ROTAPonto de Apoio4</v>
      </c>
      <c r="B173" s="43" t="s">
        <v>126</v>
      </c>
      <c r="C173" s="37" t="s">
        <v>125</v>
      </c>
      <c r="D173" s="43">
        <v>4</v>
      </c>
      <c r="E173" s="37" t="s">
        <v>1215</v>
      </c>
      <c r="F173" s="38">
        <v>0.1</v>
      </c>
      <c r="G173" s="39">
        <f>IF(OR(B173="FIXO",B173="XFIXO"),IF(F173="","ERRO",10*F173)*'BD Campos'!$W$2,IF(F173="","ERRO",10*F173)*'BD Campos'!$W$3)</f>
        <v>1</v>
      </c>
      <c r="H173" s="40">
        <v>0.05</v>
      </c>
      <c r="I173" s="41">
        <f t="shared" si="5"/>
        <v>-0.05</v>
      </c>
    </row>
    <row r="174" spans="1:9" s="19" customFormat="1" hidden="1" x14ac:dyDescent="0.35">
      <c r="A174" s="37" t="str">
        <f t="shared" si="4"/>
        <v>DESVIO DE ROTAPonto de Apoio5</v>
      </c>
      <c r="B174" s="43" t="s">
        <v>126</v>
      </c>
      <c r="C174" s="37" t="s">
        <v>125</v>
      </c>
      <c r="D174" s="43">
        <v>5</v>
      </c>
      <c r="E174" s="37" t="s">
        <v>1216</v>
      </c>
      <c r="F174" s="38">
        <v>0.1</v>
      </c>
      <c r="G174" s="39">
        <f>IF(OR(B174="FIXO",B174="XFIXO"),IF(F174="","ERRO",10*F174)*'BD Campos'!$W$2,IF(F174="","ERRO",10*F174)*'BD Campos'!$W$3)</f>
        <v>1</v>
      </c>
      <c r="H174" s="40">
        <v>0.05</v>
      </c>
      <c r="I174" s="41">
        <f t="shared" si="5"/>
        <v>-0.05</v>
      </c>
    </row>
    <row r="175" spans="1:9" s="19" customFormat="1" hidden="1" x14ac:dyDescent="0.35">
      <c r="A175" s="37" t="str">
        <f t="shared" si="4"/>
        <v>DESVIO DE ROTAPonto de Apoio6</v>
      </c>
      <c r="B175" s="43" t="s">
        <v>126</v>
      </c>
      <c r="C175" s="37" t="s">
        <v>125</v>
      </c>
      <c r="D175" s="43">
        <v>6</v>
      </c>
      <c r="E175" s="37" t="s">
        <v>1217</v>
      </c>
      <c r="F175" s="38">
        <v>0.1</v>
      </c>
      <c r="G175" s="39">
        <f>IF(OR(B175="FIXO",B175="XFIXO"),IF(F175="","ERRO",10*F175)*'BD Campos'!$W$2,IF(F175="","ERRO",10*F175)*'BD Campos'!$W$3)</f>
        <v>1</v>
      </c>
      <c r="H175" s="40">
        <v>0.05</v>
      </c>
      <c r="I175" s="41">
        <f t="shared" si="5"/>
        <v>-0.05</v>
      </c>
    </row>
    <row r="176" spans="1:9" s="19" customFormat="1" hidden="1" x14ac:dyDescent="0.35">
      <c r="A176" s="43" t="str">
        <f t="shared" si="4"/>
        <v>DESVIO DE ROTAPonto de Apoio7</v>
      </c>
      <c r="B176" s="43" t="s">
        <v>126</v>
      </c>
      <c r="C176" s="37" t="s">
        <v>125</v>
      </c>
      <c r="D176" s="43">
        <v>7</v>
      </c>
      <c r="E176" s="43" t="s">
        <v>1246</v>
      </c>
      <c r="F176" s="38">
        <v>0.1</v>
      </c>
      <c r="G176" s="39">
        <f>IF(OR(B176="FIXO",B176="XFIXO"),IF(F176="","ERRO",10*F176)*'BD Campos'!$W$2,IF(F176="","ERRO",10*F176)*'BD Campos'!$W$3)</f>
        <v>1</v>
      </c>
      <c r="H176" s="46">
        <v>0.05</v>
      </c>
      <c r="I176" s="47">
        <f t="shared" si="5"/>
        <v>-0.05</v>
      </c>
    </row>
    <row r="177" spans="1:9" s="19" customFormat="1" hidden="1" x14ac:dyDescent="0.35">
      <c r="A177" s="43" t="str">
        <f t="shared" si="4"/>
        <v>DESVIO DE ROTAPonto de Apoio8</v>
      </c>
      <c r="B177" s="43" t="s">
        <v>126</v>
      </c>
      <c r="C177" s="37" t="s">
        <v>125</v>
      </c>
      <c r="D177" s="43">
        <v>8</v>
      </c>
      <c r="E177" s="43" t="s">
        <v>1247</v>
      </c>
      <c r="F177" s="38">
        <v>0.1</v>
      </c>
      <c r="G177" s="39">
        <f>IF(OR(B177="FIXO",B177="XFIXO"),IF(F177="","ERRO",10*F177)*'BD Campos'!$W$2,IF(F177="","ERRO",10*F177)*'BD Campos'!$W$3)</f>
        <v>1</v>
      </c>
      <c r="H177" s="46">
        <v>0.05</v>
      </c>
      <c r="I177" s="47">
        <f t="shared" si="5"/>
        <v>-0.05</v>
      </c>
    </row>
    <row r="178" spans="1:9" s="19" customFormat="1" hidden="1" x14ac:dyDescent="0.35">
      <c r="A178" s="43" t="str">
        <f t="shared" si="4"/>
        <v>DESVIO DE ROTAPonto de Apoio9</v>
      </c>
      <c r="B178" s="43" t="s">
        <v>126</v>
      </c>
      <c r="C178" s="37" t="s">
        <v>125</v>
      </c>
      <c r="D178" s="43">
        <v>9</v>
      </c>
      <c r="E178" s="43" t="s">
        <v>1248</v>
      </c>
      <c r="F178" s="38">
        <v>0.1</v>
      </c>
      <c r="G178" s="39">
        <f>IF(OR(B178="FIXO",B178="XFIXO"),IF(F178="","ERRO",10*F178)*'BD Campos'!$W$2,IF(F178="","ERRO",10*F178)*'BD Campos'!$W$3)</f>
        <v>1</v>
      </c>
      <c r="H178" s="46">
        <v>0.05</v>
      </c>
      <c r="I178" s="47">
        <f t="shared" si="5"/>
        <v>-0.05</v>
      </c>
    </row>
    <row r="179" spans="1:9" s="19" customFormat="1" hidden="1" x14ac:dyDescent="0.35">
      <c r="A179" s="43" t="str">
        <f t="shared" si="4"/>
        <v>DESVIO DE ROTAPonto de Apoio10</v>
      </c>
      <c r="B179" s="43" t="s">
        <v>126</v>
      </c>
      <c r="C179" s="37" t="s">
        <v>125</v>
      </c>
      <c r="D179" s="43">
        <v>10</v>
      </c>
      <c r="E179" s="43" t="s">
        <v>1249</v>
      </c>
      <c r="F179" s="38">
        <v>0.1</v>
      </c>
      <c r="G179" s="39">
        <f>IF(OR(B179="FIXO",B179="XFIXO"),IF(F179="","ERRO",10*F179)*'BD Campos'!$W$2,IF(F179="","ERRO",10*F179)*'BD Campos'!$W$3)</f>
        <v>1</v>
      </c>
      <c r="H179" s="46">
        <v>0.05</v>
      </c>
      <c r="I179" s="47">
        <f t="shared" si="5"/>
        <v>-0.05</v>
      </c>
    </row>
    <row r="180" spans="1:9" s="19" customFormat="1" hidden="1" x14ac:dyDescent="0.35">
      <c r="A180" s="37" t="str">
        <f t="shared" si="4"/>
        <v>PARADA INDEVIDAPonto de Apoio1</v>
      </c>
      <c r="B180" s="43" t="s">
        <v>121</v>
      </c>
      <c r="C180" s="37" t="s">
        <v>125</v>
      </c>
      <c r="D180" s="43">
        <v>1</v>
      </c>
      <c r="E180" s="37" t="s">
        <v>1212</v>
      </c>
      <c r="F180" s="38">
        <v>0.1</v>
      </c>
      <c r="G180" s="39">
        <f>IF(OR(B180="FIXO",B180="XFIXO"),IF(F180="","ERRO",10*F180)*'BD Campos'!$W$2,IF(F180="","ERRO",10*F180)*'BD Campos'!$W$3)</f>
        <v>1</v>
      </c>
      <c r="H180" s="40">
        <v>0.05</v>
      </c>
      <c r="I180" s="41">
        <f t="shared" si="5"/>
        <v>-0.05</v>
      </c>
    </row>
    <row r="181" spans="1:9" s="19" customFormat="1" hidden="1" x14ac:dyDescent="0.35">
      <c r="A181" s="37" t="str">
        <f t="shared" si="4"/>
        <v>PARADA INDEVIDAPonto de Apoio2</v>
      </c>
      <c r="B181" s="43" t="s">
        <v>121</v>
      </c>
      <c r="C181" s="37" t="s">
        <v>125</v>
      </c>
      <c r="D181" s="43">
        <v>2</v>
      </c>
      <c r="E181" s="37" t="s">
        <v>1213</v>
      </c>
      <c r="F181" s="38">
        <v>0.1</v>
      </c>
      <c r="G181" s="39">
        <f>IF(OR(B181="FIXO",B181="XFIXO"),IF(F181="","ERRO",10*F181)*'BD Campos'!$W$2,IF(F181="","ERRO",10*F181)*'BD Campos'!$W$3)</f>
        <v>1</v>
      </c>
      <c r="H181" s="40">
        <v>0.05</v>
      </c>
      <c r="I181" s="41">
        <f t="shared" si="5"/>
        <v>-0.05</v>
      </c>
    </row>
    <row r="182" spans="1:9" s="19" customFormat="1" hidden="1" x14ac:dyDescent="0.35">
      <c r="A182" s="37" t="str">
        <f t="shared" si="4"/>
        <v>PARADA INDEVIDAPonto de Apoio3</v>
      </c>
      <c r="B182" s="43" t="s">
        <v>121</v>
      </c>
      <c r="C182" s="37" t="s">
        <v>125</v>
      </c>
      <c r="D182" s="43">
        <v>3</v>
      </c>
      <c r="E182" s="37" t="s">
        <v>1214</v>
      </c>
      <c r="F182" s="38">
        <v>0.1</v>
      </c>
      <c r="G182" s="39">
        <f>IF(OR(B182="FIXO",B182="XFIXO"),IF(F182="","ERRO",10*F182)*'BD Campos'!$W$2,IF(F182="","ERRO",10*F182)*'BD Campos'!$W$3)</f>
        <v>1</v>
      </c>
      <c r="H182" s="40">
        <v>0.05</v>
      </c>
      <c r="I182" s="41">
        <f t="shared" si="5"/>
        <v>-0.05</v>
      </c>
    </row>
    <row r="183" spans="1:9" s="19" customFormat="1" hidden="1" x14ac:dyDescent="0.35">
      <c r="A183" s="37" t="str">
        <f t="shared" si="4"/>
        <v>PARADA INDEVIDAPonto de Apoio4</v>
      </c>
      <c r="B183" s="43" t="s">
        <v>121</v>
      </c>
      <c r="C183" s="37" t="s">
        <v>125</v>
      </c>
      <c r="D183" s="43">
        <v>4</v>
      </c>
      <c r="E183" s="37" t="s">
        <v>1215</v>
      </c>
      <c r="F183" s="38">
        <v>0.1</v>
      </c>
      <c r="G183" s="39">
        <f>IF(OR(B183="FIXO",B183="XFIXO"),IF(F183="","ERRO",10*F183)*'BD Campos'!$W$2,IF(F183="","ERRO",10*F183)*'BD Campos'!$W$3)</f>
        <v>1</v>
      </c>
      <c r="H183" s="40">
        <v>0.05</v>
      </c>
      <c r="I183" s="41">
        <f t="shared" si="5"/>
        <v>-0.05</v>
      </c>
    </row>
    <row r="184" spans="1:9" s="19" customFormat="1" hidden="1" x14ac:dyDescent="0.35">
      <c r="A184" s="37" t="str">
        <f t="shared" si="4"/>
        <v>PARADA INDEVIDAPonto de Apoio5</v>
      </c>
      <c r="B184" s="43" t="s">
        <v>121</v>
      </c>
      <c r="C184" s="37" t="s">
        <v>125</v>
      </c>
      <c r="D184" s="43">
        <v>5</v>
      </c>
      <c r="E184" s="37" t="s">
        <v>1216</v>
      </c>
      <c r="F184" s="38">
        <v>0.1</v>
      </c>
      <c r="G184" s="39">
        <f>IF(OR(B184="FIXO",B184="XFIXO"),IF(F184="","ERRO",10*F184)*'BD Campos'!$W$2,IF(F184="","ERRO",10*F184)*'BD Campos'!$W$3)</f>
        <v>1</v>
      </c>
      <c r="H184" s="40">
        <v>0.05</v>
      </c>
      <c r="I184" s="41">
        <f t="shared" si="5"/>
        <v>-0.05</v>
      </c>
    </row>
    <row r="185" spans="1:9" s="19" customFormat="1" hidden="1" x14ac:dyDescent="0.35">
      <c r="A185" s="37" t="str">
        <f t="shared" si="4"/>
        <v>PARADA INDEVIDAPonto de Apoio6</v>
      </c>
      <c r="B185" s="43" t="s">
        <v>121</v>
      </c>
      <c r="C185" s="37" t="s">
        <v>125</v>
      </c>
      <c r="D185" s="43">
        <v>6</v>
      </c>
      <c r="E185" s="37" t="s">
        <v>1217</v>
      </c>
      <c r="F185" s="38">
        <v>0.1</v>
      </c>
      <c r="G185" s="39">
        <f>IF(OR(B185="FIXO",B185="XFIXO"),IF(F185="","ERRO",10*F185)*'BD Campos'!$W$2,IF(F185="","ERRO",10*F185)*'BD Campos'!$W$3)</f>
        <v>1</v>
      </c>
      <c r="H185" s="40">
        <v>0.05</v>
      </c>
      <c r="I185" s="41">
        <f t="shared" si="5"/>
        <v>-0.05</v>
      </c>
    </row>
    <row r="186" spans="1:9" s="19" customFormat="1" hidden="1" x14ac:dyDescent="0.35">
      <c r="A186" s="43" t="str">
        <f t="shared" si="4"/>
        <v>PARADA INDEVIDAPonto de Apoio7</v>
      </c>
      <c r="B186" s="43" t="s">
        <v>121</v>
      </c>
      <c r="C186" s="37" t="s">
        <v>125</v>
      </c>
      <c r="D186" s="43">
        <v>7</v>
      </c>
      <c r="E186" s="43" t="s">
        <v>1246</v>
      </c>
      <c r="F186" s="38">
        <v>0.1</v>
      </c>
      <c r="G186" s="39">
        <f>IF(OR(B186="FIXO",B186="XFIXO"),IF(F186="","ERRO",10*F186)*'BD Campos'!$W$2,IF(F186="","ERRO",10*F186)*'BD Campos'!$W$3)</f>
        <v>1</v>
      </c>
      <c r="H186" s="46">
        <v>0.05</v>
      </c>
      <c r="I186" s="47">
        <f t="shared" si="5"/>
        <v>-0.05</v>
      </c>
    </row>
    <row r="187" spans="1:9" s="19" customFormat="1" hidden="1" x14ac:dyDescent="0.35">
      <c r="A187" s="43" t="str">
        <f t="shared" si="4"/>
        <v>PARADA INDEVIDAPonto de Apoio8</v>
      </c>
      <c r="B187" s="43" t="s">
        <v>121</v>
      </c>
      <c r="C187" s="37" t="s">
        <v>125</v>
      </c>
      <c r="D187" s="43">
        <v>8</v>
      </c>
      <c r="E187" s="43" t="s">
        <v>1247</v>
      </c>
      <c r="F187" s="38">
        <v>0.1</v>
      </c>
      <c r="G187" s="39">
        <f>IF(OR(B187="FIXO",B187="XFIXO"),IF(F187="","ERRO",10*F187)*'BD Campos'!$W$2,IF(F187="","ERRO",10*F187)*'BD Campos'!$W$3)</f>
        <v>1</v>
      </c>
      <c r="H187" s="46">
        <v>0.05</v>
      </c>
      <c r="I187" s="47">
        <f t="shared" si="5"/>
        <v>-0.05</v>
      </c>
    </row>
    <row r="188" spans="1:9" s="19" customFormat="1" hidden="1" x14ac:dyDescent="0.35">
      <c r="A188" s="43" t="str">
        <f t="shared" si="4"/>
        <v>PARADA INDEVIDAPonto de Apoio9</v>
      </c>
      <c r="B188" s="43" t="s">
        <v>121</v>
      </c>
      <c r="C188" s="37" t="s">
        <v>125</v>
      </c>
      <c r="D188" s="43">
        <v>9</v>
      </c>
      <c r="E188" s="43" t="s">
        <v>1248</v>
      </c>
      <c r="F188" s="38">
        <v>0.1</v>
      </c>
      <c r="G188" s="39">
        <f>IF(OR(B188="FIXO",B188="XFIXO"),IF(F188="","ERRO",10*F188)*'BD Campos'!$W$2,IF(F188="","ERRO",10*F188)*'BD Campos'!$W$3)</f>
        <v>1</v>
      </c>
      <c r="H188" s="46">
        <v>0.05</v>
      </c>
      <c r="I188" s="47">
        <f t="shared" si="5"/>
        <v>-0.05</v>
      </c>
    </row>
    <row r="189" spans="1:9" s="19" customFormat="1" hidden="1" x14ac:dyDescent="0.35">
      <c r="A189" s="43" t="str">
        <f t="shared" si="4"/>
        <v>PARADA INDEVIDAPonto de Apoio10</v>
      </c>
      <c r="B189" s="43" t="s">
        <v>121</v>
      </c>
      <c r="C189" s="37" t="s">
        <v>125</v>
      </c>
      <c r="D189" s="43">
        <v>10</v>
      </c>
      <c r="E189" s="43" t="s">
        <v>1249</v>
      </c>
      <c r="F189" s="38">
        <v>0.1</v>
      </c>
      <c r="G189" s="39">
        <f>IF(OR(B189="FIXO",B189="XFIXO"),IF(F189="","ERRO",10*F189)*'BD Campos'!$W$2,IF(F189="","ERRO",10*F189)*'BD Campos'!$W$3)</f>
        <v>1</v>
      </c>
      <c r="H189" s="46">
        <v>0.05</v>
      </c>
      <c r="I189" s="47">
        <f t="shared" si="5"/>
        <v>-0.05</v>
      </c>
    </row>
    <row r="190" spans="1:9" s="19" customFormat="1" hidden="1" x14ac:dyDescent="0.35">
      <c r="A190" s="37" t="str">
        <f t="shared" si="4"/>
        <v>POSIÇÃO EM ATRASOPonto de Apoio1</v>
      </c>
      <c r="B190" s="43" t="s">
        <v>123</v>
      </c>
      <c r="C190" s="37" t="s">
        <v>125</v>
      </c>
      <c r="D190" s="43">
        <v>1</v>
      </c>
      <c r="E190" s="37" t="s">
        <v>1212</v>
      </c>
      <c r="F190" s="38">
        <v>0.1</v>
      </c>
      <c r="G190" s="39">
        <f>IF(OR(B190="FIXO",B190="XFIXO"),IF(F190="","ERRO",10*F190)*'BD Campos'!$W$2,IF(F190="","ERRO",10*F190)*'BD Campos'!$W$3)</f>
        <v>1</v>
      </c>
      <c r="H190" s="40">
        <v>0.05</v>
      </c>
      <c r="I190" s="41">
        <f t="shared" si="5"/>
        <v>-0.05</v>
      </c>
    </row>
    <row r="191" spans="1:9" s="19" customFormat="1" hidden="1" x14ac:dyDescent="0.35">
      <c r="A191" s="37" t="str">
        <f t="shared" si="4"/>
        <v>POSIÇÃO EM ATRASOPonto de Apoio2</v>
      </c>
      <c r="B191" s="43" t="s">
        <v>123</v>
      </c>
      <c r="C191" s="37" t="s">
        <v>125</v>
      </c>
      <c r="D191" s="43">
        <v>2</v>
      </c>
      <c r="E191" s="37" t="s">
        <v>1213</v>
      </c>
      <c r="F191" s="38">
        <v>0.1</v>
      </c>
      <c r="G191" s="39">
        <f>IF(OR(B191="FIXO",B191="XFIXO"),IF(F191="","ERRO",10*F191)*'BD Campos'!$W$2,IF(F191="","ERRO",10*F191)*'BD Campos'!$W$3)</f>
        <v>1</v>
      </c>
      <c r="H191" s="40">
        <v>0.05</v>
      </c>
      <c r="I191" s="41">
        <f t="shared" si="5"/>
        <v>-0.05</v>
      </c>
    </row>
    <row r="192" spans="1:9" s="19" customFormat="1" hidden="1" x14ac:dyDescent="0.35">
      <c r="A192" s="37" t="str">
        <f t="shared" si="4"/>
        <v>POSIÇÃO EM ATRASOPonto de Apoio3</v>
      </c>
      <c r="B192" s="43" t="s">
        <v>123</v>
      </c>
      <c r="C192" s="37" t="s">
        <v>125</v>
      </c>
      <c r="D192" s="43">
        <v>3</v>
      </c>
      <c r="E192" s="37" t="s">
        <v>1214</v>
      </c>
      <c r="F192" s="38">
        <v>0.1</v>
      </c>
      <c r="G192" s="39">
        <f>IF(OR(B192="FIXO",B192="XFIXO"),IF(F192="","ERRO",10*F192)*'BD Campos'!$W$2,IF(F192="","ERRO",10*F192)*'BD Campos'!$W$3)</f>
        <v>1</v>
      </c>
      <c r="H192" s="40">
        <v>0.05</v>
      </c>
      <c r="I192" s="41">
        <f t="shared" si="5"/>
        <v>-0.05</v>
      </c>
    </row>
    <row r="193" spans="1:9" s="19" customFormat="1" hidden="1" x14ac:dyDescent="0.35">
      <c r="A193" s="37" t="str">
        <f t="shared" si="4"/>
        <v>POSIÇÃO EM ATRASOPonto de Apoio4</v>
      </c>
      <c r="B193" s="43" t="s">
        <v>123</v>
      </c>
      <c r="C193" s="37" t="s">
        <v>125</v>
      </c>
      <c r="D193" s="43">
        <v>4</v>
      </c>
      <c r="E193" s="37" t="s">
        <v>1215</v>
      </c>
      <c r="F193" s="38">
        <v>0.1</v>
      </c>
      <c r="G193" s="39">
        <f>IF(OR(B193="FIXO",B193="XFIXO"),IF(F193="","ERRO",10*F193)*'BD Campos'!$W$2,IF(F193="","ERRO",10*F193)*'BD Campos'!$W$3)</f>
        <v>1</v>
      </c>
      <c r="H193" s="40">
        <v>0.05</v>
      </c>
      <c r="I193" s="41">
        <f t="shared" si="5"/>
        <v>-0.05</v>
      </c>
    </row>
    <row r="194" spans="1:9" s="19" customFormat="1" hidden="1" x14ac:dyDescent="0.35">
      <c r="A194" s="37" t="str">
        <f t="shared" ref="A194:A257" si="6">B194&amp;C194&amp;D194</f>
        <v>POSIÇÃO EM ATRASOPonto de Apoio5</v>
      </c>
      <c r="B194" s="43" t="s">
        <v>123</v>
      </c>
      <c r="C194" s="37" t="s">
        <v>125</v>
      </c>
      <c r="D194" s="43">
        <v>5</v>
      </c>
      <c r="E194" s="37" t="s">
        <v>1216</v>
      </c>
      <c r="F194" s="38">
        <v>0.1</v>
      </c>
      <c r="G194" s="39">
        <f>IF(OR(B194="FIXO",B194="XFIXO"),IF(F194="","ERRO",10*F194)*'BD Campos'!$W$2,IF(F194="","ERRO",10*F194)*'BD Campos'!$W$3)</f>
        <v>1</v>
      </c>
      <c r="H194" s="40">
        <v>0.05</v>
      </c>
      <c r="I194" s="41">
        <f t="shared" ref="I194:I257" si="7">H194*G194*-1</f>
        <v>-0.05</v>
      </c>
    </row>
    <row r="195" spans="1:9" s="19" customFormat="1" hidden="1" x14ac:dyDescent="0.35">
      <c r="A195" s="37" t="str">
        <f t="shared" si="6"/>
        <v>POSIÇÃO EM ATRASOPonto de Apoio6</v>
      </c>
      <c r="B195" s="43" t="s">
        <v>123</v>
      </c>
      <c r="C195" s="37" t="s">
        <v>125</v>
      </c>
      <c r="D195" s="43">
        <v>6</v>
      </c>
      <c r="E195" s="37" t="s">
        <v>1217</v>
      </c>
      <c r="F195" s="38">
        <v>0.1</v>
      </c>
      <c r="G195" s="39">
        <f>IF(OR(B195="FIXO",B195="XFIXO"),IF(F195="","ERRO",10*F195)*'BD Campos'!$W$2,IF(F195="","ERRO",10*F195)*'BD Campos'!$W$3)</f>
        <v>1</v>
      </c>
      <c r="H195" s="40">
        <v>0.05</v>
      </c>
      <c r="I195" s="41">
        <f t="shared" si="7"/>
        <v>-0.05</v>
      </c>
    </row>
    <row r="196" spans="1:9" s="19" customFormat="1" hidden="1" x14ac:dyDescent="0.35">
      <c r="A196" s="43" t="str">
        <f t="shared" si="6"/>
        <v>POSIÇÃO EM ATRASOPonto de Apoio7</v>
      </c>
      <c r="B196" s="43" t="s">
        <v>123</v>
      </c>
      <c r="C196" s="37" t="s">
        <v>125</v>
      </c>
      <c r="D196" s="43">
        <v>7</v>
      </c>
      <c r="E196" s="43" t="s">
        <v>1246</v>
      </c>
      <c r="F196" s="38">
        <v>0.1</v>
      </c>
      <c r="G196" s="39">
        <f>IF(OR(B196="FIXO",B196="XFIXO"),IF(F196="","ERRO",10*F196)*'BD Campos'!$W$2,IF(F196="","ERRO",10*F196)*'BD Campos'!$W$3)</f>
        <v>1</v>
      </c>
      <c r="H196" s="46">
        <v>0.05</v>
      </c>
      <c r="I196" s="47">
        <f t="shared" si="7"/>
        <v>-0.05</v>
      </c>
    </row>
    <row r="197" spans="1:9" s="19" customFormat="1" hidden="1" x14ac:dyDescent="0.35">
      <c r="A197" s="43" t="str">
        <f t="shared" si="6"/>
        <v>POSIÇÃO EM ATRASOPonto de Apoio8</v>
      </c>
      <c r="B197" s="43" t="s">
        <v>123</v>
      </c>
      <c r="C197" s="37" t="s">
        <v>125</v>
      </c>
      <c r="D197" s="43">
        <v>8</v>
      </c>
      <c r="E197" s="43" t="s">
        <v>1247</v>
      </c>
      <c r="F197" s="38">
        <v>0.1</v>
      </c>
      <c r="G197" s="39">
        <f>IF(OR(B197="FIXO",B197="XFIXO"),IF(F197="","ERRO",10*F197)*'BD Campos'!$W$2,IF(F197="","ERRO",10*F197)*'BD Campos'!$W$3)</f>
        <v>1</v>
      </c>
      <c r="H197" s="46">
        <v>0.05</v>
      </c>
      <c r="I197" s="47">
        <f t="shared" si="7"/>
        <v>-0.05</v>
      </c>
    </row>
    <row r="198" spans="1:9" s="19" customFormat="1" hidden="1" x14ac:dyDescent="0.35">
      <c r="A198" s="43" t="str">
        <f t="shared" si="6"/>
        <v>POSIÇÃO EM ATRASOPonto de Apoio9</v>
      </c>
      <c r="B198" s="43" t="s">
        <v>123</v>
      </c>
      <c r="C198" s="37" t="s">
        <v>125</v>
      </c>
      <c r="D198" s="43">
        <v>9</v>
      </c>
      <c r="E198" s="43" t="s">
        <v>1248</v>
      </c>
      <c r="F198" s="38">
        <v>0.1</v>
      </c>
      <c r="G198" s="39">
        <f>IF(OR(B198="FIXO",B198="XFIXO"),IF(F198="","ERRO",10*F198)*'BD Campos'!$W$2,IF(F198="","ERRO",10*F198)*'BD Campos'!$W$3)</f>
        <v>1</v>
      </c>
      <c r="H198" s="46">
        <v>0.05</v>
      </c>
      <c r="I198" s="47">
        <f t="shared" si="7"/>
        <v>-0.05</v>
      </c>
    </row>
    <row r="199" spans="1:9" s="19" customFormat="1" hidden="1" x14ac:dyDescent="0.35">
      <c r="A199" s="43" t="str">
        <f t="shared" si="6"/>
        <v>POSIÇÃO EM ATRASOPonto de Apoio10</v>
      </c>
      <c r="B199" s="43" t="s">
        <v>123</v>
      </c>
      <c r="C199" s="37" t="s">
        <v>125</v>
      </c>
      <c r="D199" s="43">
        <v>10</v>
      </c>
      <c r="E199" s="43" t="s">
        <v>1249</v>
      </c>
      <c r="F199" s="38">
        <v>0.1</v>
      </c>
      <c r="G199" s="39">
        <f>IF(OR(B199="FIXO",B199="XFIXO"),IF(F199="","ERRO",10*F199)*'BD Campos'!$W$2,IF(F199="","ERRO",10*F199)*'BD Campos'!$W$3)</f>
        <v>1</v>
      </c>
      <c r="H199" s="46">
        <v>0.05</v>
      </c>
      <c r="I199" s="47">
        <f t="shared" si="7"/>
        <v>-0.05</v>
      </c>
    </row>
    <row r="200" spans="1:9" s="19" customFormat="1" hidden="1" x14ac:dyDescent="0.35">
      <c r="A200" s="37" t="str">
        <f t="shared" si="6"/>
        <v>ALERTAS PRIORITÁRIOSPonto de Apoio1</v>
      </c>
      <c r="B200" s="43" t="s">
        <v>147</v>
      </c>
      <c r="C200" s="37" t="s">
        <v>125</v>
      </c>
      <c r="D200" s="43">
        <v>1</v>
      </c>
      <c r="E200" s="37" t="s">
        <v>1212</v>
      </c>
      <c r="F200" s="38">
        <v>0.1</v>
      </c>
      <c r="G200" s="39">
        <f>IF(OR(B200="FIXO",B200="XFIXO"),IF(F200="","ERRO",10*F200)*'BD Campos'!$W$2,IF(F200="","ERRO",10*F200)*'BD Campos'!$W$3)</f>
        <v>1</v>
      </c>
      <c r="H200" s="40">
        <v>0.05</v>
      </c>
      <c r="I200" s="41">
        <f t="shared" si="7"/>
        <v>-0.05</v>
      </c>
    </row>
    <row r="201" spans="1:9" s="19" customFormat="1" hidden="1" x14ac:dyDescent="0.35">
      <c r="A201" s="37" t="str">
        <f t="shared" si="6"/>
        <v>ALERTAS PRIORITÁRIOSPonto de Apoio2</v>
      </c>
      <c r="B201" s="43" t="s">
        <v>147</v>
      </c>
      <c r="C201" s="37" t="s">
        <v>125</v>
      </c>
      <c r="D201" s="43">
        <v>2</v>
      </c>
      <c r="E201" s="37" t="s">
        <v>1213</v>
      </c>
      <c r="F201" s="38">
        <v>0.1</v>
      </c>
      <c r="G201" s="39">
        <f>IF(OR(B201="FIXO",B201="XFIXO"),IF(F201="","ERRO",10*F201)*'BD Campos'!$W$2,IF(F201="","ERRO",10*F201)*'BD Campos'!$W$3)</f>
        <v>1</v>
      </c>
      <c r="H201" s="40">
        <v>0.05</v>
      </c>
      <c r="I201" s="41">
        <f t="shared" si="7"/>
        <v>-0.05</v>
      </c>
    </row>
    <row r="202" spans="1:9" s="19" customFormat="1" hidden="1" x14ac:dyDescent="0.35">
      <c r="A202" s="37" t="str">
        <f t="shared" si="6"/>
        <v>ALERTAS PRIORITÁRIOSPonto de Apoio3</v>
      </c>
      <c r="B202" s="43" t="s">
        <v>147</v>
      </c>
      <c r="C202" s="37" t="s">
        <v>125</v>
      </c>
      <c r="D202" s="43">
        <v>3</v>
      </c>
      <c r="E202" s="37" t="s">
        <v>1214</v>
      </c>
      <c r="F202" s="38">
        <v>0.1</v>
      </c>
      <c r="G202" s="39">
        <f>IF(OR(B202="FIXO",B202="XFIXO"),IF(F202="","ERRO",10*F202)*'BD Campos'!$W$2,IF(F202="","ERRO",10*F202)*'BD Campos'!$W$3)</f>
        <v>1</v>
      </c>
      <c r="H202" s="40">
        <v>0.05</v>
      </c>
      <c r="I202" s="41">
        <f t="shared" si="7"/>
        <v>-0.05</v>
      </c>
    </row>
    <row r="203" spans="1:9" s="19" customFormat="1" hidden="1" x14ac:dyDescent="0.35">
      <c r="A203" s="37" t="str">
        <f t="shared" si="6"/>
        <v>ALERTAS PRIORITÁRIOSPonto de Apoio4</v>
      </c>
      <c r="B203" s="43" t="s">
        <v>147</v>
      </c>
      <c r="C203" s="37" t="s">
        <v>125</v>
      </c>
      <c r="D203" s="43">
        <v>4</v>
      </c>
      <c r="E203" s="37" t="s">
        <v>1215</v>
      </c>
      <c r="F203" s="38">
        <v>0.1</v>
      </c>
      <c r="G203" s="39">
        <f>IF(OR(B203="FIXO",B203="XFIXO"),IF(F203="","ERRO",10*F203)*'BD Campos'!$W$2,IF(F203="","ERRO",10*F203)*'BD Campos'!$W$3)</f>
        <v>1</v>
      </c>
      <c r="H203" s="40">
        <v>0.05</v>
      </c>
      <c r="I203" s="41">
        <f t="shared" si="7"/>
        <v>-0.05</v>
      </c>
    </row>
    <row r="204" spans="1:9" s="19" customFormat="1" hidden="1" x14ac:dyDescent="0.35">
      <c r="A204" s="37" t="str">
        <f t="shared" si="6"/>
        <v>ALERTAS PRIORITÁRIOSPonto de Apoio5</v>
      </c>
      <c r="B204" s="43" t="s">
        <v>147</v>
      </c>
      <c r="C204" s="37" t="s">
        <v>125</v>
      </c>
      <c r="D204" s="43">
        <v>5</v>
      </c>
      <c r="E204" s="37" t="s">
        <v>1216</v>
      </c>
      <c r="F204" s="38">
        <v>0.1</v>
      </c>
      <c r="G204" s="39">
        <f>IF(OR(B204="FIXO",B204="XFIXO"),IF(F204="","ERRO",10*F204)*'BD Campos'!$W$2,IF(F204="","ERRO",10*F204)*'BD Campos'!$W$3)</f>
        <v>1</v>
      </c>
      <c r="H204" s="40">
        <v>0.05</v>
      </c>
      <c r="I204" s="41">
        <f t="shared" si="7"/>
        <v>-0.05</v>
      </c>
    </row>
    <row r="205" spans="1:9" s="19" customFormat="1" hidden="1" x14ac:dyDescent="0.35">
      <c r="A205" s="37" t="str">
        <f t="shared" si="6"/>
        <v>ALERTAS PRIORITÁRIOSPonto de Apoio6</v>
      </c>
      <c r="B205" s="43" t="s">
        <v>147</v>
      </c>
      <c r="C205" s="37" t="s">
        <v>125</v>
      </c>
      <c r="D205" s="43">
        <v>6</v>
      </c>
      <c r="E205" s="37" t="s">
        <v>1217</v>
      </c>
      <c r="F205" s="38">
        <v>0.1</v>
      </c>
      <c r="G205" s="39">
        <f>IF(OR(B205="FIXO",B205="XFIXO"),IF(F205="","ERRO",10*F205)*'BD Campos'!$W$2,IF(F205="","ERRO",10*F205)*'BD Campos'!$W$3)</f>
        <v>1</v>
      </c>
      <c r="H205" s="40">
        <v>0.05</v>
      </c>
      <c r="I205" s="41">
        <f t="shared" si="7"/>
        <v>-0.05</v>
      </c>
    </row>
    <row r="206" spans="1:9" s="19" customFormat="1" hidden="1" x14ac:dyDescent="0.35">
      <c r="A206" s="43" t="str">
        <f t="shared" si="6"/>
        <v>ALERTAS PRIORITÁRIOSPonto de Apoio7</v>
      </c>
      <c r="B206" s="43" t="s">
        <v>147</v>
      </c>
      <c r="C206" s="37" t="s">
        <v>125</v>
      </c>
      <c r="D206" s="43">
        <v>7</v>
      </c>
      <c r="E206" s="43" t="s">
        <v>1246</v>
      </c>
      <c r="F206" s="38">
        <v>0.1</v>
      </c>
      <c r="G206" s="39">
        <f>IF(OR(B206="FIXO",B206="XFIXO"),IF(F206="","ERRO",10*F206)*'BD Campos'!$W$2,IF(F206="","ERRO",10*F206)*'BD Campos'!$W$3)</f>
        <v>1</v>
      </c>
      <c r="H206" s="46">
        <v>0.05</v>
      </c>
      <c r="I206" s="47">
        <f t="shared" si="7"/>
        <v>-0.05</v>
      </c>
    </row>
    <row r="207" spans="1:9" s="19" customFormat="1" hidden="1" x14ac:dyDescent="0.35">
      <c r="A207" s="43" t="str">
        <f t="shared" si="6"/>
        <v>ALERTAS PRIORITÁRIOSPonto de Apoio8</v>
      </c>
      <c r="B207" s="43" t="s">
        <v>147</v>
      </c>
      <c r="C207" s="37" t="s">
        <v>125</v>
      </c>
      <c r="D207" s="43">
        <v>8</v>
      </c>
      <c r="E207" s="43" t="s">
        <v>1247</v>
      </c>
      <c r="F207" s="38">
        <v>0.1</v>
      </c>
      <c r="G207" s="39">
        <f>IF(OR(B207="FIXO",B207="XFIXO"),IF(F207="","ERRO",10*F207)*'BD Campos'!$W$2,IF(F207="","ERRO",10*F207)*'BD Campos'!$W$3)</f>
        <v>1</v>
      </c>
      <c r="H207" s="46">
        <v>0.05</v>
      </c>
      <c r="I207" s="47">
        <f t="shared" si="7"/>
        <v>-0.05</v>
      </c>
    </row>
    <row r="208" spans="1:9" s="19" customFormat="1" hidden="1" x14ac:dyDescent="0.35">
      <c r="A208" s="43" t="str">
        <f t="shared" si="6"/>
        <v>ALERTAS PRIORITÁRIOSPonto de Apoio9</v>
      </c>
      <c r="B208" s="43" t="s">
        <v>147</v>
      </c>
      <c r="C208" s="37" t="s">
        <v>125</v>
      </c>
      <c r="D208" s="43">
        <v>9</v>
      </c>
      <c r="E208" s="43" t="s">
        <v>1248</v>
      </c>
      <c r="F208" s="38">
        <v>0.1</v>
      </c>
      <c r="G208" s="39">
        <f>IF(OR(B208="FIXO",B208="XFIXO"),IF(F208="","ERRO",10*F208)*'BD Campos'!$W$2,IF(F208="","ERRO",10*F208)*'BD Campos'!$W$3)</f>
        <v>1</v>
      </c>
      <c r="H208" s="46">
        <v>0.05</v>
      </c>
      <c r="I208" s="47">
        <f t="shared" si="7"/>
        <v>-0.05</v>
      </c>
    </row>
    <row r="209" spans="1:9" s="19" customFormat="1" hidden="1" x14ac:dyDescent="0.35">
      <c r="A209" s="43" t="str">
        <f t="shared" si="6"/>
        <v>ALERTAS PRIORITÁRIOSPonto de Apoio10</v>
      </c>
      <c r="B209" s="43" t="s">
        <v>147</v>
      </c>
      <c r="C209" s="37" t="s">
        <v>125</v>
      </c>
      <c r="D209" s="43">
        <v>10</v>
      </c>
      <c r="E209" s="43" t="s">
        <v>1249</v>
      </c>
      <c r="F209" s="38">
        <v>0.1</v>
      </c>
      <c r="G209" s="39">
        <f>IF(OR(B209="FIXO",B209="XFIXO"),IF(F209="","ERRO",10*F209)*'BD Campos'!$W$2,IF(F209="","ERRO",10*F209)*'BD Campos'!$W$3)</f>
        <v>1</v>
      </c>
      <c r="H209" s="46">
        <v>0.05</v>
      </c>
      <c r="I209" s="47">
        <f t="shared" si="7"/>
        <v>-0.05</v>
      </c>
    </row>
    <row r="210" spans="1:9" s="19" customFormat="1" hidden="1" x14ac:dyDescent="0.35">
      <c r="A210" s="37" t="str">
        <f t="shared" si="6"/>
        <v>DESVIO DE ROTAPonto de Apoio 21</v>
      </c>
      <c r="B210" s="43" t="s">
        <v>126</v>
      </c>
      <c r="C210" s="37" t="s">
        <v>508</v>
      </c>
      <c r="D210" s="43">
        <v>1</v>
      </c>
      <c r="E210" s="37" t="s">
        <v>1212</v>
      </c>
      <c r="F210" s="38">
        <v>0.1</v>
      </c>
      <c r="G210" s="39">
        <f>IF(OR(B210="FIXO",B210="XFIXO"),IF(F210="","ERRO",10*F210)*'BD Campos'!$W$2,IF(F210="","ERRO",10*F210)*'BD Campos'!$W$3)</f>
        <v>1</v>
      </c>
      <c r="H210" s="40">
        <v>0.05</v>
      </c>
      <c r="I210" s="41">
        <f t="shared" si="7"/>
        <v>-0.05</v>
      </c>
    </row>
    <row r="211" spans="1:9" s="19" customFormat="1" hidden="1" x14ac:dyDescent="0.35">
      <c r="A211" s="37" t="str">
        <f t="shared" si="6"/>
        <v>DESVIO DE ROTAPonto de Apoio 22</v>
      </c>
      <c r="B211" s="43" t="s">
        <v>126</v>
      </c>
      <c r="C211" s="37" t="s">
        <v>508</v>
      </c>
      <c r="D211" s="43">
        <v>2</v>
      </c>
      <c r="E211" s="37" t="s">
        <v>1213</v>
      </c>
      <c r="F211" s="38">
        <v>0.1</v>
      </c>
      <c r="G211" s="39">
        <f>IF(OR(B211="FIXO",B211="XFIXO"),IF(F211="","ERRO",10*F211)*'BD Campos'!$W$2,IF(F211="","ERRO",10*F211)*'BD Campos'!$W$3)</f>
        <v>1</v>
      </c>
      <c r="H211" s="40">
        <v>0.05</v>
      </c>
      <c r="I211" s="41">
        <f t="shared" si="7"/>
        <v>-0.05</v>
      </c>
    </row>
    <row r="212" spans="1:9" s="19" customFormat="1" hidden="1" x14ac:dyDescent="0.35">
      <c r="A212" s="37" t="str">
        <f t="shared" si="6"/>
        <v>DESVIO DE ROTAPonto de Apoio 23</v>
      </c>
      <c r="B212" s="43" t="s">
        <v>126</v>
      </c>
      <c r="C212" s="37" t="s">
        <v>508</v>
      </c>
      <c r="D212" s="43">
        <v>3</v>
      </c>
      <c r="E212" s="37" t="s">
        <v>1214</v>
      </c>
      <c r="F212" s="38">
        <v>0.1</v>
      </c>
      <c r="G212" s="39">
        <f>IF(OR(B212="FIXO",B212="XFIXO"),IF(F212="","ERRO",10*F212)*'BD Campos'!$W$2,IF(F212="","ERRO",10*F212)*'BD Campos'!$W$3)</f>
        <v>1</v>
      </c>
      <c r="H212" s="40">
        <v>0.05</v>
      </c>
      <c r="I212" s="41">
        <f t="shared" si="7"/>
        <v>-0.05</v>
      </c>
    </row>
    <row r="213" spans="1:9" s="19" customFormat="1" hidden="1" x14ac:dyDescent="0.35">
      <c r="A213" s="37" t="str">
        <f t="shared" si="6"/>
        <v>DESVIO DE ROTAPonto de Apoio 24</v>
      </c>
      <c r="B213" s="43" t="s">
        <v>126</v>
      </c>
      <c r="C213" s="37" t="s">
        <v>508</v>
      </c>
      <c r="D213" s="43">
        <v>4</v>
      </c>
      <c r="E213" s="37" t="s">
        <v>1215</v>
      </c>
      <c r="F213" s="38">
        <v>0.1</v>
      </c>
      <c r="G213" s="39">
        <f>IF(OR(B213="FIXO",B213="XFIXO"),IF(F213="","ERRO",10*F213)*'BD Campos'!$W$2,IF(F213="","ERRO",10*F213)*'BD Campos'!$W$3)</f>
        <v>1</v>
      </c>
      <c r="H213" s="40">
        <v>0.05</v>
      </c>
      <c r="I213" s="41">
        <f t="shared" si="7"/>
        <v>-0.05</v>
      </c>
    </row>
    <row r="214" spans="1:9" s="19" customFormat="1" hidden="1" x14ac:dyDescent="0.35">
      <c r="A214" s="37" t="str">
        <f t="shared" si="6"/>
        <v>DESVIO DE ROTAPonto de Apoio 25</v>
      </c>
      <c r="B214" s="43" t="s">
        <v>126</v>
      </c>
      <c r="C214" s="37" t="s">
        <v>508</v>
      </c>
      <c r="D214" s="43">
        <v>5</v>
      </c>
      <c r="E214" s="37" t="s">
        <v>1216</v>
      </c>
      <c r="F214" s="38">
        <v>0.1</v>
      </c>
      <c r="G214" s="39">
        <f>IF(OR(B214="FIXO",B214="XFIXO"),IF(F214="","ERRO",10*F214)*'BD Campos'!$W$2,IF(F214="","ERRO",10*F214)*'BD Campos'!$W$3)</f>
        <v>1</v>
      </c>
      <c r="H214" s="40">
        <v>0.05</v>
      </c>
      <c r="I214" s="41">
        <f t="shared" si="7"/>
        <v>-0.05</v>
      </c>
    </row>
    <row r="215" spans="1:9" s="19" customFormat="1" hidden="1" x14ac:dyDescent="0.35">
      <c r="A215" s="37" t="str">
        <f t="shared" si="6"/>
        <v>DESVIO DE ROTAPonto de Apoio 26</v>
      </c>
      <c r="B215" s="43" t="s">
        <v>126</v>
      </c>
      <c r="C215" s="37" t="s">
        <v>508</v>
      </c>
      <c r="D215" s="43">
        <v>6</v>
      </c>
      <c r="E215" s="37" t="s">
        <v>1217</v>
      </c>
      <c r="F215" s="38">
        <v>0.1</v>
      </c>
      <c r="G215" s="39">
        <f>IF(OR(B215="FIXO",B215="XFIXO"),IF(F215="","ERRO",10*F215)*'BD Campos'!$W$2,IF(F215="","ERRO",10*F215)*'BD Campos'!$W$3)</f>
        <v>1</v>
      </c>
      <c r="H215" s="40">
        <v>0.05</v>
      </c>
      <c r="I215" s="41">
        <f t="shared" si="7"/>
        <v>-0.05</v>
      </c>
    </row>
    <row r="216" spans="1:9" s="19" customFormat="1" hidden="1" x14ac:dyDescent="0.35">
      <c r="A216" s="43" t="str">
        <f t="shared" si="6"/>
        <v>DESVIO DE ROTAPonto de Apoio 27</v>
      </c>
      <c r="B216" s="43" t="s">
        <v>126</v>
      </c>
      <c r="C216" s="37" t="s">
        <v>508</v>
      </c>
      <c r="D216" s="43">
        <v>7</v>
      </c>
      <c r="E216" s="43" t="s">
        <v>1246</v>
      </c>
      <c r="F216" s="38">
        <v>0.1</v>
      </c>
      <c r="G216" s="39">
        <f>IF(OR(B216="FIXO",B216="XFIXO"),IF(F216="","ERRO",10*F216)*'BD Campos'!$W$2,IF(F216="","ERRO",10*F216)*'BD Campos'!$W$3)</f>
        <v>1</v>
      </c>
      <c r="H216" s="46">
        <v>0.05</v>
      </c>
      <c r="I216" s="47">
        <f t="shared" si="7"/>
        <v>-0.05</v>
      </c>
    </row>
    <row r="217" spans="1:9" s="19" customFormat="1" hidden="1" x14ac:dyDescent="0.35">
      <c r="A217" s="43" t="str">
        <f t="shared" si="6"/>
        <v>DESVIO DE ROTAPonto de Apoio 28</v>
      </c>
      <c r="B217" s="43" t="s">
        <v>126</v>
      </c>
      <c r="C217" s="37" t="s">
        <v>508</v>
      </c>
      <c r="D217" s="43">
        <v>8</v>
      </c>
      <c r="E217" s="43" t="s">
        <v>1247</v>
      </c>
      <c r="F217" s="38">
        <v>0.1</v>
      </c>
      <c r="G217" s="39">
        <f>IF(OR(B217="FIXO",B217="XFIXO"),IF(F217="","ERRO",10*F217)*'BD Campos'!$W$2,IF(F217="","ERRO",10*F217)*'BD Campos'!$W$3)</f>
        <v>1</v>
      </c>
      <c r="H217" s="46">
        <v>0.05</v>
      </c>
      <c r="I217" s="47">
        <f t="shared" si="7"/>
        <v>-0.05</v>
      </c>
    </row>
    <row r="218" spans="1:9" s="19" customFormat="1" hidden="1" x14ac:dyDescent="0.35">
      <c r="A218" s="43" t="str">
        <f t="shared" si="6"/>
        <v>DESVIO DE ROTAPonto de Apoio 29</v>
      </c>
      <c r="B218" s="43" t="s">
        <v>126</v>
      </c>
      <c r="C218" s="37" t="s">
        <v>508</v>
      </c>
      <c r="D218" s="43">
        <v>9</v>
      </c>
      <c r="E218" s="43" t="s">
        <v>1248</v>
      </c>
      <c r="F218" s="38">
        <v>0.1</v>
      </c>
      <c r="G218" s="39">
        <f>IF(OR(B218="FIXO",B218="XFIXO"),IF(F218="","ERRO",10*F218)*'BD Campos'!$W$2,IF(F218="","ERRO",10*F218)*'BD Campos'!$W$3)</f>
        <v>1</v>
      </c>
      <c r="H218" s="46">
        <v>0.05</v>
      </c>
      <c r="I218" s="47">
        <f t="shared" si="7"/>
        <v>-0.05</v>
      </c>
    </row>
    <row r="219" spans="1:9" s="19" customFormat="1" hidden="1" x14ac:dyDescent="0.35">
      <c r="A219" s="43" t="str">
        <f t="shared" si="6"/>
        <v>DESVIO DE ROTAPonto de Apoio 210</v>
      </c>
      <c r="B219" s="43" t="s">
        <v>126</v>
      </c>
      <c r="C219" s="37" t="s">
        <v>508</v>
      </c>
      <c r="D219" s="43">
        <v>10</v>
      </c>
      <c r="E219" s="43" t="s">
        <v>1249</v>
      </c>
      <c r="F219" s="38">
        <v>0.1</v>
      </c>
      <c r="G219" s="39">
        <f>IF(OR(B219="FIXO",B219="XFIXO"),IF(F219="","ERRO",10*F219)*'BD Campos'!$W$2,IF(F219="","ERRO",10*F219)*'BD Campos'!$W$3)</f>
        <v>1</v>
      </c>
      <c r="H219" s="46">
        <v>0.05</v>
      </c>
      <c r="I219" s="47">
        <f t="shared" si="7"/>
        <v>-0.05</v>
      </c>
    </row>
    <row r="220" spans="1:9" s="19" customFormat="1" hidden="1" x14ac:dyDescent="0.35">
      <c r="A220" s="37" t="str">
        <f t="shared" si="6"/>
        <v>PARADA INDEVIDAPonto de Apoio 21</v>
      </c>
      <c r="B220" s="43" t="s">
        <v>121</v>
      </c>
      <c r="C220" s="37" t="s">
        <v>508</v>
      </c>
      <c r="D220" s="43">
        <v>1</v>
      </c>
      <c r="E220" s="37" t="s">
        <v>1212</v>
      </c>
      <c r="F220" s="38">
        <v>0.1</v>
      </c>
      <c r="G220" s="39">
        <f>IF(OR(B220="FIXO",B220="XFIXO"),IF(F220="","ERRO",10*F220)*'BD Campos'!$W$2,IF(F220="","ERRO",10*F220)*'BD Campos'!$W$3)</f>
        <v>1</v>
      </c>
      <c r="H220" s="40">
        <v>0.05</v>
      </c>
      <c r="I220" s="41">
        <f t="shared" si="7"/>
        <v>-0.05</v>
      </c>
    </row>
    <row r="221" spans="1:9" s="19" customFormat="1" hidden="1" x14ac:dyDescent="0.35">
      <c r="A221" s="37" t="str">
        <f t="shared" si="6"/>
        <v>PARADA INDEVIDAPonto de Apoio 22</v>
      </c>
      <c r="B221" s="43" t="s">
        <v>121</v>
      </c>
      <c r="C221" s="37" t="s">
        <v>508</v>
      </c>
      <c r="D221" s="43">
        <v>2</v>
      </c>
      <c r="E221" s="37" t="s">
        <v>1213</v>
      </c>
      <c r="F221" s="38">
        <v>0.1</v>
      </c>
      <c r="G221" s="39">
        <f>IF(OR(B221="FIXO",B221="XFIXO"),IF(F221="","ERRO",10*F221)*'BD Campos'!$W$2,IF(F221="","ERRO",10*F221)*'BD Campos'!$W$3)</f>
        <v>1</v>
      </c>
      <c r="H221" s="40">
        <v>0.05</v>
      </c>
      <c r="I221" s="41">
        <f t="shared" si="7"/>
        <v>-0.05</v>
      </c>
    </row>
    <row r="222" spans="1:9" s="19" customFormat="1" hidden="1" x14ac:dyDescent="0.35">
      <c r="A222" s="37" t="str">
        <f t="shared" si="6"/>
        <v>PARADA INDEVIDAPonto de Apoio 23</v>
      </c>
      <c r="B222" s="43" t="s">
        <v>121</v>
      </c>
      <c r="C222" s="37" t="s">
        <v>508</v>
      </c>
      <c r="D222" s="43">
        <v>3</v>
      </c>
      <c r="E222" s="37" t="s">
        <v>1214</v>
      </c>
      <c r="F222" s="38">
        <v>0.1</v>
      </c>
      <c r="G222" s="39">
        <f>IF(OR(B222="FIXO",B222="XFIXO"),IF(F222="","ERRO",10*F222)*'BD Campos'!$W$2,IF(F222="","ERRO",10*F222)*'BD Campos'!$W$3)</f>
        <v>1</v>
      </c>
      <c r="H222" s="40">
        <v>0.05</v>
      </c>
      <c r="I222" s="41">
        <f t="shared" si="7"/>
        <v>-0.05</v>
      </c>
    </row>
    <row r="223" spans="1:9" s="19" customFormat="1" hidden="1" x14ac:dyDescent="0.35">
      <c r="A223" s="37" t="str">
        <f t="shared" si="6"/>
        <v>PARADA INDEVIDAPonto de Apoio 24</v>
      </c>
      <c r="B223" s="43" t="s">
        <v>121</v>
      </c>
      <c r="C223" s="37" t="s">
        <v>508</v>
      </c>
      <c r="D223" s="43">
        <v>4</v>
      </c>
      <c r="E223" s="37" t="s">
        <v>1215</v>
      </c>
      <c r="F223" s="38">
        <v>0.1</v>
      </c>
      <c r="G223" s="39">
        <f>IF(OR(B223="FIXO",B223="XFIXO"),IF(F223="","ERRO",10*F223)*'BD Campos'!$W$2,IF(F223="","ERRO",10*F223)*'BD Campos'!$W$3)</f>
        <v>1</v>
      </c>
      <c r="H223" s="40">
        <v>0.05</v>
      </c>
      <c r="I223" s="41">
        <f t="shared" si="7"/>
        <v>-0.05</v>
      </c>
    </row>
    <row r="224" spans="1:9" s="19" customFormat="1" hidden="1" x14ac:dyDescent="0.35">
      <c r="A224" s="37" t="str">
        <f t="shared" si="6"/>
        <v>PARADA INDEVIDAPonto de Apoio 25</v>
      </c>
      <c r="B224" s="43" t="s">
        <v>121</v>
      </c>
      <c r="C224" s="37" t="s">
        <v>508</v>
      </c>
      <c r="D224" s="43">
        <v>5</v>
      </c>
      <c r="E224" s="37" t="s">
        <v>1216</v>
      </c>
      <c r="F224" s="38">
        <v>0.1</v>
      </c>
      <c r="G224" s="39">
        <f>IF(OR(B224="FIXO",B224="XFIXO"),IF(F224="","ERRO",10*F224)*'BD Campos'!$W$2,IF(F224="","ERRO",10*F224)*'BD Campos'!$W$3)</f>
        <v>1</v>
      </c>
      <c r="H224" s="40">
        <v>0.05</v>
      </c>
      <c r="I224" s="41">
        <f t="shared" si="7"/>
        <v>-0.05</v>
      </c>
    </row>
    <row r="225" spans="1:9" s="19" customFormat="1" hidden="1" x14ac:dyDescent="0.35">
      <c r="A225" s="37" t="str">
        <f t="shared" si="6"/>
        <v>PARADA INDEVIDAPonto de Apoio 26</v>
      </c>
      <c r="B225" s="43" t="s">
        <v>121</v>
      </c>
      <c r="C225" s="37" t="s">
        <v>508</v>
      </c>
      <c r="D225" s="43">
        <v>6</v>
      </c>
      <c r="E225" s="37" t="s">
        <v>1217</v>
      </c>
      <c r="F225" s="38">
        <v>0.1</v>
      </c>
      <c r="G225" s="39">
        <f>IF(OR(B225="FIXO",B225="XFIXO"),IF(F225="","ERRO",10*F225)*'BD Campos'!$W$2,IF(F225="","ERRO",10*F225)*'BD Campos'!$W$3)</f>
        <v>1</v>
      </c>
      <c r="H225" s="40">
        <v>0.05</v>
      </c>
      <c r="I225" s="41">
        <f t="shared" si="7"/>
        <v>-0.05</v>
      </c>
    </row>
    <row r="226" spans="1:9" s="19" customFormat="1" hidden="1" x14ac:dyDescent="0.35">
      <c r="A226" s="43" t="str">
        <f t="shared" si="6"/>
        <v>PARADA INDEVIDAPonto de Apoio 27</v>
      </c>
      <c r="B226" s="43" t="s">
        <v>121</v>
      </c>
      <c r="C226" s="37" t="s">
        <v>508</v>
      </c>
      <c r="D226" s="43">
        <v>7</v>
      </c>
      <c r="E226" s="43" t="s">
        <v>1246</v>
      </c>
      <c r="F226" s="38">
        <v>0.1</v>
      </c>
      <c r="G226" s="39">
        <f>IF(OR(B226="FIXO",B226="XFIXO"),IF(F226="","ERRO",10*F226)*'BD Campos'!$W$2,IF(F226="","ERRO",10*F226)*'BD Campos'!$W$3)</f>
        <v>1</v>
      </c>
      <c r="H226" s="46">
        <v>0.05</v>
      </c>
      <c r="I226" s="47">
        <f t="shared" si="7"/>
        <v>-0.05</v>
      </c>
    </row>
    <row r="227" spans="1:9" s="19" customFormat="1" hidden="1" x14ac:dyDescent="0.35">
      <c r="A227" s="43" t="str">
        <f t="shared" si="6"/>
        <v>PARADA INDEVIDAPonto de Apoio 28</v>
      </c>
      <c r="B227" s="43" t="s">
        <v>121</v>
      </c>
      <c r="C227" s="37" t="s">
        <v>508</v>
      </c>
      <c r="D227" s="43">
        <v>8</v>
      </c>
      <c r="E227" s="43" t="s">
        <v>1247</v>
      </c>
      <c r="F227" s="38">
        <v>0.1</v>
      </c>
      <c r="G227" s="39">
        <f>IF(OR(B227="FIXO",B227="XFIXO"),IF(F227="","ERRO",10*F227)*'BD Campos'!$W$2,IF(F227="","ERRO",10*F227)*'BD Campos'!$W$3)</f>
        <v>1</v>
      </c>
      <c r="H227" s="46">
        <v>0.05</v>
      </c>
      <c r="I227" s="47">
        <f t="shared" si="7"/>
        <v>-0.05</v>
      </c>
    </row>
    <row r="228" spans="1:9" s="19" customFormat="1" hidden="1" x14ac:dyDescent="0.35">
      <c r="A228" s="43" t="str">
        <f t="shared" si="6"/>
        <v>PARADA INDEVIDAPonto de Apoio 29</v>
      </c>
      <c r="B228" s="43" t="s">
        <v>121</v>
      </c>
      <c r="C228" s="37" t="s">
        <v>508</v>
      </c>
      <c r="D228" s="43">
        <v>9</v>
      </c>
      <c r="E228" s="43" t="s">
        <v>1248</v>
      </c>
      <c r="F228" s="38">
        <v>0.1</v>
      </c>
      <c r="G228" s="39">
        <f>IF(OR(B228="FIXO",B228="XFIXO"),IF(F228="","ERRO",10*F228)*'BD Campos'!$W$2,IF(F228="","ERRO",10*F228)*'BD Campos'!$W$3)</f>
        <v>1</v>
      </c>
      <c r="H228" s="46">
        <v>0.05</v>
      </c>
      <c r="I228" s="47">
        <f t="shared" si="7"/>
        <v>-0.05</v>
      </c>
    </row>
    <row r="229" spans="1:9" s="19" customFormat="1" hidden="1" x14ac:dyDescent="0.35">
      <c r="A229" s="43" t="str">
        <f t="shared" si="6"/>
        <v>PARADA INDEVIDAPonto de Apoio 210</v>
      </c>
      <c r="B229" s="43" t="s">
        <v>121</v>
      </c>
      <c r="C229" s="37" t="s">
        <v>508</v>
      </c>
      <c r="D229" s="43">
        <v>10</v>
      </c>
      <c r="E229" s="43" t="s">
        <v>1249</v>
      </c>
      <c r="F229" s="38">
        <v>0.1</v>
      </c>
      <c r="G229" s="39">
        <f>IF(OR(B229="FIXO",B229="XFIXO"),IF(F229="","ERRO",10*F229)*'BD Campos'!$W$2,IF(F229="","ERRO",10*F229)*'BD Campos'!$W$3)</f>
        <v>1</v>
      </c>
      <c r="H229" s="46">
        <v>0.05</v>
      </c>
      <c r="I229" s="47">
        <f t="shared" si="7"/>
        <v>-0.05</v>
      </c>
    </row>
    <row r="230" spans="1:9" s="19" customFormat="1" hidden="1" x14ac:dyDescent="0.35">
      <c r="A230" s="37" t="str">
        <f t="shared" si="6"/>
        <v>POSIÇÃO EM ATRASOPonto de Apoio 21</v>
      </c>
      <c r="B230" s="43" t="s">
        <v>123</v>
      </c>
      <c r="C230" s="37" t="s">
        <v>508</v>
      </c>
      <c r="D230" s="43">
        <v>1</v>
      </c>
      <c r="E230" s="37" t="s">
        <v>1212</v>
      </c>
      <c r="F230" s="38">
        <v>0.1</v>
      </c>
      <c r="G230" s="39">
        <f>IF(OR(B230="FIXO",B230="XFIXO"),IF(F230="","ERRO",10*F230)*'BD Campos'!$W$2,IF(F230="","ERRO",10*F230)*'BD Campos'!$W$3)</f>
        <v>1</v>
      </c>
      <c r="H230" s="40">
        <v>0.05</v>
      </c>
      <c r="I230" s="41">
        <f t="shared" si="7"/>
        <v>-0.05</v>
      </c>
    </row>
    <row r="231" spans="1:9" s="19" customFormat="1" hidden="1" x14ac:dyDescent="0.35">
      <c r="A231" s="37" t="str">
        <f t="shared" si="6"/>
        <v>POSIÇÃO EM ATRASOPonto de Apoio 22</v>
      </c>
      <c r="B231" s="43" t="s">
        <v>123</v>
      </c>
      <c r="C231" s="37" t="s">
        <v>508</v>
      </c>
      <c r="D231" s="43">
        <v>2</v>
      </c>
      <c r="E231" s="37" t="s">
        <v>1213</v>
      </c>
      <c r="F231" s="38">
        <v>0.1</v>
      </c>
      <c r="G231" s="39">
        <f>IF(OR(B231="FIXO",B231="XFIXO"),IF(F231="","ERRO",10*F231)*'BD Campos'!$W$2,IF(F231="","ERRO",10*F231)*'BD Campos'!$W$3)</f>
        <v>1</v>
      </c>
      <c r="H231" s="40">
        <v>0.05</v>
      </c>
      <c r="I231" s="41">
        <f t="shared" si="7"/>
        <v>-0.05</v>
      </c>
    </row>
    <row r="232" spans="1:9" s="19" customFormat="1" hidden="1" x14ac:dyDescent="0.35">
      <c r="A232" s="37" t="str">
        <f t="shared" si="6"/>
        <v>POSIÇÃO EM ATRASOPonto de Apoio 23</v>
      </c>
      <c r="B232" s="43" t="s">
        <v>123</v>
      </c>
      <c r="C232" s="37" t="s">
        <v>508</v>
      </c>
      <c r="D232" s="43">
        <v>3</v>
      </c>
      <c r="E232" s="37" t="s">
        <v>1214</v>
      </c>
      <c r="F232" s="38">
        <v>0.1</v>
      </c>
      <c r="G232" s="39">
        <f>IF(OR(B232="FIXO",B232="XFIXO"),IF(F232="","ERRO",10*F232)*'BD Campos'!$W$2,IF(F232="","ERRO",10*F232)*'BD Campos'!$W$3)</f>
        <v>1</v>
      </c>
      <c r="H232" s="40">
        <v>0.05</v>
      </c>
      <c r="I232" s="41">
        <f t="shared" si="7"/>
        <v>-0.05</v>
      </c>
    </row>
    <row r="233" spans="1:9" s="19" customFormat="1" hidden="1" x14ac:dyDescent="0.35">
      <c r="A233" s="37" t="str">
        <f t="shared" si="6"/>
        <v>POSIÇÃO EM ATRASOPonto de Apoio 24</v>
      </c>
      <c r="B233" s="43" t="s">
        <v>123</v>
      </c>
      <c r="C233" s="37" t="s">
        <v>508</v>
      </c>
      <c r="D233" s="43">
        <v>4</v>
      </c>
      <c r="E233" s="37" t="s">
        <v>1215</v>
      </c>
      <c r="F233" s="38">
        <v>0.1</v>
      </c>
      <c r="G233" s="39">
        <f>IF(OR(B233="FIXO",B233="XFIXO"),IF(F233="","ERRO",10*F233)*'BD Campos'!$W$2,IF(F233="","ERRO",10*F233)*'BD Campos'!$W$3)</f>
        <v>1</v>
      </c>
      <c r="H233" s="40">
        <v>0.05</v>
      </c>
      <c r="I233" s="41">
        <f t="shared" si="7"/>
        <v>-0.05</v>
      </c>
    </row>
    <row r="234" spans="1:9" s="19" customFormat="1" hidden="1" x14ac:dyDescent="0.35">
      <c r="A234" s="37" t="str">
        <f t="shared" si="6"/>
        <v>POSIÇÃO EM ATRASOPonto de Apoio 25</v>
      </c>
      <c r="B234" s="43" t="s">
        <v>123</v>
      </c>
      <c r="C234" s="37" t="s">
        <v>508</v>
      </c>
      <c r="D234" s="43">
        <v>5</v>
      </c>
      <c r="E234" s="37" t="s">
        <v>1216</v>
      </c>
      <c r="F234" s="38">
        <v>0.1</v>
      </c>
      <c r="G234" s="39">
        <f>IF(OR(B234="FIXO",B234="XFIXO"),IF(F234="","ERRO",10*F234)*'BD Campos'!$W$2,IF(F234="","ERRO",10*F234)*'BD Campos'!$W$3)</f>
        <v>1</v>
      </c>
      <c r="H234" s="40">
        <v>0.05</v>
      </c>
      <c r="I234" s="41">
        <f t="shared" si="7"/>
        <v>-0.05</v>
      </c>
    </row>
    <row r="235" spans="1:9" s="19" customFormat="1" hidden="1" x14ac:dyDescent="0.35">
      <c r="A235" s="37" t="str">
        <f t="shared" si="6"/>
        <v>POSIÇÃO EM ATRASOPonto de Apoio 26</v>
      </c>
      <c r="B235" s="43" t="s">
        <v>123</v>
      </c>
      <c r="C235" s="37" t="s">
        <v>508</v>
      </c>
      <c r="D235" s="43">
        <v>6</v>
      </c>
      <c r="E235" s="37" t="s">
        <v>1217</v>
      </c>
      <c r="F235" s="38">
        <v>0.1</v>
      </c>
      <c r="G235" s="39">
        <f>IF(OR(B235="FIXO",B235="XFIXO"),IF(F235="","ERRO",10*F235)*'BD Campos'!$W$2,IF(F235="","ERRO",10*F235)*'BD Campos'!$W$3)</f>
        <v>1</v>
      </c>
      <c r="H235" s="40">
        <v>0.05</v>
      </c>
      <c r="I235" s="41">
        <f t="shared" si="7"/>
        <v>-0.05</v>
      </c>
    </row>
    <row r="236" spans="1:9" s="19" customFormat="1" hidden="1" x14ac:dyDescent="0.35">
      <c r="A236" s="43" t="str">
        <f t="shared" si="6"/>
        <v>POSIÇÃO EM ATRASOPonto de Apoio 27</v>
      </c>
      <c r="B236" s="43" t="s">
        <v>123</v>
      </c>
      <c r="C236" s="37" t="s">
        <v>508</v>
      </c>
      <c r="D236" s="43">
        <v>7</v>
      </c>
      <c r="E236" s="43" t="s">
        <v>1246</v>
      </c>
      <c r="F236" s="38">
        <v>0.1</v>
      </c>
      <c r="G236" s="39">
        <f>IF(OR(B236="FIXO",B236="XFIXO"),IF(F236="","ERRO",10*F236)*'BD Campos'!$W$2,IF(F236="","ERRO",10*F236)*'BD Campos'!$W$3)</f>
        <v>1</v>
      </c>
      <c r="H236" s="46">
        <v>0.05</v>
      </c>
      <c r="I236" s="47">
        <f t="shared" si="7"/>
        <v>-0.05</v>
      </c>
    </row>
    <row r="237" spans="1:9" s="19" customFormat="1" hidden="1" x14ac:dyDescent="0.35">
      <c r="A237" s="43" t="str">
        <f t="shared" si="6"/>
        <v>POSIÇÃO EM ATRASOPonto de Apoio 28</v>
      </c>
      <c r="B237" s="43" t="s">
        <v>123</v>
      </c>
      <c r="C237" s="37" t="s">
        <v>508</v>
      </c>
      <c r="D237" s="43">
        <v>8</v>
      </c>
      <c r="E237" s="43" t="s">
        <v>1247</v>
      </c>
      <c r="F237" s="38">
        <v>0.1</v>
      </c>
      <c r="G237" s="39">
        <f>IF(OR(B237="FIXO",B237="XFIXO"),IF(F237="","ERRO",10*F237)*'BD Campos'!$W$2,IF(F237="","ERRO",10*F237)*'BD Campos'!$W$3)</f>
        <v>1</v>
      </c>
      <c r="H237" s="46">
        <v>0.05</v>
      </c>
      <c r="I237" s="47">
        <f t="shared" si="7"/>
        <v>-0.05</v>
      </c>
    </row>
    <row r="238" spans="1:9" s="19" customFormat="1" hidden="1" x14ac:dyDescent="0.35">
      <c r="A238" s="43" t="str">
        <f t="shared" si="6"/>
        <v>POSIÇÃO EM ATRASOPonto de Apoio 29</v>
      </c>
      <c r="B238" s="43" t="s">
        <v>123</v>
      </c>
      <c r="C238" s="37" t="s">
        <v>508</v>
      </c>
      <c r="D238" s="43">
        <v>9</v>
      </c>
      <c r="E238" s="43" t="s">
        <v>1248</v>
      </c>
      <c r="F238" s="38">
        <v>0.1</v>
      </c>
      <c r="G238" s="39">
        <f>IF(OR(B238="FIXO",B238="XFIXO"),IF(F238="","ERRO",10*F238)*'BD Campos'!$W$2,IF(F238="","ERRO",10*F238)*'BD Campos'!$W$3)</f>
        <v>1</v>
      </c>
      <c r="H238" s="46">
        <v>0.05</v>
      </c>
      <c r="I238" s="47">
        <f t="shared" si="7"/>
        <v>-0.05</v>
      </c>
    </row>
    <row r="239" spans="1:9" s="19" customFormat="1" hidden="1" x14ac:dyDescent="0.35">
      <c r="A239" s="43" t="str">
        <f t="shared" si="6"/>
        <v>POSIÇÃO EM ATRASOPonto de Apoio 210</v>
      </c>
      <c r="B239" s="43" t="s">
        <v>123</v>
      </c>
      <c r="C239" s="37" t="s">
        <v>508</v>
      </c>
      <c r="D239" s="43">
        <v>10</v>
      </c>
      <c r="E239" s="43" t="s">
        <v>1249</v>
      </c>
      <c r="F239" s="38">
        <v>0.1</v>
      </c>
      <c r="G239" s="39">
        <f>IF(OR(B239="FIXO",B239="XFIXO"),IF(F239="","ERRO",10*F239)*'BD Campos'!$W$2,IF(F239="","ERRO",10*F239)*'BD Campos'!$W$3)</f>
        <v>1</v>
      </c>
      <c r="H239" s="46">
        <v>0.05</v>
      </c>
      <c r="I239" s="47">
        <f t="shared" si="7"/>
        <v>-0.05</v>
      </c>
    </row>
    <row r="240" spans="1:9" s="19" customFormat="1" hidden="1" x14ac:dyDescent="0.35">
      <c r="A240" s="37" t="str">
        <f t="shared" si="6"/>
        <v>ALERTAS PRIORITÁRIOSPonto de Apoio 21</v>
      </c>
      <c r="B240" s="43" t="s">
        <v>147</v>
      </c>
      <c r="C240" s="37" t="s">
        <v>508</v>
      </c>
      <c r="D240" s="43">
        <v>1</v>
      </c>
      <c r="E240" s="37" t="s">
        <v>1212</v>
      </c>
      <c r="F240" s="38">
        <v>0.1</v>
      </c>
      <c r="G240" s="39">
        <f>IF(OR(B240="FIXO",B240="XFIXO"),IF(F240="","ERRO",10*F240)*'BD Campos'!$W$2,IF(F240="","ERRO",10*F240)*'BD Campos'!$W$3)</f>
        <v>1</v>
      </c>
      <c r="H240" s="40">
        <v>0.05</v>
      </c>
      <c r="I240" s="41">
        <f t="shared" si="7"/>
        <v>-0.05</v>
      </c>
    </row>
    <row r="241" spans="1:9" s="19" customFormat="1" hidden="1" x14ac:dyDescent="0.35">
      <c r="A241" s="37" t="str">
        <f t="shared" si="6"/>
        <v>ALERTAS PRIORITÁRIOSPonto de Apoio 22</v>
      </c>
      <c r="B241" s="43" t="s">
        <v>147</v>
      </c>
      <c r="C241" s="37" t="s">
        <v>508</v>
      </c>
      <c r="D241" s="43">
        <v>2</v>
      </c>
      <c r="E241" s="37" t="s">
        <v>1213</v>
      </c>
      <c r="F241" s="38">
        <v>0.1</v>
      </c>
      <c r="G241" s="39">
        <f>IF(OR(B241="FIXO",B241="XFIXO"),IF(F241="","ERRO",10*F241)*'BD Campos'!$W$2,IF(F241="","ERRO",10*F241)*'BD Campos'!$W$3)</f>
        <v>1</v>
      </c>
      <c r="H241" s="40">
        <v>0.05</v>
      </c>
      <c r="I241" s="41">
        <f t="shared" si="7"/>
        <v>-0.05</v>
      </c>
    </row>
    <row r="242" spans="1:9" s="19" customFormat="1" hidden="1" x14ac:dyDescent="0.35">
      <c r="A242" s="37" t="str">
        <f t="shared" si="6"/>
        <v>ALERTAS PRIORITÁRIOSPonto de Apoio 23</v>
      </c>
      <c r="B242" s="43" t="s">
        <v>147</v>
      </c>
      <c r="C242" s="37" t="s">
        <v>508</v>
      </c>
      <c r="D242" s="43">
        <v>3</v>
      </c>
      <c r="E242" s="37" t="s">
        <v>1214</v>
      </c>
      <c r="F242" s="38">
        <v>0.1</v>
      </c>
      <c r="G242" s="39">
        <f>IF(OR(B242="FIXO",B242="XFIXO"),IF(F242="","ERRO",10*F242)*'BD Campos'!$W$2,IF(F242="","ERRO",10*F242)*'BD Campos'!$W$3)</f>
        <v>1</v>
      </c>
      <c r="H242" s="40">
        <v>0.05</v>
      </c>
      <c r="I242" s="41">
        <f t="shared" si="7"/>
        <v>-0.05</v>
      </c>
    </row>
    <row r="243" spans="1:9" s="19" customFormat="1" hidden="1" x14ac:dyDescent="0.35">
      <c r="A243" s="37" t="str">
        <f t="shared" si="6"/>
        <v>ALERTAS PRIORITÁRIOSPonto de Apoio 24</v>
      </c>
      <c r="B243" s="43" t="s">
        <v>147</v>
      </c>
      <c r="C243" s="37" t="s">
        <v>508</v>
      </c>
      <c r="D243" s="43">
        <v>4</v>
      </c>
      <c r="E243" s="37" t="s">
        <v>1215</v>
      </c>
      <c r="F243" s="38">
        <v>0.1</v>
      </c>
      <c r="G243" s="39">
        <f>IF(OR(B243="FIXO",B243="XFIXO"),IF(F243="","ERRO",10*F243)*'BD Campos'!$W$2,IF(F243="","ERRO",10*F243)*'BD Campos'!$W$3)</f>
        <v>1</v>
      </c>
      <c r="H243" s="40">
        <v>0.05</v>
      </c>
      <c r="I243" s="41">
        <f t="shared" si="7"/>
        <v>-0.05</v>
      </c>
    </row>
    <row r="244" spans="1:9" s="19" customFormat="1" hidden="1" x14ac:dyDescent="0.35">
      <c r="A244" s="37" t="str">
        <f t="shared" si="6"/>
        <v>ALERTAS PRIORITÁRIOSPonto de Apoio 25</v>
      </c>
      <c r="B244" s="43" t="s">
        <v>147</v>
      </c>
      <c r="C244" s="37" t="s">
        <v>508</v>
      </c>
      <c r="D244" s="43">
        <v>5</v>
      </c>
      <c r="E244" s="37" t="s">
        <v>1216</v>
      </c>
      <c r="F244" s="38">
        <v>0.1</v>
      </c>
      <c r="G244" s="39">
        <f>IF(OR(B244="FIXO",B244="XFIXO"),IF(F244="","ERRO",10*F244)*'BD Campos'!$W$2,IF(F244="","ERRO",10*F244)*'BD Campos'!$W$3)</f>
        <v>1</v>
      </c>
      <c r="H244" s="40">
        <v>0.05</v>
      </c>
      <c r="I244" s="41">
        <f t="shared" si="7"/>
        <v>-0.05</v>
      </c>
    </row>
    <row r="245" spans="1:9" s="19" customFormat="1" hidden="1" x14ac:dyDescent="0.35">
      <c r="A245" s="37" t="str">
        <f t="shared" si="6"/>
        <v>ALERTAS PRIORITÁRIOSPonto de Apoio 26</v>
      </c>
      <c r="B245" s="43" t="s">
        <v>147</v>
      </c>
      <c r="C245" s="37" t="s">
        <v>508</v>
      </c>
      <c r="D245" s="43">
        <v>6</v>
      </c>
      <c r="E245" s="37" t="s">
        <v>1217</v>
      </c>
      <c r="F245" s="38">
        <v>0.1</v>
      </c>
      <c r="G245" s="39">
        <f>IF(OR(B245="FIXO",B245="XFIXO"),IF(F245="","ERRO",10*F245)*'BD Campos'!$W$2,IF(F245="","ERRO",10*F245)*'BD Campos'!$W$3)</f>
        <v>1</v>
      </c>
      <c r="H245" s="40">
        <v>0.05</v>
      </c>
      <c r="I245" s="41">
        <f t="shared" si="7"/>
        <v>-0.05</v>
      </c>
    </row>
    <row r="246" spans="1:9" s="19" customFormat="1" hidden="1" x14ac:dyDescent="0.35">
      <c r="A246" s="43" t="str">
        <f t="shared" si="6"/>
        <v>ALERTAS PRIORITÁRIOSPonto de Apoio 27</v>
      </c>
      <c r="B246" s="43" t="s">
        <v>147</v>
      </c>
      <c r="C246" s="37" t="s">
        <v>508</v>
      </c>
      <c r="D246" s="43">
        <v>7</v>
      </c>
      <c r="E246" s="43" t="s">
        <v>1246</v>
      </c>
      <c r="F246" s="38">
        <v>0.1</v>
      </c>
      <c r="G246" s="39">
        <f>IF(OR(B246="FIXO",B246="XFIXO"),IF(F246="","ERRO",10*F246)*'BD Campos'!$W$2,IF(F246="","ERRO",10*F246)*'BD Campos'!$W$3)</f>
        <v>1</v>
      </c>
      <c r="H246" s="46">
        <v>0.05</v>
      </c>
      <c r="I246" s="47">
        <f t="shared" si="7"/>
        <v>-0.05</v>
      </c>
    </row>
    <row r="247" spans="1:9" s="19" customFormat="1" hidden="1" x14ac:dyDescent="0.35">
      <c r="A247" s="43" t="str">
        <f t="shared" si="6"/>
        <v>ALERTAS PRIORITÁRIOSPonto de Apoio 28</v>
      </c>
      <c r="B247" s="43" t="s">
        <v>147</v>
      </c>
      <c r="C247" s="37" t="s">
        <v>508</v>
      </c>
      <c r="D247" s="43">
        <v>8</v>
      </c>
      <c r="E247" s="43" t="s">
        <v>1247</v>
      </c>
      <c r="F247" s="38">
        <v>0.1</v>
      </c>
      <c r="G247" s="39">
        <f>IF(OR(B247="FIXO",B247="XFIXO"),IF(F247="","ERRO",10*F247)*'BD Campos'!$W$2,IF(F247="","ERRO",10*F247)*'BD Campos'!$W$3)</f>
        <v>1</v>
      </c>
      <c r="H247" s="46">
        <v>0.05</v>
      </c>
      <c r="I247" s="47">
        <f t="shared" si="7"/>
        <v>-0.05</v>
      </c>
    </row>
    <row r="248" spans="1:9" s="19" customFormat="1" hidden="1" x14ac:dyDescent="0.35">
      <c r="A248" s="43" t="str">
        <f t="shared" si="6"/>
        <v>ALERTAS PRIORITÁRIOSPonto de Apoio 29</v>
      </c>
      <c r="B248" s="43" t="s">
        <v>147</v>
      </c>
      <c r="C248" s="37" t="s">
        <v>508</v>
      </c>
      <c r="D248" s="43">
        <v>9</v>
      </c>
      <c r="E248" s="43" t="s">
        <v>1248</v>
      </c>
      <c r="F248" s="38">
        <v>0.1</v>
      </c>
      <c r="G248" s="39">
        <f>IF(OR(B248="FIXO",B248="XFIXO"),IF(F248="","ERRO",10*F248)*'BD Campos'!$W$2,IF(F248="","ERRO",10*F248)*'BD Campos'!$W$3)</f>
        <v>1</v>
      </c>
      <c r="H248" s="46">
        <v>0.05</v>
      </c>
      <c r="I248" s="47">
        <f t="shared" si="7"/>
        <v>-0.05</v>
      </c>
    </row>
    <row r="249" spans="1:9" s="19" customFormat="1" hidden="1" x14ac:dyDescent="0.35">
      <c r="A249" s="43" t="str">
        <f t="shared" si="6"/>
        <v>ALERTAS PRIORITÁRIOSPonto de Apoio 210</v>
      </c>
      <c r="B249" s="43" t="s">
        <v>147</v>
      </c>
      <c r="C249" s="37" t="s">
        <v>508</v>
      </c>
      <c r="D249" s="43">
        <v>10</v>
      </c>
      <c r="E249" s="43" t="s">
        <v>1249</v>
      </c>
      <c r="F249" s="38">
        <v>0.1</v>
      </c>
      <c r="G249" s="39">
        <f>IF(OR(B249="FIXO",B249="XFIXO"),IF(F249="","ERRO",10*F249)*'BD Campos'!$W$2,IF(F249="","ERRO",10*F249)*'BD Campos'!$W$3)</f>
        <v>1</v>
      </c>
      <c r="H249" s="46">
        <v>0.05</v>
      </c>
      <c r="I249" s="47">
        <f t="shared" si="7"/>
        <v>-0.05</v>
      </c>
    </row>
    <row r="250" spans="1:9" hidden="1" x14ac:dyDescent="0.35">
      <c r="A250" s="43" t="str">
        <f t="shared" si="6"/>
        <v>DESVIO DE ROTAPolicia1</v>
      </c>
      <c r="B250" s="37" t="s">
        <v>126</v>
      </c>
      <c r="C250" s="37" t="s">
        <v>146</v>
      </c>
      <c r="D250" s="37">
        <v>1</v>
      </c>
      <c r="E250" s="37" t="s">
        <v>1212</v>
      </c>
      <c r="F250" s="38">
        <v>0.08</v>
      </c>
      <c r="G250" s="39">
        <f>IF(OR(B250="FIXO",B250="XFIXO"),IF(F250="","ERRO",10*F250)*'BD Campos'!$W$2,IF(F250="","ERRO",10*F250)*'BD Campos'!$W$3)</f>
        <v>0.8</v>
      </c>
      <c r="H250" s="46">
        <v>0.05</v>
      </c>
      <c r="I250" s="47">
        <f t="shared" si="7"/>
        <v>-4.0000000000000008E-2</v>
      </c>
    </row>
    <row r="251" spans="1:9" hidden="1" x14ac:dyDescent="0.35">
      <c r="A251" s="43" t="str">
        <f t="shared" si="6"/>
        <v>DESVIO DE ROTAPolicia2</v>
      </c>
      <c r="B251" s="37" t="s">
        <v>126</v>
      </c>
      <c r="C251" s="37" t="s">
        <v>146</v>
      </c>
      <c r="D251" s="37">
        <v>2</v>
      </c>
      <c r="E251" s="37" t="s">
        <v>1213</v>
      </c>
      <c r="F251" s="38">
        <v>0.08</v>
      </c>
      <c r="G251" s="39">
        <f>IF(OR(B251="FIXO",B251="XFIXO"),IF(F251="","ERRO",10*F251)*'BD Campos'!$W$2,IF(F251="","ERRO",10*F251)*'BD Campos'!$W$3)</f>
        <v>0.8</v>
      </c>
      <c r="H251" s="46">
        <v>0.05</v>
      </c>
      <c r="I251" s="47">
        <f t="shared" si="7"/>
        <v>-4.0000000000000008E-2</v>
      </c>
    </row>
    <row r="252" spans="1:9" hidden="1" x14ac:dyDescent="0.35">
      <c r="A252" s="43" t="str">
        <f t="shared" si="6"/>
        <v>DESVIO DE ROTAPolicia3</v>
      </c>
      <c r="B252" s="37" t="s">
        <v>126</v>
      </c>
      <c r="C252" s="37" t="s">
        <v>146</v>
      </c>
      <c r="D252" s="37">
        <v>3</v>
      </c>
      <c r="E252" s="37" t="s">
        <v>1214</v>
      </c>
      <c r="F252" s="38">
        <v>0.08</v>
      </c>
      <c r="G252" s="39">
        <f>IF(OR(B252="FIXO",B252="XFIXO"),IF(F252="","ERRO",10*F252)*'BD Campos'!$W$2,IF(F252="","ERRO",10*F252)*'BD Campos'!$W$3)</f>
        <v>0.8</v>
      </c>
      <c r="H252" s="46">
        <v>0.05</v>
      </c>
      <c r="I252" s="47">
        <f t="shared" si="7"/>
        <v>-4.0000000000000008E-2</v>
      </c>
    </row>
    <row r="253" spans="1:9" hidden="1" x14ac:dyDescent="0.35">
      <c r="A253" s="43" t="str">
        <f t="shared" si="6"/>
        <v>DESVIO DE ROTAPolicia4</v>
      </c>
      <c r="B253" s="37" t="s">
        <v>126</v>
      </c>
      <c r="C253" s="37" t="s">
        <v>146</v>
      </c>
      <c r="D253" s="37">
        <v>4</v>
      </c>
      <c r="E253" s="37" t="s">
        <v>1215</v>
      </c>
      <c r="F253" s="38">
        <v>0.08</v>
      </c>
      <c r="G253" s="39">
        <f>IF(OR(B253="FIXO",B253="XFIXO"),IF(F253="","ERRO",10*F253)*'BD Campos'!$W$2,IF(F253="","ERRO",10*F253)*'BD Campos'!$W$3)</f>
        <v>0.8</v>
      </c>
      <c r="H253" s="46">
        <v>0.05</v>
      </c>
      <c r="I253" s="47">
        <f t="shared" si="7"/>
        <v>-4.0000000000000008E-2</v>
      </c>
    </row>
    <row r="254" spans="1:9" hidden="1" x14ac:dyDescent="0.35">
      <c r="A254" s="43" t="str">
        <f t="shared" si="6"/>
        <v>DESVIO DE ROTAPolicia5</v>
      </c>
      <c r="B254" s="37" t="s">
        <v>126</v>
      </c>
      <c r="C254" s="37" t="s">
        <v>146</v>
      </c>
      <c r="D254" s="37">
        <v>5</v>
      </c>
      <c r="E254" s="37" t="s">
        <v>1216</v>
      </c>
      <c r="F254" s="38">
        <v>0.08</v>
      </c>
      <c r="G254" s="39">
        <f>IF(OR(B254="FIXO",B254="XFIXO"),IF(F254="","ERRO",10*F254)*'BD Campos'!$W$2,IF(F254="","ERRO",10*F254)*'BD Campos'!$W$3)</f>
        <v>0.8</v>
      </c>
      <c r="H254" s="46">
        <v>0.05</v>
      </c>
      <c r="I254" s="47">
        <f t="shared" si="7"/>
        <v>-4.0000000000000008E-2</v>
      </c>
    </row>
    <row r="255" spans="1:9" hidden="1" x14ac:dyDescent="0.35">
      <c r="A255" s="43" t="str">
        <f t="shared" si="6"/>
        <v>DESVIO DE ROTAPolicia6</v>
      </c>
      <c r="B255" s="37" t="s">
        <v>126</v>
      </c>
      <c r="C255" s="37" t="s">
        <v>146</v>
      </c>
      <c r="D255" s="37">
        <v>6</v>
      </c>
      <c r="E255" s="37" t="s">
        <v>1217</v>
      </c>
      <c r="F255" s="38">
        <v>0.08</v>
      </c>
      <c r="G255" s="39">
        <f>IF(OR(B255="FIXO",B255="XFIXO"),IF(F255="","ERRO",10*F255)*'BD Campos'!$W$2,IF(F255="","ERRO",10*F255)*'BD Campos'!$W$3)</f>
        <v>0.8</v>
      </c>
      <c r="H255" s="46">
        <v>0.05</v>
      </c>
      <c r="I255" s="47">
        <f t="shared" si="7"/>
        <v>-4.0000000000000008E-2</v>
      </c>
    </row>
    <row r="256" spans="1:9" hidden="1" x14ac:dyDescent="0.35">
      <c r="A256" s="43" t="str">
        <f t="shared" si="6"/>
        <v>DESVIO DE ROTAPolicia7</v>
      </c>
      <c r="B256" s="37" t="s">
        <v>126</v>
      </c>
      <c r="C256" s="37" t="s">
        <v>146</v>
      </c>
      <c r="D256" s="37">
        <v>7</v>
      </c>
      <c r="E256" s="37" t="s">
        <v>1250</v>
      </c>
      <c r="F256" s="38">
        <v>0.08</v>
      </c>
      <c r="G256" s="39">
        <f>IF(OR(B256="FIXO",B256="XFIXO"),IF(F256="","ERRO",10*F256)*'BD Campos'!$W$2,IF(F256="","ERRO",10*F256)*'BD Campos'!$W$3)</f>
        <v>0.8</v>
      </c>
      <c r="H256" s="40">
        <v>0.05</v>
      </c>
      <c r="I256" s="41">
        <f t="shared" si="7"/>
        <v>-4.0000000000000008E-2</v>
      </c>
    </row>
    <row r="257" spans="1:9" hidden="1" x14ac:dyDescent="0.35">
      <c r="A257" s="43" t="str">
        <f t="shared" si="6"/>
        <v>DESVIO DE ROTAPolicia8</v>
      </c>
      <c r="B257" s="37" t="s">
        <v>126</v>
      </c>
      <c r="C257" s="37" t="s">
        <v>146</v>
      </c>
      <c r="D257" s="37">
        <v>8</v>
      </c>
      <c r="E257" s="37" t="s">
        <v>1251</v>
      </c>
      <c r="F257" s="38">
        <v>0.08</v>
      </c>
      <c r="G257" s="39">
        <f>IF(OR(B257="FIXO",B257="XFIXO"),IF(F257="","ERRO",10*F257)*'BD Campos'!$W$2,IF(F257="","ERRO",10*F257)*'BD Campos'!$W$3)</f>
        <v>0.8</v>
      </c>
      <c r="H257" s="40">
        <v>0.05</v>
      </c>
      <c r="I257" s="41">
        <f t="shared" si="7"/>
        <v>-4.0000000000000008E-2</v>
      </c>
    </row>
    <row r="258" spans="1:9" hidden="1" x14ac:dyDescent="0.35">
      <c r="A258" s="43" t="str">
        <f t="shared" ref="A258:A321" si="8">B258&amp;C258&amp;D258</f>
        <v>DESVIO DE ROTAPolicia9</v>
      </c>
      <c r="B258" s="37" t="s">
        <v>126</v>
      </c>
      <c r="C258" s="37" t="s">
        <v>146</v>
      </c>
      <c r="D258" s="37">
        <v>9</v>
      </c>
      <c r="E258" s="37" t="s">
        <v>1252</v>
      </c>
      <c r="F258" s="38">
        <v>0.08</v>
      </c>
      <c r="G258" s="39">
        <f>IF(OR(B258="FIXO",B258="XFIXO"),IF(F258="","ERRO",10*F258)*'BD Campos'!$W$2,IF(F258="","ERRO",10*F258)*'BD Campos'!$W$3)</f>
        <v>0.8</v>
      </c>
      <c r="H258" s="40">
        <v>0.05</v>
      </c>
      <c r="I258" s="41">
        <f t="shared" ref="I258:I321" si="9">H258*G258*-1</f>
        <v>-4.0000000000000008E-2</v>
      </c>
    </row>
    <row r="259" spans="1:9" hidden="1" x14ac:dyDescent="0.35">
      <c r="A259" s="43" t="str">
        <f t="shared" si="8"/>
        <v>DESVIO DE ROTAPolicia10</v>
      </c>
      <c r="B259" s="37" t="s">
        <v>126</v>
      </c>
      <c r="C259" s="37" t="s">
        <v>146</v>
      </c>
      <c r="D259" s="37">
        <v>10</v>
      </c>
      <c r="E259" s="37" t="s">
        <v>1253</v>
      </c>
      <c r="F259" s="38">
        <v>0.08</v>
      </c>
      <c r="G259" s="39">
        <f>IF(OR(B259="FIXO",B259="XFIXO"),IF(F259="","ERRO",10*F259)*'BD Campos'!$W$2,IF(F259="","ERRO",10*F259)*'BD Campos'!$W$3)</f>
        <v>0.8</v>
      </c>
      <c r="H259" s="40">
        <v>0.05</v>
      </c>
      <c r="I259" s="41">
        <f t="shared" si="9"/>
        <v>-4.0000000000000008E-2</v>
      </c>
    </row>
    <row r="260" spans="1:9" hidden="1" x14ac:dyDescent="0.35">
      <c r="A260" s="43" t="str">
        <f t="shared" si="8"/>
        <v>DESVIO DE ROTAPolicia11</v>
      </c>
      <c r="B260" s="37" t="s">
        <v>126</v>
      </c>
      <c r="C260" s="37" t="s">
        <v>146</v>
      </c>
      <c r="D260" s="37">
        <v>11</v>
      </c>
      <c r="E260" s="37" t="s">
        <v>1254</v>
      </c>
      <c r="F260" s="38">
        <v>0.1</v>
      </c>
      <c r="G260" s="39">
        <f>IF(OR(B260="FIXO",B260="XFIXO"),IF(F260="","ERRO",10*F260)*'BD Campos'!$W$2,IF(F260="","ERRO",10*F260)*'BD Campos'!$W$3)</f>
        <v>1</v>
      </c>
      <c r="H260" s="40">
        <v>0.05</v>
      </c>
      <c r="I260" s="41">
        <f t="shared" si="9"/>
        <v>-0.05</v>
      </c>
    </row>
    <row r="261" spans="1:9" hidden="1" x14ac:dyDescent="0.35">
      <c r="A261" s="43" t="str">
        <f t="shared" si="8"/>
        <v>DESVIO DE ROTAPolicia12</v>
      </c>
      <c r="B261" s="37" t="s">
        <v>126</v>
      </c>
      <c r="C261" s="37" t="s">
        <v>146</v>
      </c>
      <c r="D261" s="37">
        <v>12</v>
      </c>
      <c r="E261" s="37" t="s">
        <v>1255</v>
      </c>
      <c r="F261" s="38">
        <v>0.1</v>
      </c>
      <c r="G261" s="39">
        <f>IF(OR(B261="FIXO",B261="XFIXO"),IF(F261="","ERRO",10*F261)*'BD Campos'!$W$2,IF(F261="","ERRO",10*F261)*'BD Campos'!$W$3)</f>
        <v>1</v>
      </c>
      <c r="H261" s="40">
        <v>0.05</v>
      </c>
      <c r="I261" s="41">
        <f t="shared" si="9"/>
        <v>-0.05</v>
      </c>
    </row>
    <row r="262" spans="1:9" hidden="1" x14ac:dyDescent="0.35">
      <c r="A262" s="43" t="str">
        <f t="shared" si="8"/>
        <v>PARADA INDEVIDAPolicia1</v>
      </c>
      <c r="B262" s="37" t="s">
        <v>121</v>
      </c>
      <c r="C262" s="37" t="s">
        <v>146</v>
      </c>
      <c r="D262" s="37">
        <v>1</v>
      </c>
      <c r="E262" s="37" t="s">
        <v>1212</v>
      </c>
      <c r="F262" s="38">
        <v>0.08</v>
      </c>
      <c r="G262" s="39">
        <f>IF(OR(B262="FIXO",B262="XFIXO"),IF(F262="","ERRO",10*F262)*'BD Campos'!$W$2,IF(F262="","ERRO",10*F262)*'BD Campos'!$W$3)</f>
        <v>0.8</v>
      </c>
      <c r="H262" s="46">
        <v>0.05</v>
      </c>
      <c r="I262" s="47">
        <f t="shared" si="9"/>
        <v>-4.0000000000000008E-2</v>
      </c>
    </row>
    <row r="263" spans="1:9" hidden="1" x14ac:dyDescent="0.35">
      <c r="A263" s="43" t="str">
        <f t="shared" si="8"/>
        <v>PARADA INDEVIDAPolicia2</v>
      </c>
      <c r="B263" s="37" t="s">
        <v>121</v>
      </c>
      <c r="C263" s="37" t="s">
        <v>146</v>
      </c>
      <c r="D263" s="37">
        <v>2</v>
      </c>
      <c r="E263" s="37" t="s">
        <v>1213</v>
      </c>
      <c r="F263" s="38">
        <v>0.08</v>
      </c>
      <c r="G263" s="39">
        <f>IF(OR(B263="FIXO",B263="XFIXO"),IF(F263="","ERRO",10*F263)*'BD Campos'!$W$2,IF(F263="","ERRO",10*F263)*'BD Campos'!$W$3)</f>
        <v>0.8</v>
      </c>
      <c r="H263" s="46">
        <v>0.05</v>
      </c>
      <c r="I263" s="47">
        <f t="shared" si="9"/>
        <v>-4.0000000000000008E-2</v>
      </c>
    </row>
    <row r="264" spans="1:9" hidden="1" x14ac:dyDescent="0.35">
      <c r="A264" s="43" t="str">
        <f t="shared" si="8"/>
        <v>PARADA INDEVIDAPolicia3</v>
      </c>
      <c r="B264" s="37" t="s">
        <v>121</v>
      </c>
      <c r="C264" s="37" t="s">
        <v>146</v>
      </c>
      <c r="D264" s="37">
        <v>3</v>
      </c>
      <c r="E264" s="37" t="s">
        <v>1214</v>
      </c>
      <c r="F264" s="38">
        <v>0.08</v>
      </c>
      <c r="G264" s="39">
        <f>IF(OR(B264="FIXO",B264="XFIXO"),IF(F264="","ERRO",10*F264)*'BD Campos'!$W$2,IF(F264="","ERRO",10*F264)*'BD Campos'!$W$3)</f>
        <v>0.8</v>
      </c>
      <c r="H264" s="46">
        <v>0.05</v>
      </c>
      <c r="I264" s="47">
        <f t="shared" si="9"/>
        <v>-4.0000000000000008E-2</v>
      </c>
    </row>
    <row r="265" spans="1:9" hidden="1" x14ac:dyDescent="0.35">
      <c r="A265" s="43" t="str">
        <f t="shared" si="8"/>
        <v>PARADA INDEVIDAPolicia4</v>
      </c>
      <c r="B265" s="37" t="s">
        <v>121</v>
      </c>
      <c r="C265" s="37" t="s">
        <v>146</v>
      </c>
      <c r="D265" s="37">
        <v>4</v>
      </c>
      <c r="E265" s="37" t="s">
        <v>1215</v>
      </c>
      <c r="F265" s="38">
        <v>0.08</v>
      </c>
      <c r="G265" s="39">
        <f>IF(OR(B265="FIXO",B265="XFIXO"),IF(F265="","ERRO",10*F265)*'BD Campos'!$W$2,IF(F265="","ERRO",10*F265)*'BD Campos'!$W$3)</f>
        <v>0.8</v>
      </c>
      <c r="H265" s="46">
        <v>0.05</v>
      </c>
      <c r="I265" s="47">
        <f t="shared" si="9"/>
        <v>-4.0000000000000008E-2</v>
      </c>
    </row>
    <row r="266" spans="1:9" hidden="1" x14ac:dyDescent="0.35">
      <c r="A266" s="43" t="str">
        <f t="shared" si="8"/>
        <v>PARADA INDEVIDAPolicia5</v>
      </c>
      <c r="B266" s="37" t="s">
        <v>121</v>
      </c>
      <c r="C266" s="37" t="s">
        <v>146</v>
      </c>
      <c r="D266" s="37">
        <v>5</v>
      </c>
      <c r="E266" s="37" t="s">
        <v>1216</v>
      </c>
      <c r="F266" s="38">
        <v>0.08</v>
      </c>
      <c r="G266" s="39">
        <f>IF(OR(B266="FIXO",B266="XFIXO"),IF(F266="","ERRO",10*F266)*'BD Campos'!$W$2,IF(F266="","ERRO",10*F266)*'BD Campos'!$W$3)</f>
        <v>0.8</v>
      </c>
      <c r="H266" s="46">
        <v>0.05</v>
      </c>
      <c r="I266" s="47">
        <f t="shared" si="9"/>
        <v>-4.0000000000000008E-2</v>
      </c>
    </row>
    <row r="267" spans="1:9" hidden="1" x14ac:dyDescent="0.35">
      <c r="A267" s="43" t="str">
        <f t="shared" si="8"/>
        <v>PARADA INDEVIDAPolicia6</v>
      </c>
      <c r="B267" s="37" t="s">
        <v>121</v>
      </c>
      <c r="C267" s="37" t="s">
        <v>146</v>
      </c>
      <c r="D267" s="37">
        <v>6</v>
      </c>
      <c r="E267" s="37" t="s">
        <v>1217</v>
      </c>
      <c r="F267" s="38">
        <v>0.08</v>
      </c>
      <c r="G267" s="39">
        <f>IF(OR(B267="FIXO",B267="XFIXO"),IF(F267="","ERRO",10*F267)*'BD Campos'!$W$2,IF(F267="","ERRO",10*F267)*'BD Campos'!$W$3)</f>
        <v>0.8</v>
      </c>
      <c r="H267" s="46">
        <v>0.05</v>
      </c>
      <c r="I267" s="47">
        <f t="shared" si="9"/>
        <v>-4.0000000000000008E-2</v>
      </c>
    </row>
    <row r="268" spans="1:9" hidden="1" x14ac:dyDescent="0.35">
      <c r="A268" s="43" t="str">
        <f t="shared" si="8"/>
        <v>PARADA INDEVIDAPolicia7</v>
      </c>
      <c r="B268" s="37" t="s">
        <v>121</v>
      </c>
      <c r="C268" s="37" t="s">
        <v>146</v>
      </c>
      <c r="D268" s="37">
        <v>7</v>
      </c>
      <c r="E268" s="37" t="s">
        <v>1250</v>
      </c>
      <c r="F268" s="38">
        <v>0.08</v>
      </c>
      <c r="G268" s="39">
        <f>IF(OR(B268="FIXO",B268="XFIXO"),IF(F268="","ERRO",10*F268)*'BD Campos'!$W$2,IF(F268="","ERRO",10*F268)*'BD Campos'!$W$3)</f>
        <v>0.8</v>
      </c>
      <c r="H268" s="40">
        <v>0.05</v>
      </c>
      <c r="I268" s="41">
        <f t="shared" si="9"/>
        <v>-4.0000000000000008E-2</v>
      </c>
    </row>
    <row r="269" spans="1:9" hidden="1" x14ac:dyDescent="0.35">
      <c r="A269" s="43" t="str">
        <f t="shared" si="8"/>
        <v>PARADA INDEVIDAPolicia8</v>
      </c>
      <c r="B269" s="37" t="s">
        <v>121</v>
      </c>
      <c r="C269" s="37" t="s">
        <v>146</v>
      </c>
      <c r="D269" s="37">
        <v>8</v>
      </c>
      <c r="E269" s="37" t="s">
        <v>1251</v>
      </c>
      <c r="F269" s="38">
        <v>0.08</v>
      </c>
      <c r="G269" s="39">
        <f>IF(OR(B269="FIXO",B269="XFIXO"),IF(F269="","ERRO",10*F269)*'BD Campos'!$W$2,IF(F269="","ERRO",10*F269)*'BD Campos'!$W$3)</f>
        <v>0.8</v>
      </c>
      <c r="H269" s="40">
        <v>0.05</v>
      </c>
      <c r="I269" s="41">
        <f t="shared" si="9"/>
        <v>-4.0000000000000008E-2</v>
      </c>
    </row>
    <row r="270" spans="1:9" hidden="1" x14ac:dyDescent="0.35">
      <c r="A270" s="43" t="str">
        <f t="shared" si="8"/>
        <v>PARADA INDEVIDAPolicia9</v>
      </c>
      <c r="B270" s="37" t="s">
        <v>121</v>
      </c>
      <c r="C270" s="37" t="s">
        <v>146</v>
      </c>
      <c r="D270" s="37">
        <v>9</v>
      </c>
      <c r="E270" s="37" t="s">
        <v>1252</v>
      </c>
      <c r="F270" s="38">
        <v>0.08</v>
      </c>
      <c r="G270" s="39">
        <f>IF(OR(B270="FIXO",B270="XFIXO"),IF(F270="","ERRO",10*F270)*'BD Campos'!$W$2,IF(F270="","ERRO",10*F270)*'BD Campos'!$W$3)</f>
        <v>0.8</v>
      </c>
      <c r="H270" s="40">
        <v>0.05</v>
      </c>
      <c r="I270" s="41">
        <f t="shared" si="9"/>
        <v>-4.0000000000000008E-2</v>
      </c>
    </row>
    <row r="271" spans="1:9" hidden="1" x14ac:dyDescent="0.35">
      <c r="A271" s="43" t="str">
        <f t="shared" si="8"/>
        <v>PARADA INDEVIDAPolicia10</v>
      </c>
      <c r="B271" s="37" t="s">
        <v>121</v>
      </c>
      <c r="C271" s="37" t="s">
        <v>146</v>
      </c>
      <c r="D271" s="37">
        <v>10</v>
      </c>
      <c r="E271" s="37" t="s">
        <v>1253</v>
      </c>
      <c r="F271" s="38">
        <v>0.08</v>
      </c>
      <c r="G271" s="39">
        <f>IF(OR(B271="FIXO",B271="XFIXO"),IF(F271="","ERRO",10*F271)*'BD Campos'!$W$2,IF(F271="","ERRO",10*F271)*'BD Campos'!$W$3)</f>
        <v>0.8</v>
      </c>
      <c r="H271" s="40">
        <v>0.05</v>
      </c>
      <c r="I271" s="41">
        <f t="shared" si="9"/>
        <v>-4.0000000000000008E-2</v>
      </c>
    </row>
    <row r="272" spans="1:9" hidden="1" x14ac:dyDescent="0.35">
      <c r="A272" s="43" t="str">
        <f t="shared" si="8"/>
        <v>PARADA INDEVIDAPolicia11</v>
      </c>
      <c r="B272" s="37" t="s">
        <v>121</v>
      </c>
      <c r="C272" s="37" t="s">
        <v>146</v>
      </c>
      <c r="D272" s="37">
        <v>11</v>
      </c>
      <c r="E272" s="37" t="s">
        <v>1254</v>
      </c>
      <c r="F272" s="38">
        <v>0.1</v>
      </c>
      <c r="G272" s="39">
        <f>IF(OR(B272="FIXO",B272="XFIXO"),IF(F272="","ERRO",10*F272)*'BD Campos'!$W$2,IF(F272="","ERRO",10*F272)*'BD Campos'!$W$3)</f>
        <v>1</v>
      </c>
      <c r="H272" s="40">
        <v>0.05</v>
      </c>
      <c r="I272" s="41">
        <f t="shared" si="9"/>
        <v>-0.05</v>
      </c>
    </row>
    <row r="273" spans="1:9" hidden="1" x14ac:dyDescent="0.35">
      <c r="A273" s="43" t="str">
        <f t="shared" si="8"/>
        <v>PARADA INDEVIDAPolicia12</v>
      </c>
      <c r="B273" s="37" t="s">
        <v>121</v>
      </c>
      <c r="C273" s="37" t="s">
        <v>146</v>
      </c>
      <c r="D273" s="37">
        <v>12</v>
      </c>
      <c r="E273" s="37" t="s">
        <v>1255</v>
      </c>
      <c r="F273" s="38">
        <v>0.1</v>
      </c>
      <c r="G273" s="39">
        <f>IF(OR(B273="FIXO",B273="XFIXO"),IF(F273="","ERRO",10*F273)*'BD Campos'!$W$2,IF(F273="","ERRO",10*F273)*'BD Campos'!$W$3)</f>
        <v>1</v>
      </c>
      <c r="H273" s="40">
        <v>0.05</v>
      </c>
      <c r="I273" s="41">
        <f t="shared" si="9"/>
        <v>-0.05</v>
      </c>
    </row>
    <row r="274" spans="1:9" hidden="1" x14ac:dyDescent="0.35">
      <c r="A274" s="43" t="str">
        <f t="shared" si="8"/>
        <v>POSIÇÃO EM ATRASOPolicia1</v>
      </c>
      <c r="B274" s="37" t="s">
        <v>123</v>
      </c>
      <c r="C274" s="37" t="s">
        <v>146</v>
      </c>
      <c r="D274" s="37">
        <v>1</v>
      </c>
      <c r="E274" s="37" t="s">
        <v>1212</v>
      </c>
      <c r="F274" s="38">
        <v>0.08</v>
      </c>
      <c r="G274" s="39">
        <f>IF(OR(B274="FIXO",B274="XFIXO"),IF(F274="","ERRO",10*F274)*'BD Campos'!$W$2,IF(F274="","ERRO",10*F274)*'BD Campos'!$W$3)</f>
        <v>0.8</v>
      </c>
      <c r="H274" s="46">
        <v>0.05</v>
      </c>
      <c r="I274" s="47">
        <f t="shared" si="9"/>
        <v>-4.0000000000000008E-2</v>
      </c>
    </row>
    <row r="275" spans="1:9" hidden="1" x14ac:dyDescent="0.35">
      <c r="A275" s="43" t="str">
        <f t="shared" si="8"/>
        <v>POSIÇÃO EM ATRASOPolicia2</v>
      </c>
      <c r="B275" s="37" t="s">
        <v>123</v>
      </c>
      <c r="C275" s="37" t="s">
        <v>146</v>
      </c>
      <c r="D275" s="37">
        <v>2</v>
      </c>
      <c r="E275" s="37" t="s">
        <v>1213</v>
      </c>
      <c r="F275" s="38">
        <v>0.08</v>
      </c>
      <c r="G275" s="39">
        <f>IF(OR(B275="FIXO",B275="XFIXO"),IF(F275="","ERRO",10*F275)*'BD Campos'!$W$2,IF(F275="","ERRO",10*F275)*'BD Campos'!$W$3)</f>
        <v>0.8</v>
      </c>
      <c r="H275" s="46">
        <v>0.05</v>
      </c>
      <c r="I275" s="47">
        <f t="shared" si="9"/>
        <v>-4.0000000000000008E-2</v>
      </c>
    </row>
    <row r="276" spans="1:9" hidden="1" x14ac:dyDescent="0.35">
      <c r="A276" s="43" t="str">
        <f t="shared" si="8"/>
        <v>POSIÇÃO EM ATRASOPolicia3</v>
      </c>
      <c r="B276" s="37" t="s">
        <v>123</v>
      </c>
      <c r="C276" s="37" t="s">
        <v>146</v>
      </c>
      <c r="D276" s="37">
        <v>3</v>
      </c>
      <c r="E276" s="37" t="s">
        <v>1214</v>
      </c>
      <c r="F276" s="38">
        <v>0.08</v>
      </c>
      <c r="G276" s="39">
        <f>IF(OR(B276="FIXO",B276="XFIXO"),IF(F276="","ERRO",10*F276)*'BD Campos'!$W$2,IF(F276="","ERRO",10*F276)*'BD Campos'!$W$3)</f>
        <v>0.8</v>
      </c>
      <c r="H276" s="46">
        <v>0.05</v>
      </c>
      <c r="I276" s="47">
        <f t="shared" si="9"/>
        <v>-4.0000000000000008E-2</v>
      </c>
    </row>
    <row r="277" spans="1:9" hidden="1" x14ac:dyDescent="0.35">
      <c r="A277" s="43" t="str">
        <f t="shared" si="8"/>
        <v>POSIÇÃO EM ATRASOPolicia4</v>
      </c>
      <c r="B277" s="37" t="s">
        <v>123</v>
      </c>
      <c r="C277" s="37" t="s">
        <v>146</v>
      </c>
      <c r="D277" s="37">
        <v>4</v>
      </c>
      <c r="E277" s="37" t="s">
        <v>1215</v>
      </c>
      <c r="F277" s="38">
        <v>0.08</v>
      </c>
      <c r="G277" s="39">
        <f>IF(OR(B277="FIXO",B277="XFIXO"),IF(F277="","ERRO",10*F277)*'BD Campos'!$W$2,IF(F277="","ERRO",10*F277)*'BD Campos'!$W$3)</f>
        <v>0.8</v>
      </c>
      <c r="H277" s="46">
        <v>0.05</v>
      </c>
      <c r="I277" s="47">
        <f t="shared" si="9"/>
        <v>-4.0000000000000008E-2</v>
      </c>
    </row>
    <row r="278" spans="1:9" hidden="1" x14ac:dyDescent="0.35">
      <c r="A278" s="43" t="str">
        <f t="shared" si="8"/>
        <v>POSIÇÃO EM ATRASOPolicia5</v>
      </c>
      <c r="B278" s="37" t="s">
        <v>123</v>
      </c>
      <c r="C278" s="37" t="s">
        <v>146</v>
      </c>
      <c r="D278" s="37">
        <v>5</v>
      </c>
      <c r="E278" s="37" t="s">
        <v>1216</v>
      </c>
      <c r="F278" s="38">
        <v>0.08</v>
      </c>
      <c r="G278" s="39">
        <f>IF(OR(B278="FIXO",B278="XFIXO"),IF(F278="","ERRO",10*F278)*'BD Campos'!$W$2,IF(F278="","ERRO",10*F278)*'BD Campos'!$W$3)</f>
        <v>0.8</v>
      </c>
      <c r="H278" s="46">
        <v>0.05</v>
      </c>
      <c r="I278" s="47">
        <f t="shared" si="9"/>
        <v>-4.0000000000000008E-2</v>
      </c>
    </row>
    <row r="279" spans="1:9" hidden="1" x14ac:dyDescent="0.35">
      <c r="A279" s="43" t="str">
        <f t="shared" si="8"/>
        <v>POSIÇÃO EM ATRASOPolicia6</v>
      </c>
      <c r="B279" s="37" t="s">
        <v>123</v>
      </c>
      <c r="C279" s="37" t="s">
        <v>146</v>
      </c>
      <c r="D279" s="37">
        <v>6</v>
      </c>
      <c r="E279" s="37" t="s">
        <v>1217</v>
      </c>
      <c r="F279" s="38">
        <v>0.08</v>
      </c>
      <c r="G279" s="39">
        <f>IF(OR(B279="FIXO",B279="XFIXO"),IF(F279="","ERRO",10*F279)*'BD Campos'!$W$2,IF(F279="","ERRO",10*F279)*'BD Campos'!$W$3)</f>
        <v>0.8</v>
      </c>
      <c r="H279" s="46">
        <v>0.05</v>
      </c>
      <c r="I279" s="47">
        <f t="shared" si="9"/>
        <v>-4.0000000000000008E-2</v>
      </c>
    </row>
    <row r="280" spans="1:9" hidden="1" x14ac:dyDescent="0.35">
      <c r="A280" s="43" t="str">
        <f t="shared" si="8"/>
        <v>POSIÇÃO EM ATRASOPolicia7</v>
      </c>
      <c r="B280" s="37" t="s">
        <v>123</v>
      </c>
      <c r="C280" s="37" t="s">
        <v>146</v>
      </c>
      <c r="D280" s="37">
        <v>7</v>
      </c>
      <c r="E280" s="37" t="s">
        <v>1250</v>
      </c>
      <c r="F280" s="38">
        <v>0.08</v>
      </c>
      <c r="G280" s="39">
        <f>IF(OR(B280="FIXO",B280="XFIXO"),IF(F280="","ERRO",10*F280)*'BD Campos'!$W$2,IF(F280="","ERRO",10*F280)*'BD Campos'!$W$3)</f>
        <v>0.8</v>
      </c>
      <c r="H280" s="40">
        <v>0.05</v>
      </c>
      <c r="I280" s="41">
        <f t="shared" si="9"/>
        <v>-4.0000000000000008E-2</v>
      </c>
    </row>
    <row r="281" spans="1:9" hidden="1" x14ac:dyDescent="0.35">
      <c r="A281" s="43" t="str">
        <f t="shared" si="8"/>
        <v>POSIÇÃO EM ATRASOPolicia8</v>
      </c>
      <c r="B281" s="37" t="s">
        <v>123</v>
      </c>
      <c r="C281" s="37" t="s">
        <v>146</v>
      </c>
      <c r="D281" s="37">
        <v>8</v>
      </c>
      <c r="E281" s="37" t="s">
        <v>1251</v>
      </c>
      <c r="F281" s="38">
        <v>0.08</v>
      </c>
      <c r="G281" s="39">
        <f>IF(OR(B281="FIXO",B281="XFIXO"),IF(F281="","ERRO",10*F281)*'BD Campos'!$W$2,IF(F281="","ERRO",10*F281)*'BD Campos'!$W$3)</f>
        <v>0.8</v>
      </c>
      <c r="H281" s="40">
        <v>0.05</v>
      </c>
      <c r="I281" s="41">
        <f t="shared" si="9"/>
        <v>-4.0000000000000008E-2</v>
      </c>
    </row>
    <row r="282" spans="1:9" hidden="1" x14ac:dyDescent="0.35">
      <c r="A282" s="43" t="str">
        <f t="shared" si="8"/>
        <v>POSIÇÃO EM ATRASOPolicia9</v>
      </c>
      <c r="B282" s="37" t="s">
        <v>123</v>
      </c>
      <c r="C282" s="37" t="s">
        <v>146</v>
      </c>
      <c r="D282" s="37">
        <v>9</v>
      </c>
      <c r="E282" s="37" t="s">
        <v>1252</v>
      </c>
      <c r="F282" s="38">
        <v>0.08</v>
      </c>
      <c r="G282" s="39">
        <f>IF(OR(B282="FIXO",B282="XFIXO"),IF(F282="","ERRO",10*F282)*'BD Campos'!$W$2,IF(F282="","ERRO",10*F282)*'BD Campos'!$W$3)</f>
        <v>0.8</v>
      </c>
      <c r="H282" s="40">
        <v>0.05</v>
      </c>
      <c r="I282" s="41">
        <f t="shared" si="9"/>
        <v>-4.0000000000000008E-2</v>
      </c>
    </row>
    <row r="283" spans="1:9" hidden="1" x14ac:dyDescent="0.35">
      <c r="A283" s="43" t="str">
        <f t="shared" si="8"/>
        <v>POSIÇÃO EM ATRASOPolicia10</v>
      </c>
      <c r="B283" s="37" t="s">
        <v>123</v>
      </c>
      <c r="C283" s="37" t="s">
        <v>146</v>
      </c>
      <c r="D283" s="37">
        <v>10</v>
      </c>
      <c r="E283" s="37" t="s">
        <v>1253</v>
      </c>
      <c r="F283" s="38">
        <v>0.08</v>
      </c>
      <c r="G283" s="39">
        <f>IF(OR(B283="FIXO",B283="XFIXO"),IF(F283="","ERRO",10*F283)*'BD Campos'!$W$2,IF(F283="","ERRO",10*F283)*'BD Campos'!$W$3)</f>
        <v>0.8</v>
      </c>
      <c r="H283" s="40">
        <v>0.05</v>
      </c>
      <c r="I283" s="41">
        <f t="shared" si="9"/>
        <v>-4.0000000000000008E-2</v>
      </c>
    </row>
    <row r="284" spans="1:9" hidden="1" x14ac:dyDescent="0.35">
      <c r="A284" s="43" t="str">
        <f t="shared" si="8"/>
        <v>POSIÇÃO EM ATRASOPolicia11</v>
      </c>
      <c r="B284" s="37" t="s">
        <v>123</v>
      </c>
      <c r="C284" s="37" t="s">
        <v>146</v>
      </c>
      <c r="D284" s="37">
        <v>11</v>
      </c>
      <c r="E284" s="37" t="s">
        <v>1254</v>
      </c>
      <c r="F284" s="38">
        <v>0.1</v>
      </c>
      <c r="G284" s="39">
        <f>IF(OR(B284="FIXO",B284="XFIXO"),IF(F284="","ERRO",10*F284)*'BD Campos'!$W$2,IF(F284="","ERRO",10*F284)*'BD Campos'!$W$3)</f>
        <v>1</v>
      </c>
      <c r="H284" s="40">
        <v>0.05</v>
      </c>
      <c r="I284" s="41">
        <f t="shared" si="9"/>
        <v>-0.05</v>
      </c>
    </row>
    <row r="285" spans="1:9" hidden="1" x14ac:dyDescent="0.35">
      <c r="A285" s="43" t="str">
        <f t="shared" si="8"/>
        <v>POSIÇÃO EM ATRASOPolicia12</v>
      </c>
      <c r="B285" s="37" t="s">
        <v>123</v>
      </c>
      <c r="C285" s="37" t="s">
        <v>146</v>
      </c>
      <c r="D285" s="37">
        <v>12</v>
      </c>
      <c r="E285" s="37" t="s">
        <v>1255</v>
      </c>
      <c r="F285" s="38">
        <v>0.1</v>
      </c>
      <c r="G285" s="39">
        <f>IF(OR(B285="FIXO",B285="XFIXO"),IF(F285="","ERRO",10*F285)*'BD Campos'!$W$2,IF(F285="","ERRO",10*F285)*'BD Campos'!$W$3)</f>
        <v>1</v>
      </c>
      <c r="H285" s="40">
        <v>0.05</v>
      </c>
      <c r="I285" s="41">
        <f t="shared" si="9"/>
        <v>-0.05</v>
      </c>
    </row>
    <row r="286" spans="1:9" hidden="1" x14ac:dyDescent="0.35">
      <c r="A286" s="43" t="str">
        <f t="shared" si="8"/>
        <v>ALERTAS PRIORITÁRIOSPolicia1</v>
      </c>
      <c r="B286" s="37" t="s">
        <v>147</v>
      </c>
      <c r="C286" s="37" t="s">
        <v>146</v>
      </c>
      <c r="D286" s="37">
        <v>1</v>
      </c>
      <c r="E286" s="37" t="s">
        <v>1212</v>
      </c>
      <c r="F286" s="38">
        <v>0.08</v>
      </c>
      <c r="G286" s="39">
        <f>IF(OR(B286="FIXO",B286="XFIXO"),IF(F286="","ERRO",10*F286)*'BD Campos'!$W$2,IF(F286="","ERRO",10*F286)*'BD Campos'!$W$3)</f>
        <v>0.8</v>
      </c>
      <c r="H286" s="46">
        <v>0.05</v>
      </c>
      <c r="I286" s="47">
        <f t="shared" si="9"/>
        <v>-4.0000000000000008E-2</v>
      </c>
    </row>
    <row r="287" spans="1:9" hidden="1" x14ac:dyDescent="0.35">
      <c r="A287" s="43" t="str">
        <f t="shared" si="8"/>
        <v>ALERTAS PRIORITÁRIOSPolicia2</v>
      </c>
      <c r="B287" s="37" t="s">
        <v>147</v>
      </c>
      <c r="C287" s="37" t="s">
        <v>146</v>
      </c>
      <c r="D287" s="37">
        <v>2</v>
      </c>
      <c r="E287" s="37" t="s">
        <v>1213</v>
      </c>
      <c r="F287" s="38">
        <v>0.08</v>
      </c>
      <c r="G287" s="39">
        <f>IF(OR(B287="FIXO",B287="XFIXO"),IF(F287="","ERRO",10*F287)*'BD Campos'!$W$2,IF(F287="","ERRO",10*F287)*'BD Campos'!$W$3)</f>
        <v>0.8</v>
      </c>
      <c r="H287" s="46">
        <v>0.05</v>
      </c>
      <c r="I287" s="47">
        <f t="shared" si="9"/>
        <v>-4.0000000000000008E-2</v>
      </c>
    </row>
    <row r="288" spans="1:9" hidden="1" x14ac:dyDescent="0.35">
      <c r="A288" s="43" t="str">
        <f t="shared" si="8"/>
        <v>ALERTAS PRIORITÁRIOSPolicia3</v>
      </c>
      <c r="B288" s="37" t="s">
        <v>147</v>
      </c>
      <c r="C288" s="37" t="s">
        <v>146</v>
      </c>
      <c r="D288" s="37">
        <v>3</v>
      </c>
      <c r="E288" s="37" t="s">
        <v>1214</v>
      </c>
      <c r="F288" s="38">
        <v>0.08</v>
      </c>
      <c r="G288" s="39">
        <f>IF(OR(B288="FIXO",B288="XFIXO"),IF(F288="","ERRO",10*F288)*'BD Campos'!$W$2,IF(F288="","ERRO",10*F288)*'BD Campos'!$W$3)</f>
        <v>0.8</v>
      </c>
      <c r="H288" s="46">
        <v>0.05</v>
      </c>
      <c r="I288" s="47">
        <f t="shared" si="9"/>
        <v>-4.0000000000000008E-2</v>
      </c>
    </row>
    <row r="289" spans="1:9" hidden="1" x14ac:dyDescent="0.35">
      <c r="A289" s="43" t="str">
        <f t="shared" si="8"/>
        <v>ALERTAS PRIORITÁRIOSPolicia4</v>
      </c>
      <c r="B289" s="37" t="s">
        <v>147</v>
      </c>
      <c r="C289" s="37" t="s">
        <v>146</v>
      </c>
      <c r="D289" s="37">
        <v>4</v>
      </c>
      <c r="E289" s="37" t="s">
        <v>1215</v>
      </c>
      <c r="F289" s="38">
        <v>0.08</v>
      </c>
      <c r="G289" s="39">
        <f>IF(OR(B289="FIXO",B289="XFIXO"),IF(F289="","ERRO",10*F289)*'BD Campos'!$W$2,IF(F289="","ERRO",10*F289)*'BD Campos'!$W$3)</f>
        <v>0.8</v>
      </c>
      <c r="H289" s="46">
        <v>0.05</v>
      </c>
      <c r="I289" s="47">
        <f t="shared" si="9"/>
        <v>-4.0000000000000008E-2</v>
      </c>
    </row>
    <row r="290" spans="1:9" hidden="1" x14ac:dyDescent="0.35">
      <c r="A290" s="43" t="str">
        <f t="shared" si="8"/>
        <v>ALERTAS PRIORITÁRIOSPolicia5</v>
      </c>
      <c r="B290" s="37" t="s">
        <v>147</v>
      </c>
      <c r="C290" s="37" t="s">
        <v>146</v>
      </c>
      <c r="D290" s="37">
        <v>5</v>
      </c>
      <c r="E290" s="37" t="s">
        <v>1216</v>
      </c>
      <c r="F290" s="38">
        <v>0.08</v>
      </c>
      <c r="G290" s="39">
        <f>IF(OR(B290="FIXO",B290="XFIXO"),IF(F290="","ERRO",10*F290)*'BD Campos'!$W$2,IF(F290="","ERRO",10*F290)*'BD Campos'!$W$3)</f>
        <v>0.8</v>
      </c>
      <c r="H290" s="46">
        <v>0.05</v>
      </c>
      <c r="I290" s="47">
        <f t="shared" si="9"/>
        <v>-4.0000000000000008E-2</v>
      </c>
    </row>
    <row r="291" spans="1:9" hidden="1" x14ac:dyDescent="0.35">
      <c r="A291" s="43" t="str">
        <f t="shared" si="8"/>
        <v>ALERTAS PRIORITÁRIOSPolicia6</v>
      </c>
      <c r="B291" s="37" t="s">
        <v>147</v>
      </c>
      <c r="C291" s="37" t="s">
        <v>146</v>
      </c>
      <c r="D291" s="37">
        <v>6</v>
      </c>
      <c r="E291" s="37" t="s">
        <v>1217</v>
      </c>
      <c r="F291" s="38">
        <v>0.08</v>
      </c>
      <c r="G291" s="39">
        <f>IF(OR(B291="FIXO",B291="XFIXO"),IF(F291="","ERRO",10*F291)*'BD Campos'!$W$2,IF(F291="","ERRO",10*F291)*'BD Campos'!$W$3)</f>
        <v>0.8</v>
      </c>
      <c r="H291" s="46">
        <v>0.05</v>
      </c>
      <c r="I291" s="47">
        <f t="shared" si="9"/>
        <v>-4.0000000000000008E-2</v>
      </c>
    </row>
    <row r="292" spans="1:9" hidden="1" x14ac:dyDescent="0.35">
      <c r="A292" s="43" t="str">
        <f t="shared" si="8"/>
        <v>ALERTAS PRIORITÁRIOSPolicia7</v>
      </c>
      <c r="B292" s="37" t="s">
        <v>147</v>
      </c>
      <c r="C292" s="37" t="s">
        <v>146</v>
      </c>
      <c r="D292" s="37">
        <v>7</v>
      </c>
      <c r="E292" s="37" t="s">
        <v>1250</v>
      </c>
      <c r="F292" s="38">
        <v>0.08</v>
      </c>
      <c r="G292" s="39">
        <f>IF(OR(B292="FIXO",B292="XFIXO"),IF(F292="","ERRO",10*F292)*'BD Campos'!$W$2,IF(F292="","ERRO",10*F292)*'BD Campos'!$W$3)</f>
        <v>0.8</v>
      </c>
      <c r="H292" s="40">
        <v>0.05</v>
      </c>
      <c r="I292" s="41">
        <f t="shared" si="9"/>
        <v>-4.0000000000000008E-2</v>
      </c>
    </row>
    <row r="293" spans="1:9" hidden="1" x14ac:dyDescent="0.35">
      <c r="A293" s="43" t="str">
        <f t="shared" si="8"/>
        <v>ALERTAS PRIORITÁRIOSPolicia8</v>
      </c>
      <c r="B293" s="37" t="s">
        <v>147</v>
      </c>
      <c r="C293" s="37" t="s">
        <v>146</v>
      </c>
      <c r="D293" s="37">
        <v>8</v>
      </c>
      <c r="E293" s="37" t="s">
        <v>1251</v>
      </c>
      <c r="F293" s="38">
        <v>0.08</v>
      </c>
      <c r="G293" s="39">
        <f>IF(OR(B293="FIXO",B293="XFIXO"),IF(F293="","ERRO",10*F293)*'BD Campos'!$W$2,IF(F293="","ERRO",10*F293)*'BD Campos'!$W$3)</f>
        <v>0.8</v>
      </c>
      <c r="H293" s="40">
        <v>0.05</v>
      </c>
      <c r="I293" s="41">
        <f t="shared" si="9"/>
        <v>-4.0000000000000008E-2</v>
      </c>
    </row>
    <row r="294" spans="1:9" hidden="1" x14ac:dyDescent="0.35">
      <c r="A294" s="43" t="str">
        <f t="shared" si="8"/>
        <v>ALERTAS PRIORITÁRIOSPolicia9</v>
      </c>
      <c r="B294" s="37" t="s">
        <v>147</v>
      </c>
      <c r="C294" s="37" t="s">
        <v>146</v>
      </c>
      <c r="D294" s="37">
        <v>9</v>
      </c>
      <c r="E294" s="37" t="s">
        <v>1252</v>
      </c>
      <c r="F294" s="38">
        <v>0.08</v>
      </c>
      <c r="G294" s="39">
        <f>IF(OR(B294="FIXO",B294="XFIXO"),IF(F294="","ERRO",10*F294)*'BD Campos'!$W$2,IF(F294="","ERRO",10*F294)*'BD Campos'!$W$3)</f>
        <v>0.8</v>
      </c>
      <c r="H294" s="40">
        <v>0.05</v>
      </c>
      <c r="I294" s="41">
        <f t="shared" si="9"/>
        <v>-4.0000000000000008E-2</v>
      </c>
    </row>
    <row r="295" spans="1:9" hidden="1" x14ac:dyDescent="0.35">
      <c r="A295" s="43" t="str">
        <f t="shared" si="8"/>
        <v>ALERTAS PRIORITÁRIOSPolicia10</v>
      </c>
      <c r="B295" s="37" t="s">
        <v>147</v>
      </c>
      <c r="C295" s="37" t="s">
        <v>146</v>
      </c>
      <c r="D295" s="37">
        <v>10</v>
      </c>
      <c r="E295" s="37" t="s">
        <v>1253</v>
      </c>
      <c r="F295" s="38">
        <v>0.08</v>
      </c>
      <c r="G295" s="39">
        <f>IF(OR(B295="FIXO",B295="XFIXO"),IF(F295="","ERRO",10*F295)*'BD Campos'!$W$2,IF(F295="","ERRO",10*F295)*'BD Campos'!$W$3)</f>
        <v>0.8</v>
      </c>
      <c r="H295" s="40">
        <v>0.05</v>
      </c>
      <c r="I295" s="41">
        <f t="shared" si="9"/>
        <v>-4.0000000000000008E-2</v>
      </c>
    </row>
    <row r="296" spans="1:9" hidden="1" x14ac:dyDescent="0.35">
      <c r="A296" s="43" t="str">
        <f t="shared" si="8"/>
        <v>ALERTAS PRIORITÁRIOSPolicia11</v>
      </c>
      <c r="B296" s="37" t="s">
        <v>147</v>
      </c>
      <c r="C296" s="37" t="s">
        <v>146</v>
      </c>
      <c r="D296" s="37">
        <v>11</v>
      </c>
      <c r="E296" s="37" t="s">
        <v>1254</v>
      </c>
      <c r="F296" s="38">
        <v>0.1</v>
      </c>
      <c r="G296" s="39">
        <f>IF(OR(B296="FIXO",B296="XFIXO"),IF(F296="","ERRO",10*F296)*'BD Campos'!$W$2,IF(F296="","ERRO",10*F296)*'BD Campos'!$W$3)</f>
        <v>1</v>
      </c>
      <c r="H296" s="40">
        <v>0.05</v>
      </c>
      <c r="I296" s="41">
        <f t="shared" si="9"/>
        <v>-0.05</v>
      </c>
    </row>
    <row r="297" spans="1:9" hidden="1" x14ac:dyDescent="0.35">
      <c r="A297" s="43" t="str">
        <f t="shared" si="8"/>
        <v>ALERTAS PRIORITÁRIOSPolicia12</v>
      </c>
      <c r="B297" s="37" t="s">
        <v>147</v>
      </c>
      <c r="C297" s="37" t="s">
        <v>146</v>
      </c>
      <c r="D297" s="37">
        <v>12</v>
      </c>
      <c r="E297" s="37" t="s">
        <v>1255</v>
      </c>
      <c r="F297" s="38">
        <v>0.1</v>
      </c>
      <c r="G297" s="39">
        <f>IF(OR(B297="FIXO",B297="XFIXO"),IF(F297="","ERRO",10*F297)*'BD Campos'!$W$2,IF(F297="","ERRO",10*F297)*'BD Campos'!$W$3)</f>
        <v>1</v>
      </c>
      <c r="H297" s="40">
        <v>0.05</v>
      </c>
      <c r="I297" s="41">
        <f t="shared" si="9"/>
        <v>-0.05</v>
      </c>
    </row>
    <row r="298" spans="1:9" hidden="1" x14ac:dyDescent="0.35">
      <c r="A298" s="43" t="str">
        <f t="shared" si="8"/>
        <v>ROUBOPolicia1</v>
      </c>
      <c r="B298" s="37" t="s">
        <v>302</v>
      </c>
      <c r="C298" s="37" t="s">
        <v>146</v>
      </c>
      <c r="D298" s="37">
        <v>1</v>
      </c>
      <c r="E298" s="37" t="s">
        <v>1212</v>
      </c>
      <c r="F298" s="38">
        <v>0.08</v>
      </c>
      <c r="G298" s="39">
        <f>IF(OR(B298="FIXO",B298="XFIXO"),IF(F298="","ERRO",10*F298)*'BD Campos'!$W$2,IF(F298="","ERRO",10*F298)*'BD Campos'!$W$3)</f>
        <v>0.8</v>
      </c>
      <c r="H298" s="46">
        <v>0.05</v>
      </c>
      <c r="I298" s="47">
        <f t="shared" si="9"/>
        <v>-4.0000000000000008E-2</v>
      </c>
    </row>
    <row r="299" spans="1:9" hidden="1" x14ac:dyDescent="0.35">
      <c r="A299" s="43" t="str">
        <f t="shared" si="8"/>
        <v>ROUBOPolicia2</v>
      </c>
      <c r="B299" s="37" t="s">
        <v>302</v>
      </c>
      <c r="C299" s="37" t="s">
        <v>146</v>
      </c>
      <c r="D299" s="37">
        <v>2</v>
      </c>
      <c r="E299" s="37" t="s">
        <v>1213</v>
      </c>
      <c r="F299" s="38">
        <v>0.08</v>
      </c>
      <c r="G299" s="39">
        <f>IF(OR(B299="FIXO",B299="XFIXO"),IF(F299="","ERRO",10*F299)*'BD Campos'!$W$2,IF(F299="","ERRO",10*F299)*'BD Campos'!$W$3)</f>
        <v>0.8</v>
      </c>
      <c r="H299" s="46">
        <v>0.05</v>
      </c>
      <c r="I299" s="47">
        <f t="shared" si="9"/>
        <v>-4.0000000000000008E-2</v>
      </c>
    </row>
    <row r="300" spans="1:9" hidden="1" x14ac:dyDescent="0.35">
      <c r="A300" s="43" t="str">
        <f t="shared" si="8"/>
        <v>ROUBOPolicia3</v>
      </c>
      <c r="B300" s="37" t="s">
        <v>302</v>
      </c>
      <c r="C300" s="37" t="s">
        <v>146</v>
      </c>
      <c r="D300" s="37">
        <v>3</v>
      </c>
      <c r="E300" s="37" t="s">
        <v>1214</v>
      </c>
      <c r="F300" s="38">
        <v>0.08</v>
      </c>
      <c r="G300" s="39">
        <f>IF(OR(B300="FIXO",B300="XFIXO"),IF(F300="","ERRO",10*F300)*'BD Campos'!$W$2,IF(F300="","ERRO",10*F300)*'BD Campos'!$W$3)</f>
        <v>0.8</v>
      </c>
      <c r="H300" s="46">
        <v>0.05</v>
      </c>
      <c r="I300" s="47">
        <f t="shared" si="9"/>
        <v>-4.0000000000000008E-2</v>
      </c>
    </row>
    <row r="301" spans="1:9" hidden="1" x14ac:dyDescent="0.35">
      <c r="A301" s="43" t="str">
        <f t="shared" si="8"/>
        <v>ROUBOPolicia4</v>
      </c>
      <c r="B301" s="37" t="s">
        <v>302</v>
      </c>
      <c r="C301" s="37" t="s">
        <v>146</v>
      </c>
      <c r="D301" s="37">
        <v>4</v>
      </c>
      <c r="E301" s="37" t="s">
        <v>1215</v>
      </c>
      <c r="F301" s="38">
        <v>0.08</v>
      </c>
      <c r="G301" s="39">
        <f>IF(OR(B301="FIXO",B301="XFIXO"),IF(F301="","ERRO",10*F301)*'BD Campos'!$W$2,IF(F301="","ERRO",10*F301)*'BD Campos'!$W$3)</f>
        <v>0.8</v>
      </c>
      <c r="H301" s="46">
        <v>0.05</v>
      </c>
      <c r="I301" s="47">
        <f t="shared" si="9"/>
        <v>-4.0000000000000008E-2</v>
      </c>
    </row>
    <row r="302" spans="1:9" hidden="1" x14ac:dyDescent="0.35">
      <c r="A302" s="43" t="str">
        <f t="shared" si="8"/>
        <v>ROUBOPolicia5</v>
      </c>
      <c r="B302" s="37" t="s">
        <v>302</v>
      </c>
      <c r="C302" s="37" t="s">
        <v>146</v>
      </c>
      <c r="D302" s="37">
        <v>5</v>
      </c>
      <c r="E302" s="37" t="s">
        <v>1216</v>
      </c>
      <c r="F302" s="38">
        <v>0.08</v>
      </c>
      <c r="G302" s="39">
        <f>IF(OR(B302="FIXO",B302="XFIXO"),IF(F302="","ERRO",10*F302)*'BD Campos'!$W$2,IF(F302="","ERRO",10*F302)*'BD Campos'!$W$3)</f>
        <v>0.8</v>
      </c>
      <c r="H302" s="46">
        <v>0.05</v>
      </c>
      <c r="I302" s="47">
        <f t="shared" si="9"/>
        <v>-4.0000000000000008E-2</v>
      </c>
    </row>
    <row r="303" spans="1:9" hidden="1" x14ac:dyDescent="0.35">
      <c r="A303" s="43" t="str">
        <f t="shared" si="8"/>
        <v>ROUBOPolicia6</v>
      </c>
      <c r="B303" s="37" t="s">
        <v>302</v>
      </c>
      <c r="C303" s="37" t="s">
        <v>146</v>
      </c>
      <c r="D303" s="37">
        <v>6</v>
      </c>
      <c r="E303" s="37" t="s">
        <v>1217</v>
      </c>
      <c r="F303" s="38">
        <v>0.08</v>
      </c>
      <c r="G303" s="39">
        <f>IF(OR(B303="FIXO",B303="XFIXO"),IF(F303="","ERRO",10*F303)*'BD Campos'!$W$2,IF(F303="","ERRO",10*F303)*'BD Campos'!$W$3)</f>
        <v>0.8</v>
      </c>
      <c r="H303" s="46">
        <v>0.05</v>
      </c>
      <c r="I303" s="47">
        <f t="shared" si="9"/>
        <v>-4.0000000000000008E-2</v>
      </c>
    </row>
    <row r="304" spans="1:9" hidden="1" x14ac:dyDescent="0.35">
      <c r="A304" s="43" t="str">
        <f t="shared" si="8"/>
        <v>ROUBOPolicia7</v>
      </c>
      <c r="B304" s="37" t="s">
        <v>302</v>
      </c>
      <c r="C304" s="37" t="s">
        <v>146</v>
      </c>
      <c r="D304" s="37">
        <v>7</v>
      </c>
      <c r="E304" s="37" t="s">
        <v>1250</v>
      </c>
      <c r="F304" s="38">
        <v>0.08</v>
      </c>
      <c r="G304" s="39">
        <f>IF(OR(B304="FIXO",B304="XFIXO"),IF(F304="","ERRO",10*F304)*'BD Campos'!$W$2,IF(F304="","ERRO",10*F304)*'BD Campos'!$W$3)</f>
        <v>0.8</v>
      </c>
      <c r="H304" s="40">
        <v>0.05</v>
      </c>
      <c r="I304" s="41">
        <f t="shared" si="9"/>
        <v>-4.0000000000000008E-2</v>
      </c>
    </row>
    <row r="305" spans="1:9" hidden="1" x14ac:dyDescent="0.35">
      <c r="A305" s="43" t="str">
        <f t="shared" si="8"/>
        <v>ROUBOPolicia8</v>
      </c>
      <c r="B305" s="37" t="s">
        <v>302</v>
      </c>
      <c r="C305" s="37" t="s">
        <v>146</v>
      </c>
      <c r="D305" s="37">
        <v>8</v>
      </c>
      <c r="E305" s="37" t="s">
        <v>1256</v>
      </c>
      <c r="F305" s="38">
        <v>0.08</v>
      </c>
      <c r="G305" s="39">
        <f>IF(OR(B305="FIXO",B305="XFIXO"),IF(F305="","ERRO",10*F305)*'BD Campos'!$W$2,IF(F305="","ERRO",10*F305)*'BD Campos'!$W$3)</f>
        <v>0.8</v>
      </c>
      <c r="H305" s="40">
        <v>0.05</v>
      </c>
      <c r="I305" s="41">
        <f t="shared" si="9"/>
        <v>-4.0000000000000008E-2</v>
      </c>
    </row>
    <row r="306" spans="1:9" hidden="1" x14ac:dyDescent="0.35">
      <c r="A306" s="43" t="str">
        <f t="shared" si="8"/>
        <v>ROUBOPolicia9</v>
      </c>
      <c r="B306" s="37" t="s">
        <v>302</v>
      </c>
      <c r="C306" s="37" t="s">
        <v>146</v>
      </c>
      <c r="D306" s="37">
        <v>9</v>
      </c>
      <c r="E306" s="37" t="s">
        <v>1252</v>
      </c>
      <c r="F306" s="38">
        <v>0.08</v>
      </c>
      <c r="G306" s="39">
        <f>IF(OR(B306="FIXO",B306="XFIXO"),IF(F306="","ERRO",10*F306)*'BD Campos'!$W$2,IF(F306="","ERRO",10*F306)*'BD Campos'!$W$3)</f>
        <v>0.8</v>
      </c>
      <c r="H306" s="40">
        <v>0.05</v>
      </c>
      <c r="I306" s="41">
        <f t="shared" si="9"/>
        <v>-4.0000000000000008E-2</v>
      </c>
    </row>
    <row r="307" spans="1:9" hidden="1" x14ac:dyDescent="0.35">
      <c r="A307" s="43" t="str">
        <f t="shared" si="8"/>
        <v>ROUBOPolicia10</v>
      </c>
      <c r="B307" s="37" t="s">
        <v>302</v>
      </c>
      <c r="C307" s="37" t="s">
        <v>146</v>
      </c>
      <c r="D307" s="37">
        <v>10</v>
      </c>
      <c r="E307" s="37" t="s">
        <v>1253</v>
      </c>
      <c r="F307" s="38">
        <v>0.08</v>
      </c>
      <c r="G307" s="39">
        <f>IF(OR(B307="FIXO",B307="XFIXO"),IF(F307="","ERRO",10*F307)*'BD Campos'!$W$2,IF(F307="","ERRO",10*F307)*'BD Campos'!$W$3)</f>
        <v>0.8</v>
      </c>
      <c r="H307" s="40">
        <v>0.05</v>
      </c>
      <c r="I307" s="41">
        <f t="shared" si="9"/>
        <v>-4.0000000000000008E-2</v>
      </c>
    </row>
    <row r="308" spans="1:9" hidden="1" x14ac:dyDescent="0.35">
      <c r="A308" s="43" t="str">
        <f t="shared" si="8"/>
        <v>ROUBOPolicia11</v>
      </c>
      <c r="B308" s="37" t="s">
        <v>302</v>
      </c>
      <c r="C308" s="37" t="s">
        <v>146</v>
      </c>
      <c r="D308" s="37">
        <v>11</v>
      </c>
      <c r="E308" s="37" t="s">
        <v>1254</v>
      </c>
      <c r="F308" s="38">
        <v>0.1</v>
      </c>
      <c r="G308" s="39">
        <f>IF(OR(B308="FIXO",B308="XFIXO"),IF(F308="","ERRO",10*F308)*'BD Campos'!$W$2,IF(F308="","ERRO",10*F308)*'BD Campos'!$W$3)</f>
        <v>1</v>
      </c>
      <c r="H308" s="40">
        <v>0.05</v>
      </c>
      <c r="I308" s="41">
        <f t="shared" si="9"/>
        <v>-0.05</v>
      </c>
    </row>
    <row r="309" spans="1:9" hidden="1" x14ac:dyDescent="0.35">
      <c r="A309" s="43" t="str">
        <f t="shared" si="8"/>
        <v>ROUBOPolicia12</v>
      </c>
      <c r="B309" s="37" t="s">
        <v>302</v>
      </c>
      <c r="C309" s="37" t="s">
        <v>146</v>
      </c>
      <c r="D309" s="37">
        <v>12</v>
      </c>
      <c r="E309" s="37" t="s">
        <v>1255</v>
      </c>
      <c r="F309" s="38">
        <v>0.1</v>
      </c>
      <c r="G309" s="39">
        <f>IF(OR(B309="FIXO",B309="XFIXO"),IF(F309="","ERRO",10*F309)*'BD Campos'!$W$2,IF(F309="","ERRO",10*F309)*'BD Campos'!$W$3)</f>
        <v>1</v>
      </c>
      <c r="H309" s="40">
        <v>0.05</v>
      </c>
      <c r="I309" s="41">
        <f t="shared" si="9"/>
        <v>-0.05</v>
      </c>
    </row>
    <row r="310" spans="1:9" hidden="1" x14ac:dyDescent="0.35">
      <c r="A310" s="43" t="str">
        <f t="shared" si="8"/>
        <v>DESVIO DE ROTAPolicia 21</v>
      </c>
      <c r="B310" s="37" t="s">
        <v>126</v>
      </c>
      <c r="C310" s="37" t="s">
        <v>304</v>
      </c>
      <c r="D310" s="37">
        <v>1</v>
      </c>
      <c r="E310" s="37" t="s">
        <v>1212</v>
      </c>
      <c r="F310" s="38">
        <v>0.08</v>
      </c>
      <c r="G310" s="39">
        <f>IF(OR(B310="FIXO",B310="XFIXO"),IF(F310="","ERRO",10*F310)*'BD Campos'!$W$2,IF(F310="","ERRO",10*F310)*'BD Campos'!$W$3)</f>
        <v>0.8</v>
      </c>
      <c r="H310" s="46">
        <v>0.05</v>
      </c>
      <c r="I310" s="47">
        <f t="shared" si="9"/>
        <v>-4.0000000000000008E-2</v>
      </c>
    </row>
    <row r="311" spans="1:9" hidden="1" x14ac:dyDescent="0.35">
      <c r="A311" s="43" t="str">
        <f t="shared" si="8"/>
        <v>DESVIO DE ROTAPolicia 22</v>
      </c>
      <c r="B311" s="37" t="s">
        <v>126</v>
      </c>
      <c r="C311" s="37" t="s">
        <v>304</v>
      </c>
      <c r="D311" s="37">
        <v>2</v>
      </c>
      <c r="E311" s="37" t="s">
        <v>1213</v>
      </c>
      <c r="F311" s="38">
        <v>0.08</v>
      </c>
      <c r="G311" s="39">
        <f>IF(OR(B311="FIXO",B311="XFIXO"),IF(F311="","ERRO",10*F311)*'BD Campos'!$W$2,IF(F311="","ERRO",10*F311)*'BD Campos'!$W$3)</f>
        <v>0.8</v>
      </c>
      <c r="H311" s="46">
        <v>0.05</v>
      </c>
      <c r="I311" s="47">
        <f t="shared" si="9"/>
        <v>-4.0000000000000008E-2</v>
      </c>
    </row>
    <row r="312" spans="1:9" hidden="1" x14ac:dyDescent="0.35">
      <c r="A312" s="43" t="str">
        <f t="shared" si="8"/>
        <v>DESVIO DE ROTAPolicia 23</v>
      </c>
      <c r="B312" s="37" t="s">
        <v>126</v>
      </c>
      <c r="C312" s="37" t="s">
        <v>304</v>
      </c>
      <c r="D312" s="37">
        <v>3</v>
      </c>
      <c r="E312" s="37" t="s">
        <v>1214</v>
      </c>
      <c r="F312" s="38">
        <v>0.08</v>
      </c>
      <c r="G312" s="39">
        <f>IF(OR(B312="FIXO",B312="XFIXO"),IF(F312="","ERRO",10*F312)*'BD Campos'!$W$2,IF(F312="","ERRO",10*F312)*'BD Campos'!$W$3)</f>
        <v>0.8</v>
      </c>
      <c r="H312" s="46">
        <v>0.05</v>
      </c>
      <c r="I312" s="47">
        <f t="shared" si="9"/>
        <v>-4.0000000000000008E-2</v>
      </c>
    </row>
    <row r="313" spans="1:9" hidden="1" x14ac:dyDescent="0.35">
      <c r="A313" s="43" t="str">
        <f t="shared" si="8"/>
        <v>DESVIO DE ROTAPolicia 24</v>
      </c>
      <c r="B313" s="37" t="s">
        <v>126</v>
      </c>
      <c r="C313" s="37" t="s">
        <v>304</v>
      </c>
      <c r="D313" s="37">
        <v>4</v>
      </c>
      <c r="E313" s="37" t="s">
        <v>1215</v>
      </c>
      <c r="F313" s="38">
        <v>0.08</v>
      </c>
      <c r="G313" s="39">
        <f>IF(OR(B313="FIXO",B313="XFIXO"),IF(F313="","ERRO",10*F313)*'BD Campos'!$W$2,IF(F313="","ERRO",10*F313)*'BD Campos'!$W$3)</f>
        <v>0.8</v>
      </c>
      <c r="H313" s="46">
        <v>0.05</v>
      </c>
      <c r="I313" s="47">
        <f t="shared" si="9"/>
        <v>-4.0000000000000008E-2</v>
      </c>
    </row>
    <row r="314" spans="1:9" hidden="1" x14ac:dyDescent="0.35">
      <c r="A314" s="43" t="str">
        <f t="shared" si="8"/>
        <v>DESVIO DE ROTAPolicia 25</v>
      </c>
      <c r="B314" s="37" t="s">
        <v>126</v>
      </c>
      <c r="C314" s="37" t="s">
        <v>304</v>
      </c>
      <c r="D314" s="37">
        <v>5</v>
      </c>
      <c r="E314" s="37" t="s">
        <v>1216</v>
      </c>
      <c r="F314" s="38">
        <v>0.08</v>
      </c>
      <c r="G314" s="39">
        <f>IF(OR(B314="FIXO",B314="XFIXO"),IF(F314="","ERRO",10*F314)*'BD Campos'!$W$2,IF(F314="","ERRO",10*F314)*'BD Campos'!$W$3)</f>
        <v>0.8</v>
      </c>
      <c r="H314" s="46">
        <v>0.05</v>
      </c>
      <c r="I314" s="47">
        <f t="shared" si="9"/>
        <v>-4.0000000000000008E-2</v>
      </c>
    </row>
    <row r="315" spans="1:9" hidden="1" x14ac:dyDescent="0.35">
      <c r="A315" s="43" t="str">
        <f t="shared" si="8"/>
        <v>DESVIO DE ROTAPolicia 26</v>
      </c>
      <c r="B315" s="37" t="s">
        <v>126</v>
      </c>
      <c r="C315" s="37" t="s">
        <v>304</v>
      </c>
      <c r="D315" s="37">
        <v>6</v>
      </c>
      <c r="E315" s="37" t="s">
        <v>1217</v>
      </c>
      <c r="F315" s="38">
        <v>0.08</v>
      </c>
      <c r="G315" s="39">
        <f>IF(OR(B315="FIXO",B315="XFIXO"),IF(F315="","ERRO",10*F315)*'BD Campos'!$W$2,IF(F315="","ERRO",10*F315)*'BD Campos'!$W$3)</f>
        <v>0.8</v>
      </c>
      <c r="H315" s="46">
        <v>0.05</v>
      </c>
      <c r="I315" s="47">
        <f t="shared" si="9"/>
        <v>-4.0000000000000008E-2</v>
      </c>
    </row>
    <row r="316" spans="1:9" hidden="1" x14ac:dyDescent="0.35">
      <c r="A316" s="43" t="str">
        <f t="shared" si="8"/>
        <v>DESVIO DE ROTAPolicia 27</v>
      </c>
      <c r="B316" s="37" t="s">
        <v>126</v>
      </c>
      <c r="C316" s="37" t="s">
        <v>304</v>
      </c>
      <c r="D316" s="37">
        <v>7</v>
      </c>
      <c r="E316" s="37" t="s">
        <v>1250</v>
      </c>
      <c r="F316" s="38">
        <v>0.08</v>
      </c>
      <c r="G316" s="39">
        <f>IF(OR(B316="FIXO",B316="XFIXO"),IF(F316="","ERRO",10*F316)*'BD Campos'!$W$2,IF(F316="","ERRO",10*F316)*'BD Campos'!$W$3)</f>
        <v>0.8</v>
      </c>
      <c r="H316" s="40">
        <v>0.05</v>
      </c>
      <c r="I316" s="41">
        <f t="shared" si="9"/>
        <v>-4.0000000000000008E-2</v>
      </c>
    </row>
    <row r="317" spans="1:9" hidden="1" x14ac:dyDescent="0.35">
      <c r="A317" s="43" t="str">
        <f t="shared" si="8"/>
        <v>DESVIO DE ROTAPolicia 28</v>
      </c>
      <c r="B317" s="37" t="s">
        <v>126</v>
      </c>
      <c r="C317" s="37" t="s">
        <v>304</v>
      </c>
      <c r="D317" s="37">
        <v>8</v>
      </c>
      <c r="E317" s="37" t="s">
        <v>1251</v>
      </c>
      <c r="F317" s="38">
        <v>0.08</v>
      </c>
      <c r="G317" s="39">
        <f>IF(OR(B317="FIXO",B317="XFIXO"),IF(F317="","ERRO",10*F317)*'BD Campos'!$W$2,IF(F317="","ERRO",10*F317)*'BD Campos'!$W$3)</f>
        <v>0.8</v>
      </c>
      <c r="H317" s="40">
        <v>0.05</v>
      </c>
      <c r="I317" s="41">
        <f t="shared" si="9"/>
        <v>-4.0000000000000008E-2</v>
      </c>
    </row>
    <row r="318" spans="1:9" hidden="1" x14ac:dyDescent="0.35">
      <c r="A318" s="43" t="str">
        <f t="shared" si="8"/>
        <v>DESVIO DE ROTAPolicia 29</v>
      </c>
      <c r="B318" s="37" t="s">
        <v>126</v>
      </c>
      <c r="C318" s="37" t="s">
        <v>304</v>
      </c>
      <c r="D318" s="37">
        <v>9</v>
      </c>
      <c r="E318" s="37" t="s">
        <v>1252</v>
      </c>
      <c r="F318" s="38">
        <v>0.08</v>
      </c>
      <c r="G318" s="39">
        <f>IF(OR(B318="FIXO",B318="XFIXO"),IF(F318="","ERRO",10*F318)*'BD Campos'!$W$2,IF(F318="","ERRO",10*F318)*'BD Campos'!$W$3)</f>
        <v>0.8</v>
      </c>
      <c r="H318" s="40">
        <v>0.05</v>
      </c>
      <c r="I318" s="41">
        <f t="shared" si="9"/>
        <v>-4.0000000000000008E-2</v>
      </c>
    </row>
    <row r="319" spans="1:9" hidden="1" x14ac:dyDescent="0.35">
      <c r="A319" s="43" t="str">
        <f t="shared" si="8"/>
        <v>DESVIO DE ROTAPolicia 210</v>
      </c>
      <c r="B319" s="37" t="s">
        <v>126</v>
      </c>
      <c r="C319" s="37" t="s">
        <v>304</v>
      </c>
      <c r="D319" s="37">
        <v>10</v>
      </c>
      <c r="E319" s="37" t="s">
        <v>1253</v>
      </c>
      <c r="F319" s="38">
        <v>0.08</v>
      </c>
      <c r="G319" s="39">
        <f>IF(OR(B319="FIXO",B319="XFIXO"),IF(F319="","ERRO",10*F319)*'BD Campos'!$W$2,IF(F319="","ERRO",10*F319)*'BD Campos'!$W$3)</f>
        <v>0.8</v>
      </c>
      <c r="H319" s="40">
        <v>0.05</v>
      </c>
      <c r="I319" s="41">
        <f t="shared" si="9"/>
        <v>-4.0000000000000008E-2</v>
      </c>
    </row>
    <row r="320" spans="1:9" hidden="1" x14ac:dyDescent="0.35">
      <c r="A320" s="43" t="str">
        <f t="shared" si="8"/>
        <v>DESVIO DE ROTAPolicia 211</v>
      </c>
      <c r="B320" s="37" t="s">
        <v>126</v>
      </c>
      <c r="C320" s="37" t="s">
        <v>304</v>
      </c>
      <c r="D320" s="37">
        <v>11</v>
      </c>
      <c r="E320" s="37" t="s">
        <v>1254</v>
      </c>
      <c r="F320" s="38">
        <v>0.1</v>
      </c>
      <c r="G320" s="39">
        <f>IF(OR(B320="FIXO",B320="XFIXO"),IF(F320="","ERRO",10*F320)*'BD Campos'!$W$2,IF(F320="","ERRO",10*F320)*'BD Campos'!$W$3)</f>
        <v>1</v>
      </c>
      <c r="H320" s="40">
        <v>0.05</v>
      </c>
      <c r="I320" s="41">
        <f t="shared" si="9"/>
        <v>-0.05</v>
      </c>
    </row>
    <row r="321" spans="1:9" hidden="1" x14ac:dyDescent="0.35">
      <c r="A321" s="43" t="str">
        <f t="shared" si="8"/>
        <v>DESVIO DE ROTAPolicia 212</v>
      </c>
      <c r="B321" s="37" t="s">
        <v>126</v>
      </c>
      <c r="C321" s="37" t="s">
        <v>304</v>
      </c>
      <c r="D321" s="37">
        <v>12</v>
      </c>
      <c r="E321" s="37" t="s">
        <v>1255</v>
      </c>
      <c r="F321" s="38">
        <v>0.1</v>
      </c>
      <c r="G321" s="39">
        <f>IF(OR(B321="FIXO",B321="XFIXO"),IF(F321="","ERRO",10*F321)*'BD Campos'!$W$2,IF(F321="","ERRO",10*F321)*'BD Campos'!$W$3)</f>
        <v>1</v>
      </c>
      <c r="H321" s="40">
        <v>0.05</v>
      </c>
      <c r="I321" s="41">
        <f t="shared" si="9"/>
        <v>-0.05</v>
      </c>
    </row>
    <row r="322" spans="1:9" hidden="1" x14ac:dyDescent="0.35">
      <c r="A322" s="43" t="str">
        <f t="shared" ref="A322:A386" si="10">B322&amp;C322&amp;D322</f>
        <v>PARADA INDEVIDAPolicia 21</v>
      </c>
      <c r="B322" s="37" t="s">
        <v>121</v>
      </c>
      <c r="C322" s="37" t="s">
        <v>304</v>
      </c>
      <c r="D322" s="37">
        <v>1</v>
      </c>
      <c r="E322" s="37" t="s">
        <v>1212</v>
      </c>
      <c r="F322" s="38">
        <v>0.08</v>
      </c>
      <c r="G322" s="39">
        <f>IF(OR(B322="FIXO",B322="XFIXO"),IF(F322="","ERRO",10*F322)*'BD Campos'!$W$2,IF(F322="","ERRO",10*F322)*'BD Campos'!$W$3)</f>
        <v>0.8</v>
      </c>
      <c r="H322" s="46">
        <v>0.05</v>
      </c>
      <c r="I322" s="47">
        <f t="shared" ref="I322:I386" si="11">H322*G322*-1</f>
        <v>-4.0000000000000008E-2</v>
      </c>
    </row>
    <row r="323" spans="1:9" hidden="1" x14ac:dyDescent="0.35">
      <c r="A323" s="43" t="str">
        <f t="shared" si="10"/>
        <v>PARADA INDEVIDAPolicia 22</v>
      </c>
      <c r="B323" s="37" t="s">
        <v>121</v>
      </c>
      <c r="C323" s="37" t="s">
        <v>304</v>
      </c>
      <c r="D323" s="37">
        <v>2</v>
      </c>
      <c r="E323" s="37" t="s">
        <v>1213</v>
      </c>
      <c r="F323" s="38">
        <v>0.08</v>
      </c>
      <c r="G323" s="39">
        <f>IF(OR(B323="FIXO",B323="XFIXO"),IF(F323="","ERRO",10*F323)*'BD Campos'!$W$2,IF(F323="","ERRO",10*F323)*'BD Campos'!$W$3)</f>
        <v>0.8</v>
      </c>
      <c r="H323" s="46">
        <v>0.05</v>
      </c>
      <c r="I323" s="47">
        <f t="shared" si="11"/>
        <v>-4.0000000000000008E-2</v>
      </c>
    </row>
    <row r="324" spans="1:9" hidden="1" x14ac:dyDescent="0.35">
      <c r="A324" s="43" t="str">
        <f t="shared" si="10"/>
        <v>PARADA INDEVIDAPolicia 23</v>
      </c>
      <c r="B324" s="37" t="s">
        <v>121</v>
      </c>
      <c r="C324" s="37" t="s">
        <v>304</v>
      </c>
      <c r="D324" s="37">
        <v>3</v>
      </c>
      <c r="E324" s="37" t="s">
        <v>1214</v>
      </c>
      <c r="F324" s="38">
        <v>0.08</v>
      </c>
      <c r="G324" s="39">
        <f>IF(OR(B324="FIXO",B324="XFIXO"),IF(F324="","ERRO",10*F324)*'BD Campos'!$W$2,IF(F324="","ERRO",10*F324)*'BD Campos'!$W$3)</f>
        <v>0.8</v>
      </c>
      <c r="H324" s="46">
        <v>0.05</v>
      </c>
      <c r="I324" s="47">
        <f t="shared" si="11"/>
        <v>-4.0000000000000008E-2</v>
      </c>
    </row>
    <row r="325" spans="1:9" hidden="1" x14ac:dyDescent="0.35">
      <c r="A325" s="43" t="str">
        <f t="shared" si="10"/>
        <v>PARADA INDEVIDAPolicia 24</v>
      </c>
      <c r="B325" s="37" t="s">
        <v>121</v>
      </c>
      <c r="C325" s="37" t="s">
        <v>304</v>
      </c>
      <c r="D325" s="37">
        <v>4</v>
      </c>
      <c r="E325" s="37" t="s">
        <v>1215</v>
      </c>
      <c r="F325" s="38">
        <v>0.08</v>
      </c>
      <c r="G325" s="39">
        <f>IF(OR(B325="FIXO",B325="XFIXO"),IF(F325="","ERRO",10*F325)*'BD Campos'!$W$2,IF(F325="","ERRO",10*F325)*'BD Campos'!$W$3)</f>
        <v>0.8</v>
      </c>
      <c r="H325" s="46">
        <v>0.05</v>
      </c>
      <c r="I325" s="47">
        <f t="shared" si="11"/>
        <v>-4.0000000000000008E-2</v>
      </c>
    </row>
    <row r="326" spans="1:9" hidden="1" x14ac:dyDescent="0.35">
      <c r="A326" s="43" t="str">
        <f t="shared" si="10"/>
        <v>PARADA INDEVIDAPolicia 25</v>
      </c>
      <c r="B326" s="37" t="s">
        <v>121</v>
      </c>
      <c r="C326" s="37" t="s">
        <v>304</v>
      </c>
      <c r="D326" s="37">
        <v>5</v>
      </c>
      <c r="E326" s="37" t="s">
        <v>1216</v>
      </c>
      <c r="F326" s="38">
        <v>0.08</v>
      </c>
      <c r="G326" s="39">
        <f>IF(OR(B326="FIXO",B326="XFIXO"),IF(F326="","ERRO",10*F326)*'BD Campos'!$W$2,IF(F326="","ERRO",10*F326)*'BD Campos'!$W$3)</f>
        <v>0.8</v>
      </c>
      <c r="H326" s="46">
        <v>0.05</v>
      </c>
      <c r="I326" s="47">
        <f t="shared" si="11"/>
        <v>-4.0000000000000008E-2</v>
      </c>
    </row>
    <row r="327" spans="1:9" hidden="1" x14ac:dyDescent="0.35">
      <c r="A327" s="43" t="str">
        <f t="shared" si="10"/>
        <v>PARADA INDEVIDAPolicia 26</v>
      </c>
      <c r="B327" s="37" t="s">
        <v>121</v>
      </c>
      <c r="C327" s="37" t="s">
        <v>304</v>
      </c>
      <c r="D327" s="37">
        <v>6</v>
      </c>
      <c r="E327" s="37" t="s">
        <v>1217</v>
      </c>
      <c r="F327" s="38">
        <v>0.08</v>
      </c>
      <c r="G327" s="39">
        <f>IF(OR(B327="FIXO",B327="XFIXO"),IF(F327="","ERRO",10*F327)*'BD Campos'!$W$2,IF(F327="","ERRO",10*F327)*'BD Campos'!$W$3)</f>
        <v>0.8</v>
      </c>
      <c r="H327" s="46">
        <v>0.05</v>
      </c>
      <c r="I327" s="47">
        <f t="shared" si="11"/>
        <v>-4.0000000000000008E-2</v>
      </c>
    </row>
    <row r="328" spans="1:9" hidden="1" x14ac:dyDescent="0.35">
      <c r="A328" s="43" t="str">
        <f t="shared" si="10"/>
        <v>PARADA INDEVIDAPolicia 27</v>
      </c>
      <c r="B328" s="37" t="s">
        <v>121</v>
      </c>
      <c r="C328" s="37" t="s">
        <v>304</v>
      </c>
      <c r="D328" s="37">
        <v>7</v>
      </c>
      <c r="E328" s="37" t="s">
        <v>1250</v>
      </c>
      <c r="F328" s="38">
        <v>0.08</v>
      </c>
      <c r="G328" s="39">
        <f>IF(OR(B328="FIXO",B328="XFIXO"),IF(F328="","ERRO",10*F328)*'BD Campos'!$W$2,IF(F328="","ERRO",10*F328)*'BD Campos'!$W$3)</f>
        <v>0.8</v>
      </c>
      <c r="H328" s="40">
        <v>0.05</v>
      </c>
      <c r="I328" s="41">
        <f t="shared" si="11"/>
        <v>-4.0000000000000008E-2</v>
      </c>
    </row>
    <row r="329" spans="1:9" hidden="1" x14ac:dyDescent="0.35">
      <c r="A329" s="43" t="str">
        <f t="shared" si="10"/>
        <v>PARADA INDEVIDAPolicia 28</v>
      </c>
      <c r="B329" s="37" t="s">
        <v>121</v>
      </c>
      <c r="C329" s="37" t="s">
        <v>304</v>
      </c>
      <c r="D329" s="37">
        <v>8</v>
      </c>
      <c r="E329" s="37" t="s">
        <v>1251</v>
      </c>
      <c r="F329" s="38">
        <v>0.08</v>
      </c>
      <c r="G329" s="39">
        <f>IF(OR(B329="FIXO",B329="XFIXO"),IF(F329="","ERRO",10*F329)*'BD Campos'!$W$2,IF(F329="","ERRO",10*F329)*'BD Campos'!$W$3)</f>
        <v>0.8</v>
      </c>
      <c r="H329" s="40">
        <v>0.05</v>
      </c>
      <c r="I329" s="41">
        <f t="shared" si="11"/>
        <v>-4.0000000000000008E-2</v>
      </c>
    </row>
    <row r="330" spans="1:9" hidden="1" x14ac:dyDescent="0.35">
      <c r="A330" s="43" t="str">
        <f t="shared" si="10"/>
        <v>PARADA INDEVIDAPolicia 29</v>
      </c>
      <c r="B330" s="37" t="s">
        <v>121</v>
      </c>
      <c r="C330" s="37" t="s">
        <v>304</v>
      </c>
      <c r="D330" s="37">
        <v>9</v>
      </c>
      <c r="E330" s="37" t="s">
        <v>1252</v>
      </c>
      <c r="F330" s="38">
        <v>0.08</v>
      </c>
      <c r="G330" s="39">
        <f>IF(OR(B330="FIXO",B330="XFIXO"),IF(F330="","ERRO",10*F330)*'BD Campos'!$W$2,IF(F330="","ERRO",10*F330)*'BD Campos'!$W$3)</f>
        <v>0.8</v>
      </c>
      <c r="H330" s="40">
        <v>0.05</v>
      </c>
      <c r="I330" s="41">
        <f t="shared" si="11"/>
        <v>-4.0000000000000008E-2</v>
      </c>
    </row>
    <row r="331" spans="1:9" hidden="1" x14ac:dyDescent="0.35">
      <c r="A331" s="43" t="str">
        <f t="shared" si="10"/>
        <v>PARADA INDEVIDAPolicia 210</v>
      </c>
      <c r="B331" s="37" t="s">
        <v>121</v>
      </c>
      <c r="C331" s="37" t="s">
        <v>304</v>
      </c>
      <c r="D331" s="37">
        <v>10</v>
      </c>
      <c r="E331" s="37" t="s">
        <v>1253</v>
      </c>
      <c r="F331" s="38">
        <v>0.08</v>
      </c>
      <c r="G331" s="39">
        <f>IF(OR(B331="FIXO",B331="XFIXO"),IF(F331="","ERRO",10*F331)*'BD Campos'!$W$2,IF(F331="","ERRO",10*F331)*'BD Campos'!$W$3)</f>
        <v>0.8</v>
      </c>
      <c r="H331" s="40">
        <v>0.05</v>
      </c>
      <c r="I331" s="41">
        <f t="shared" si="11"/>
        <v>-4.0000000000000008E-2</v>
      </c>
    </row>
    <row r="332" spans="1:9" hidden="1" x14ac:dyDescent="0.35">
      <c r="A332" s="43" t="str">
        <f t="shared" si="10"/>
        <v>PARADA INDEVIDAPolicia 211</v>
      </c>
      <c r="B332" s="37" t="s">
        <v>121</v>
      </c>
      <c r="C332" s="37" t="s">
        <v>304</v>
      </c>
      <c r="D332" s="37">
        <v>11</v>
      </c>
      <c r="E332" s="37" t="s">
        <v>1254</v>
      </c>
      <c r="F332" s="38">
        <v>0.1</v>
      </c>
      <c r="G332" s="39">
        <f>IF(OR(B332="FIXO",B332="XFIXO"),IF(F332="","ERRO",10*F332)*'BD Campos'!$W$2,IF(F332="","ERRO",10*F332)*'BD Campos'!$W$3)</f>
        <v>1</v>
      </c>
      <c r="H332" s="40">
        <v>0.05</v>
      </c>
      <c r="I332" s="41">
        <f t="shared" si="11"/>
        <v>-0.05</v>
      </c>
    </row>
    <row r="333" spans="1:9" hidden="1" x14ac:dyDescent="0.35">
      <c r="A333" s="43" t="str">
        <f t="shared" si="10"/>
        <v>PARADA INDEVIDAPolicia 212</v>
      </c>
      <c r="B333" s="37" t="s">
        <v>121</v>
      </c>
      <c r="C333" s="37" t="s">
        <v>304</v>
      </c>
      <c r="D333" s="37">
        <v>12</v>
      </c>
      <c r="E333" s="37" t="s">
        <v>1255</v>
      </c>
      <c r="F333" s="38">
        <v>0.1</v>
      </c>
      <c r="G333" s="39">
        <f>IF(OR(B333="FIXO",B333="XFIXO"),IF(F333="","ERRO",10*F333)*'BD Campos'!$W$2,IF(F333="","ERRO",10*F333)*'BD Campos'!$W$3)</f>
        <v>1</v>
      </c>
      <c r="H333" s="40">
        <v>0.05</v>
      </c>
      <c r="I333" s="41">
        <f t="shared" si="11"/>
        <v>-0.05</v>
      </c>
    </row>
    <row r="334" spans="1:9" hidden="1" x14ac:dyDescent="0.35">
      <c r="A334" s="43" t="str">
        <f t="shared" si="10"/>
        <v>POSIÇÃO EM ATRASOPolicia 21</v>
      </c>
      <c r="B334" s="37" t="s">
        <v>123</v>
      </c>
      <c r="C334" s="37" t="s">
        <v>304</v>
      </c>
      <c r="D334" s="37">
        <v>1</v>
      </c>
      <c r="E334" s="37" t="s">
        <v>1212</v>
      </c>
      <c r="F334" s="38">
        <v>0.08</v>
      </c>
      <c r="G334" s="39">
        <f>IF(OR(B334="FIXO",B334="XFIXO"),IF(F334="","ERRO",10*F334)*'BD Campos'!$W$2,IF(F334="","ERRO",10*F334)*'BD Campos'!$W$3)</f>
        <v>0.8</v>
      </c>
      <c r="H334" s="46">
        <v>0.05</v>
      </c>
      <c r="I334" s="47">
        <f t="shared" si="11"/>
        <v>-4.0000000000000008E-2</v>
      </c>
    </row>
    <row r="335" spans="1:9" hidden="1" x14ac:dyDescent="0.35">
      <c r="A335" s="43" t="str">
        <f t="shared" si="10"/>
        <v>POSIÇÃO EM ATRASOPolicia 22</v>
      </c>
      <c r="B335" s="37" t="s">
        <v>123</v>
      </c>
      <c r="C335" s="37" t="s">
        <v>304</v>
      </c>
      <c r="D335" s="37">
        <v>2</v>
      </c>
      <c r="E335" s="37" t="s">
        <v>1213</v>
      </c>
      <c r="F335" s="38">
        <v>0.08</v>
      </c>
      <c r="G335" s="39">
        <f>IF(OR(B335="FIXO",B335="XFIXO"),IF(F335="","ERRO",10*F335)*'BD Campos'!$W$2,IF(F335="","ERRO",10*F335)*'BD Campos'!$W$3)</f>
        <v>0.8</v>
      </c>
      <c r="H335" s="46">
        <v>0.05</v>
      </c>
      <c r="I335" s="47">
        <f t="shared" si="11"/>
        <v>-4.0000000000000008E-2</v>
      </c>
    </row>
    <row r="336" spans="1:9" hidden="1" x14ac:dyDescent="0.35">
      <c r="A336" s="43" t="str">
        <f t="shared" si="10"/>
        <v>POSIÇÃO EM ATRASOPolicia 23</v>
      </c>
      <c r="B336" s="37" t="s">
        <v>123</v>
      </c>
      <c r="C336" s="37" t="s">
        <v>304</v>
      </c>
      <c r="D336" s="37">
        <v>3</v>
      </c>
      <c r="E336" s="37" t="s">
        <v>1214</v>
      </c>
      <c r="F336" s="38">
        <v>0.08</v>
      </c>
      <c r="G336" s="39">
        <f>IF(OR(B336="FIXO",B336="XFIXO"),IF(F336="","ERRO",10*F336)*'BD Campos'!$W$2,IF(F336="","ERRO",10*F336)*'BD Campos'!$W$3)</f>
        <v>0.8</v>
      </c>
      <c r="H336" s="46">
        <v>0.05</v>
      </c>
      <c r="I336" s="47">
        <f t="shared" si="11"/>
        <v>-4.0000000000000008E-2</v>
      </c>
    </row>
    <row r="337" spans="1:9" hidden="1" x14ac:dyDescent="0.35">
      <c r="A337" s="43" t="str">
        <f t="shared" si="10"/>
        <v>POSIÇÃO EM ATRASOPolicia 24</v>
      </c>
      <c r="B337" s="37" t="s">
        <v>123</v>
      </c>
      <c r="C337" s="37" t="s">
        <v>304</v>
      </c>
      <c r="D337" s="37">
        <v>4</v>
      </c>
      <c r="E337" s="37" t="s">
        <v>1215</v>
      </c>
      <c r="F337" s="38">
        <v>0.08</v>
      </c>
      <c r="G337" s="39">
        <f>IF(OR(B337="FIXO",B337="XFIXO"),IF(F337="","ERRO",10*F337)*'BD Campos'!$W$2,IF(F337="","ERRO",10*F337)*'BD Campos'!$W$3)</f>
        <v>0.8</v>
      </c>
      <c r="H337" s="46">
        <v>0.05</v>
      </c>
      <c r="I337" s="47">
        <f t="shared" si="11"/>
        <v>-4.0000000000000008E-2</v>
      </c>
    </row>
    <row r="338" spans="1:9" hidden="1" x14ac:dyDescent="0.35">
      <c r="A338" s="43" t="str">
        <f t="shared" si="10"/>
        <v>POSIÇÃO EM ATRASOPolicia 25</v>
      </c>
      <c r="B338" s="37" t="s">
        <v>123</v>
      </c>
      <c r="C338" s="37" t="s">
        <v>304</v>
      </c>
      <c r="D338" s="37">
        <v>5</v>
      </c>
      <c r="E338" s="37" t="s">
        <v>1216</v>
      </c>
      <c r="F338" s="38">
        <v>0.08</v>
      </c>
      <c r="G338" s="39">
        <f>IF(OR(B338="FIXO",B338="XFIXO"),IF(F338="","ERRO",10*F338)*'BD Campos'!$W$2,IF(F338="","ERRO",10*F338)*'BD Campos'!$W$3)</f>
        <v>0.8</v>
      </c>
      <c r="H338" s="46">
        <v>0.05</v>
      </c>
      <c r="I338" s="47">
        <f t="shared" si="11"/>
        <v>-4.0000000000000008E-2</v>
      </c>
    </row>
    <row r="339" spans="1:9" hidden="1" x14ac:dyDescent="0.35">
      <c r="A339" s="43" t="str">
        <f t="shared" si="10"/>
        <v>POSIÇÃO EM ATRASOPolicia 26</v>
      </c>
      <c r="B339" s="37" t="s">
        <v>123</v>
      </c>
      <c r="C339" s="37" t="s">
        <v>304</v>
      </c>
      <c r="D339" s="37">
        <v>6</v>
      </c>
      <c r="E339" s="37" t="s">
        <v>1217</v>
      </c>
      <c r="F339" s="38">
        <v>0.08</v>
      </c>
      <c r="G339" s="39">
        <f>IF(OR(B339="FIXO",B339="XFIXO"),IF(F339="","ERRO",10*F339)*'BD Campos'!$W$2,IF(F339="","ERRO",10*F339)*'BD Campos'!$W$3)</f>
        <v>0.8</v>
      </c>
      <c r="H339" s="46">
        <v>0.05</v>
      </c>
      <c r="I339" s="47">
        <f t="shared" si="11"/>
        <v>-4.0000000000000008E-2</v>
      </c>
    </row>
    <row r="340" spans="1:9" hidden="1" x14ac:dyDescent="0.35">
      <c r="A340" s="43" t="str">
        <f t="shared" si="10"/>
        <v>POSIÇÃO EM ATRASOPolicia 27</v>
      </c>
      <c r="B340" s="37" t="s">
        <v>123</v>
      </c>
      <c r="C340" s="37" t="s">
        <v>304</v>
      </c>
      <c r="D340" s="37">
        <v>7</v>
      </c>
      <c r="E340" s="37" t="s">
        <v>1250</v>
      </c>
      <c r="F340" s="38">
        <v>0.08</v>
      </c>
      <c r="G340" s="39">
        <f>IF(OR(B340="FIXO",B340="XFIXO"),IF(F340="","ERRO",10*F340)*'BD Campos'!$W$2,IF(F340="","ERRO",10*F340)*'BD Campos'!$W$3)</f>
        <v>0.8</v>
      </c>
      <c r="H340" s="40">
        <v>0.05</v>
      </c>
      <c r="I340" s="41">
        <f t="shared" si="11"/>
        <v>-4.0000000000000008E-2</v>
      </c>
    </row>
    <row r="341" spans="1:9" hidden="1" x14ac:dyDescent="0.35">
      <c r="A341" s="43" t="str">
        <f t="shared" si="10"/>
        <v>POSIÇÃO EM ATRASOPolicia 28</v>
      </c>
      <c r="B341" s="37" t="s">
        <v>123</v>
      </c>
      <c r="C341" s="37" t="s">
        <v>304</v>
      </c>
      <c r="D341" s="37">
        <v>8</v>
      </c>
      <c r="E341" s="37" t="s">
        <v>1251</v>
      </c>
      <c r="F341" s="38">
        <v>0.08</v>
      </c>
      <c r="G341" s="39">
        <f>IF(OR(B341="FIXO",B341="XFIXO"),IF(F341="","ERRO",10*F341)*'BD Campos'!$W$2,IF(F341="","ERRO",10*F341)*'BD Campos'!$W$3)</f>
        <v>0.8</v>
      </c>
      <c r="H341" s="40">
        <v>0.05</v>
      </c>
      <c r="I341" s="41">
        <f t="shared" si="11"/>
        <v>-4.0000000000000008E-2</v>
      </c>
    </row>
    <row r="342" spans="1:9" hidden="1" x14ac:dyDescent="0.35">
      <c r="A342" s="43" t="str">
        <f t="shared" si="10"/>
        <v>POSIÇÃO EM ATRASOPolicia 29</v>
      </c>
      <c r="B342" s="37" t="s">
        <v>123</v>
      </c>
      <c r="C342" s="37" t="s">
        <v>304</v>
      </c>
      <c r="D342" s="37">
        <v>9</v>
      </c>
      <c r="E342" s="37" t="s">
        <v>1252</v>
      </c>
      <c r="F342" s="38">
        <v>0.08</v>
      </c>
      <c r="G342" s="39">
        <f>IF(OR(B342="FIXO",B342="XFIXO"),IF(F342="","ERRO",10*F342)*'BD Campos'!$W$2,IF(F342="","ERRO",10*F342)*'BD Campos'!$W$3)</f>
        <v>0.8</v>
      </c>
      <c r="H342" s="40">
        <v>0.05</v>
      </c>
      <c r="I342" s="41">
        <f t="shared" si="11"/>
        <v>-4.0000000000000008E-2</v>
      </c>
    </row>
    <row r="343" spans="1:9" hidden="1" x14ac:dyDescent="0.35">
      <c r="A343" s="43" t="str">
        <f t="shared" si="10"/>
        <v>POSIÇÃO EM ATRASOPolicia 210</v>
      </c>
      <c r="B343" s="37" t="s">
        <v>123</v>
      </c>
      <c r="C343" s="37" t="s">
        <v>304</v>
      </c>
      <c r="D343" s="37">
        <v>10</v>
      </c>
      <c r="E343" s="37" t="s">
        <v>1253</v>
      </c>
      <c r="F343" s="38">
        <v>0.08</v>
      </c>
      <c r="G343" s="39">
        <f>IF(OR(B343="FIXO",B343="XFIXO"),IF(F343="","ERRO",10*F343)*'BD Campos'!$W$2,IF(F343="","ERRO",10*F343)*'BD Campos'!$W$3)</f>
        <v>0.8</v>
      </c>
      <c r="H343" s="40">
        <v>0.05</v>
      </c>
      <c r="I343" s="41">
        <f t="shared" si="11"/>
        <v>-4.0000000000000008E-2</v>
      </c>
    </row>
    <row r="344" spans="1:9" hidden="1" x14ac:dyDescent="0.35">
      <c r="A344" s="43" t="str">
        <f t="shared" si="10"/>
        <v>POSIÇÃO EM ATRASOPolicia 211</v>
      </c>
      <c r="B344" s="37" t="s">
        <v>123</v>
      </c>
      <c r="C344" s="37" t="s">
        <v>304</v>
      </c>
      <c r="D344" s="37">
        <v>11</v>
      </c>
      <c r="E344" s="37" t="s">
        <v>1254</v>
      </c>
      <c r="F344" s="38">
        <v>0.1</v>
      </c>
      <c r="G344" s="39">
        <f>IF(OR(B344="FIXO",B344="XFIXO"),IF(F344="","ERRO",10*F344)*'BD Campos'!$W$2,IF(F344="","ERRO",10*F344)*'BD Campos'!$W$3)</f>
        <v>1</v>
      </c>
      <c r="H344" s="40">
        <v>0.05</v>
      </c>
      <c r="I344" s="41">
        <f t="shared" si="11"/>
        <v>-0.05</v>
      </c>
    </row>
    <row r="345" spans="1:9" hidden="1" x14ac:dyDescent="0.35">
      <c r="A345" s="43" t="str">
        <f t="shared" si="10"/>
        <v>POSIÇÃO EM ATRASOPolicia 212</v>
      </c>
      <c r="B345" s="37" t="s">
        <v>123</v>
      </c>
      <c r="C345" s="37" t="s">
        <v>304</v>
      </c>
      <c r="D345" s="37">
        <v>12</v>
      </c>
      <c r="E345" s="37" t="s">
        <v>1255</v>
      </c>
      <c r="F345" s="38">
        <v>0.1</v>
      </c>
      <c r="G345" s="39">
        <f>IF(OR(B345="FIXO",B345="XFIXO"),IF(F345="","ERRO",10*F345)*'BD Campos'!$W$2,IF(F345="","ERRO",10*F345)*'BD Campos'!$W$3)</f>
        <v>1</v>
      </c>
      <c r="H345" s="40">
        <v>0.05</v>
      </c>
      <c r="I345" s="41">
        <f t="shared" si="11"/>
        <v>-0.05</v>
      </c>
    </row>
    <row r="346" spans="1:9" hidden="1" x14ac:dyDescent="0.35">
      <c r="A346" s="43" t="str">
        <f t="shared" si="10"/>
        <v>ALERTAS PRIORITÁRIOSPolicia 21</v>
      </c>
      <c r="B346" s="37" t="s">
        <v>147</v>
      </c>
      <c r="C346" s="37" t="s">
        <v>304</v>
      </c>
      <c r="D346" s="37">
        <v>1</v>
      </c>
      <c r="E346" s="37" t="s">
        <v>1212</v>
      </c>
      <c r="F346" s="38">
        <v>0.08</v>
      </c>
      <c r="G346" s="39">
        <f>IF(OR(B346="FIXO",B346="XFIXO"),IF(F346="","ERRO",10*F346)*'BD Campos'!$W$2,IF(F346="","ERRO",10*F346)*'BD Campos'!$W$3)</f>
        <v>0.8</v>
      </c>
      <c r="H346" s="46">
        <v>0.05</v>
      </c>
      <c r="I346" s="47">
        <f t="shared" si="11"/>
        <v>-4.0000000000000008E-2</v>
      </c>
    </row>
    <row r="347" spans="1:9" hidden="1" x14ac:dyDescent="0.35">
      <c r="A347" s="43" t="str">
        <f t="shared" si="10"/>
        <v>ALERTAS PRIORITÁRIOSPolicia 22</v>
      </c>
      <c r="B347" s="37" t="s">
        <v>147</v>
      </c>
      <c r="C347" s="37" t="s">
        <v>304</v>
      </c>
      <c r="D347" s="37">
        <v>2</v>
      </c>
      <c r="E347" s="37" t="s">
        <v>1213</v>
      </c>
      <c r="F347" s="38">
        <v>0.08</v>
      </c>
      <c r="G347" s="39">
        <f>IF(OR(B347="FIXO",B347="XFIXO"),IF(F347="","ERRO",10*F347)*'BD Campos'!$W$2,IF(F347="","ERRO",10*F347)*'BD Campos'!$W$3)</f>
        <v>0.8</v>
      </c>
      <c r="H347" s="46">
        <v>0.05</v>
      </c>
      <c r="I347" s="47">
        <f t="shared" si="11"/>
        <v>-4.0000000000000008E-2</v>
      </c>
    </row>
    <row r="348" spans="1:9" hidden="1" x14ac:dyDescent="0.35">
      <c r="A348" s="43" t="str">
        <f t="shared" si="10"/>
        <v>ALERTAS PRIORITÁRIOSPolicia 23</v>
      </c>
      <c r="B348" s="37" t="s">
        <v>147</v>
      </c>
      <c r="C348" s="37" t="s">
        <v>304</v>
      </c>
      <c r="D348" s="37">
        <v>3</v>
      </c>
      <c r="E348" s="37" t="s">
        <v>1214</v>
      </c>
      <c r="F348" s="38">
        <v>0.08</v>
      </c>
      <c r="G348" s="39">
        <f>IF(OR(B348="FIXO",B348="XFIXO"),IF(F348="","ERRO",10*F348)*'BD Campos'!$W$2,IF(F348="","ERRO",10*F348)*'BD Campos'!$W$3)</f>
        <v>0.8</v>
      </c>
      <c r="H348" s="46">
        <v>0.05</v>
      </c>
      <c r="I348" s="47">
        <f t="shared" si="11"/>
        <v>-4.0000000000000008E-2</v>
      </c>
    </row>
    <row r="349" spans="1:9" hidden="1" x14ac:dyDescent="0.35">
      <c r="A349" s="43" t="str">
        <f t="shared" si="10"/>
        <v>ALERTAS PRIORITÁRIOSPolicia 24</v>
      </c>
      <c r="B349" s="37" t="s">
        <v>147</v>
      </c>
      <c r="C349" s="37" t="s">
        <v>304</v>
      </c>
      <c r="D349" s="37">
        <v>4</v>
      </c>
      <c r="E349" s="37" t="s">
        <v>1215</v>
      </c>
      <c r="F349" s="38">
        <v>0.08</v>
      </c>
      <c r="G349" s="39">
        <f>IF(OR(B349="FIXO",B349="XFIXO"),IF(F349="","ERRO",10*F349)*'BD Campos'!$W$2,IF(F349="","ERRO",10*F349)*'BD Campos'!$W$3)</f>
        <v>0.8</v>
      </c>
      <c r="H349" s="46">
        <v>0.05</v>
      </c>
      <c r="I349" s="47">
        <f t="shared" si="11"/>
        <v>-4.0000000000000008E-2</v>
      </c>
    </row>
    <row r="350" spans="1:9" hidden="1" x14ac:dyDescent="0.35">
      <c r="A350" s="43" t="str">
        <f t="shared" si="10"/>
        <v>ALERTAS PRIORITÁRIOSPolicia 25</v>
      </c>
      <c r="B350" s="37" t="s">
        <v>147</v>
      </c>
      <c r="C350" s="37" t="s">
        <v>304</v>
      </c>
      <c r="D350" s="37">
        <v>5</v>
      </c>
      <c r="E350" s="37" t="s">
        <v>1216</v>
      </c>
      <c r="F350" s="38">
        <v>0.08</v>
      </c>
      <c r="G350" s="39">
        <f>IF(OR(B350="FIXO",B350="XFIXO"),IF(F350="","ERRO",10*F350)*'BD Campos'!$W$2,IF(F350="","ERRO",10*F350)*'BD Campos'!$W$3)</f>
        <v>0.8</v>
      </c>
      <c r="H350" s="46">
        <v>0.05</v>
      </c>
      <c r="I350" s="47">
        <f t="shared" si="11"/>
        <v>-4.0000000000000008E-2</v>
      </c>
    </row>
    <row r="351" spans="1:9" hidden="1" x14ac:dyDescent="0.35">
      <c r="A351" s="43" t="str">
        <f t="shared" si="10"/>
        <v>ALERTAS PRIORITÁRIOSPolicia 26</v>
      </c>
      <c r="B351" s="37" t="s">
        <v>147</v>
      </c>
      <c r="C351" s="37" t="s">
        <v>304</v>
      </c>
      <c r="D351" s="37">
        <v>6</v>
      </c>
      <c r="E351" s="37" t="s">
        <v>1217</v>
      </c>
      <c r="F351" s="38">
        <v>0.08</v>
      </c>
      <c r="G351" s="39">
        <f>IF(OR(B351="FIXO",B351="XFIXO"),IF(F351="","ERRO",10*F351)*'BD Campos'!$W$2,IF(F351="","ERRO",10*F351)*'BD Campos'!$W$3)</f>
        <v>0.8</v>
      </c>
      <c r="H351" s="46">
        <v>0.05</v>
      </c>
      <c r="I351" s="47">
        <f t="shared" si="11"/>
        <v>-4.0000000000000008E-2</v>
      </c>
    </row>
    <row r="352" spans="1:9" hidden="1" x14ac:dyDescent="0.35">
      <c r="A352" s="43" t="str">
        <f t="shared" si="10"/>
        <v>ALERTAS PRIORITÁRIOSPolicia 27</v>
      </c>
      <c r="B352" s="37" t="s">
        <v>147</v>
      </c>
      <c r="C352" s="37" t="s">
        <v>304</v>
      </c>
      <c r="D352" s="37">
        <v>7</v>
      </c>
      <c r="E352" s="37" t="s">
        <v>1250</v>
      </c>
      <c r="F352" s="38">
        <v>0.08</v>
      </c>
      <c r="G352" s="39">
        <f>IF(OR(B352="FIXO",B352="XFIXO"),IF(F352="","ERRO",10*F352)*'BD Campos'!$W$2,IF(F352="","ERRO",10*F352)*'BD Campos'!$W$3)</f>
        <v>0.8</v>
      </c>
      <c r="H352" s="40">
        <v>0.05</v>
      </c>
      <c r="I352" s="41">
        <f t="shared" si="11"/>
        <v>-4.0000000000000008E-2</v>
      </c>
    </row>
    <row r="353" spans="1:9" hidden="1" x14ac:dyDescent="0.35">
      <c r="A353" s="43" t="str">
        <f t="shared" si="10"/>
        <v>ALERTAS PRIORITÁRIOSPolicia 28</v>
      </c>
      <c r="B353" s="37" t="s">
        <v>147</v>
      </c>
      <c r="C353" s="37" t="s">
        <v>304</v>
      </c>
      <c r="D353" s="37">
        <v>8</v>
      </c>
      <c r="E353" s="37" t="s">
        <v>1251</v>
      </c>
      <c r="F353" s="38">
        <v>0.08</v>
      </c>
      <c r="G353" s="39">
        <f>IF(OR(B353="FIXO",B353="XFIXO"),IF(F353="","ERRO",10*F353)*'BD Campos'!$W$2,IF(F353="","ERRO",10*F353)*'BD Campos'!$W$3)</f>
        <v>0.8</v>
      </c>
      <c r="H353" s="40">
        <v>0.05</v>
      </c>
      <c r="I353" s="41">
        <f t="shared" si="11"/>
        <v>-4.0000000000000008E-2</v>
      </c>
    </row>
    <row r="354" spans="1:9" hidden="1" x14ac:dyDescent="0.35">
      <c r="A354" s="43" t="str">
        <f t="shared" si="10"/>
        <v>ALERTAS PRIORITÁRIOSPolicia 29</v>
      </c>
      <c r="B354" s="37" t="s">
        <v>147</v>
      </c>
      <c r="C354" s="37" t="s">
        <v>304</v>
      </c>
      <c r="D354" s="37">
        <v>9</v>
      </c>
      <c r="E354" s="37" t="s">
        <v>1252</v>
      </c>
      <c r="F354" s="38">
        <v>0.08</v>
      </c>
      <c r="G354" s="39">
        <f>IF(OR(B354="FIXO",B354="XFIXO"),IF(F354="","ERRO",10*F354)*'BD Campos'!$W$2,IF(F354="","ERRO",10*F354)*'BD Campos'!$W$3)</f>
        <v>0.8</v>
      </c>
      <c r="H354" s="40">
        <v>0.05</v>
      </c>
      <c r="I354" s="41">
        <f t="shared" si="11"/>
        <v>-4.0000000000000008E-2</v>
      </c>
    </row>
    <row r="355" spans="1:9" hidden="1" x14ac:dyDescent="0.35">
      <c r="A355" s="43" t="str">
        <f t="shared" si="10"/>
        <v>ALERTAS PRIORITÁRIOSPolicia 210</v>
      </c>
      <c r="B355" s="37" t="s">
        <v>147</v>
      </c>
      <c r="C355" s="37" t="s">
        <v>304</v>
      </c>
      <c r="D355" s="37">
        <v>10</v>
      </c>
      <c r="E355" s="37" t="s">
        <v>1253</v>
      </c>
      <c r="F355" s="38">
        <v>0.08</v>
      </c>
      <c r="G355" s="39">
        <f>IF(OR(B355="FIXO",B355="XFIXO"),IF(F355="","ERRO",10*F355)*'BD Campos'!$W$2,IF(F355="","ERRO",10*F355)*'BD Campos'!$W$3)</f>
        <v>0.8</v>
      </c>
      <c r="H355" s="40">
        <v>0.05</v>
      </c>
      <c r="I355" s="41">
        <f t="shared" si="11"/>
        <v>-4.0000000000000008E-2</v>
      </c>
    </row>
    <row r="356" spans="1:9" hidden="1" x14ac:dyDescent="0.35">
      <c r="A356" s="43" t="str">
        <f t="shared" si="10"/>
        <v>ALERTAS PRIORITÁRIOSPolicia 211</v>
      </c>
      <c r="B356" s="37" t="s">
        <v>147</v>
      </c>
      <c r="C356" s="37" t="s">
        <v>304</v>
      </c>
      <c r="D356" s="37">
        <v>11</v>
      </c>
      <c r="E356" s="37" t="s">
        <v>1254</v>
      </c>
      <c r="F356" s="38">
        <v>0.1</v>
      </c>
      <c r="G356" s="39">
        <f>IF(OR(B356="FIXO",B356="XFIXO"),IF(F356="","ERRO",10*F356)*'BD Campos'!$W$2,IF(F356="","ERRO",10*F356)*'BD Campos'!$W$3)</f>
        <v>1</v>
      </c>
      <c r="H356" s="40">
        <v>0.05</v>
      </c>
      <c r="I356" s="41">
        <f t="shared" si="11"/>
        <v>-0.05</v>
      </c>
    </row>
    <row r="357" spans="1:9" hidden="1" x14ac:dyDescent="0.35">
      <c r="A357" s="43" t="str">
        <f t="shared" si="10"/>
        <v>ALERTAS PRIORITÁRIOSPolicia 212</v>
      </c>
      <c r="B357" s="37" t="s">
        <v>147</v>
      </c>
      <c r="C357" s="37" t="s">
        <v>304</v>
      </c>
      <c r="D357" s="37">
        <v>12</v>
      </c>
      <c r="E357" s="37" t="s">
        <v>1255</v>
      </c>
      <c r="F357" s="38">
        <v>0.1</v>
      </c>
      <c r="G357" s="39">
        <f>IF(OR(B357="FIXO",B357="XFIXO"),IF(F357="","ERRO",10*F357)*'BD Campos'!$W$2,IF(F357="","ERRO",10*F357)*'BD Campos'!$W$3)</f>
        <v>1</v>
      </c>
      <c r="H357" s="40">
        <v>0.05</v>
      </c>
      <c r="I357" s="41">
        <f t="shared" si="11"/>
        <v>-0.05</v>
      </c>
    </row>
    <row r="358" spans="1:9" hidden="1" x14ac:dyDescent="0.35">
      <c r="A358" s="43" t="str">
        <f t="shared" si="10"/>
        <v>ROUBOPolicia 21</v>
      </c>
      <c r="B358" s="37" t="s">
        <v>302</v>
      </c>
      <c r="C358" s="37" t="s">
        <v>304</v>
      </c>
      <c r="D358" s="37">
        <v>1</v>
      </c>
      <c r="E358" s="37" t="s">
        <v>1212</v>
      </c>
      <c r="F358" s="38">
        <v>0.08</v>
      </c>
      <c r="G358" s="39">
        <f>IF(OR(B358="FIXO",B358="XFIXO"),IF(F358="","ERRO",10*F358)*'BD Campos'!$W$2,IF(F358="","ERRO",10*F358)*'BD Campos'!$W$3)</f>
        <v>0.8</v>
      </c>
      <c r="H358" s="46">
        <v>0.05</v>
      </c>
      <c r="I358" s="47">
        <f t="shared" si="11"/>
        <v>-4.0000000000000008E-2</v>
      </c>
    </row>
    <row r="359" spans="1:9" hidden="1" x14ac:dyDescent="0.35">
      <c r="A359" s="43" t="str">
        <f t="shared" si="10"/>
        <v>ROUBOPolicia 22</v>
      </c>
      <c r="B359" s="37" t="s">
        <v>302</v>
      </c>
      <c r="C359" s="37" t="s">
        <v>304</v>
      </c>
      <c r="D359" s="37">
        <v>2</v>
      </c>
      <c r="E359" s="37" t="s">
        <v>1213</v>
      </c>
      <c r="F359" s="38">
        <v>0.08</v>
      </c>
      <c r="G359" s="39">
        <f>IF(OR(B359="FIXO",B359="XFIXO"),IF(F359="","ERRO",10*F359)*'BD Campos'!$W$2,IF(F359="","ERRO",10*F359)*'BD Campos'!$W$3)</f>
        <v>0.8</v>
      </c>
      <c r="H359" s="46">
        <v>0.05</v>
      </c>
      <c r="I359" s="47">
        <f t="shared" si="11"/>
        <v>-4.0000000000000008E-2</v>
      </c>
    </row>
    <row r="360" spans="1:9" hidden="1" x14ac:dyDescent="0.35">
      <c r="A360" s="43" t="str">
        <f t="shared" si="10"/>
        <v>ROUBOPolicia 23</v>
      </c>
      <c r="B360" s="37" t="s">
        <v>302</v>
      </c>
      <c r="C360" s="37" t="s">
        <v>304</v>
      </c>
      <c r="D360" s="37">
        <v>3</v>
      </c>
      <c r="E360" s="37" t="s">
        <v>1214</v>
      </c>
      <c r="F360" s="38">
        <v>0.08</v>
      </c>
      <c r="G360" s="39">
        <f>IF(OR(B360="FIXO",B360="XFIXO"),IF(F360="","ERRO",10*F360)*'BD Campos'!$W$2,IF(F360="","ERRO",10*F360)*'BD Campos'!$W$3)</f>
        <v>0.8</v>
      </c>
      <c r="H360" s="46">
        <v>0.05</v>
      </c>
      <c r="I360" s="47">
        <f t="shared" si="11"/>
        <v>-4.0000000000000008E-2</v>
      </c>
    </row>
    <row r="361" spans="1:9" hidden="1" x14ac:dyDescent="0.35">
      <c r="A361" s="43" t="str">
        <f t="shared" si="10"/>
        <v>ROUBOPolicia 24</v>
      </c>
      <c r="B361" s="37" t="s">
        <v>302</v>
      </c>
      <c r="C361" s="37" t="s">
        <v>304</v>
      </c>
      <c r="D361" s="37">
        <v>4</v>
      </c>
      <c r="E361" s="37" t="s">
        <v>1215</v>
      </c>
      <c r="F361" s="38">
        <v>0.08</v>
      </c>
      <c r="G361" s="39">
        <f>IF(OR(B361="FIXO",B361="XFIXO"),IF(F361="","ERRO",10*F361)*'BD Campos'!$W$2,IF(F361="","ERRO",10*F361)*'BD Campos'!$W$3)</f>
        <v>0.8</v>
      </c>
      <c r="H361" s="46">
        <v>0.05</v>
      </c>
      <c r="I361" s="47">
        <f t="shared" si="11"/>
        <v>-4.0000000000000008E-2</v>
      </c>
    </row>
    <row r="362" spans="1:9" hidden="1" x14ac:dyDescent="0.35">
      <c r="A362" s="43" t="str">
        <f t="shared" si="10"/>
        <v>ROUBOPolicia 25</v>
      </c>
      <c r="B362" s="37" t="s">
        <v>302</v>
      </c>
      <c r="C362" s="37" t="s">
        <v>304</v>
      </c>
      <c r="D362" s="37">
        <v>5</v>
      </c>
      <c r="E362" s="37" t="s">
        <v>1216</v>
      </c>
      <c r="F362" s="38">
        <v>0.08</v>
      </c>
      <c r="G362" s="39">
        <f>IF(OR(B362="FIXO",B362="XFIXO"),IF(F362="","ERRO",10*F362)*'BD Campos'!$W$2,IF(F362="","ERRO",10*F362)*'BD Campos'!$W$3)</f>
        <v>0.8</v>
      </c>
      <c r="H362" s="46">
        <v>0.05</v>
      </c>
      <c r="I362" s="47">
        <f t="shared" si="11"/>
        <v>-4.0000000000000008E-2</v>
      </c>
    </row>
    <row r="363" spans="1:9" hidden="1" x14ac:dyDescent="0.35">
      <c r="A363" s="43" t="str">
        <f t="shared" si="10"/>
        <v>ROUBOPolicia 26</v>
      </c>
      <c r="B363" s="37" t="s">
        <v>302</v>
      </c>
      <c r="C363" s="37" t="s">
        <v>304</v>
      </c>
      <c r="D363" s="37">
        <v>6</v>
      </c>
      <c r="E363" s="37" t="s">
        <v>1217</v>
      </c>
      <c r="F363" s="38">
        <v>0.08</v>
      </c>
      <c r="G363" s="39">
        <f>IF(OR(B363="FIXO",B363="XFIXO"),IF(F363="","ERRO",10*F363)*'BD Campos'!$W$2,IF(F363="","ERRO",10*F363)*'BD Campos'!$W$3)</f>
        <v>0.8</v>
      </c>
      <c r="H363" s="46">
        <v>0.05</v>
      </c>
      <c r="I363" s="47">
        <f t="shared" si="11"/>
        <v>-4.0000000000000008E-2</v>
      </c>
    </row>
    <row r="364" spans="1:9" hidden="1" x14ac:dyDescent="0.35">
      <c r="A364" s="43" t="str">
        <f t="shared" si="10"/>
        <v>ROUBOPolicia 27</v>
      </c>
      <c r="B364" s="37" t="s">
        <v>302</v>
      </c>
      <c r="C364" s="37" t="s">
        <v>304</v>
      </c>
      <c r="D364" s="37">
        <v>7</v>
      </c>
      <c r="E364" s="37" t="s">
        <v>1250</v>
      </c>
      <c r="F364" s="38">
        <v>0.08</v>
      </c>
      <c r="G364" s="39">
        <f>IF(OR(B364="FIXO",B364="XFIXO"),IF(F364="","ERRO",10*F364)*'BD Campos'!$W$2,IF(F364="","ERRO",10*F364)*'BD Campos'!$W$3)</f>
        <v>0.8</v>
      </c>
      <c r="H364" s="40">
        <v>0.05</v>
      </c>
      <c r="I364" s="41">
        <f t="shared" si="11"/>
        <v>-4.0000000000000008E-2</v>
      </c>
    </row>
    <row r="365" spans="1:9" hidden="1" x14ac:dyDescent="0.35">
      <c r="A365" s="43" t="str">
        <f t="shared" si="10"/>
        <v>ROUBOPolicia 28</v>
      </c>
      <c r="B365" s="37" t="s">
        <v>302</v>
      </c>
      <c r="C365" s="37" t="s">
        <v>304</v>
      </c>
      <c r="D365" s="37">
        <v>8</v>
      </c>
      <c r="E365" s="37" t="s">
        <v>1256</v>
      </c>
      <c r="F365" s="38">
        <v>0.08</v>
      </c>
      <c r="G365" s="39">
        <f>IF(OR(B365="FIXO",B365="XFIXO"),IF(F365="","ERRO",10*F365)*'BD Campos'!$W$2,IF(F365="","ERRO",10*F365)*'BD Campos'!$W$3)</f>
        <v>0.8</v>
      </c>
      <c r="H365" s="40">
        <v>0.05</v>
      </c>
      <c r="I365" s="41">
        <f t="shared" si="11"/>
        <v>-4.0000000000000008E-2</v>
      </c>
    </row>
    <row r="366" spans="1:9" hidden="1" x14ac:dyDescent="0.35">
      <c r="A366" s="43" t="str">
        <f t="shared" si="10"/>
        <v>ROUBOPolicia 29</v>
      </c>
      <c r="B366" s="37" t="s">
        <v>302</v>
      </c>
      <c r="C366" s="37" t="s">
        <v>304</v>
      </c>
      <c r="D366" s="37">
        <v>9</v>
      </c>
      <c r="E366" s="37" t="s">
        <v>1252</v>
      </c>
      <c r="F366" s="38">
        <v>0.08</v>
      </c>
      <c r="G366" s="39">
        <f>IF(OR(B366="FIXO",B366="XFIXO"),IF(F366="","ERRO",10*F366)*'BD Campos'!$W$2,IF(F366="","ERRO",10*F366)*'BD Campos'!$W$3)</f>
        <v>0.8</v>
      </c>
      <c r="H366" s="40">
        <v>0.05</v>
      </c>
      <c r="I366" s="41">
        <f t="shared" si="11"/>
        <v>-4.0000000000000008E-2</v>
      </c>
    </row>
    <row r="367" spans="1:9" hidden="1" x14ac:dyDescent="0.35">
      <c r="A367" s="43" t="str">
        <f t="shared" si="10"/>
        <v>ROUBOPolicia 210</v>
      </c>
      <c r="B367" s="37" t="s">
        <v>302</v>
      </c>
      <c r="C367" s="37" t="s">
        <v>304</v>
      </c>
      <c r="D367" s="37">
        <v>10</v>
      </c>
      <c r="E367" s="37" t="s">
        <v>1253</v>
      </c>
      <c r="F367" s="38">
        <v>0.08</v>
      </c>
      <c r="G367" s="39">
        <f>IF(OR(B367="FIXO",B367="XFIXO"),IF(F367="","ERRO",10*F367)*'BD Campos'!$W$2,IF(F367="","ERRO",10*F367)*'BD Campos'!$W$3)</f>
        <v>0.8</v>
      </c>
      <c r="H367" s="40">
        <v>0.05</v>
      </c>
      <c r="I367" s="41">
        <f t="shared" si="11"/>
        <v>-4.0000000000000008E-2</v>
      </c>
    </row>
    <row r="368" spans="1:9" hidden="1" x14ac:dyDescent="0.35">
      <c r="A368" s="43" t="str">
        <f t="shared" si="10"/>
        <v>ROUBOPolicia 211</v>
      </c>
      <c r="B368" s="37" t="s">
        <v>302</v>
      </c>
      <c r="C368" s="37" t="s">
        <v>304</v>
      </c>
      <c r="D368" s="37">
        <v>11</v>
      </c>
      <c r="E368" s="37" t="s">
        <v>1254</v>
      </c>
      <c r="F368" s="38">
        <v>0.1</v>
      </c>
      <c r="G368" s="39">
        <f>IF(OR(B368="FIXO",B368="XFIXO"),IF(F368="","ERRO",10*F368)*'BD Campos'!$W$2,IF(F368="","ERRO",10*F368)*'BD Campos'!$W$3)</f>
        <v>1</v>
      </c>
      <c r="H368" s="40">
        <v>0.05</v>
      </c>
      <c r="I368" s="41">
        <f t="shared" si="11"/>
        <v>-0.05</v>
      </c>
    </row>
    <row r="369" spans="1:9" hidden="1" x14ac:dyDescent="0.35">
      <c r="A369" s="43" t="str">
        <f t="shared" si="10"/>
        <v>ROUBOPolicia 212</v>
      </c>
      <c r="B369" s="37" t="s">
        <v>302</v>
      </c>
      <c r="C369" s="37" t="s">
        <v>304</v>
      </c>
      <c r="D369" s="37">
        <v>12</v>
      </c>
      <c r="E369" s="37" t="s">
        <v>1255</v>
      </c>
      <c r="F369" s="38">
        <v>0.1</v>
      </c>
      <c r="G369" s="39">
        <f>IF(OR(B369="FIXO",B369="XFIXO"),IF(F369="","ERRO",10*F369)*'BD Campos'!$W$2,IF(F369="","ERRO",10*F369)*'BD Campos'!$W$3)</f>
        <v>1</v>
      </c>
      <c r="H369" s="40">
        <v>0.05</v>
      </c>
      <c r="I369" s="41">
        <f t="shared" si="11"/>
        <v>-0.05</v>
      </c>
    </row>
    <row r="370" spans="1:9" hidden="1" x14ac:dyDescent="0.35">
      <c r="A370" s="43" t="str">
        <f t="shared" si="10"/>
        <v>DEVOLUÇÃOCliente1</v>
      </c>
      <c r="B370" s="37" t="s">
        <v>195</v>
      </c>
      <c r="C370" s="37" t="s">
        <v>124</v>
      </c>
      <c r="D370" s="37">
        <v>1</v>
      </c>
      <c r="E370" s="37" t="s">
        <v>1212</v>
      </c>
      <c r="F370" s="38">
        <v>0.08</v>
      </c>
      <c r="G370" s="39">
        <f>IF(OR(B370="FIXO",B370="XFIXO"),IF(F370="","ERRO",10*F370)*'BD Campos'!$W$2,IF(F370="","ERRO",10*F370)*'BD Campos'!$W$3)</f>
        <v>0.8</v>
      </c>
      <c r="H370" s="40">
        <v>0.05</v>
      </c>
      <c r="I370" s="41">
        <f t="shared" si="11"/>
        <v>-4.0000000000000008E-2</v>
      </c>
    </row>
    <row r="371" spans="1:9" hidden="1" x14ac:dyDescent="0.35">
      <c r="A371" s="43" t="str">
        <f t="shared" si="10"/>
        <v>DEVOLUÇÃOCliente2</v>
      </c>
      <c r="B371" s="37" t="s">
        <v>195</v>
      </c>
      <c r="C371" s="37" t="s">
        <v>124</v>
      </c>
      <c r="D371" s="37">
        <v>2</v>
      </c>
      <c r="E371" s="37" t="s">
        <v>1257</v>
      </c>
      <c r="F371" s="38">
        <v>0.08</v>
      </c>
      <c r="G371" s="39">
        <f>IF(OR(B371="FIXO",B371="XFIXO"),IF(F371="","ERRO",10*F371)*'BD Campos'!$W$2,IF(F371="","ERRO",10*F371)*'BD Campos'!$W$3)</f>
        <v>0.8</v>
      </c>
      <c r="H371" s="40">
        <v>0.05</v>
      </c>
      <c r="I371" s="41">
        <f t="shared" si="11"/>
        <v>-4.0000000000000008E-2</v>
      </c>
    </row>
    <row r="372" spans="1:9" hidden="1" x14ac:dyDescent="0.35">
      <c r="A372" s="43" t="str">
        <f t="shared" si="10"/>
        <v>DEVOLUÇÃOCliente3</v>
      </c>
      <c r="B372" s="37" t="s">
        <v>195</v>
      </c>
      <c r="C372" s="37" t="s">
        <v>124</v>
      </c>
      <c r="D372" s="37">
        <v>3</v>
      </c>
      <c r="E372" s="37" t="s">
        <v>1258</v>
      </c>
      <c r="F372" s="38">
        <v>0.08</v>
      </c>
      <c r="G372" s="39">
        <f>IF(OR(B372="FIXO",B372="XFIXO"),IF(F372="","ERRO",10*F372)*'BD Campos'!$W$2,IF(F372="","ERRO",10*F372)*'BD Campos'!$W$3)</f>
        <v>0.8</v>
      </c>
      <c r="H372" s="40">
        <v>0.05</v>
      </c>
      <c r="I372" s="41">
        <f t="shared" si="11"/>
        <v>-4.0000000000000008E-2</v>
      </c>
    </row>
    <row r="373" spans="1:9" hidden="1" x14ac:dyDescent="0.35">
      <c r="A373" s="43" t="str">
        <f t="shared" si="10"/>
        <v>DEVOLUÇÃOCliente4</v>
      </c>
      <c r="B373" s="37" t="s">
        <v>195</v>
      </c>
      <c r="C373" s="37" t="s">
        <v>124</v>
      </c>
      <c r="D373" s="37">
        <v>4</v>
      </c>
      <c r="E373" s="37" t="s">
        <v>1259</v>
      </c>
      <c r="F373" s="38">
        <v>0.08</v>
      </c>
      <c r="G373" s="39">
        <f>IF(OR(B373="FIXO",B373="XFIXO"),IF(F373="","ERRO",10*F373)*'BD Campos'!$W$2,IF(F373="","ERRO",10*F373)*'BD Campos'!$W$3)</f>
        <v>0.8</v>
      </c>
      <c r="H373" s="40">
        <v>0.05</v>
      </c>
      <c r="I373" s="41">
        <f t="shared" si="11"/>
        <v>-4.0000000000000008E-2</v>
      </c>
    </row>
    <row r="374" spans="1:9" hidden="1" x14ac:dyDescent="0.35">
      <c r="A374" s="43" t="str">
        <f t="shared" si="10"/>
        <v>DEVOLUÇÃOCliente5</v>
      </c>
      <c r="B374" s="37" t="s">
        <v>195</v>
      </c>
      <c r="C374" s="37" t="s">
        <v>124</v>
      </c>
      <c r="D374" s="37">
        <v>5</v>
      </c>
      <c r="E374" s="37" t="s">
        <v>1215</v>
      </c>
      <c r="F374" s="38">
        <v>0.08</v>
      </c>
      <c r="G374" s="39">
        <f>IF(OR(B374="FIXO",B374="XFIXO"),IF(F374="","ERRO",10*F374)*'BD Campos'!$W$2,IF(F374="","ERRO",10*F374)*'BD Campos'!$W$3)</f>
        <v>0.8</v>
      </c>
      <c r="H374" s="40">
        <v>0.05</v>
      </c>
      <c r="I374" s="41">
        <f t="shared" si="11"/>
        <v>-4.0000000000000008E-2</v>
      </c>
    </row>
    <row r="375" spans="1:9" hidden="1" x14ac:dyDescent="0.35">
      <c r="A375" s="43" t="str">
        <f t="shared" si="10"/>
        <v>DEVOLUÇÃOCliente6</v>
      </c>
      <c r="B375" s="37" t="s">
        <v>195</v>
      </c>
      <c r="C375" s="37" t="s">
        <v>124</v>
      </c>
      <c r="D375" s="37">
        <v>6</v>
      </c>
      <c r="E375" s="37" t="s">
        <v>1216</v>
      </c>
      <c r="F375" s="38">
        <v>0.05</v>
      </c>
      <c r="G375" s="39">
        <f>IF(OR(B375="FIXO",B375="XFIXO"),IF(F375="","ERRO",10*F375)*'BD Campos'!$W$2,IF(F375="","ERRO",10*F375)*'BD Campos'!$W$3)</f>
        <v>0.5</v>
      </c>
      <c r="H375" s="40">
        <v>0.05</v>
      </c>
      <c r="I375" s="41">
        <f t="shared" si="11"/>
        <v>-2.5000000000000001E-2</v>
      </c>
    </row>
    <row r="376" spans="1:9" hidden="1" x14ac:dyDescent="0.35">
      <c r="A376" s="43" t="str">
        <f t="shared" si="10"/>
        <v>DEVOLUÇÃOCliente7</v>
      </c>
      <c r="B376" s="37" t="s">
        <v>195</v>
      </c>
      <c r="C376" s="37" t="s">
        <v>124</v>
      </c>
      <c r="D376" s="37">
        <v>7</v>
      </c>
      <c r="E376" s="37" t="s">
        <v>1260</v>
      </c>
      <c r="F376" s="38">
        <v>0.05</v>
      </c>
      <c r="G376" s="39">
        <f>IF(OR(B376="FIXO",B376="XFIXO"),IF(F376="","ERRO",10*F376)*'BD Campos'!$W$2,IF(F376="","ERRO",10*F376)*'BD Campos'!$W$3)</f>
        <v>0.5</v>
      </c>
      <c r="H376" s="40">
        <v>0.05</v>
      </c>
      <c r="I376" s="41">
        <f t="shared" si="11"/>
        <v>-2.5000000000000001E-2</v>
      </c>
    </row>
    <row r="377" spans="1:9" hidden="1" x14ac:dyDescent="0.35">
      <c r="A377" s="43" t="str">
        <f t="shared" si="10"/>
        <v>DEVOLUÇÃOCliente8</v>
      </c>
      <c r="B377" s="37" t="s">
        <v>195</v>
      </c>
      <c r="C377" s="37" t="s">
        <v>124</v>
      </c>
      <c r="D377" s="37">
        <v>8</v>
      </c>
      <c r="E377" s="37" t="s">
        <v>1261</v>
      </c>
      <c r="F377" s="38">
        <v>0.1</v>
      </c>
      <c r="G377" s="39">
        <f>IF(OR(B377="FIXO",B377="XFIXO"),IF(F377="","ERRO",10*F377)*'BD Campos'!$W$2,IF(F377="","ERRO",10*F377)*'BD Campos'!$W$3)</f>
        <v>1</v>
      </c>
      <c r="H377" s="40">
        <v>0.05</v>
      </c>
      <c r="I377" s="41">
        <f t="shared" si="11"/>
        <v>-0.05</v>
      </c>
    </row>
    <row r="378" spans="1:9" hidden="1" x14ac:dyDescent="0.35">
      <c r="A378" s="43" t="str">
        <f t="shared" si="10"/>
        <v>DEVOLUÇÃOCliente9</v>
      </c>
      <c r="B378" s="37" t="s">
        <v>195</v>
      </c>
      <c r="C378" s="37" t="s">
        <v>124</v>
      </c>
      <c r="D378" s="37">
        <v>9</v>
      </c>
      <c r="E378" s="37" t="s">
        <v>1262</v>
      </c>
      <c r="F378" s="38">
        <v>0.1</v>
      </c>
      <c r="G378" s="39">
        <f>IF(OR(B378="FIXO",B378="XFIXO"),IF(F378="","ERRO",10*F378)*'BD Campos'!$W$2,IF(F378="","ERRO",10*F378)*'BD Campos'!$W$3)</f>
        <v>1</v>
      </c>
      <c r="H378" s="40">
        <v>0.05</v>
      </c>
      <c r="I378" s="41">
        <f t="shared" si="11"/>
        <v>-0.05</v>
      </c>
    </row>
    <row r="379" spans="1:9" hidden="1" x14ac:dyDescent="0.35">
      <c r="A379" s="43" t="str">
        <f t="shared" si="10"/>
        <v>DEVOLUÇÃOCliente10</v>
      </c>
      <c r="B379" s="37" t="s">
        <v>195</v>
      </c>
      <c r="C379" s="37" t="s">
        <v>124</v>
      </c>
      <c r="D379" s="37">
        <v>10</v>
      </c>
      <c r="E379" s="37" t="s">
        <v>1263</v>
      </c>
      <c r="F379" s="38">
        <v>0.1</v>
      </c>
      <c r="G379" s="39">
        <f>IF(OR(B379="FIXO",B379="XFIXO"),IF(F379="","ERRO",10*F379)*'BD Campos'!$W$2,IF(F379="","ERRO",10*F379)*'BD Campos'!$W$3)</f>
        <v>1</v>
      </c>
      <c r="H379" s="40">
        <v>0.05</v>
      </c>
      <c r="I379" s="41">
        <f t="shared" si="11"/>
        <v>-0.05</v>
      </c>
    </row>
    <row r="380" spans="1:9" hidden="1" x14ac:dyDescent="0.35">
      <c r="A380" s="43" t="str">
        <f t="shared" si="10"/>
        <v>DEVOLUÇÃOCliente11</v>
      </c>
      <c r="B380" s="37" t="s">
        <v>195</v>
      </c>
      <c r="C380" s="37" t="s">
        <v>124</v>
      </c>
      <c r="D380" s="37">
        <v>11</v>
      </c>
      <c r="E380" s="37" t="s">
        <v>1217</v>
      </c>
      <c r="F380" s="38">
        <v>0.1</v>
      </c>
      <c r="G380" s="39">
        <f>IF(OR(B380="FIXO",B380="XFIXO"),IF(F380="","ERRO",10*F380)*'BD Campos'!$W$2,IF(F380="","ERRO",10*F380)*'BD Campos'!$W$3)</f>
        <v>1</v>
      </c>
      <c r="H380" s="40">
        <v>0.05</v>
      </c>
      <c r="I380" s="41">
        <f>H380*G380*-1</f>
        <v>-0.05</v>
      </c>
    </row>
    <row r="381" spans="1:9" hidden="1" x14ac:dyDescent="0.35">
      <c r="A381" s="43" t="str">
        <f t="shared" si="10"/>
        <v>DEVOLUÇÃOCliente12</v>
      </c>
      <c r="B381" s="37" t="s">
        <v>195</v>
      </c>
      <c r="C381" s="37" t="s">
        <v>124</v>
      </c>
      <c r="D381" s="37">
        <v>12</v>
      </c>
      <c r="E381" s="37" t="s">
        <v>1264</v>
      </c>
      <c r="F381" s="38">
        <v>0.1</v>
      </c>
      <c r="G381" s="39">
        <f>IF(OR(B381="FIXO",B381="XFIXO"),IF(F381="","ERRO",10*F381)*'BD Campos'!$W$2,IF(F381="","ERRO",10*F381)*'BD Campos'!$W$3)</f>
        <v>1</v>
      </c>
      <c r="H381" s="40">
        <v>0.05</v>
      </c>
      <c r="I381" s="41">
        <f t="shared" si="11"/>
        <v>-0.05</v>
      </c>
    </row>
    <row r="382" spans="1:9" hidden="1" x14ac:dyDescent="0.35">
      <c r="A382" s="43" t="str">
        <f t="shared" si="10"/>
        <v>DEVOLUÇÃOCliente 21</v>
      </c>
      <c r="B382" s="37" t="s">
        <v>195</v>
      </c>
      <c r="C382" s="37" t="s">
        <v>185</v>
      </c>
      <c r="D382" s="37">
        <v>1</v>
      </c>
      <c r="E382" s="37" t="s">
        <v>1212</v>
      </c>
      <c r="F382" s="38">
        <v>0.08</v>
      </c>
      <c r="G382" s="39">
        <f>IF(OR(B382="FIXO",B382="XFIXO"),IF(F382="","ERRO",10*F382)*'BD Campos'!$W$2,IF(F382="","ERRO",10*F382)*'BD Campos'!$W$3)</f>
        <v>0.8</v>
      </c>
      <c r="H382" s="40">
        <v>0.05</v>
      </c>
      <c r="I382" s="41">
        <f t="shared" si="11"/>
        <v>-4.0000000000000008E-2</v>
      </c>
    </row>
    <row r="383" spans="1:9" hidden="1" x14ac:dyDescent="0.35">
      <c r="A383" s="43" t="str">
        <f t="shared" si="10"/>
        <v>DEVOLUÇÃOCliente 22</v>
      </c>
      <c r="B383" s="37" t="s">
        <v>195</v>
      </c>
      <c r="C383" s="37" t="s">
        <v>185</v>
      </c>
      <c r="D383" s="37">
        <v>2</v>
      </c>
      <c r="E383" s="37" t="s">
        <v>1257</v>
      </c>
      <c r="F383" s="38">
        <v>0.08</v>
      </c>
      <c r="G383" s="39">
        <f>IF(OR(B383="FIXO",B383="XFIXO"),IF(F383="","ERRO",10*F383)*'BD Campos'!$W$2,IF(F383="","ERRO",10*F383)*'BD Campos'!$W$3)</f>
        <v>0.8</v>
      </c>
      <c r="H383" s="40">
        <v>0.05</v>
      </c>
      <c r="I383" s="41">
        <f t="shared" si="11"/>
        <v>-4.0000000000000008E-2</v>
      </c>
    </row>
    <row r="384" spans="1:9" hidden="1" x14ac:dyDescent="0.35">
      <c r="A384" s="43" t="str">
        <f t="shared" si="10"/>
        <v>DEVOLUÇÃOCliente 23</v>
      </c>
      <c r="B384" s="37" t="s">
        <v>195</v>
      </c>
      <c r="C384" s="37" t="s">
        <v>185</v>
      </c>
      <c r="D384" s="37">
        <v>3</v>
      </c>
      <c r="E384" s="37" t="s">
        <v>1265</v>
      </c>
      <c r="F384" s="38">
        <v>0.08</v>
      </c>
      <c r="G384" s="39">
        <f>IF(OR(B384="FIXO",B384="XFIXO"),IF(F384="","ERRO",10*F384)*'BD Campos'!$W$2,IF(F384="","ERRO",10*F384)*'BD Campos'!$W$3)</f>
        <v>0.8</v>
      </c>
      <c r="H384" s="40">
        <v>0.05</v>
      </c>
      <c r="I384" s="41">
        <f t="shared" si="11"/>
        <v>-4.0000000000000008E-2</v>
      </c>
    </row>
    <row r="385" spans="1:9" hidden="1" x14ac:dyDescent="0.35">
      <c r="A385" s="43" t="str">
        <f t="shared" si="10"/>
        <v>DEVOLUÇÃOCliente 24</v>
      </c>
      <c r="B385" s="37" t="s">
        <v>195</v>
      </c>
      <c r="C385" s="37" t="s">
        <v>185</v>
      </c>
      <c r="D385" s="37">
        <v>4</v>
      </c>
      <c r="E385" s="37" t="s">
        <v>1259</v>
      </c>
      <c r="F385" s="38">
        <v>0.08</v>
      </c>
      <c r="G385" s="39">
        <f>IF(OR(B385="FIXO",B385="XFIXO"),IF(F385="","ERRO",10*F385)*'BD Campos'!$W$2,IF(F385="","ERRO",10*F385)*'BD Campos'!$W$3)</f>
        <v>0.8</v>
      </c>
      <c r="H385" s="40">
        <v>0.05</v>
      </c>
      <c r="I385" s="41">
        <f t="shared" si="11"/>
        <v>-4.0000000000000008E-2</v>
      </c>
    </row>
    <row r="386" spans="1:9" hidden="1" x14ac:dyDescent="0.35">
      <c r="A386" s="43" t="str">
        <f t="shared" si="10"/>
        <v>DEVOLUÇÃOCliente 25</v>
      </c>
      <c r="B386" s="37" t="s">
        <v>195</v>
      </c>
      <c r="C386" s="37" t="s">
        <v>185</v>
      </c>
      <c r="D386" s="37">
        <v>5</v>
      </c>
      <c r="E386" s="37" t="s">
        <v>1215</v>
      </c>
      <c r="F386" s="38">
        <v>0.08</v>
      </c>
      <c r="G386" s="39">
        <f>IF(OR(B386="FIXO",B386="XFIXO"),IF(F386="","ERRO",10*F386)*'BD Campos'!$W$2,IF(F386="","ERRO",10*F386)*'BD Campos'!$W$3)</f>
        <v>0.8</v>
      </c>
      <c r="H386" s="40">
        <v>0.05</v>
      </c>
      <c r="I386" s="41">
        <f t="shared" si="11"/>
        <v>-4.0000000000000008E-2</v>
      </c>
    </row>
    <row r="387" spans="1:9" hidden="1" x14ac:dyDescent="0.35">
      <c r="A387" s="43" t="str">
        <f t="shared" ref="A387:A393" si="12">B387&amp;C387&amp;D387</f>
        <v>DEVOLUÇÃOCliente 26</v>
      </c>
      <c r="B387" s="37" t="s">
        <v>195</v>
      </c>
      <c r="C387" s="37" t="s">
        <v>185</v>
      </c>
      <c r="D387" s="37">
        <v>6</v>
      </c>
      <c r="E387" s="37" t="s">
        <v>1216</v>
      </c>
      <c r="F387" s="38">
        <v>0.05</v>
      </c>
      <c r="G387" s="39">
        <f>IF(OR(B387="FIXO",B387="XFIXO"),IF(F387="","ERRO",10*F387)*'BD Campos'!$W$2,IF(F387="","ERRO",10*F387)*'BD Campos'!$W$3)</f>
        <v>0.5</v>
      </c>
      <c r="H387" s="40">
        <v>0.05</v>
      </c>
      <c r="I387" s="41">
        <f t="shared" ref="I387:I449" si="13">H387*G387*-1</f>
        <v>-2.5000000000000001E-2</v>
      </c>
    </row>
    <row r="388" spans="1:9" hidden="1" x14ac:dyDescent="0.35">
      <c r="A388" s="43" t="str">
        <f t="shared" si="12"/>
        <v>DEVOLUÇÃOCliente 27</v>
      </c>
      <c r="B388" s="37" t="s">
        <v>195</v>
      </c>
      <c r="C388" s="37" t="s">
        <v>185</v>
      </c>
      <c r="D388" s="37">
        <v>7</v>
      </c>
      <c r="E388" s="37" t="s">
        <v>1260</v>
      </c>
      <c r="F388" s="38">
        <v>0.05</v>
      </c>
      <c r="G388" s="39">
        <f>IF(OR(B388="FIXO",B388="XFIXO"),IF(F388="","ERRO",10*F388)*'BD Campos'!$W$2,IF(F388="","ERRO",10*F388)*'BD Campos'!$W$3)</f>
        <v>0.5</v>
      </c>
      <c r="H388" s="40">
        <v>0.05</v>
      </c>
      <c r="I388" s="41">
        <f t="shared" si="13"/>
        <v>-2.5000000000000001E-2</v>
      </c>
    </row>
    <row r="389" spans="1:9" hidden="1" x14ac:dyDescent="0.35">
      <c r="A389" s="43" t="str">
        <f t="shared" si="12"/>
        <v>DEVOLUÇÃOCliente 28</v>
      </c>
      <c r="B389" s="37" t="s">
        <v>195</v>
      </c>
      <c r="C389" s="37" t="s">
        <v>185</v>
      </c>
      <c r="D389" s="37">
        <v>8</v>
      </c>
      <c r="E389" s="37" t="s">
        <v>1261</v>
      </c>
      <c r="F389" s="38">
        <v>0.1</v>
      </c>
      <c r="G389" s="39">
        <f>IF(OR(B389="FIXO",B389="XFIXO"),IF(F389="","ERRO",10*F389)*'BD Campos'!$W$2,IF(F389="","ERRO",10*F389)*'BD Campos'!$W$3)</f>
        <v>1</v>
      </c>
      <c r="H389" s="40">
        <v>0.05</v>
      </c>
      <c r="I389" s="41">
        <f t="shared" si="13"/>
        <v>-0.05</v>
      </c>
    </row>
    <row r="390" spans="1:9" hidden="1" x14ac:dyDescent="0.35">
      <c r="A390" s="43" t="str">
        <f t="shared" si="12"/>
        <v>DEVOLUÇÃOCliente 29</v>
      </c>
      <c r="B390" s="37" t="s">
        <v>195</v>
      </c>
      <c r="C390" s="37" t="s">
        <v>185</v>
      </c>
      <c r="D390" s="37">
        <v>9</v>
      </c>
      <c r="E390" s="37" t="s">
        <v>1262</v>
      </c>
      <c r="F390" s="38">
        <v>0.1</v>
      </c>
      <c r="G390" s="39">
        <f>IF(OR(B390="FIXO",B390="XFIXO"),IF(F390="","ERRO",10*F390)*'BD Campos'!$W$2,IF(F390="","ERRO",10*F390)*'BD Campos'!$W$3)</f>
        <v>1</v>
      </c>
      <c r="H390" s="40">
        <v>0.05</v>
      </c>
      <c r="I390" s="41">
        <f t="shared" si="13"/>
        <v>-0.05</v>
      </c>
    </row>
    <row r="391" spans="1:9" hidden="1" x14ac:dyDescent="0.35">
      <c r="A391" s="43" t="str">
        <f t="shared" si="12"/>
        <v>DEVOLUÇÃOCliente 210</v>
      </c>
      <c r="B391" s="37" t="s">
        <v>195</v>
      </c>
      <c r="C391" s="37" t="s">
        <v>185</v>
      </c>
      <c r="D391" s="37">
        <v>10</v>
      </c>
      <c r="E391" s="37" t="s">
        <v>1263</v>
      </c>
      <c r="F391" s="38">
        <v>0.1</v>
      </c>
      <c r="G391" s="39">
        <f>IF(OR(B391="FIXO",B391="XFIXO"),IF(F391="","ERRO",10*F391)*'BD Campos'!$W$2,IF(F391="","ERRO",10*F391)*'BD Campos'!$W$3)</f>
        <v>1</v>
      </c>
      <c r="H391" s="40">
        <v>0.05</v>
      </c>
      <c r="I391" s="41">
        <f t="shared" si="13"/>
        <v>-0.05</v>
      </c>
    </row>
    <row r="392" spans="1:9" hidden="1" x14ac:dyDescent="0.35">
      <c r="A392" s="43" t="str">
        <f>B392&amp;C392&amp;D392</f>
        <v>DEVOLUÇÃOCliente 211</v>
      </c>
      <c r="B392" s="37" t="s">
        <v>195</v>
      </c>
      <c r="C392" s="37" t="s">
        <v>185</v>
      </c>
      <c r="D392" s="37">
        <v>11</v>
      </c>
      <c r="E392" s="37" t="s">
        <v>1217</v>
      </c>
      <c r="F392" s="38">
        <v>0.1</v>
      </c>
      <c r="G392" s="39">
        <f>IF(OR(B392="FIXO",B392="XFIXO"),IF(F392="","ERRO",10*F392)*'BD Campos'!$W$2,IF(F392="","ERRO",10*F392)*'BD Campos'!$W$3)</f>
        <v>1</v>
      </c>
      <c r="H392" s="40">
        <v>0.05</v>
      </c>
      <c r="I392" s="41">
        <f>H392*G392*-1</f>
        <v>-0.05</v>
      </c>
    </row>
    <row r="393" spans="1:9" hidden="1" x14ac:dyDescent="0.35">
      <c r="A393" s="43" t="str">
        <f t="shared" si="12"/>
        <v>DEVOLUÇÃOCliente 212</v>
      </c>
      <c r="B393" s="37" t="s">
        <v>195</v>
      </c>
      <c r="C393" s="37" t="s">
        <v>185</v>
      </c>
      <c r="D393" s="37">
        <v>12</v>
      </c>
      <c r="E393" s="37" t="s">
        <v>1264</v>
      </c>
      <c r="F393" s="38">
        <v>0.1</v>
      </c>
      <c r="G393" s="39">
        <f>IF(OR(B393="FIXO",B393="XFIXO"),IF(F393="","ERRO",10*F393)*'BD Campos'!$W$2,IF(F393="","ERRO",10*F393)*'BD Campos'!$W$3)</f>
        <v>1</v>
      </c>
      <c r="H393" s="40">
        <v>0.05</v>
      </c>
      <c r="I393" s="41">
        <f t="shared" si="13"/>
        <v>-0.05</v>
      </c>
    </row>
    <row r="394" spans="1:9" hidden="1" x14ac:dyDescent="0.35">
      <c r="A394" s="43" t="str">
        <f t="shared" ref="A394:A449" si="14">B394&amp;C394&amp;D394</f>
        <v>CONT. DE TEMPERATURAMotorista1</v>
      </c>
      <c r="B394" s="37" t="s">
        <v>206</v>
      </c>
      <c r="C394" s="37" t="s">
        <v>122</v>
      </c>
      <c r="D394" s="37">
        <v>1</v>
      </c>
      <c r="E394" s="37" t="s">
        <v>1212</v>
      </c>
      <c r="F394" s="38">
        <v>0.08</v>
      </c>
      <c r="G394" s="39">
        <f>IF(OR(B394="FIXO",B394="XFIXO"),IF(F394="","ERRO",10*F394)*'BD Campos'!$W$2,IF(F394="","ERRO",10*F394)*'BD Campos'!$W$3)</f>
        <v>0.8</v>
      </c>
      <c r="H394" s="40">
        <v>0.05</v>
      </c>
      <c r="I394" s="41">
        <f t="shared" si="13"/>
        <v>-4.0000000000000008E-2</v>
      </c>
    </row>
    <row r="395" spans="1:9" hidden="1" x14ac:dyDescent="0.35">
      <c r="A395" s="43" t="str">
        <f t="shared" si="14"/>
        <v>CONT. DE TEMPERATURAMotorista2</v>
      </c>
      <c r="B395" s="37" t="s">
        <v>206</v>
      </c>
      <c r="C395" s="37" t="s">
        <v>122</v>
      </c>
      <c r="D395" s="37">
        <v>2</v>
      </c>
      <c r="E395" s="37" t="s">
        <v>1213</v>
      </c>
      <c r="F395" s="38">
        <v>0.08</v>
      </c>
      <c r="G395" s="39">
        <f>IF(OR(B395="FIXO",B395="XFIXO"),IF(F395="","ERRO",10*F395)*'BD Campos'!$W$2,IF(F395="","ERRO",10*F395)*'BD Campos'!$W$3)</f>
        <v>0.8</v>
      </c>
      <c r="H395" s="40">
        <v>0.05</v>
      </c>
      <c r="I395" s="41">
        <f t="shared" si="13"/>
        <v>-4.0000000000000008E-2</v>
      </c>
    </row>
    <row r="396" spans="1:9" hidden="1" x14ac:dyDescent="0.35">
      <c r="A396" s="43" t="str">
        <f t="shared" si="14"/>
        <v>CONT. DE TEMPERATURAMotorista3</v>
      </c>
      <c r="B396" s="37" t="s">
        <v>206</v>
      </c>
      <c r="C396" s="37" t="s">
        <v>122</v>
      </c>
      <c r="D396" s="37">
        <v>3</v>
      </c>
      <c r="E396" s="37" t="s">
        <v>1214</v>
      </c>
      <c r="F396" s="38">
        <v>0.08</v>
      </c>
      <c r="G396" s="39">
        <f>IF(OR(B396="FIXO",B396="XFIXO"),IF(F396="","ERRO",10*F396)*'BD Campos'!$W$2,IF(F396="","ERRO",10*F396)*'BD Campos'!$W$3)</f>
        <v>0.8</v>
      </c>
      <c r="H396" s="40">
        <v>0.05</v>
      </c>
      <c r="I396" s="41">
        <f t="shared" si="13"/>
        <v>-4.0000000000000008E-2</v>
      </c>
    </row>
    <row r="397" spans="1:9" hidden="1" x14ac:dyDescent="0.35">
      <c r="A397" s="43" t="str">
        <f t="shared" si="14"/>
        <v>CONT. DE TEMPERATURAMotorista4</v>
      </c>
      <c r="B397" s="37" t="s">
        <v>206</v>
      </c>
      <c r="C397" s="37" t="s">
        <v>122</v>
      </c>
      <c r="D397" s="37">
        <v>4</v>
      </c>
      <c r="E397" s="37" t="s">
        <v>1215</v>
      </c>
      <c r="F397" s="38">
        <v>0.1</v>
      </c>
      <c r="G397" s="39">
        <f>IF(OR(B397="FIXO",B397="XFIXO"),IF(F397="","ERRO",10*F397)*'BD Campos'!$W$2,IF(F397="","ERRO",10*F397)*'BD Campos'!$W$3)</f>
        <v>1</v>
      </c>
      <c r="H397" s="40">
        <v>0.05</v>
      </c>
      <c r="I397" s="41">
        <f t="shared" si="13"/>
        <v>-0.05</v>
      </c>
    </row>
    <row r="398" spans="1:9" hidden="1" x14ac:dyDescent="0.35">
      <c r="A398" s="43" t="str">
        <f t="shared" si="14"/>
        <v>CONT. DE TEMPERATURAMotorista5</v>
      </c>
      <c r="B398" s="37" t="s">
        <v>206</v>
      </c>
      <c r="C398" s="37" t="s">
        <v>122</v>
      </c>
      <c r="D398" s="37">
        <v>5</v>
      </c>
      <c r="E398" s="37" t="s">
        <v>1216</v>
      </c>
      <c r="F398" s="38">
        <v>0.1</v>
      </c>
      <c r="G398" s="39">
        <f>IF(OR(B398="FIXO",B398="XFIXO"),IF(F398="","ERRO",10*F398)*'BD Campos'!$W$2,IF(F398="","ERRO",10*F398)*'BD Campos'!$W$3)</f>
        <v>1</v>
      </c>
      <c r="H398" s="40">
        <v>0.05</v>
      </c>
      <c r="I398" s="41">
        <f t="shared" si="13"/>
        <v>-0.05</v>
      </c>
    </row>
    <row r="399" spans="1:9" hidden="1" x14ac:dyDescent="0.35">
      <c r="A399" s="43" t="str">
        <f t="shared" si="14"/>
        <v>CONT. DE TEMPERATURAMotorista6</v>
      </c>
      <c r="B399" s="37" t="s">
        <v>206</v>
      </c>
      <c r="C399" s="37" t="s">
        <v>122</v>
      </c>
      <c r="D399" s="37">
        <v>6</v>
      </c>
      <c r="E399" s="37" t="s">
        <v>1217</v>
      </c>
      <c r="F399" s="38">
        <v>0.1</v>
      </c>
      <c r="G399" s="39">
        <f>IF(OR(B399="FIXO",B399="XFIXO"),IF(F399="","ERRO",10*F399)*'BD Campos'!$W$2,IF(F399="","ERRO",10*F399)*'BD Campos'!$W$3)</f>
        <v>1</v>
      </c>
      <c r="H399" s="40">
        <v>0.05</v>
      </c>
      <c r="I399" s="41">
        <f t="shared" si="13"/>
        <v>-0.05</v>
      </c>
    </row>
    <row r="400" spans="1:9" hidden="1" x14ac:dyDescent="0.35">
      <c r="A400" s="37" t="str">
        <f t="shared" si="14"/>
        <v>CONT. DE TEMPERATURAMotorista7</v>
      </c>
      <c r="B400" s="37" t="s">
        <v>206</v>
      </c>
      <c r="C400" s="37" t="s">
        <v>122</v>
      </c>
      <c r="D400" s="37">
        <v>7</v>
      </c>
      <c r="E400" s="37" t="s">
        <v>1257</v>
      </c>
      <c r="F400" s="38">
        <v>0.12</v>
      </c>
      <c r="G400" s="39">
        <f>IF(OR(B400="FIXO",B400="XFIXO"),IF(F400="","ERRO",10*F400)*'BD Campos'!$W$2,IF(F400="","ERRO",10*F400)*'BD Campos'!$W$3)</f>
        <v>1.2</v>
      </c>
      <c r="H400" s="40">
        <v>0.05</v>
      </c>
      <c r="I400" s="41">
        <f t="shared" si="13"/>
        <v>-0.06</v>
      </c>
    </row>
    <row r="401" spans="1:9" hidden="1" x14ac:dyDescent="0.35">
      <c r="A401" s="37" t="str">
        <f t="shared" si="14"/>
        <v>CONT. DE TEMPERATURAMotorista8</v>
      </c>
      <c r="B401" s="37" t="s">
        <v>206</v>
      </c>
      <c r="C401" s="37" t="s">
        <v>122</v>
      </c>
      <c r="D401" s="37">
        <v>8</v>
      </c>
      <c r="E401" s="37" t="s">
        <v>1266</v>
      </c>
      <c r="F401" s="38">
        <v>0.12</v>
      </c>
      <c r="G401" s="39">
        <f>IF(OR(B401="FIXO",B401="XFIXO"),IF(F401="","ERRO",10*F401)*'BD Campos'!$W$2,IF(F401="","ERRO",10*F401)*'BD Campos'!$W$3)</f>
        <v>1.2</v>
      </c>
      <c r="H401" s="40">
        <v>0.05</v>
      </c>
      <c r="I401" s="41">
        <f t="shared" si="13"/>
        <v>-0.06</v>
      </c>
    </row>
    <row r="402" spans="1:9" hidden="1" x14ac:dyDescent="0.35">
      <c r="A402" s="37" t="str">
        <f t="shared" si="14"/>
        <v>CONT. DE TEMPERATURAMotorista9</v>
      </c>
      <c r="B402" s="37" t="s">
        <v>206</v>
      </c>
      <c r="C402" s="37" t="s">
        <v>122</v>
      </c>
      <c r="D402" s="37">
        <v>9</v>
      </c>
      <c r="E402" s="37" t="s">
        <v>1267</v>
      </c>
      <c r="F402" s="38">
        <v>0.12</v>
      </c>
      <c r="G402" s="39">
        <f>IF(OR(B402="FIXO",B402="XFIXO"),IF(F402="","ERRO",10*F402)*'BD Campos'!$W$2,IF(F402="","ERRO",10*F402)*'BD Campos'!$W$3)</f>
        <v>1.2</v>
      </c>
      <c r="H402" s="40">
        <v>0.05</v>
      </c>
      <c r="I402" s="41">
        <f t="shared" si="13"/>
        <v>-0.06</v>
      </c>
    </row>
    <row r="403" spans="1:9" hidden="1" x14ac:dyDescent="0.35">
      <c r="A403" s="37" t="str">
        <f t="shared" si="14"/>
        <v>CONT. DE TEMPERATURAMotorista10</v>
      </c>
      <c r="B403" s="37" t="s">
        <v>206</v>
      </c>
      <c r="C403" s="37" t="s">
        <v>122</v>
      </c>
      <c r="D403" s="37">
        <v>10</v>
      </c>
      <c r="E403" s="37" t="s">
        <v>1268</v>
      </c>
      <c r="F403" s="38">
        <v>0.1</v>
      </c>
      <c r="G403" s="39">
        <f>IF(OR(B403="FIXO",B403="XFIXO"),IF(F403="","ERRO",10*F403)*'BD Campos'!$W$2,IF(F403="","ERRO",10*F403)*'BD Campos'!$W$3)</f>
        <v>1</v>
      </c>
      <c r="H403" s="40">
        <v>0.05</v>
      </c>
      <c r="I403" s="41">
        <f t="shared" si="13"/>
        <v>-0.05</v>
      </c>
    </row>
    <row r="404" spans="1:9" hidden="1" x14ac:dyDescent="0.35">
      <c r="A404" s="43" t="str">
        <f t="shared" si="14"/>
        <v>CONT. DE TEMPERATURAMotorista 21</v>
      </c>
      <c r="B404" s="37" t="s">
        <v>206</v>
      </c>
      <c r="C404" s="37" t="s">
        <v>204</v>
      </c>
      <c r="D404" s="37">
        <v>1</v>
      </c>
      <c r="E404" s="37" t="s">
        <v>1212</v>
      </c>
      <c r="F404" s="38">
        <v>0.08</v>
      </c>
      <c r="G404" s="39">
        <f>IF(OR(B404="FIXO",B404="XFIXO"),IF(F404="","ERRO",10*F404)*'BD Campos'!$W$2,IF(F404="","ERRO",10*F404)*'BD Campos'!$W$3)</f>
        <v>0.8</v>
      </c>
      <c r="H404" s="40">
        <v>0.05</v>
      </c>
      <c r="I404" s="41">
        <f t="shared" si="13"/>
        <v>-4.0000000000000008E-2</v>
      </c>
    </row>
    <row r="405" spans="1:9" hidden="1" x14ac:dyDescent="0.35">
      <c r="A405" s="43" t="str">
        <f t="shared" si="14"/>
        <v>CONT. DE TEMPERATURAMotorista 22</v>
      </c>
      <c r="B405" s="37" t="s">
        <v>206</v>
      </c>
      <c r="C405" s="37" t="s">
        <v>204</v>
      </c>
      <c r="D405" s="37">
        <v>2</v>
      </c>
      <c r="E405" s="37" t="s">
        <v>1213</v>
      </c>
      <c r="F405" s="38">
        <v>0.08</v>
      </c>
      <c r="G405" s="39">
        <f>IF(OR(B405="FIXO",B405="XFIXO"),IF(F405="","ERRO",10*F405)*'BD Campos'!$W$2,IF(F405="","ERRO",10*F405)*'BD Campos'!$W$3)</f>
        <v>0.8</v>
      </c>
      <c r="H405" s="40">
        <v>0.05</v>
      </c>
      <c r="I405" s="41">
        <f t="shared" si="13"/>
        <v>-4.0000000000000008E-2</v>
      </c>
    </row>
    <row r="406" spans="1:9" hidden="1" x14ac:dyDescent="0.35">
      <c r="A406" s="43" t="str">
        <f t="shared" si="14"/>
        <v>CONT. DE TEMPERATURAMotorista 23</v>
      </c>
      <c r="B406" s="37" t="s">
        <v>206</v>
      </c>
      <c r="C406" s="37" t="s">
        <v>204</v>
      </c>
      <c r="D406" s="37">
        <v>3</v>
      </c>
      <c r="E406" s="37" t="s">
        <v>1214</v>
      </c>
      <c r="F406" s="38">
        <v>0.08</v>
      </c>
      <c r="G406" s="39">
        <f>IF(OR(B406="FIXO",B406="XFIXO"),IF(F406="","ERRO",10*F406)*'BD Campos'!$W$2,IF(F406="","ERRO",10*F406)*'BD Campos'!$W$3)</f>
        <v>0.8</v>
      </c>
      <c r="H406" s="40">
        <v>0.05</v>
      </c>
      <c r="I406" s="41">
        <f t="shared" si="13"/>
        <v>-4.0000000000000008E-2</v>
      </c>
    </row>
    <row r="407" spans="1:9" hidden="1" x14ac:dyDescent="0.35">
      <c r="A407" s="43" t="str">
        <f t="shared" si="14"/>
        <v>CONT. DE TEMPERATURAMotorista 24</v>
      </c>
      <c r="B407" s="37" t="s">
        <v>206</v>
      </c>
      <c r="C407" s="37" t="s">
        <v>204</v>
      </c>
      <c r="D407" s="37">
        <v>4</v>
      </c>
      <c r="E407" s="37" t="s">
        <v>1215</v>
      </c>
      <c r="F407" s="38">
        <v>0.1</v>
      </c>
      <c r="G407" s="39">
        <f>IF(OR(B407="FIXO",B407="XFIXO"),IF(F407="","ERRO",10*F407)*'BD Campos'!$W$2,IF(F407="","ERRO",10*F407)*'BD Campos'!$W$3)</f>
        <v>1</v>
      </c>
      <c r="H407" s="40">
        <v>0.05</v>
      </c>
      <c r="I407" s="41">
        <f t="shared" si="13"/>
        <v>-0.05</v>
      </c>
    </row>
    <row r="408" spans="1:9" hidden="1" x14ac:dyDescent="0.35">
      <c r="A408" s="43" t="str">
        <f t="shared" si="14"/>
        <v>CONT. DE TEMPERATURAMotorista 25</v>
      </c>
      <c r="B408" s="37" t="s">
        <v>206</v>
      </c>
      <c r="C408" s="37" t="s">
        <v>204</v>
      </c>
      <c r="D408" s="37">
        <v>5</v>
      </c>
      <c r="E408" s="37" t="s">
        <v>1216</v>
      </c>
      <c r="F408" s="38">
        <v>0.1</v>
      </c>
      <c r="G408" s="39">
        <f>IF(OR(B408="FIXO",B408="XFIXO"),IF(F408="","ERRO",10*F408)*'BD Campos'!$W$2,IF(F408="","ERRO",10*F408)*'BD Campos'!$W$3)</f>
        <v>1</v>
      </c>
      <c r="H408" s="40">
        <v>0.05</v>
      </c>
      <c r="I408" s="41">
        <f t="shared" si="13"/>
        <v>-0.05</v>
      </c>
    </row>
    <row r="409" spans="1:9" hidden="1" x14ac:dyDescent="0.35">
      <c r="A409" s="43" t="str">
        <f t="shared" si="14"/>
        <v>CONT. DE TEMPERATURAMotorista 26</v>
      </c>
      <c r="B409" s="37" t="s">
        <v>206</v>
      </c>
      <c r="C409" s="37" t="s">
        <v>204</v>
      </c>
      <c r="D409" s="37">
        <v>6</v>
      </c>
      <c r="E409" s="37" t="s">
        <v>1217</v>
      </c>
      <c r="F409" s="38">
        <v>0.1</v>
      </c>
      <c r="G409" s="39">
        <f>IF(OR(B409="FIXO",B409="XFIXO"),IF(F409="","ERRO",10*F409)*'BD Campos'!$W$2,IF(F409="","ERRO",10*F409)*'BD Campos'!$W$3)</f>
        <v>1</v>
      </c>
      <c r="H409" s="40">
        <v>0.05</v>
      </c>
      <c r="I409" s="41">
        <f t="shared" si="13"/>
        <v>-0.05</v>
      </c>
    </row>
    <row r="410" spans="1:9" hidden="1" x14ac:dyDescent="0.35">
      <c r="A410" s="37" t="str">
        <f t="shared" si="14"/>
        <v>CONT. DE TEMPERATURAMotorista 27</v>
      </c>
      <c r="B410" s="37" t="s">
        <v>206</v>
      </c>
      <c r="C410" s="37" t="s">
        <v>204</v>
      </c>
      <c r="D410" s="37">
        <v>7</v>
      </c>
      <c r="E410" s="37" t="s">
        <v>1257</v>
      </c>
      <c r="F410" s="38">
        <v>0.12</v>
      </c>
      <c r="G410" s="39">
        <f>IF(OR(B410="FIXO",B410="XFIXO"),IF(F410="","ERRO",10*F410)*'BD Campos'!$W$2,IF(F410="","ERRO",10*F410)*'BD Campos'!$W$3)</f>
        <v>1.2</v>
      </c>
      <c r="H410" s="40">
        <v>0.05</v>
      </c>
      <c r="I410" s="41">
        <f t="shared" si="13"/>
        <v>-0.06</v>
      </c>
    </row>
    <row r="411" spans="1:9" hidden="1" x14ac:dyDescent="0.35">
      <c r="A411" s="37" t="str">
        <f t="shared" si="14"/>
        <v>CONT. DE TEMPERATURAMotorista 28</v>
      </c>
      <c r="B411" s="37" t="s">
        <v>206</v>
      </c>
      <c r="C411" s="37" t="s">
        <v>204</v>
      </c>
      <c r="D411" s="37">
        <v>8</v>
      </c>
      <c r="E411" s="37" t="s">
        <v>1266</v>
      </c>
      <c r="F411" s="38">
        <v>0.12</v>
      </c>
      <c r="G411" s="39">
        <f>IF(OR(B411="FIXO",B411="XFIXO"),IF(F411="","ERRO",10*F411)*'BD Campos'!$W$2,IF(F411="","ERRO",10*F411)*'BD Campos'!$W$3)</f>
        <v>1.2</v>
      </c>
      <c r="H411" s="40">
        <v>0.05</v>
      </c>
      <c r="I411" s="41">
        <f t="shared" si="13"/>
        <v>-0.06</v>
      </c>
    </row>
    <row r="412" spans="1:9" hidden="1" x14ac:dyDescent="0.35">
      <c r="A412" s="37" t="str">
        <f t="shared" si="14"/>
        <v>CONT. DE TEMPERATURAMotorista 29</v>
      </c>
      <c r="B412" s="37" t="s">
        <v>206</v>
      </c>
      <c r="C412" s="37" t="s">
        <v>204</v>
      </c>
      <c r="D412" s="37">
        <v>9</v>
      </c>
      <c r="E412" s="37" t="s">
        <v>1267</v>
      </c>
      <c r="F412" s="38">
        <v>0.12</v>
      </c>
      <c r="G412" s="39">
        <f>IF(OR(B412="FIXO",B412="XFIXO"),IF(F412="","ERRO",10*F412)*'BD Campos'!$W$2,IF(F412="","ERRO",10*F412)*'BD Campos'!$W$3)</f>
        <v>1.2</v>
      </c>
      <c r="H412" s="40">
        <v>0.05</v>
      </c>
      <c r="I412" s="41">
        <f t="shared" si="13"/>
        <v>-0.06</v>
      </c>
    </row>
    <row r="413" spans="1:9" hidden="1" x14ac:dyDescent="0.35">
      <c r="A413" s="37" t="str">
        <f t="shared" si="14"/>
        <v>CONT. DE TEMPERATURAMotorista 210</v>
      </c>
      <c r="B413" s="37" t="s">
        <v>206</v>
      </c>
      <c r="C413" s="37" t="s">
        <v>204</v>
      </c>
      <c r="D413" s="37">
        <v>10</v>
      </c>
      <c r="E413" s="37" t="s">
        <v>1268</v>
      </c>
      <c r="F413" s="38">
        <v>0.1</v>
      </c>
      <c r="G413" s="39">
        <f>IF(OR(B413="FIXO",B413="XFIXO"),IF(F413="","ERRO",10*F413)*'BD Campos'!$W$2,IF(F413="","ERRO",10*F413)*'BD Campos'!$W$3)</f>
        <v>1</v>
      </c>
      <c r="H413" s="40">
        <v>0.05</v>
      </c>
      <c r="I413" s="41">
        <f t="shared" si="13"/>
        <v>-0.05</v>
      </c>
    </row>
    <row r="414" spans="1:9" hidden="1" x14ac:dyDescent="0.35">
      <c r="A414" s="37" t="str">
        <f t="shared" si="14"/>
        <v>CONT. DE TEMPERATURACliente1</v>
      </c>
      <c r="B414" s="37" t="s">
        <v>206</v>
      </c>
      <c r="C414" s="37" t="s">
        <v>124</v>
      </c>
      <c r="D414" s="37">
        <v>1</v>
      </c>
      <c r="E414" s="37" t="s">
        <v>1212</v>
      </c>
      <c r="F414" s="38">
        <v>0.11</v>
      </c>
      <c r="G414" s="39">
        <f>IF(OR(B414="FIXO",B414="XFIXO"),IF(F414="","ERRO",10*F414)*'BD Campos'!$W$2,IF(F414="","ERRO",10*F414)*'BD Campos'!$W$3)</f>
        <v>1.1000000000000001</v>
      </c>
      <c r="H414" s="40">
        <v>0.05</v>
      </c>
      <c r="I414" s="41">
        <f t="shared" si="13"/>
        <v>-5.5000000000000007E-2</v>
      </c>
    </row>
    <row r="415" spans="1:9" hidden="1" x14ac:dyDescent="0.35">
      <c r="A415" s="37" t="str">
        <f t="shared" si="14"/>
        <v>CONT. DE TEMPERATURACliente2</v>
      </c>
      <c r="B415" s="37" t="s">
        <v>206</v>
      </c>
      <c r="C415" s="37" t="s">
        <v>124</v>
      </c>
      <c r="D415" s="37">
        <v>2</v>
      </c>
      <c r="E415" s="37" t="s">
        <v>1213</v>
      </c>
      <c r="F415" s="38">
        <v>0.1</v>
      </c>
      <c r="G415" s="39">
        <f>IF(OR(B415="FIXO",B415="XFIXO"),IF(F415="","ERRO",10*F415)*'BD Campos'!$W$2,IF(F415="","ERRO",10*F415)*'BD Campos'!$W$3)</f>
        <v>1</v>
      </c>
      <c r="H415" s="40">
        <v>0.05</v>
      </c>
      <c r="I415" s="41">
        <f t="shared" si="13"/>
        <v>-0.05</v>
      </c>
    </row>
    <row r="416" spans="1:9" hidden="1" x14ac:dyDescent="0.35">
      <c r="A416" s="37" t="str">
        <f t="shared" si="14"/>
        <v>CONT. DE TEMPERATURACliente3</v>
      </c>
      <c r="B416" s="37" t="s">
        <v>206</v>
      </c>
      <c r="C416" s="37" t="s">
        <v>124</v>
      </c>
      <c r="D416" s="37">
        <v>3</v>
      </c>
      <c r="E416" s="37" t="s">
        <v>1214</v>
      </c>
      <c r="F416" s="38">
        <v>0.1</v>
      </c>
      <c r="G416" s="39">
        <f>IF(OR(B416="FIXO",B416="XFIXO"),IF(F416="","ERRO",10*F416)*'BD Campos'!$W$2,IF(F416="","ERRO",10*F416)*'BD Campos'!$W$3)</f>
        <v>1</v>
      </c>
      <c r="H416" s="40">
        <v>0.05</v>
      </c>
      <c r="I416" s="41">
        <f t="shared" si="13"/>
        <v>-0.05</v>
      </c>
    </row>
    <row r="417" spans="1:9" hidden="1" x14ac:dyDescent="0.35">
      <c r="A417" s="37" t="str">
        <f t="shared" si="14"/>
        <v>CONT. DE TEMPERATURACliente4</v>
      </c>
      <c r="B417" s="37" t="s">
        <v>206</v>
      </c>
      <c r="C417" s="37" t="s">
        <v>124</v>
      </c>
      <c r="D417" s="37">
        <v>4</v>
      </c>
      <c r="E417" s="37" t="s">
        <v>1215</v>
      </c>
      <c r="F417" s="38">
        <v>0.11</v>
      </c>
      <c r="G417" s="39">
        <f>IF(OR(B417="FIXO",B417="XFIXO"),IF(F417="","ERRO",10*F417)*'BD Campos'!$W$2,IF(F417="","ERRO",10*F417)*'BD Campos'!$W$3)</f>
        <v>1.1000000000000001</v>
      </c>
      <c r="H417" s="40">
        <v>0.05</v>
      </c>
      <c r="I417" s="41">
        <f t="shared" si="13"/>
        <v>-5.5000000000000007E-2</v>
      </c>
    </row>
    <row r="418" spans="1:9" hidden="1" x14ac:dyDescent="0.35">
      <c r="A418" s="37" t="str">
        <f t="shared" si="14"/>
        <v>CONT. DE TEMPERATURACliente5</v>
      </c>
      <c r="B418" s="37" t="s">
        <v>206</v>
      </c>
      <c r="C418" s="37" t="s">
        <v>124</v>
      </c>
      <c r="D418" s="37">
        <v>5</v>
      </c>
      <c r="E418" s="37" t="s">
        <v>1216</v>
      </c>
      <c r="F418" s="38">
        <v>0.11</v>
      </c>
      <c r="G418" s="39">
        <f>IF(OR(B418="FIXO",B418="XFIXO"),IF(F418="","ERRO",10*F418)*'BD Campos'!$W$2,IF(F418="","ERRO",10*F418)*'BD Campos'!$W$3)</f>
        <v>1.1000000000000001</v>
      </c>
      <c r="H418" s="40">
        <v>0.05</v>
      </c>
      <c r="I418" s="41">
        <f t="shared" si="13"/>
        <v>-5.5000000000000007E-2</v>
      </c>
    </row>
    <row r="419" spans="1:9" hidden="1" x14ac:dyDescent="0.35">
      <c r="A419" s="37" t="str">
        <f t="shared" si="14"/>
        <v>CONT. DE TEMPERATURACliente6</v>
      </c>
      <c r="B419" s="37" t="s">
        <v>206</v>
      </c>
      <c r="C419" s="37" t="s">
        <v>124</v>
      </c>
      <c r="D419" s="37">
        <v>6</v>
      </c>
      <c r="E419" s="37" t="s">
        <v>1217</v>
      </c>
      <c r="F419" s="38">
        <v>0.11</v>
      </c>
      <c r="G419" s="39">
        <f>IF(OR(B419="FIXO",B419="XFIXO"),IF(F419="","ERRO",10*F419)*'BD Campos'!$W$2,IF(F419="","ERRO",10*F419)*'BD Campos'!$W$3)</f>
        <v>1.1000000000000001</v>
      </c>
      <c r="H419" s="40">
        <v>0.05</v>
      </c>
      <c r="I419" s="41">
        <f t="shared" si="13"/>
        <v>-5.5000000000000007E-2</v>
      </c>
    </row>
    <row r="420" spans="1:9" hidden="1" x14ac:dyDescent="0.35">
      <c r="A420" s="37" t="str">
        <f t="shared" si="14"/>
        <v>CONT. DE TEMPERATURACliente7</v>
      </c>
      <c r="B420" s="37" t="s">
        <v>206</v>
      </c>
      <c r="C420" s="37" t="s">
        <v>124</v>
      </c>
      <c r="D420" s="37">
        <v>7</v>
      </c>
      <c r="E420" s="37" t="s">
        <v>1269</v>
      </c>
      <c r="F420" s="38">
        <v>0.12</v>
      </c>
      <c r="G420" s="39">
        <f>IF(OR(B420="FIXO",B420="XFIXO"),IF(F420="","ERRO",10*F420)*'BD Campos'!$W$2,IF(F420="","ERRO",10*F420)*'BD Campos'!$W$3)</f>
        <v>1.2</v>
      </c>
      <c r="H420" s="40">
        <v>0.05</v>
      </c>
      <c r="I420" s="41">
        <f t="shared" si="13"/>
        <v>-0.06</v>
      </c>
    </row>
    <row r="421" spans="1:9" hidden="1" x14ac:dyDescent="0.35">
      <c r="A421" s="37" t="str">
        <f t="shared" si="14"/>
        <v>CONT. DE TEMPERATURACliente8</v>
      </c>
      <c r="B421" s="37" t="s">
        <v>206</v>
      </c>
      <c r="C421" s="37" t="s">
        <v>124</v>
      </c>
      <c r="D421" s="37">
        <v>8</v>
      </c>
      <c r="E421" s="37" t="s">
        <v>1270</v>
      </c>
      <c r="F421" s="38">
        <v>0.12</v>
      </c>
      <c r="G421" s="39">
        <f>IF(OR(B421="FIXO",B421="XFIXO"),IF(F421="","ERRO",10*F421)*'BD Campos'!$W$2,IF(F421="","ERRO",10*F421)*'BD Campos'!$W$3)</f>
        <v>1.2</v>
      </c>
      <c r="H421" s="40">
        <v>0.05</v>
      </c>
      <c r="I421" s="41">
        <f t="shared" si="13"/>
        <v>-0.06</v>
      </c>
    </row>
    <row r="422" spans="1:9" hidden="1" x14ac:dyDescent="0.35">
      <c r="A422" s="37" t="str">
        <f t="shared" si="14"/>
        <v>CONT. DE TEMPERATURACliente9</v>
      </c>
      <c r="B422" s="37" t="s">
        <v>206</v>
      </c>
      <c r="C422" s="37" t="s">
        <v>124</v>
      </c>
      <c r="D422" s="37">
        <v>9</v>
      </c>
      <c r="E422" s="37" t="s">
        <v>1271</v>
      </c>
      <c r="F422" s="38">
        <v>0.12</v>
      </c>
      <c r="G422" s="39">
        <f>IF(OR(B422="FIXO",B422="XFIXO"),IF(F422="","ERRO",10*F422)*'BD Campos'!$W$2,IF(F422="","ERRO",10*F422)*'BD Campos'!$W$3)</f>
        <v>1.2</v>
      </c>
      <c r="H422" s="40">
        <v>0.05</v>
      </c>
      <c r="I422" s="41">
        <f t="shared" si="13"/>
        <v>-0.06</v>
      </c>
    </row>
    <row r="423" spans="1:9" hidden="1" x14ac:dyDescent="0.35">
      <c r="A423" s="37" t="str">
        <f t="shared" si="14"/>
        <v>CONT. DE TEMPERATURACliente 21</v>
      </c>
      <c r="B423" s="37" t="s">
        <v>206</v>
      </c>
      <c r="C423" s="37" t="s">
        <v>185</v>
      </c>
      <c r="D423" s="37">
        <v>1</v>
      </c>
      <c r="E423" s="37" t="s">
        <v>1212</v>
      </c>
      <c r="F423" s="38">
        <v>0.11</v>
      </c>
      <c r="G423" s="39">
        <f>IF(OR(B423="FIXO",B423="XFIXO"),IF(F423="","ERRO",10*F423)*'BD Campos'!$W$2,IF(F423="","ERRO",10*F423)*'BD Campos'!$W$3)</f>
        <v>1.1000000000000001</v>
      </c>
      <c r="H423" s="40">
        <v>0.05</v>
      </c>
      <c r="I423" s="41">
        <f t="shared" si="13"/>
        <v>-5.5000000000000007E-2</v>
      </c>
    </row>
    <row r="424" spans="1:9" hidden="1" x14ac:dyDescent="0.35">
      <c r="A424" s="37" t="str">
        <f t="shared" si="14"/>
        <v>CONT. DE TEMPERATURACliente 22</v>
      </c>
      <c r="B424" s="37" t="s">
        <v>206</v>
      </c>
      <c r="C424" s="37" t="s">
        <v>185</v>
      </c>
      <c r="D424" s="37">
        <v>2</v>
      </c>
      <c r="E424" s="37" t="s">
        <v>1213</v>
      </c>
      <c r="F424" s="38">
        <v>0.1</v>
      </c>
      <c r="G424" s="39">
        <f>IF(OR(B424="FIXO",B424="XFIXO"),IF(F424="","ERRO",10*F424)*'BD Campos'!$W$2,IF(F424="","ERRO",10*F424)*'BD Campos'!$W$3)</f>
        <v>1</v>
      </c>
      <c r="H424" s="40">
        <v>0.05</v>
      </c>
      <c r="I424" s="41">
        <f t="shared" si="13"/>
        <v>-0.05</v>
      </c>
    </row>
    <row r="425" spans="1:9" hidden="1" x14ac:dyDescent="0.35">
      <c r="A425" s="37" t="str">
        <f t="shared" si="14"/>
        <v>CONT. DE TEMPERATURACliente 23</v>
      </c>
      <c r="B425" s="37" t="s">
        <v>206</v>
      </c>
      <c r="C425" s="37" t="s">
        <v>185</v>
      </c>
      <c r="D425" s="37">
        <v>3</v>
      </c>
      <c r="E425" s="37" t="s">
        <v>1214</v>
      </c>
      <c r="F425" s="38">
        <v>0.1</v>
      </c>
      <c r="G425" s="39">
        <f>IF(OR(B425="FIXO",B425="XFIXO"),IF(F425="","ERRO",10*F425)*'BD Campos'!$W$2,IF(F425="","ERRO",10*F425)*'BD Campos'!$W$3)</f>
        <v>1</v>
      </c>
      <c r="H425" s="40">
        <v>0.05</v>
      </c>
      <c r="I425" s="41">
        <f t="shared" si="13"/>
        <v>-0.05</v>
      </c>
    </row>
    <row r="426" spans="1:9" hidden="1" x14ac:dyDescent="0.35">
      <c r="A426" s="37" t="str">
        <f t="shared" si="14"/>
        <v>CONT. DE TEMPERATURACliente 24</v>
      </c>
      <c r="B426" s="37" t="s">
        <v>206</v>
      </c>
      <c r="C426" s="37" t="s">
        <v>185</v>
      </c>
      <c r="D426" s="37">
        <v>4</v>
      </c>
      <c r="E426" s="37" t="s">
        <v>1215</v>
      </c>
      <c r="F426" s="38">
        <v>0.11</v>
      </c>
      <c r="G426" s="39">
        <f>IF(OR(B426="FIXO",B426="XFIXO"),IF(F426="","ERRO",10*F426)*'BD Campos'!$W$2,IF(F426="","ERRO",10*F426)*'BD Campos'!$W$3)</f>
        <v>1.1000000000000001</v>
      </c>
      <c r="H426" s="40">
        <v>0.05</v>
      </c>
      <c r="I426" s="41">
        <f t="shared" si="13"/>
        <v>-5.5000000000000007E-2</v>
      </c>
    </row>
    <row r="427" spans="1:9" hidden="1" x14ac:dyDescent="0.35">
      <c r="A427" s="37" t="str">
        <f t="shared" si="14"/>
        <v>CONT. DE TEMPERATURACliente 25</v>
      </c>
      <c r="B427" s="37" t="s">
        <v>206</v>
      </c>
      <c r="C427" s="37" t="s">
        <v>185</v>
      </c>
      <c r="D427" s="37">
        <v>5</v>
      </c>
      <c r="E427" s="37" t="s">
        <v>1216</v>
      </c>
      <c r="F427" s="38">
        <v>0.11</v>
      </c>
      <c r="G427" s="39">
        <f>IF(OR(B427="FIXO",B427="XFIXO"),IF(F427="","ERRO",10*F427)*'BD Campos'!$W$2,IF(F427="","ERRO",10*F427)*'BD Campos'!$W$3)</f>
        <v>1.1000000000000001</v>
      </c>
      <c r="H427" s="40">
        <v>0.05</v>
      </c>
      <c r="I427" s="41">
        <f t="shared" si="13"/>
        <v>-5.5000000000000007E-2</v>
      </c>
    </row>
    <row r="428" spans="1:9" hidden="1" x14ac:dyDescent="0.35">
      <c r="A428" s="37" t="str">
        <f t="shared" si="14"/>
        <v>CONT. DE TEMPERATURACliente 26</v>
      </c>
      <c r="B428" s="37" t="s">
        <v>206</v>
      </c>
      <c r="C428" s="37" t="s">
        <v>185</v>
      </c>
      <c r="D428" s="37">
        <v>6</v>
      </c>
      <c r="E428" s="37" t="s">
        <v>1217</v>
      </c>
      <c r="F428" s="38">
        <v>0.11</v>
      </c>
      <c r="G428" s="39">
        <f>IF(OR(B428="FIXO",B428="XFIXO"),IF(F428="","ERRO",10*F428)*'BD Campos'!$W$2,IF(F428="","ERRO",10*F428)*'BD Campos'!$W$3)</f>
        <v>1.1000000000000001</v>
      </c>
      <c r="H428" s="40">
        <v>0.05</v>
      </c>
      <c r="I428" s="41">
        <f t="shared" si="13"/>
        <v>-5.5000000000000007E-2</v>
      </c>
    </row>
    <row r="429" spans="1:9" hidden="1" x14ac:dyDescent="0.35">
      <c r="A429" s="37" t="str">
        <f t="shared" si="14"/>
        <v>CONT. DE TEMPERATURACliente 27</v>
      </c>
      <c r="B429" s="37" t="s">
        <v>206</v>
      </c>
      <c r="C429" s="37" t="s">
        <v>185</v>
      </c>
      <c r="D429" s="37">
        <v>7</v>
      </c>
      <c r="E429" s="37" t="s">
        <v>1269</v>
      </c>
      <c r="F429" s="38">
        <v>0.12</v>
      </c>
      <c r="G429" s="39">
        <f>IF(OR(B429="FIXO",B429="XFIXO"),IF(F429="","ERRO",10*F429)*'BD Campos'!$W$2,IF(F429="","ERRO",10*F429)*'BD Campos'!$W$3)</f>
        <v>1.2</v>
      </c>
      <c r="H429" s="40">
        <v>0.05</v>
      </c>
      <c r="I429" s="41">
        <f t="shared" si="13"/>
        <v>-0.06</v>
      </c>
    </row>
    <row r="430" spans="1:9" hidden="1" x14ac:dyDescent="0.35">
      <c r="A430" s="37" t="str">
        <f t="shared" si="14"/>
        <v>CONT. DE TEMPERATURACliente 28</v>
      </c>
      <c r="B430" s="37" t="s">
        <v>206</v>
      </c>
      <c r="C430" s="37" t="s">
        <v>185</v>
      </c>
      <c r="D430" s="37">
        <v>8</v>
      </c>
      <c r="E430" s="37" t="s">
        <v>1270</v>
      </c>
      <c r="F430" s="38">
        <v>0.12</v>
      </c>
      <c r="G430" s="39">
        <f>IF(OR(B430="FIXO",B430="XFIXO"),IF(F430="","ERRO",10*F430)*'BD Campos'!$W$2,IF(F430="","ERRO",10*F430)*'BD Campos'!$W$3)</f>
        <v>1.2</v>
      </c>
      <c r="H430" s="40">
        <v>0.05</v>
      </c>
      <c r="I430" s="41">
        <f t="shared" si="13"/>
        <v>-0.06</v>
      </c>
    </row>
    <row r="431" spans="1:9" hidden="1" x14ac:dyDescent="0.35">
      <c r="A431" s="37" t="str">
        <f t="shared" si="14"/>
        <v>CONT. DE TEMPERATURACliente 29</v>
      </c>
      <c r="B431" s="37" t="s">
        <v>206</v>
      </c>
      <c r="C431" s="37" t="s">
        <v>185</v>
      </c>
      <c r="D431" s="37">
        <v>9</v>
      </c>
      <c r="E431" s="37" t="s">
        <v>1271</v>
      </c>
      <c r="F431" s="38">
        <v>0.12</v>
      </c>
      <c r="G431" s="39">
        <f>IF(OR(B431="FIXO",B431="XFIXO"),IF(F431="","ERRO",10*F431)*'BD Campos'!$W$2,IF(F431="","ERRO",10*F431)*'BD Campos'!$W$3)</f>
        <v>1.2</v>
      </c>
      <c r="H431" s="40">
        <v>0.05</v>
      </c>
      <c r="I431" s="41">
        <f t="shared" si="13"/>
        <v>-0.06</v>
      </c>
    </row>
    <row r="432" spans="1:9" hidden="1" x14ac:dyDescent="0.35">
      <c r="A432" s="37" t="str">
        <f t="shared" si="14"/>
        <v>DESLIGAMENTO (TEMPERATURA)Motorista1</v>
      </c>
      <c r="B432" s="37" t="s">
        <v>406</v>
      </c>
      <c r="C432" s="37" t="s">
        <v>122</v>
      </c>
      <c r="D432" s="37">
        <v>1</v>
      </c>
      <c r="E432" s="37" t="s">
        <v>1212</v>
      </c>
      <c r="F432" s="38">
        <v>0.08</v>
      </c>
      <c r="G432" s="39">
        <f>IF(OR(B432="FIXO",B432="XFIXO"),IF(F432="","ERRO",10*F432)*'BD Campos'!$W$2,IF(F432="","ERRO",10*F432)*'BD Campos'!$W$3)</f>
        <v>0.8</v>
      </c>
      <c r="H432" s="40">
        <v>0.05</v>
      </c>
      <c r="I432" s="41">
        <f t="shared" si="13"/>
        <v>-4.0000000000000008E-2</v>
      </c>
    </row>
    <row r="433" spans="1:9" hidden="1" x14ac:dyDescent="0.35">
      <c r="A433" s="37" t="str">
        <f t="shared" si="14"/>
        <v>DESLIGAMENTO (TEMPERATURA)Motorista2</v>
      </c>
      <c r="B433" s="37" t="s">
        <v>406</v>
      </c>
      <c r="C433" s="37" t="s">
        <v>122</v>
      </c>
      <c r="D433" s="37">
        <v>2</v>
      </c>
      <c r="E433" s="37" t="s">
        <v>1213</v>
      </c>
      <c r="F433" s="38">
        <v>0.08</v>
      </c>
      <c r="G433" s="39">
        <f>IF(OR(B433="FIXO",B433="XFIXO"),IF(F433="","ERRO",10*F433)*'BD Campos'!$W$2,IF(F433="","ERRO",10*F433)*'BD Campos'!$W$3)</f>
        <v>0.8</v>
      </c>
      <c r="H433" s="40">
        <v>0.05</v>
      </c>
      <c r="I433" s="41">
        <f t="shared" si="13"/>
        <v>-4.0000000000000008E-2</v>
      </c>
    </row>
    <row r="434" spans="1:9" hidden="1" x14ac:dyDescent="0.35">
      <c r="A434" s="37" t="str">
        <f t="shared" si="14"/>
        <v>DESLIGAMENTO (TEMPERATURA)Motorista3</v>
      </c>
      <c r="B434" s="37" t="s">
        <v>406</v>
      </c>
      <c r="C434" s="37" t="s">
        <v>122</v>
      </c>
      <c r="D434" s="37">
        <v>3</v>
      </c>
      <c r="E434" s="37" t="s">
        <v>1214</v>
      </c>
      <c r="F434" s="38">
        <v>0.08</v>
      </c>
      <c r="G434" s="39">
        <f>IF(OR(B434="FIXO",B434="XFIXO"),IF(F434="","ERRO",10*F434)*'BD Campos'!$W$2,IF(F434="","ERRO",10*F434)*'BD Campos'!$W$3)</f>
        <v>0.8</v>
      </c>
      <c r="H434" s="40">
        <v>0.05</v>
      </c>
      <c r="I434" s="41">
        <f t="shared" si="13"/>
        <v>-4.0000000000000008E-2</v>
      </c>
    </row>
    <row r="435" spans="1:9" hidden="1" x14ac:dyDescent="0.35">
      <c r="A435" s="37" t="str">
        <f t="shared" si="14"/>
        <v>DESLIGAMENTO (TEMPERATURA)Motorista4</v>
      </c>
      <c r="B435" s="37" t="s">
        <v>406</v>
      </c>
      <c r="C435" s="37" t="s">
        <v>122</v>
      </c>
      <c r="D435" s="37">
        <v>4</v>
      </c>
      <c r="E435" s="37" t="s">
        <v>1215</v>
      </c>
      <c r="F435" s="38">
        <v>0.08</v>
      </c>
      <c r="G435" s="39">
        <f>IF(OR(B435="FIXO",B435="XFIXO"),IF(F435="","ERRO",10*F435)*'BD Campos'!$W$2,IF(F435="","ERRO",10*F435)*'BD Campos'!$W$3)</f>
        <v>0.8</v>
      </c>
      <c r="H435" s="40">
        <v>0.05</v>
      </c>
      <c r="I435" s="41">
        <f t="shared" si="13"/>
        <v>-4.0000000000000008E-2</v>
      </c>
    </row>
    <row r="436" spans="1:9" hidden="1" x14ac:dyDescent="0.35">
      <c r="A436" s="37" t="str">
        <f t="shared" si="14"/>
        <v>DESLIGAMENTO (TEMPERATURA)Motorista5</v>
      </c>
      <c r="B436" s="37" t="s">
        <v>406</v>
      </c>
      <c r="C436" s="37" t="s">
        <v>122</v>
      </c>
      <c r="D436" s="37">
        <v>5</v>
      </c>
      <c r="E436" s="37" t="s">
        <v>1216</v>
      </c>
      <c r="F436" s="38">
        <v>0.1</v>
      </c>
      <c r="G436" s="39">
        <f>IF(OR(B436="FIXO",B436="XFIXO"),IF(F436="","ERRO",10*F436)*'BD Campos'!$W$2,IF(F436="","ERRO",10*F436)*'BD Campos'!$W$3)</f>
        <v>1</v>
      </c>
      <c r="H436" s="40">
        <v>0.05</v>
      </c>
      <c r="I436" s="41">
        <f t="shared" si="13"/>
        <v>-0.05</v>
      </c>
    </row>
    <row r="437" spans="1:9" hidden="1" x14ac:dyDescent="0.35">
      <c r="A437" s="37" t="str">
        <f t="shared" si="14"/>
        <v>DESLIGAMENTO (TEMPERATURA)Motorista6</v>
      </c>
      <c r="B437" s="37" t="s">
        <v>406</v>
      </c>
      <c r="C437" s="37" t="s">
        <v>122</v>
      </c>
      <c r="D437" s="37">
        <v>6</v>
      </c>
      <c r="E437" s="37" t="s">
        <v>1217</v>
      </c>
      <c r="F437" s="38">
        <v>0.1</v>
      </c>
      <c r="G437" s="39">
        <f>IF(OR(B437="FIXO",B437="XFIXO"),IF(F437="","ERRO",10*F437)*'BD Campos'!$W$2,IF(F437="","ERRO",10*F437)*'BD Campos'!$W$3)</f>
        <v>1</v>
      </c>
      <c r="H437" s="40">
        <v>0.05</v>
      </c>
      <c r="I437" s="41">
        <f t="shared" si="13"/>
        <v>-0.05</v>
      </c>
    </row>
    <row r="438" spans="1:9" hidden="1" x14ac:dyDescent="0.35">
      <c r="A438" s="37" t="str">
        <f t="shared" si="14"/>
        <v>DESLIGAMENTO (TEMPERATURA)Motorista7</v>
      </c>
      <c r="B438" s="37" t="s">
        <v>406</v>
      </c>
      <c r="C438" s="37" t="s">
        <v>122</v>
      </c>
      <c r="D438" s="37">
        <v>7</v>
      </c>
      <c r="E438" s="37" t="s">
        <v>1257</v>
      </c>
      <c r="F438" s="38">
        <v>0.12</v>
      </c>
      <c r="G438" s="39">
        <f>IF(OR(B438="FIXO",B438="XFIXO"),IF(F438="","ERRO",10*F438)*'BD Campos'!$W$2,IF(F438="","ERRO",10*F438)*'BD Campos'!$W$3)</f>
        <v>1.2</v>
      </c>
      <c r="H438" s="40">
        <v>0.05</v>
      </c>
      <c r="I438" s="41">
        <f t="shared" si="13"/>
        <v>-0.06</v>
      </c>
    </row>
    <row r="439" spans="1:9" hidden="1" x14ac:dyDescent="0.35">
      <c r="A439" s="37" t="str">
        <f t="shared" si="14"/>
        <v>DESLIGAMENTO (TEMPERATURA)Motorista8</v>
      </c>
      <c r="B439" s="37" t="s">
        <v>406</v>
      </c>
      <c r="C439" s="37" t="s">
        <v>122</v>
      </c>
      <c r="D439" s="37">
        <v>8</v>
      </c>
      <c r="E439" s="37" t="s">
        <v>1272</v>
      </c>
      <c r="F439" s="38">
        <v>0.12</v>
      </c>
      <c r="G439" s="39">
        <f>IF(OR(B439="FIXO",B439="XFIXO"),IF(F439="","ERRO",10*F439)*'BD Campos'!$W$2,IF(F439="","ERRO",10*F439)*'BD Campos'!$W$3)</f>
        <v>1.2</v>
      </c>
      <c r="H439" s="40">
        <v>0.05</v>
      </c>
      <c r="I439" s="41">
        <f t="shared" si="13"/>
        <v>-0.06</v>
      </c>
    </row>
    <row r="440" spans="1:9" hidden="1" x14ac:dyDescent="0.35">
      <c r="A440" s="37" t="str">
        <f t="shared" si="14"/>
        <v>DESLIGAMENTO (TEMPERATURA)Motorista9</v>
      </c>
      <c r="B440" s="37" t="s">
        <v>406</v>
      </c>
      <c r="C440" s="37" t="s">
        <v>122</v>
      </c>
      <c r="D440" s="37">
        <v>9</v>
      </c>
      <c r="E440" s="37" t="s">
        <v>1273</v>
      </c>
      <c r="F440" s="38">
        <v>0.12</v>
      </c>
      <c r="G440" s="39">
        <f>IF(OR(B440="FIXO",B440="XFIXO"),IF(F440="","ERRO",10*F440)*'BD Campos'!$W$2,IF(F440="","ERRO",10*F440)*'BD Campos'!$W$3)</f>
        <v>1.2</v>
      </c>
      <c r="H440" s="40">
        <v>0.05</v>
      </c>
      <c r="I440" s="41">
        <f t="shared" si="13"/>
        <v>-0.06</v>
      </c>
    </row>
    <row r="441" spans="1:9" hidden="1" x14ac:dyDescent="0.35">
      <c r="A441" s="37" t="str">
        <f t="shared" si="14"/>
        <v>DESLIGAMENTO (TEMPERATURA)Motorista10</v>
      </c>
      <c r="B441" s="37" t="s">
        <v>406</v>
      </c>
      <c r="C441" s="37" t="s">
        <v>122</v>
      </c>
      <c r="D441" s="37">
        <v>10</v>
      </c>
      <c r="E441" s="37" t="s">
        <v>1274</v>
      </c>
      <c r="F441" s="38">
        <v>0.12</v>
      </c>
      <c r="G441" s="39">
        <f>IF(OR(B441="FIXO",B441="XFIXO"),IF(F441="","ERRO",10*F441)*'BD Campos'!$W$2,IF(F441="","ERRO",10*F441)*'BD Campos'!$W$3)</f>
        <v>1.2</v>
      </c>
      <c r="H441" s="40">
        <v>0.05</v>
      </c>
      <c r="I441" s="41">
        <f t="shared" si="13"/>
        <v>-0.06</v>
      </c>
    </row>
    <row r="442" spans="1:9" hidden="1" x14ac:dyDescent="0.35">
      <c r="A442" s="37" t="str">
        <f t="shared" si="14"/>
        <v>DESLIGAMENTO (TEMPERATURA)Motorista 21</v>
      </c>
      <c r="B442" s="37" t="s">
        <v>406</v>
      </c>
      <c r="C442" s="37" t="s">
        <v>204</v>
      </c>
      <c r="D442" s="37">
        <v>1</v>
      </c>
      <c r="E442" s="37" t="s">
        <v>1212</v>
      </c>
      <c r="F442" s="38">
        <v>0.08</v>
      </c>
      <c r="G442" s="39">
        <f>IF(OR(B442="FIXO",B442="XFIXO"),IF(F442="","ERRO",10*F442)*'BD Campos'!$W$2,IF(F442="","ERRO",10*F442)*'BD Campos'!$W$3)</f>
        <v>0.8</v>
      </c>
      <c r="H442" s="40">
        <v>0.05</v>
      </c>
      <c r="I442" s="41">
        <f t="shared" si="13"/>
        <v>-4.0000000000000008E-2</v>
      </c>
    </row>
    <row r="443" spans="1:9" hidden="1" x14ac:dyDescent="0.35">
      <c r="A443" s="37" t="str">
        <f t="shared" si="14"/>
        <v>DESLIGAMENTO (TEMPERATURA)Motorista 22</v>
      </c>
      <c r="B443" s="37" t="s">
        <v>406</v>
      </c>
      <c r="C443" s="37" t="s">
        <v>204</v>
      </c>
      <c r="D443" s="37">
        <v>2</v>
      </c>
      <c r="E443" s="37" t="s">
        <v>1213</v>
      </c>
      <c r="F443" s="38">
        <v>0.08</v>
      </c>
      <c r="G443" s="39">
        <f>IF(OR(B443="FIXO",B443="XFIXO"),IF(F443="","ERRO",10*F443)*'BD Campos'!$W$2,IF(F443="","ERRO",10*F443)*'BD Campos'!$W$3)</f>
        <v>0.8</v>
      </c>
      <c r="H443" s="40">
        <v>0.05</v>
      </c>
      <c r="I443" s="41">
        <f t="shared" si="13"/>
        <v>-4.0000000000000008E-2</v>
      </c>
    </row>
    <row r="444" spans="1:9" hidden="1" x14ac:dyDescent="0.35">
      <c r="A444" s="37" t="str">
        <f t="shared" si="14"/>
        <v>DESLIGAMENTO (TEMPERATURA)Motorista 23</v>
      </c>
      <c r="B444" s="37" t="s">
        <v>406</v>
      </c>
      <c r="C444" s="37" t="s">
        <v>204</v>
      </c>
      <c r="D444" s="37">
        <v>3</v>
      </c>
      <c r="E444" s="37" t="s">
        <v>1214</v>
      </c>
      <c r="F444" s="38">
        <v>0.08</v>
      </c>
      <c r="G444" s="39">
        <f>IF(OR(B444="FIXO",B444="XFIXO"),IF(F444="","ERRO",10*F444)*'BD Campos'!$W$2,IF(F444="","ERRO",10*F444)*'BD Campos'!$W$3)</f>
        <v>0.8</v>
      </c>
      <c r="H444" s="40">
        <v>0.05</v>
      </c>
      <c r="I444" s="41">
        <f t="shared" si="13"/>
        <v>-4.0000000000000008E-2</v>
      </c>
    </row>
    <row r="445" spans="1:9" hidden="1" x14ac:dyDescent="0.35">
      <c r="A445" s="37" t="str">
        <f t="shared" si="14"/>
        <v>DESLIGAMENTO (TEMPERATURA)Motorista 24</v>
      </c>
      <c r="B445" s="37" t="s">
        <v>406</v>
      </c>
      <c r="C445" s="37" t="s">
        <v>204</v>
      </c>
      <c r="D445" s="37">
        <v>4</v>
      </c>
      <c r="E445" s="37" t="s">
        <v>1215</v>
      </c>
      <c r="F445" s="38">
        <v>0.08</v>
      </c>
      <c r="G445" s="39">
        <f>IF(OR(B445="FIXO",B445="XFIXO"),IF(F445="","ERRO",10*F445)*'BD Campos'!$W$2,IF(F445="","ERRO",10*F445)*'BD Campos'!$W$3)</f>
        <v>0.8</v>
      </c>
      <c r="H445" s="40">
        <v>0.05</v>
      </c>
      <c r="I445" s="41">
        <f t="shared" si="13"/>
        <v>-4.0000000000000008E-2</v>
      </c>
    </row>
    <row r="446" spans="1:9" hidden="1" x14ac:dyDescent="0.35">
      <c r="A446" s="37" t="str">
        <f t="shared" si="14"/>
        <v>DESLIGAMENTO (TEMPERATURA)Motorista 25</v>
      </c>
      <c r="B446" s="37" t="s">
        <v>406</v>
      </c>
      <c r="C446" s="37" t="s">
        <v>204</v>
      </c>
      <c r="D446" s="37">
        <v>5</v>
      </c>
      <c r="E446" s="37" t="s">
        <v>1216</v>
      </c>
      <c r="F446" s="38">
        <v>0.1</v>
      </c>
      <c r="G446" s="39">
        <f>IF(OR(B446="FIXO",B446="XFIXO"),IF(F446="","ERRO",10*F446)*'BD Campos'!$W$2,IF(F446="","ERRO",10*F446)*'BD Campos'!$W$3)</f>
        <v>1</v>
      </c>
      <c r="H446" s="40">
        <v>0.05</v>
      </c>
      <c r="I446" s="41">
        <f t="shared" si="13"/>
        <v>-0.05</v>
      </c>
    </row>
    <row r="447" spans="1:9" hidden="1" x14ac:dyDescent="0.35">
      <c r="A447" s="37" t="str">
        <f t="shared" si="14"/>
        <v>DESLIGAMENTO (TEMPERATURA)Motorista 26</v>
      </c>
      <c r="B447" s="37" t="s">
        <v>406</v>
      </c>
      <c r="C447" s="37" t="s">
        <v>204</v>
      </c>
      <c r="D447" s="37">
        <v>6</v>
      </c>
      <c r="E447" s="37" t="s">
        <v>1217</v>
      </c>
      <c r="F447" s="38">
        <v>0.1</v>
      </c>
      <c r="G447" s="39">
        <f>IF(OR(B447="FIXO",B447="XFIXO"),IF(F447="","ERRO",10*F447)*'BD Campos'!$W$2,IF(F447="","ERRO",10*F447)*'BD Campos'!$W$3)</f>
        <v>1</v>
      </c>
      <c r="H447" s="40">
        <v>0.05</v>
      </c>
      <c r="I447" s="41">
        <f t="shared" si="13"/>
        <v>-0.05</v>
      </c>
    </row>
    <row r="448" spans="1:9" hidden="1" x14ac:dyDescent="0.35">
      <c r="A448" s="37" t="str">
        <f t="shared" si="14"/>
        <v>DESLIGAMENTO (TEMPERATURA)Motorista 27</v>
      </c>
      <c r="B448" s="37" t="s">
        <v>406</v>
      </c>
      <c r="C448" s="37" t="s">
        <v>204</v>
      </c>
      <c r="D448" s="37">
        <v>7</v>
      </c>
      <c r="E448" s="37" t="s">
        <v>1257</v>
      </c>
      <c r="F448" s="38">
        <v>0.12</v>
      </c>
      <c r="G448" s="39">
        <f>IF(OR(B448="FIXO",B448="XFIXO"),IF(F448="","ERRO",10*F448)*'BD Campos'!$W$2,IF(F448="","ERRO",10*F448)*'BD Campos'!$W$3)</f>
        <v>1.2</v>
      </c>
      <c r="H448" s="40">
        <v>0.05</v>
      </c>
      <c r="I448" s="41">
        <f t="shared" si="13"/>
        <v>-0.06</v>
      </c>
    </row>
    <row r="449" spans="1:9" hidden="1" x14ac:dyDescent="0.35">
      <c r="A449" s="37" t="str">
        <f t="shared" si="14"/>
        <v>DESLIGAMENTO (TEMPERATURA)Motorista 28</v>
      </c>
      <c r="B449" s="37" t="s">
        <v>406</v>
      </c>
      <c r="C449" s="37" t="s">
        <v>204</v>
      </c>
      <c r="D449" s="37">
        <v>8</v>
      </c>
      <c r="E449" s="37" t="s">
        <v>1272</v>
      </c>
      <c r="F449" s="38">
        <v>0.12</v>
      </c>
      <c r="G449" s="39">
        <f>IF(OR(B449="FIXO",B449="XFIXO"),IF(F449="","ERRO",10*F449)*'BD Campos'!$W$2,IF(F449="","ERRO",10*F449)*'BD Campos'!$W$3)</f>
        <v>1.2</v>
      </c>
      <c r="H449" s="40">
        <v>0.05</v>
      </c>
      <c r="I449" s="41">
        <f t="shared" si="13"/>
        <v>-0.06</v>
      </c>
    </row>
    <row r="450" spans="1:9" hidden="1" x14ac:dyDescent="0.35">
      <c r="A450" s="37" t="str">
        <f t="shared" ref="A450:A509" si="15">B450&amp;C450&amp;D450</f>
        <v>DESLIGAMENTO (TEMPERATURA)Motorista 29</v>
      </c>
      <c r="B450" s="37" t="s">
        <v>406</v>
      </c>
      <c r="C450" s="37" t="s">
        <v>204</v>
      </c>
      <c r="D450" s="37">
        <v>9</v>
      </c>
      <c r="E450" s="37" t="s">
        <v>1273</v>
      </c>
      <c r="F450" s="38">
        <v>0.12</v>
      </c>
      <c r="G450" s="39">
        <f>IF(OR(B450="FIXO",B450="XFIXO"),IF(F450="","ERRO",10*F450)*'BD Campos'!$W$2,IF(F450="","ERRO",10*F450)*'BD Campos'!$W$3)</f>
        <v>1.2</v>
      </c>
      <c r="H450" s="40">
        <v>0.05</v>
      </c>
      <c r="I450" s="41">
        <f t="shared" ref="I450:I509" si="16">H450*G450*-1</f>
        <v>-0.06</v>
      </c>
    </row>
    <row r="451" spans="1:9" hidden="1" x14ac:dyDescent="0.35">
      <c r="A451" s="37" t="str">
        <f t="shared" si="15"/>
        <v>DESLIGAMENTO (TEMPERATURA)Motorista 210</v>
      </c>
      <c r="B451" s="37" t="s">
        <v>406</v>
      </c>
      <c r="C451" s="37" t="s">
        <v>204</v>
      </c>
      <c r="D451" s="37">
        <v>10</v>
      </c>
      <c r="E451" s="37" t="s">
        <v>1274</v>
      </c>
      <c r="F451" s="38">
        <v>0.12</v>
      </c>
      <c r="G451" s="39">
        <f>IF(OR(B451="FIXO",B451="XFIXO"),IF(F451="","ERRO",10*F451)*'BD Campos'!$W$2,IF(F451="","ERRO",10*F451)*'BD Campos'!$W$3)</f>
        <v>1.2</v>
      </c>
      <c r="H451" s="40">
        <v>0.05</v>
      </c>
      <c r="I451" s="41">
        <f t="shared" si="16"/>
        <v>-0.06</v>
      </c>
    </row>
    <row r="452" spans="1:9" hidden="1" x14ac:dyDescent="0.35">
      <c r="A452" s="37" t="str">
        <f t="shared" si="15"/>
        <v>DESLIGAMENTO (TEMPERATURA)Cliente1</v>
      </c>
      <c r="B452" s="37" t="s">
        <v>406</v>
      </c>
      <c r="C452" s="37" t="s">
        <v>124</v>
      </c>
      <c r="D452" s="37">
        <v>1</v>
      </c>
      <c r="E452" s="37" t="s">
        <v>1212</v>
      </c>
      <c r="F452" s="38">
        <v>0.1</v>
      </c>
      <c r="G452" s="39">
        <f>IF(OR(B452="FIXO",B452="XFIXO"),IF(F452="","ERRO",10*F452)*'BD Campos'!$W$2,IF(F452="","ERRO",10*F452)*'BD Campos'!$W$3)</f>
        <v>1</v>
      </c>
      <c r="H452" s="40">
        <v>0.05</v>
      </c>
      <c r="I452" s="41">
        <f t="shared" si="16"/>
        <v>-0.05</v>
      </c>
    </row>
    <row r="453" spans="1:9" hidden="1" x14ac:dyDescent="0.35">
      <c r="A453" s="37" t="str">
        <f t="shared" si="15"/>
        <v>DESLIGAMENTO (TEMPERATURA)Cliente2</v>
      </c>
      <c r="B453" s="37" t="s">
        <v>406</v>
      </c>
      <c r="C453" s="37" t="s">
        <v>124</v>
      </c>
      <c r="D453" s="37">
        <v>2</v>
      </c>
      <c r="E453" s="37" t="s">
        <v>1213</v>
      </c>
      <c r="F453" s="38">
        <v>0.09</v>
      </c>
      <c r="G453" s="39">
        <f>IF(OR(B453="FIXO",B453="XFIXO"),IF(F453="","ERRO",10*F453)*'BD Campos'!$W$2,IF(F453="","ERRO",10*F453)*'BD Campos'!$W$3)</f>
        <v>0.89999999999999991</v>
      </c>
      <c r="H453" s="40">
        <v>0.05</v>
      </c>
      <c r="I453" s="41">
        <f t="shared" si="16"/>
        <v>-4.4999999999999998E-2</v>
      </c>
    </row>
    <row r="454" spans="1:9" hidden="1" x14ac:dyDescent="0.35">
      <c r="A454" s="37" t="str">
        <f t="shared" si="15"/>
        <v>DESLIGAMENTO (TEMPERATURA)Cliente3</v>
      </c>
      <c r="B454" s="37" t="s">
        <v>406</v>
      </c>
      <c r="C454" s="37" t="s">
        <v>124</v>
      </c>
      <c r="D454" s="37">
        <v>3</v>
      </c>
      <c r="E454" s="37" t="s">
        <v>1214</v>
      </c>
      <c r="F454" s="38">
        <v>0.09</v>
      </c>
      <c r="G454" s="39">
        <f>IF(OR(B454="FIXO",B454="XFIXO"),IF(F454="","ERRO",10*F454)*'BD Campos'!$W$2,IF(F454="","ERRO",10*F454)*'BD Campos'!$W$3)</f>
        <v>0.89999999999999991</v>
      </c>
      <c r="H454" s="40">
        <v>0.05</v>
      </c>
      <c r="I454" s="41">
        <f t="shared" si="16"/>
        <v>-4.4999999999999998E-2</v>
      </c>
    </row>
    <row r="455" spans="1:9" hidden="1" x14ac:dyDescent="0.35">
      <c r="A455" s="37" t="str">
        <f t="shared" si="15"/>
        <v>DESLIGAMENTO (TEMPERATURA)Cliente4</v>
      </c>
      <c r="B455" s="37" t="s">
        <v>406</v>
      </c>
      <c r="C455" s="37" t="s">
        <v>124</v>
      </c>
      <c r="D455" s="37">
        <v>4</v>
      </c>
      <c r="E455" s="37" t="s">
        <v>1215</v>
      </c>
      <c r="F455" s="38">
        <v>0.09</v>
      </c>
      <c r="G455" s="39">
        <f>IF(OR(B455="FIXO",B455="XFIXO"),IF(F455="","ERRO",10*F455)*'BD Campos'!$W$2,IF(F455="","ERRO",10*F455)*'BD Campos'!$W$3)</f>
        <v>0.89999999999999991</v>
      </c>
      <c r="H455" s="40">
        <v>0.05</v>
      </c>
      <c r="I455" s="41">
        <f t="shared" si="16"/>
        <v>-4.4999999999999998E-2</v>
      </c>
    </row>
    <row r="456" spans="1:9" hidden="1" x14ac:dyDescent="0.35">
      <c r="A456" s="37" t="str">
        <f t="shared" si="15"/>
        <v>DESLIGAMENTO (TEMPERATURA)Cliente5</v>
      </c>
      <c r="B456" s="37" t="s">
        <v>406</v>
      </c>
      <c r="C456" s="37" t="s">
        <v>124</v>
      </c>
      <c r="D456" s="37">
        <v>5</v>
      </c>
      <c r="E456" s="37" t="s">
        <v>1216</v>
      </c>
      <c r="F456" s="38">
        <v>0.09</v>
      </c>
      <c r="G456" s="39">
        <f>IF(OR(B456="FIXO",B456="XFIXO"),IF(F456="","ERRO",10*F456)*'BD Campos'!$W$2,IF(F456="","ERRO",10*F456)*'BD Campos'!$W$3)</f>
        <v>0.89999999999999991</v>
      </c>
      <c r="H456" s="40">
        <v>0.05</v>
      </c>
      <c r="I456" s="41">
        <f t="shared" si="16"/>
        <v>-4.4999999999999998E-2</v>
      </c>
    </row>
    <row r="457" spans="1:9" hidden="1" x14ac:dyDescent="0.35">
      <c r="A457" s="37" t="str">
        <f t="shared" si="15"/>
        <v>DESLIGAMENTO (TEMPERATURA)Cliente6</v>
      </c>
      <c r="B457" s="37" t="s">
        <v>406</v>
      </c>
      <c r="C457" s="37" t="s">
        <v>124</v>
      </c>
      <c r="D457" s="37">
        <v>6</v>
      </c>
      <c r="E457" s="37" t="s">
        <v>1217</v>
      </c>
      <c r="F457" s="38">
        <v>0.1</v>
      </c>
      <c r="G457" s="39">
        <f>IF(OR(B457="FIXO",B457="XFIXO"),IF(F457="","ERRO",10*F457)*'BD Campos'!$W$2,IF(F457="","ERRO",10*F457)*'BD Campos'!$W$3)</f>
        <v>1</v>
      </c>
      <c r="H457" s="40">
        <v>0.05</v>
      </c>
      <c r="I457" s="41">
        <f t="shared" si="16"/>
        <v>-0.05</v>
      </c>
    </row>
    <row r="458" spans="1:9" hidden="1" x14ac:dyDescent="0.35">
      <c r="A458" s="37" t="str">
        <f t="shared" si="15"/>
        <v>DESLIGAMENTO (TEMPERATURA)Cliente7</v>
      </c>
      <c r="B458" s="37" t="s">
        <v>406</v>
      </c>
      <c r="C458" s="37" t="s">
        <v>124</v>
      </c>
      <c r="D458" s="37">
        <v>7</v>
      </c>
      <c r="E458" s="37" t="s">
        <v>1257</v>
      </c>
      <c r="F458" s="38">
        <v>0.1</v>
      </c>
      <c r="G458" s="39">
        <f>IF(OR(B458="FIXO",B458="XFIXO"),IF(F458="","ERRO",10*F458)*'BD Campos'!$W$2,IF(F458="","ERRO",10*F458)*'BD Campos'!$W$3)</f>
        <v>1</v>
      </c>
      <c r="H458" s="40">
        <v>0.05</v>
      </c>
      <c r="I458" s="41">
        <f t="shared" si="16"/>
        <v>-0.05</v>
      </c>
    </row>
    <row r="459" spans="1:9" hidden="1" x14ac:dyDescent="0.35">
      <c r="A459" s="37" t="str">
        <f t="shared" si="15"/>
        <v>DESLIGAMENTO (TEMPERATURA)Cliente8</v>
      </c>
      <c r="B459" s="37" t="s">
        <v>406</v>
      </c>
      <c r="C459" s="37" t="s">
        <v>124</v>
      </c>
      <c r="D459" s="37">
        <v>8</v>
      </c>
      <c r="E459" s="37" t="s">
        <v>1270</v>
      </c>
      <c r="F459" s="38">
        <v>0.11</v>
      </c>
      <c r="G459" s="39">
        <f>IF(OR(B459="FIXO",B459="XFIXO"),IF(F459="","ERRO",10*F459)*'BD Campos'!$W$2,IF(F459="","ERRO",10*F459)*'BD Campos'!$W$3)</f>
        <v>1.1000000000000001</v>
      </c>
      <c r="H459" s="40">
        <v>0.05</v>
      </c>
      <c r="I459" s="41">
        <f t="shared" si="16"/>
        <v>-5.5000000000000007E-2</v>
      </c>
    </row>
    <row r="460" spans="1:9" hidden="1" x14ac:dyDescent="0.35">
      <c r="A460" s="37" t="str">
        <f t="shared" si="15"/>
        <v>DESLIGAMENTO (TEMPERATURA)Cliente9</v>
      </c>
      <c r="B460" s="37" t="s">
        <v>406</v>
      </c>
      <c r="C460" s="37" t="s">
        <v>124</v>
      </c>
      <c r="D460" s="37">
        <v>9</v>
      </c>
      <c r="E460" s="37" t="s">
        <v>1271</v>
      </c>
      <c r="F460" s="38">
        <v>0.11</v>
      </c>
      <c r="G460" s="39">
        <f>IF(OR(B460="FIXO",B460="XFIXO"),IF(F460="","ERRO",10*F460)*'BD Campos'!$W$2,IF(F460="","ERRO",10*F460)*'BD Campos'!$W$3)</f>
        <v>1.1000000000000001</v>
      </c>
      <c r="H460" s="40">
        <v>0.05</v>
      </c>
      <c r="I460" s="41">
        <f t="shared" si="16"/>
        <v>-5.5000000000000007E-2</v>
      </c>
    </row>
    <row r="461" spans="1:9" hidden="1" x14ac:dyDescent="0.35">
      <c r="A461" s="37" t="str">
        <f t="shared" si="15"/>
        <v>DESLIGAMENTO (TEMPERATURA)Cliente10</v>
      </c>
      <c r="B461" s="37" t="s">
        <v>406</v>
      </c>
      <c r="C461" s="37" t="s">
        <v>124</v>
      </c>
      <c r="D461" s="37">
        <v>10</v>
      </c>
      <c r="E461" s="37" t="s">
        <v>1274</v>
      </c>
      <c r="F461" s="38">
        <v>0.12</v>
      </c>
      <c r="G461" s="39">
        <f>IF(OR(B461="FIXO",B461="XFIXO"),IF(F461="","ERRO",10*F461)*'BD Campos'!$W$2,IF(F461="","ERRO",10*F461)*'BD Campos'!$W$3)</f>
        <v>1.2</v>
      </c>
      <c r="H461" s="40">
        <v>0.05</v>
      </c>
      <c r="I461" s="41">
        <f t="shared" si="16"/>
        <v>-0.06</v>
      </c>
    </row>
    <row r="462" spans="1:9" hidden="1" x14ac:dyDescent="0.35">
      <c r="A462" s="37" t="str">
        <f t="shared" si="15"/>
        <v>DESLIGAMENTO (TEMPERATURA)Cliente 21</v>
      </c>
      <c r="B462" s="37" t="s">
        <v>406</v>
      </c>
      <c r="C462" s="37" t="s">
        <v>185</v>
      </c>
      <c r="D462" s="37">
        <v>1</v>
      </c>
      <c r="E462" s="37" t="s">
        <v>1212</v>
      </c>
      <c r="F462" s="38">
        <v>0.1</v>
      </c>
      <c r="G462" s="39">
        <f>IF(OR(B462="FIXO",B462="XFIXO"),IF(F462="","ERRO",10*F462)*'BD Campos'!$W$2,IF(F462="","ERRO",10*F462)*'BD Campos'!$W$3)</f>
        <v>1</v>
      </c>
      <c r="H462" s="40">
        <v>0.05</v>
      </c>
      <c r="I462" s="41">
        <f t="shared" si="16"/>
        <v>-0.05</v>
      </c>
    </row>
    <row r="463" spans="1:9" hidden="1" x14ac:dyDescent="0.35">
      <c r="A463" s="37" t="str">
        <f t="shared" si="15"/>
        <v>DESLIGAMENTO (TEMPERATURA)Cliente 22</v>
      </c>
      <c r="B463" s="37" t="s">
        <v>406</v>
      </c>
      <c r="C463" s="37" t="s">
        <v>185</v>
      </c>
      <c r="D463" s="37">
        <v>2</v>
      </c>
      <c r="E463" s="37" t="s">
        <v>1213</v>
      </c>
      <c r="F463" s="38">
        <v>0.09</v>
      </c>
      <c r="G463" s="39">
        <f>IF(OR(B463="FIXO",B463="XFIXO"),IF(F463="","ERRO",10*F463)*'BD Campos'!$W$2,IF(F463="","ERRO",10*F463)*'BD Campos'!$W$3)</f>
        <v>0.89999999999999991</v>
      </c>
      <c r="H463" s="40">
        <v>0.05</v>
      </c>
      <c r="I463" s="41">
        <f t="shared" si="16"/>
        <v>-4.4999999999999998E-2</v>
      </c>
    </row>
    <row r="464" spans="1:9" hidden="1" x14ac:dyDescent="0.35">
      <c r="A464" s="37" t="str">
        <f t="shared" si="15"/>
        <v>DESLIGAMENTO (TEMPERATURA)Cliente 23</v>
      </c>
      <c r="B464" s="37" t="s">
        <v>406</v>
      </c>
      <c r="C464" s="37" t="s">
        <v>185</v>
      </c>
      <c r="D464" s="37">
        <v>3</v>
      </c>
      <c r="E464" s="37" t="s">
        <v>1214</v>
      </c>
      <c r="F464" s="38">
        <v>0.09</v>
      </c>
      <c r="G464" s="39">
        <f>IF(OR(B464="FIXO",B464="XFIXO"),IF(F464="","ERRO",10*F464)*'BD Campos'!$W$2,IF(F464="","ERRO",10*F464)*'BD Campos'!$W$3)</f>
        <v>0.89999999999999991</v>
      </c>
      <c r="H464" s="40">
        <v>0.05</v>
      </c>
      <c r="I464" s="41">
        <f t="shared" si="16"/>
        <v>-4.4999999999999998E-2</v>
      </c>
    </row>
    <row r="465" spans="1:9" hidden="1" x14ac:dyDescent="0.35">
      <c r="A465" s="37" t="str">
        <f t="shared" si="15"/>
        <v>DESLIGAMENTO (TEMPERATURA)Cliente 24</v>
      </c>
      <c r="B465" s="37" t="s">
        <v>406</v>
      </c>
      <c r="C465" s="37" t="s">
        <v>185</v>
      </c>
      <c r="D465" s="37">
        <v>4</v>
      </c>
      <c r="E465" s="37" t="s">
        <v>1215</v>
      </c>
      <c r="F465" s="38">
        <v>0.09</v>
      </c>
      <c r="G465" s="39">
        <f>IF(OR(B465="FIXO",B465="XFIXO"),IF(F465="","ERRO",10*F465)*'BD Campos'!$W$2,IF(F465="","ERRO",10*F465)*'BD Campos'!$W$3)</f>
        <v>0.89999999999999991</v>
      </c>
      <c r="H465" s="40">
        <v>0.05</v>
      </c>
      <c r="I465" s="41">
        <f t="shared" si="16"/>
        <v>-4.4999999999999998E-2</v>
      </c>
    </row>
    <row r="466" spans="1:9" hidden="1" x14ac:dyDescent="0.35">
      <c r="A466" s="37" t="str">
        <f t="shared" si="15"/>
        <v>DESLIGAMENTO (TEMPERATURA)Cliente 25</v>
      </c>
      <c r="B466" s="37" t="s">
        <v>406</v>
      </c>
      <c r="C466" s="37" t="s">
        <v>185</v>
      </c>
      <c r="D466" s="37">
        <v>5</v>
      </c>
      <c r="E466" s="37" t="s">
        <v>1216</v>
      </c>
      <c r="F466" s="38">
        <v>0.09</v>
      </c>
      <c r="G466" s="39">
        <f>IF(OR(B466="FIXO",B466="XFIXO"),IF(F466="","ERRO",10*F466)*'BD Campos'!$W$2,IF(F466="","ERRO",10*F466)*'BD Campos'!$W$3)</f>
        <v>0.89999999999999991</v>
      </c>
      <c r="H466" s="40">
        <v>0.05</v>
      </c>
      <c r="I466" s="41">
        <f t="shared" si="16"/>
        <v>-4.4999999999999998E-2</v>
      </c>
    </row>
    <row r="467" spans="1:9" hidden="1" x14ac:dyDescent="0.35">
      <c r="A467" s="37" t="str">
        <f t="shared" si="15"/>
        <v>DESLIGAMENTO (TEMPERATURA)Cliente 26</v>
      </c>
      <c r="B467" s="37" t="s">
        <v>406</v>
      </c>
      <c r="C467" s="37" t="s">
        <v>185</v>
      </c>
      <c r="D467" s="37">
        <v>6</v>
      </c>
      <c r="E467" s="37" t="s">
        <v>1217</v>
      </c>
      <c r="F467" s="38">
        <v>0.1</v>
      </c>
      <c r="G467" s="39">
        <f>IF(OR(B467="FIXO",B467="XFIXO"),IF(F467="","ERRO",10*F467)*'BD Campos'!$W$2,IF(F467="","ERRO",10*F467)*'BD Campos'!$W$3)</f>
        <v>1</v>
      </c>
      <c r="H467" s="40">
        <v>0.05</v>
      </c>
      <c r="I467" s="41">
        <f t="shared" si="16"/>
        <v>-0.05</v>
      </c>
    </row>
    <row r="468" spans="1:9" hidden="1" x14ac:dyDescent="0.35">
      <c r="A468" s="37" t="str">
        <f t="shared" si="15"/>
        <v>DESLIGAMENTO (TEMPERATURA)Cliente 27</v>
      </c>
      <c r="B468" s="37" t="s">
        <v>406</v>
      </c>
      <c r="C468" s="37" t="s">
        <v>185</v>
      </c>
      <c r="D468" s="37">
        <v>7</v>
      </c>
      <c r="E468" s="37" t="s">
        <v>1257</v>
      </c>
      <c r="F468" s="38">
        <v>0.1</v>
      </c>
      <c r="G468" s="39">
        <f>IF(OR(B468="FIXO",B468="XFIXO"),IF(F468="","ERRO",10*F468)*'BD Campos'!$W$2,IF(F468="","ERRO",10*F468)*'BD Campos'!$W$3)</f>
        <v>1</v>
      </c>
      <c r="H468" s="40">
        <v>0.05</v>
      </c>
      <c r="I468" s="41">
        <f t="shared" si="16"/>
        <v>-0.05</v>
      </c>
    </row>
    <row r="469" spans="1:9" hidden="1" x14ac:dyDescent="0.35">
      <c r="A469" s="37" t="str">
        <f t="shared" si="15"/>
        <v>DESLIGAMENTO (TEMPERATURA)Cliente 28</v>
      </c>
      <c r="B469" s="37" t="s">
        <v>406</v>
      </c>
      <c r="C469" s="37" t="s">
        <v>185</v>
      </c>
      <c r="D469" s="37">
        <v>8</v>
      </c>
      <c r="E469" s="37" t="s">
        <v>1270</v>
      </c>
      <c r="F469" s="38">
        <v>0.11</v>
      </c>
      <c r="G469" s="39">
        <f>IF(OR(B469="FIXO",B469="XFIXO"),IF(F469="","ERRO",10*F469)*'BD Campos'!$W$2,IF(F469="","ERRO",10*F469)*'BD Campos'!$W$3)</f>
        <v>1.1000000000000001</v>
      </c>
      <c r="H469" s="40">
        <v>0.05</v>
      </c>
      <c r="I469" s="41">
        <f t="shared" si="16"/>
        <v>-5.5000000000000007E-2</v>
      </c>
    </row>
    <row r="470" spans="1:9" hidden="1" x14ac:dyDescent="0.35">
      <c r="A470" s="37" t="str">
        <f t="shared" si="15"/>
        <v>DESLIGAMENTO (TEMPERATURA)Cliente 29</v>
      </c>
      <c r="B470" s="37" t="s">
        <v>406</v>
      </c>
      <c r="C470" s="37" t="s">
        <v>185</v>
      </c>
      <c r="D470" s="37">
        <v>9</v>
      </c>
      <c r="E470" s="37" t="s">
        <v>1271</v>
      </c>
      <c r="F470" s="38">
        <v>0.11</v>
      </c>
      <c r="G470" s="39">
        <f>IF(OR(B470="FIXO",B470="XFIXO"),IF(F470="","ERRO",10*F470)*'BD Campos'!$W$2,IF(F470="","ERRO",10*F470)*'BD Campos'!$W$3)</f>
        <v>1.1000000000000001</v>
      </c>
      <c r="H470" s="40">
        <v>0.05</v>
      </c>
      <c r="I470" s="41">
        <f t="shared" si="16"/>
        <v>-5.5000000000000007E-2</v>
      </c>
    </row>
    <row r="471" spans="1:9" hidden="1" x14ac:dyDescent="0.35">
      <c r="A471" s="37" t="str">
        <f t="shared" si="15"/>
        <v>DESLIGAMENTO (TEMPERATURA)Cliente 210</v>
      </c>
      <c r="B471" s="37" t="s">
        <v>406</v>
      </c>
      <c r="C471" s="37" t="s">
        <v>185</v>
      </c>
      <c r="D471" s="37">
        <v>10</v>
      </c>
      <c r="E471" s="37" t="s">
        <v>1274</v>
      </c>
      <c r="F471" s="38">
        <v>0.12</v>
      </c>
      <c r="G471" s="39">
        <f>IF(OR(B471="FIXO",B471="XFIXO"),IF(F471="","ERRO",10*F471)*'BD Campos'!$W$2,IF(F471="","ERRO",10*F471)*'BD Campos'!$W$3)</f>
        <v>1.2</v>
      </c>
      <c r="H471" s="40">
        <v>0.05</v>
      </c>
      <c r="I471" s="41">
        <f t="shared" si="16"/>
        <v>-0.06</v>
      </c>
    </row>
    <row r="472" spans="1:9" hidden="1" x14ac:dyDescent="0.35">
      <c r="A472" s="37" t="str">
        <f t="shared" si="15"/>
        <v>ATRASO DE ENTREGAMotorista1</v>
      </c>
      <c r="B472" s="37" t="s">
        <v>203</v>
      </c>
      <c r="C472" s="37" t="s">
        <v>122</v>
      </c>
      <c r="D472" s="37">
        <v>1</v>
      </c>
      <c r="E472" s="37" t="s">
        <v>1212</v>
      </c>
      <c r="F472" s="38">
        <v>0.1</v>
      </c>
      <c r="G472" s="39">
        <f>IF(OR(B472="FIXO",B472="XFIXO"),IF(F472="","ERRO",10*F472)*'BD Campos'!$W$2,IF(F472="","ERRO",10*F472)*'BD Campos'!$W$3)</f>
        <v>1</v>
      </c>
      <c r="H472" s="40">
        <v>0.05</v>
      </c>
      <c r="I472" s="41">
        <f t="shared" si="16"/>
        <v>-0.05</v>
      </c>
    </row>
    <row r="473" spans="1:9" hidden="1" x14ac:dyDescent="0.35">
      <c r="A473" s="37" t="str">
        <f t="shared" si="15"/>
        <v>ATRASO DE ENTREGAMotorista2</v>
      </c>
      <c r="B473" s="37" t="s">
        <v>203</v>
      </c>
      <c r="C473" s="37" t="s">
        <v>122</v>
      </c>
      <c r="D473" s="37">
        <v>2</v>
      </c>
      <c r="E473" s="37" t="s">
        <v>1213</v>
      </c>
      <c r="F473" s="38">
        <v>0.1</v>
      </c>
      <c r="G473" s="39">
        <f>IF(OR(B473="FIXO",B473="XFIXO"),IF(F473="","ERRO",10*F473)*'BD Campos'!$W$2,IF(F473="","ERRO",10*F473)*'BD Campos'!$W$3)</f>
        <v>1</v>
      </c>
      <c r="H473" s="40">
        <v>0.05</v>
      </c>
      <c r="I473" s="41">
        <f t="shared" si="16"/>
        <v>-0.05</v>
      </c>
    </row>
    <row r="474" spans="1:9" hidden="1" x14ac:dyDescent="0.35">
      <c r="A474" s="37" t="str">
        <f t="shared" si="15"/>
        <v>ATRASO DE ENTREGAMotorista3</v>
      </c>
      <c r="B474" s="37" t="s">
        <v>203</v>
      </c>
      <c r="C474" s="37" t="s">
        <v>122</v>
      </c>
      <c r="D474" s="37">
        <v>3</v>
      </c>
      <c r="E474" s="37" t="s">
        <v>1214</v>
      </c>
      <c r="F474" s="38">
        <v>0.1</v>
      </c>
      <c r="G474" s="39">
        <f>IF(OR(B474="FIXO",B474="XFIXO"),IF(F474="","ERRO",10*F474)*'BD Campos'!$W$2,IF(F474="","ERRO",10*F474)*'BD Campos'!$W$3)</f>
        <v>1</v>
      </c>
      <c r="H474" s="40">
        <v>0.05</v>
      </c>
      <c r="I474" s="41">
        <f t="shared" si="16"/>
        <v>-0.05</v>
      </c>
    </row>
    <row r="475" spans="1:9" hidden="1" x14ac:dyDescent="0.35">
      <c r="A475" s="37" t="str">
        <f t="shared" si="15"/>
        <v>ATRASO DE ENTREGAMotorista4</v>
      </c>
      <c r="B475" s="37" t="s">
        <v>203</v>
      </c>
      <c r="C475" s="37" t="s">
        <v>122</v>
      </c>
      <c r="D475" s="37">
        <v>4</v>
      </c>
      <c r="E475" s="37" t="s">
        <v>1215</v>
      </c>
      <c r="F475" s="38">
        <v>0.1</v>
      </c>
      <c r="G475" s="39">
        <f>IF(OR(B475="FIXO",B475="XFIXO"),IF(F475="","ERRO",10*F475)*'BD Campos'!$W$2,IF(F475="","ERRO",10*F475)*'BD Campos'!$W$3)</f>
        <v>1</v>
      </c>
      <c r="H475" s="40">
        <v>0.05</v>
      </c>
      <c r="I475" s="41">
        <f t="shared" si="16"/>
        <v>-0.05</v>
      </c>
    </row>
    <row r="476" spans="1:9" hidden="1" x14ac:dyDescent="0.35">
      <c r="A476" s="37" t="str">
        <f t="shared" si="15"/>
        <v>ATRASO DE ENTREGAMotorista5</v>
      </c>
      <c r="B476" s="37" t="s">
        <v>203</v>
      </c>
      <c r="C476" s="37" t="s">
        <v>122</v>
      </c>
      <c r="D476" s="37">
        <v>5</v>
      </c>
      <c r="E476" s="37" t="s">
        <v>1216</v>
      </c>
      <c r="F476" s="38">
        <v>0.1</v>
      </c>
      <c r="G476" s="39">
        <f>IF(OR(B476="FIXO",B476="XFIXO"),IF(F476="","ERRO",10*F476)*'BD Campos'!$W$2,IF(F476="","ERRO",10*F476)*'BD Campos'!$W$3)</f>
        <v>1</v>
      </c>
      <c r="H476" s="40">
        <v>0.05</v>
      </c>
      <c r="I476" s="41">
        <f t="shared" si="16"/>
        <v>-0.05</v>
      </c>
    </row>
    <row r="477" spans="1:9" hidden="1" x14ac:dyDescent="0.35">
      <c r="A477" s="37" t="str">
        <f t="shared" si="15"/>
        <v>ATRASO DE ENTREGAMotorista6</v>
      </c>
      <c r="B477" s="37" t="s">
        <v>203</v>
      </c>
      <c r="C477" s="37" t="s">
        <v>122</v>
      </c>
      <c r="D477" s="37">
        <v>6</v>
      </c>
      <c r="E477" s="37" t="s">
        <v>1217</v>
      </c>
      <c r="F477" s="38">
        <v>0.1</v>
      </c>
      <c r="G477" s="39">
        <f>IF(OR(B477="FIXO",B477="XFIXO"),IF(F477="","ERRO",10*F477)*'BD Campos'!$W$2,IF(F477="","ERRO",10*F477)*'BD Campos'!$W$3)</f>
        <v>1</v>
      </c>
      <c r="H477" s="40">
        <v>0.05</v>
      </c>
      <c r="I477" s="41">
        <f t="shared" si="16"/>
        <v>-0.05</v>
      </c>
    </row>
    <row r="478" spans="1:9" hidden="1" x14ac:dyDescent="0.35">
      <c r="A478" s="37" t="str">
        <f t="shared" si="15"/>
        <v>ATRASO DE ENTREGAMotorista7</v>
      </c>
      <c r="B478" s="37" t="s">
        <v>203</v>
      </c>
      <c r="C478" s="37" t="s">
        <v>122</v>
      </c>
      <c r="D478" s="37">
        <v>7</v>
      </c>
      <c r="E478" s="37" t="s">
        <v>1257</v>
      </c>
      <c r="F478" s="38">
        <v>0.1</v>
      </c>
      <c r="G478" s="39">
        <f>IF(OR(B478="FIXO",B478="XFIXO"),IF(F478="","ERRO",10*F478)*'BD Campos'!$W$2,IF(F478="","ERRO",10*F478)*'BD Campos'!$W$3)</f>
        <v>1</v>
      </c>
      <c r="H478" s="40">
        <v>0.05</v>
      </c>
      <c r="I478" s="41">
        <f t="shared" si="16"/>
        <v>-0.05</v>
      </c>
    </row>
    <row r="479" spans="1:9" hidden="1" x14ac:dyDescent="0.35">
      <c r="A479" s="37" t="str">
        <f t="shared" si="15"/>
        <v>ATRASO DE ENTREGAMotorista8</v>
      </c>
      <c r="B479" s="37" t="s">
        <v>203</v>
      </c>
      <c r="C479" s="37" t="s">
        <v>122</v>
      </c>
      <c r="D479" s="37">
        <v>8</v>
      </c>
      <c r="E479" s="37" t="s">
        <v>1275</v>
      </c>
      <c r="F479" s="38">
        <v>0.1</v>
      </c>
      <c r="G479" s="39">
        <f>IF(OR(B479="FIXO",B479="XFIXO"),IF(F479="","ERRO",10*F479)*'BD Campos'!$W$2,IF(F479="","ERRO",10*F479)*'BD Campos'!$W$3)</f>
        <v>1</v>
      </c>
      <c r="H479" s="40">
        <v>0.05</v>
      </c>
      <c r="I479" s="41">
        <f t="shared" si="16"/>
        <v>-0.05</v>
      </c>
    </row>
    <row r="480" spans="1:9" hidden="1" x14ac:dyDescent="0.35">
      <c r="A480" s="37" t="str">
        <f t="shared" si="15"/>
        <v>ATRASO DE ENTREGAMotorista9</v>
      </c>
      <c r="B480" s="37" t="s">
        <v>203</v>
      </c>
      <c r="C480" s="37" t="s">
        <v>122</v>
      </c>
      <c r="D480" s="37">
        <v>9</v>
      </c>
      <c r="E480" s="37" t="s">
        <v>1276</v>
      </c>
      <c r="F480" s="38">
        <v>0.2</v>
      </c>
      <c r="G480" s="39">
        <f>IF(OR(B480="FIXO",B480="XFIXO"),IF(F480="","ERRO",10*F480)*'BD Campos'!$W$2,IF(F480="","ERRO",10*F480)*'BD Campos'!$W$3)</f>
        <v>2</v>
      </c>
      <c r="H480" s="40">
        <v>0.05</v>
      </c>
      <c r="I480" s="41">
        <f t="shared" si="16"/>
        <v>-0.1</v>
      </c>
    </row>
    <row r="481" spans="1:9" hidden="1" x14ac:dyDescent="0.35">
      <c r="A481" s="37" t="str">
        <f t="shared" si="15"/>
        <v>ATRASO DE ENTREGAMotorista 21</v>
      </c>
      <c r="B481" s="37" t="s">
        <v>203</v>
      </c>
      <c r="C481" s="37" t="s">
        <v>204</v>
      </c>
      <c r="D481" s="37">
        <v>1</v>
      </c>
      <c r="E481" s="37" t="s">
        <v>1212</v>
      </c>
      <c r="F481" s="38">
        <v>0.1</v>
      </c>
      <c r="G481" s="39">
        <f>IF(OR(B481="FIXO",B481="XFIXO"),IF(F481="","ERRO",10*F481)*'BD Campos'!$W$2,IF(F481="","ERRO",10*F481)*'BD Campos'!$W$3)</f>
        <v>1</v>
      </c>
      <c r="H481" s="40">
        <v>0.05</v>
      </c>
      <c r="I481" s="41">
        <f t="shared" si="16"/>
        <v>-0.05</v>
      </c>
    </row>
    <row r="482" spans="1:9" hidden="1" x14ac:dyDescent="0.35">
      <c r="A482" s="37" t="str">
        <f t="shared" si="15"/>
        <v>ATRASO DE ENTREGAMotorista 22</v>
      </c>
      <c r="B482" s="37" t="s">
        <v>203</v>
      </c>
      <c r="C482" s="37" t="s">
        <v>204</v>
      </c>
      <c r="D482" s="37">
        <v>2</v>
      </c>
      <c r="E482" s="37" t="s">
        <v>1213</v>
      </c>
      <c r="F482" s="38">
        <v>0.1</v>
      </c>
      <c r="G482" s="39">
        <f>IF(OR(B482="FIXO",B482="XFIXO"),IF(F482="","ERRO",10*F482)*'BD Campos'!$W$2,IF(F482="","ERRO",10*F482)*'BD Campos'!$W$3)</f>
        <v>1</v>
      </c>
      <c r="H482" s="40">
        <v>0.05</v>
      </c>
      <c r="I482" s="41">
        <f t="shared" si="16"/>
        <v>-0.05</v>
      </c>
    </row>
    <row r="483" spans="1:9" hidden="1" x14ac:dyDescent="0.35">
      <c r="A483" s="37" t="str">
        <f t="shared" si="15"/>
        <v>ATRASO DE ENTREGAMotorista 23</v>
      </c>
      <c r="B483" s="37" t="s">
        <v>203</v>
      </c>
      <c r="C483" s="37" t="s">
        <v>204</v>
      </c>
      <c r="D483" s="37">
        <v>3</v>
      </c>
      <c r="E483" s="37" t="s">
        <v>1214</v>
      </c>
      <c r="F483" s="38">
        <v>0.1</v>
      </c>
      <c r="G483" s="39">
        <f>IF(OR(B483="FIXO",B483="XFIXO"),IF(F483="","ERRO",10*F483)*'BD Campos'!$W$2,IF(F483="","ERRO",10*F483)*'BD Campos'!$W$3)</f>
        <v>1</v>
      </c>
      <c r="H483" s="40">
        <v>0.05</v>
      </c>
      <c r="I483" s="41">
        <f t="shared" si="16"/>
        <v>-0.05</v>
      </c>
    </row>
    <row r="484" spans="1:9" hidden="1" x14ac:dyDescent="0.35">
      <c r="A484" s="37" t="str">
        <f t="shared" si="15"/>
        <v>ATRASO DE ENTREGAMotorista 24</v>
      </c>
      <c r="B484" s="37" t="s">
        <v>203</v>
      </c>
      <c r="C484" s="37" t="s">
        <v>204</v>
      </c>
      <c r="D484" s="37">
        <v>4</v>
      </c>
      <c r="E484" s="37" t="s">
        <v>1215</v>
      </c>
      <c r="F484" s="38">
        <v>0.1</v>
      </c>
      <c r="G484" s="39">
        <f>IF(OR(B484="FIXO",B484="XFIXO"),IF(F484="","ERRO",10*F484)*'BD Campos'!$W$2,IF(F484="","ERRO",10*F484)*'BD Campos'!$W$3)</f>
        <v>1</v>
      </c>
      <c r="H484" s="40">
        <v>0.05</v>
      </c>
      <c r="I484" s="41">
        <f t="shared" si="16"/>
        <v>-0.05</v>
      </c>
    </row>
    <row r="485" spans="1:9" hidden="1" x14ac:dyDescent="0.35">
      <c r="A485" s="37" t="str">
        <f t="shared" si="15"/>
        <v>ATRASO DE ENTREGAMotorista 25</v>
      </c>
      <c r="B485" s="37" t="s">
        <v>203</v>
      </c>
      <c r="C485" s="37" t="s">
        <v>204</v>
      </c>
      <c r="D485" s="37">
        <v>5</v>
      </c>
      <c r="E485" s="37" t="s">
        <v>1216</v>
      </c>
      <c r="F485" s="38">
        <v>0.1</v>
      </c>
      <c r="G485" s="39">
        <f>IF(OR(B485="FIXO",B485="XFIXO"),IF(F485="","ERRO",10*F485)*'BD Campos'!$W$2,IF(F485="","ERRO",10*F485)*'BD Campos'!$W$3)</f>
        <v>1</v>
      </c>
      <c r="H485" s="40">
        <v>0.05</v>
      </c>
      <c r="I485" s="41">
        <f t="shared" si="16"/>
        <v>-0.05</v>
      </c>
    </row>
    <row r="486" spans="1:9" hidden="1" x14ac:dyDescent="0.35">
      <c r="A486" s="37" t="str">
        <f t="shared" si="15"/>
        <v>ATRASO DE ENTREGAMotorista 26</v>
      </c>
      <c r="B486" s="37" t="s">
        <v>203</v>
      </c>
      <c r="C486" s="37" t="s">
        <v>204</v>
      </c>
      <c r="D486" s="37">
        <v>6</v>
      </c>
      <c r="E486" s="37" t="s">
        <v>1217</v>
      </c>
      <c r="F486" s="38">
        <v>0.1</v>
      </c>
      <c r="G486" s="39">
        <f>IF(OR(B486="FIXO",B486="XFIXO"),IF(F486="","ERRO",10*F486)*'BD Campos'!$W$2,IF(F486="","ERRO",10*F486)*'BD Campos'!$W$3)</f>
        <v>1</v>
      </c>
      <c r="H486" s="40">
        <v>0.05</v>
      </c>
      <c r="I486" s="41">
        <f t="shared" si="16"/>
        <v>-0.05</v>
      </c>
    </row>
    <row r="487" spans="1:9" hidden="1" x14ac:dyDescent="0.35">
      <c r="A487" s="37" t="str">
        <f t="shared" si="15"/>
        <v>ATRASO DE ENTREGAMotorista 27</v>
      </c>
      <c r="B487" s="37" t="s">
        <v>203</v>
      </c>
      <c r="C487" s="37" t="s">
        <v>204</v>
      </c>
      <c r="D487" s="37">
        <v>7</v>
      </c>
      <c r="E487" s="37" t="s">
        <v>1257</v>
      </c>
      <c r="F487" s="38">
        <v>0.1</v>
      </c>
      <c r="G487" s="39">
        <f>IF(OR(B487="FIXO",B487="XFIXO"),IF(F487="","ERRO",10*F487)*'BD Campos'!$W$2,IF(F487="","ERRO",10*F487)*'BD Campos'!$W$3)</f>
        <v>1</v>
      </c>
      <c r="H487" s="40">
        <v>0.05</v>
      </c>
      <c r="I487" s="41">
        <f t="shared" si="16"/>
        <v>-0.05</v>
      </c>
    </row>
    <row r="488" spans="1:9" hidden="1" x14ac:dyDescent="0.35">
      <c r="A488" s="37" t="str">
        <f t="shared" si="15"/>
        <v>ATRASO DE ENTREGAMotorista 28</v>
      </c>
      <c r="B488" s="37" t="s">
        <v>203</v>
      </c>
      <c r="C488" s="37" t="s">
        <v>204</v>
      </c>
      <c r="D488" s="37">
        <v>8</v>
      </c>
      <c r="E488" s="37" t="s">
        <v>1275</v>
      </c>
      <c r="F488" s="38">
        <v>0.1</v>
      </c>
      <c r="G488" s="39">
        <f>IF(OR(B488="FIXO",B488="XFIXO"),IF(F488="","ERRO",10*F488)*'BD Campos'!$W$2,IF(F488="","ERRO",10*F488)*'BD Campos'!$W$3)</f>
        <v>1</v>
      </c>
      <c r="H488" s="40">
        <v>0.05</v>
      </c>
      <c r="I488" s="41">
        <f t="shared" si="16"/>
        <v>-0.05</v>
      </c>
    </row>
    <row r="489" spans="1:9" hidden="1" x14ac:dyDescent="0.35">
      <c r="A489" s="37" t="str">
        <f t="shared" si="15"/>
        <v>ATRASO DE ENTREGAMotorista 29</v>
      </c>
      <c r="B489" s="37" t="s">
        <v>203</v>
      </c>
      <c r="C489" s="37" t="s">
        <v>204</v>
      </c>
      <c r="D489" s="37">
        <v>9</v>
      </c>
      <c r="E489" s="37" t="s">
        <v>1276</v>
      </c>
      <c r="F489" s="38">
        <v>0.2</v>
      </c>
      <c r="G489" s="39">
        <f>IF(OR(B489="FIXO",B489="XFIXO"),IF(F489="","ERRO",10*F489)*'BD Campos'!$W$2,IF(F489="","ERRO",10*F489)*'BD Campos'!$W$3)</f>
        <v>2</v>
      </c>
      <c r="H489" s="40">
        <v>0.05</v>
      </c>
      <c r="I489" s="41">
        <f t="shared" si="16"/>
        <v>-0.1</v>
      </c>
    </row>
    <row r="490" spans="1:9" hidden="1" x14ac:dyDescent="0.35">
      <c r="A490" s="37" t="str">
        <f t="shared" si="15"/>
        <v>ATRASO DE ENTREGACliente1</v>
      </c>
      <c r="B490" s="37" t="s">
        <v>203</v>
      </c>
      <c r="C490" s="37" t="s">
        <v>124</v>
      </c>
      <c r="D490" s="37">
        <v>1</v>
      </c>
      <c r="E490" s="37" t="s">
        <v>1212</v>
      </c>
      <c r="F490" s="38">
        <v>0.09</v>
      </c>
      <c r="G490" s="39">
        <f>IF(OR(B490="FIXO",B490="XFIXO"),IF(F490="","ERRO",10*F490)*'BD Campos'!$W$2,IF(F490="","ERRO",10*F490)*'BD Campos'!$W$3)</f>
        <v>0.89999999999999991</v>
      </c>
      <c r="H490" s="40">
        <v>0.05</v>
      </c>
      <c r="I490" s="41">
        <f t="shared" si="16"/>
        <v>-4.4999999999999998E-2</v>
      </c>
    </row>
    <row r="491" spans="1:9" hidden="1" x14ac:dyDescent="0.35">
      <c r="A491" s="37" t="str">
        <f t="shared" si="15"/>
        <v>ATRASO DE ENTREGACliente2</v>
      </c>
      <c r="B491" s="37" t="s">
        <v>203</v>
      </c>
      <c r="C491" s="37" t="s">
        <v>124</v>
      </c>
      <c r="D491" s="37">
        <v>2</v>
      </c>
      <c r="E491" s="37" t="s">
        <v>1213</v>
      </c>
      <c r="F491" s="38">
        <v>0.09</v>
      </c>
      <c r="G491" s="39">
        <f>IF(OR(B491="FIXO",B491="XFIXO"),IF(F491="","ERRO",10*F491)*'BD Campos'!$W$2,IF(F491="","ERRO",10*F491)*'BD Campos'!$W$3)</f>
        <v>0.89999999999999991</v>
      </c>
      <c r="H491" s="40">
        <v>0.05</v>
      </c>
      <c r="I491" s="41">
        <f t="shared" si="16"/>
        <v>-4.4999999999999998E-2</v>
      </c>
    </row>
    <row r="492" spans="1:9" hidden="1" x14ac:dyDescent="0.35">
      <c r="A492" s="37" t="str">
        <f t="shared" si="15"/>
        <v>ATRASO DE ENTREGACliente3</v>
      </c>
      <c r="B492" s="37" t="s">
        <v>203</v>
      </c>
      <c r="C492" s="37" t="s">
        <v>124</v>
      </c>
      <c r="D492" s="37">
        <v>3</v>
      </c>
      <c r="E492" s="37" t="s">
        <v>1214</v>
      </c>
      <c r="F492" s="38">
        <v>0.09</v>
      </c>
      <c r="G492" s="39">
        <f>IF(OR(B492="FIXO",B492="XFIXO"),IF(F492="","ERRO",10*F492)*'BD Campos'!$W$2,IF(F492="","ERRO",10*F492)*'BD Campos'!$W$3)</f>
        <v>0.89999999999999991</v>
      </c>
      <c r="H492" s="40">
        <v>0.05</v>
      </c>
      <c r="I492" s="41">
        <f t="shared" si="16"/>
        <v>-4.4999999999999998E-2</v>
      </c>
    </row>
    <row r="493" spans="1:9" hidden="1" x14ac:dyDescent="0.35">
      <c r="A493" s="37" t="str">
        <f t="shared" si="15"/>
        <v>ATRASO DE ENTREGACliente4</v>
      </c>
      <c r="B493" s="37" t="s">
        <v>203</v>
      </c>
      <c r="C493" s="37" t="s">
        <v>124</v>
      </c>
      <c r="D493" s="37">
        <v>4</v>
      </c>
      <c r="E493" s="37" t="s">
        <v>1215</v>
      </c>
      <c r="F493" s="38">
        <v>0.09</v>
      </c>
      <c r="G493" s="39">
        <f>IF(OR(B493="FIXO",B493="XFIXO"),IF(F493="","ERRO",10*F493)*'BD Campos'!$W$2,IF(F493="","ERRO",10*F493)*'BD Campos'!$W$3)</f>
        <v>0.89999999999999991</v>
      </c>
      <c r="H493" s="40">
        <v>0.05</v>
      </c>
      <c r="I493" s="41">
        <f t="shared" si="16"/>
        <v>-4.4999999999999998E-2</v>
      </c>
    </row>
    <row r="494" spans="1:9" hidden="1" x14ac:dyDescent="0.35">
      <c r="A494" s="37" t="str">
        <f t="shared" si="15"/>
        <v>ATRASO DE ENTREGACliente5</v>
      </c>
      <c r="B494" s="37" t="s">
        <v>203</v>
      </c>
      <c r="C494" s="37" t="s">
        <v>124</v>
      </c>
      <c r="D494" s="37">
        <v>5</v>
      </c>
      <c r="E494" s="37" t="s">
        <v>1216</v>
      </c>
      <c r="F494" s="38">
        <v>0.1</v>
      </c>
      <c r="G494" s="39">
        <f>IF(OR(B494="FIXO",B494="XFIXO"),IF(F494="","ERRO",10*F494)*'BD Campos'!$W$2,IF(F494="","ERRO",10*F494)*'BD Campos'!$W$3)</f>
        <v>1</v>
      </c>
      <c r="H494" s="40">
        <v>0.05</v>
      </c>
      <c r="I494" s="41">
        <f t="shared" si="16"/>
        <v>-0.05</v>
      </c>
    </row>
    <row r="495" spans="1:9" hidden="1" x14ac:dyDescent="0.35">
      <c r="A495" s="37" t="str">
        <f t="shared" si="15"/>
        <v>ATRASO DE ENTREGACliente6</v>
      </c>
      <c r="B495" s="37" t="s">
        <v>203</v>
      </c>
      <c r="C495" s="37" t="s">
        <v>124</v>
      </c>
      <c r="D495" s="37">
        <v>6</v>
      </c>
      <c r="E495" s="37" t="s">
        <v>1217</v>
      </c>
      <c r="F495" s="38">
        <v>0.1</v>
      </c>
      <c r="G495" s="39">
        <f>IF(OR(B495="FIXO",B495="XFIXO"),IF(F495="","ERRO",10*F495)*'BD Campos'!$W$2,IF(F495="","ERRO",10*F495)*'BD Campos'!$W$3)</f>
        <v>1</v>
      </c>
      <c r="H495" s="40">
        <v>0.05</v>
      </c>
      <c r="I495" s="41">
        <f t="shared" si="16"/>
        <v>-0.05</v>
      </c>
    </row>
    <row r="496" spans="1:9" hidden="1" x14ac:dyDescent="0.35">
      <c r="A496" s="37" t="str">
        <f t="shared" si="15"/>
        <v>ATRASO DE ENTREGACliente7</v>
      </c>
      <c r="B496" s="37" t="s">
        <v>203</v>
      </c>
      <c r="C496" s="37" t="s">
        <v>124</v>
      </c>
      <c r="D496" s="37">
        <v>7</v>
      </c>
      <c r="E496" s="37" t="s">
        <v>1257</v>
      </c>
      <c r="F496" s="38">
        <v>0.11</v>
      </c>
      <c r="G496" s="39">
        <f>IF(OR(B496="FIXO",B496="XFIXO"),IF(F496="","ERRO",10*F496)*'BD Campos'!$W$2,IF(F496="","ERRO",10*F496)*'BD Campos'!$W$3)</f>
        <v>1.1000000000000001</v>
      </c>
      <c r="H496" s="40">
        <v>0.05</v>
      </c>
      <c r="I496" s="41">
        <f t="shared" si="16"/>
        <v>-5.5000000000000007E-2</v>
      </c>
    </row>
    <row r="497" spans="1:9" hidden="1" x14ac:dyDescent="0.35">
      <c r="A497" s="37" t="str">
        <f t="shared" si="15"/>
        <v>ATRASO DE ENTREGACliente8</v>
      </c>
      <c r="B497" s="37" t="s">
        <v>203</v>
      </c>
      <c r="C497" s="37" t="s">
        <v>124</v>
      </c>
      <c r="D497" s="37">
        <v>8</v>
      </c>
      <c r="E497" s="37" t="s">
        <v>1277</v>
      </c>
      <c r="F497" s="38">
        <v>0.11</v>
      </c>
      <c r="G497" s="39">
        <f>IF(OR(B497="FIXO",B497="XFIXO"),IF(F497="","ERRO",10*F497)*'BD Campos'!$W$2,IF(F497="","ERRO",10*F497)*'BD Campos'!$W$3)</f>
        <v>1.1000000000000001</v>
      </c>
      <c r="H497" s="40">
        <v>0.05</v>
      </c>
      <c r="I497" s="41">
        <f t="shared" si="16"/>
        <v>-5.5000000000000007E-2</v>
      </c>
    </row>
    <row r="498" spans="1:9" hidden="1" x14ac:dyDescent="0.35">
      <c r="A498" s="37" t="str">
        <f t="shared" si="15"/>
        <v>ATRASO DE ENTREGACliente9</v>
      </c>
      <c r="B498" s="37" t="s">
        <v>203</v>
      </c>
      <c r="C498" s="37" t="s">
        <v>124</v>
      </c>
      <c r="D498" s="37">
        <v>9</v>
      </c>
      <c r="E498" s="37" t="s">
        <v>1275</v>
      </c>
      <c r="F498" s="38">
        <v>0.11</v>
      </c>
      <c r="G498" s="39">
        <f>IF(OR(B498="FIXO",B498="XFIXO"),IF(F498="","ERRO",10*F498)*'BD Campos'!$W$2,IF(F498="","ERRO",10*F498)*'BD Campos'!$W$3)</f>
        <v>1.1000000000000001</v>
      </c>
      <c r="H498" s="40">
        <v>0.05</v>
      </c>
      <c r="I498" s="41">
        <f t="shared" si="16"/>
        <v>-5.5000000000000007E-2</v>
      </c>
    </row>
    <row r="499" spans="1:9" hidden="1" x14ac:dyDescent="0.35">
      <c r="A499" s="37" t="str">
        <f t="shared" si="15"/>
        <v>ATRASO DE ENTREGACliente10</v>
      </c>
      <c r="B499" s="37" t="s">
        <v>203</v>
      </c>
      <c r="C499" s="37" t="s">
        <v>124</v>
      </c>
      <c r="D499" s="37">
        <v>10</v>
      </c>
      <c r="E499" s="37" t="s">
        <v>1276</v>
      </c>
      <c r="F499" s="38">
        <v>0.11</v>
      </c>
      <c r="G499" s="39">
        <f>IF(OR(B499="FIXO",B499="XFIXO"),IF(F499="","ERRO",10*F499)*'BD Campos'!$W$2,IF(F499="","ERRO",10*F499)*'BD Campos'!$W$3)</f>
        <v>1.1000000000000001</v>
      </c>
      <c r="H499" s="40">
        <v>0.05</v>
      </c>
      <c r="I499" s="41">
        <f t="shared" si="16"/>
        <v>-5.5000000000000007E-2</v>
      </c>
    </row>
    <row r="500" spans="1:9" hidden="1" x14ac:dyDescent="0.35">
      <c r="A500" s="37" t="str">
        <f t="shared" si="15"/>
        <v>ATRASO DE ENTREGACliente 21</v>
      </c>
      <c r="B500" s="37" t="s">
        <v>203</v>
      </c>
      <c r="C500" s="37" t="s">
        <v>185</v>
      </c>
      <c r="D500" s="37">
        <v>1</v>
      </c>
      <c r="E500" s="37" t="s">
        <v>1212</v>
      </c>
      <c r="F500" s="38">
        <v>0.09</v>
      </c>
      <c r="G500" s="39">
        <f>IF(OR(B500="FIXO",B500="XFIXO"),IF(F500="","ERRO",10*F500)*'BD Campos'!$W$2,IF(F500="","ERRO",10*F500)*'BD Campos'!$W$3)</f>
        <v>0.89999999999999991</v>
      </c>
      <c r="H500" s="40">
        <v>0.05</v>
      </c>
      <c r="I500" s="41">
        <f t="shared" si="16"/>
        <v>-4.4999999999999998E-2</v>
      </c>
    </row>
    <row r="501" spans="1:9" hidden="1" x14ac:dyDescent="0.35">
      <c r="A501" s="37" t="str">
        <f t="shared" si="15"/>
        <v>ATRASO DE ENTREGACliente 22</v>
      </c>
      <c r="B501" s="37" t="s">
        <v>203</v>
      </c>
      <c r="C501" s="37" t="s">
        <v>185</v>
      </c>
      <c r="D501" s="37">
        <v>2</v>
      </c>
      <c r="E501" s="37" t="s">
        <v>1213</v>
      </c>
      <c r="F501" s="38">
        <v>0.09</v>
      </c>
      <c r="G501" s="39">
        <f>IF(OR(B501="FIXO",B501="XFIXO"),IF(F501="","ERRO",10*F501)*'BD Campos'!$W$2,IF(F501="","ERRO",10*F501)*'BD Campos'!$W$3)</f>
        <v>0.89999999999999991</v>
      </c>
      <c r="H501" s="40">
        <v>0.05</v>
      </c>
      <c r="I501" s="41">
        <f t="shared" si="16"/>
        <v>-4.4999999999999998E-2</v>
      </c>
    </row>
    <row r="502" spans="1:9" hidden="1" x14ac:dyDescent="0.35">
      <c r="A502" s="37" t="str">
        <f t="shared" si="15"/>
        <v>ATRASO DE ENTREGACliente 23</v>
      </c>
      <c r="B502" s="37" t="s">
        <v>203</v>
      </c>
      <c r="C502" s="37" t="s">
        <v>185</v>
      </c>
      <c r="D502" s="37">
        <v>3</v>
      </c>
      <c r="E502" s="37" t="s">
        <v>1214</v>
      </c>
      <c r="F502" s="38">
        <v>0.09</v>
      </c>
      <c r="G502" s="39">
        <f>IF(OR(B502="FIXO",B502="XFIXO"),IF(F502="","ERRO",10*F502)*'BD Campos'!$W$2,IF(F502="","ERRO",10*F502)*'BD Campos'!$W$3)</f>
        <v>0.89999999999999991</v>
      </c>
      <c r="H502" s="40">
        <v>0.05</v>
      </c>
      <c r="I502" s="41">
        <f t="shared" si="16"/>
        <v>-4.4999999999999998E-2</v>
      </c>
    </row>
    <row r="503" spans="1:9" hidden="1" x14ac:dyDescent="0.35">
      <c r="A503" s="37" t="str">
        <f t="shared" si="15"/>
        <v>ATRASO DE ENTREGACliente 24</v>
      </c>
      <c r="B503" s="37" t="s">
        <v>203</v>
      </c>
      <c r="C503" s="37" t="s">
        <v>185</v>
      </c>
      <c r="D503" s="37">
        <v>4</v>
      </c>
      <c r="E503" s="37" t="s">
        <v>1215</v>
      </c>
      <c r="F503" s="38">
        <v>0.09</v>
      </c>
      <c r="G503" s="39">
        <f>IF(OR(B503="FIXO",B503="XFIXO"),IF(F503="","ERRO",10*F503)*'BD Campos'!$W$2,IF(F503="","ERRO",10*F503)*'BD Campos'!$W$3)</f>
        <v>0.89999999999999991</v>
      </c>
      <c r="H503" s="40">
        <v>0.05</v>
      </c>
      <c r="I503" s="41">
        <f t="shared" si="16"/>
        <v>-4.4999999999999998E-2</v>
      </c>
    </row>
    <row r="504" spans="1:9" hidden="1" x14ac:dyDescent="0.35">
      <c r="A504" s="37" t="str">
        <f t="shared" si="15"/>
        <v>ATRASO DE ENTREGACliente 25</v>
      </c>
      <c r="B504" s="37" t="s">
        <v>203</v>
      </c>
      <c r="C504" s="37" t="s">
        <v>185</v>
      </c>
      <c r="D504" s="37">
        <v>5</v>
      </c>
      <c r="E504" s="37" t="s">
        <v>1216</v>
      </c>
      <c r="F504" s="38">
        <v>0.1</v>
      </c>
      <c r="G504" s="39">
        <f>IF(OR(B504="FIXO",B504="XFIXO"),IF(F504="","ERRO",10*F504)*'BD Campos'!$W$2,IF(F504="","ERRO",10*F504)*'BD Campos'!$W$3)</f>
        <v>1</v>
      </c>
      <c r="H504" s="40">
        <v>0.05</v>
      </c>
      <c r="I504" s="41">
        <f t="shared" si="16"/>
        <v>-0.05</v>
      </c>
    </row>
    <row r="505" spans="1:9" hidden="1" x14ac:dyDescent="0.35">
      <c r="A505" s="37" t="str">
        <f t="shared" si="15"/>
        <v>ATRASO DE ENTREGACliente 26</v>
      </c>
      <c r="B505" s="37" t="s">
        <v>203</v>
      </c>
      <c r="C505" s="37" t="s">
        <v>185</v>
      </c>
      <c r="D505" s="37">
        <v>6</v>
      </c>
      <c r="E505" s="37" t="s">
        <v>1217</v>
      </c>
      <c r="F505" s="38">
        <v>0.1</v>
      </c>
      <c r="G505" s="39">
        <f>IF(OR(B505="FIXO",B505="XFIXO"),IF(F505="","ERRO",10*F505)*'BD Campos'!$W$2,IF(F505="","ERRO",10*F505)*'BD Campos'!$W$3)</f>
        <v>1</v>
      </c>
      <c r="H505" s="40">
        <v>0.05</v>
      </c>
      <c r="I505" s="41">
        <f t="shared" si="16"/>
        <v>-0.05</v>
      </c>
    </row>
    <row r="506" spans="1:9" hidden="1" x14ac:dyDescent="0.35">
      <c r="A506" s="37" t="str">
        <f t="shared" si="15"/>
        <v>ATRASO DE ENTREGACliente 27</v>
      </c>
      <c r="B506" s="37" t="s">
        <v>203</v>
      </c>
      <c r="C506" s="37" t="s">
        <v>185</v>
      </c>
      <c r="D506" s="37">
        <v>7</v>
      </c>
      <c r="E506" s="37" t="s">
        <v>1257</v>
      </c>
      <c r="F506" s="38">
        <v>0.11</v>
      </c>
      <c r="G506" s="39">
        <f>IF(OR(B506="FIXO",B506="XFIXO"),IF(F506="","ERRO",10*F506)*'BD Campos'!$W$2,IF(F506="","ERRO",10*F506)*'BD Campos'!$W$3)</f>
        <v>1.1000000000000001</v>
      </c>
      <c r="H506" s="40">
        <v>0.05</v>
      </c>
      <c r="I506" s="41">
        <f t="shared" si="16"/>
        <v>-5.5000000000000007E-2</v>
      </c>
    </row>
    <row r="507" spans="1:9" hidden="1" x14ac:dyDescent="0.35">
      <c r="A507" s="37" t="str">
        <f t="shared" si="15"/>
        <v>ATRASO DE ENTREGACliente 28</v>
      </c>
      <c r="B507" s="37" t="s">
        <v>203</v>
      </c>
      <c r="C507" s="37" t="s">
        <v>185</v>
      </c>
      <c r="D507" s="37">
        <v>8</v>
      </c>
      <c r="E507" s="37" t="s">
        <v>1277</v>
      </c>
      <c r="F507" s="38">
        <v>0.11</v>
      </c>
      <c r="G507" s="39">
        <f>IF(OR(B507="FIXO",B507="XFIXO"),IF(F507="","ERRO",10*F507)*'BD Campos'!$W$2,IF(F507="","ERRO",10*F507)*'BD Campos'!$W$3)</f>
        <v>1.1000000000000001</v>
      </c>
      <c r="H507" s="40">
        <v>0.05</v>
      </c>
      <c r="I507" s="41">
        <f t="shared" si="16"/>
        <v>-5.5000000000000007E-2</v>
      </c>
    </row>
    <row r="508" spans="1:9" hidden="1" x14ac:dyDescent="0.35">
      <c r="A508" s="37" t="str">
        <f t="shared" si="15"/>
        <v>ATRASO DE ENTREGACliente 29</v>
      </c>
      <c r="B508" s="37" t="s">
        <v>203</v>
      </c>
      <c r="C508" s="37" t="s">
        <v>185</v>
      </c>
      <c r="D508" s="37">
        <v>9</v>
      </c>
      <c r="E508" s="37" t="s">
        <v>1275</v>
      </c>
      <c r="F508" s="38">
        <v>0.11</v>
      </c>
      <c r="G508" s="39">
        <f>IF(OR(B508="FIXO",B508="XFIXO"),IF(F508="","ERRO",10*F508)*'BD Campos'!$W$2,IF(F508="","ERRO",10*F508)*'BD Campos'!$W$3)</f>
        <v>1.1000000000000001</v>
      </c>
      <c r="H508" s="40">
        <v>0.05</v>
      </c>
      <c r="I508" s="41">
        <f t="shared" si="16"/>
        <v>-5.5000000000000007E-2</v>
      </c>
    </row>
    <row r="509" spans="1:9" hidden="1" x14ac:dyDescent="0.35">
      <c r="A509" s="37" t="str">
        <f t="shared" si="15"/>
        <v>ATRASO DE ENTREGACliente 210</v>
      </c>
      <c r="B509" s="37" t="s">
        <v>203</v>
      </c>
      <c r="C509" s="37" t="s">
        <v>185</v>
      </c>
      <c r="D509" s="37">
        <v>10</v>
      </c>
      <c r="E509" s="37" t="s">
        <v>1276</v>
      </c>
      <c r="F509" s="38">
        <v>0.11</v>
      </c>
      <c r="G509" s="39">
        <f>IF(OR(B509="FIXO",B509="XFIXO"),IF(F509="","ERRO",10*F509)*'BD Campos'!$W$2,IF(F509="","ERRO",10*F509)*'BD Campos'!$W$3)</f>
        <v>1.1000000000000001</v>
      </c>
      <c r="H509" s="40">
        <v>0.05</v>
      </c>
      <c r="I509" s="41">
        <f t="shared" si="16"/>
        <v>-5.5000000000000007E-2</v>
      </c>
    </row>
    <row r="510" spans="1:9" hidden="1" x14ac:dyDescent="0.35">
      <c r="A510" s="37" t="str">
        <f t="shared" ref="A510:A561" si="17">B510&amp;C510&amp;D510</f>
        <v>ATIVAÇÃO DE AECliente1</v>
      </c>
      <c r="B510" s="37" t="s">
        <v>200</v>
      </c>
      <c r="C510" s="37" t="s">
        <v>124</v>
      </c>
      <c r="D510" s="37">
        <v>1</v>
      </c>
      <c r="E510" s="37" t="s">
        <v>1212</v>
      </c>
      <c r="F510" s="38">
        <v>0.1</v>
      </c>
      <c r="G510" s="39">
        <f>IF(OR(B510="FIXO",B510="XFIXO"),IF(F510="","ERRO",10*F510)*'BD Campos'!$W$2,IF(F510="","ERRO",10*F510)*'BD Campos'!$W$3)</f>
        <v>1</v>
      </c>
      <c r="H510" s="40">
        <v>0.05</v>
      </c>
      <c r="I510" s="41">
        <f t="shared" ref="I510:I561" si="18">H510*G510*-1</f>
        <v>-0.05</v>
      </c>
    </row>
    <row r="511" spans="1:9" hidden="1" x14ac:dyDescent="0.35">
      <c r="A511" s="37" t="str">
        <f t="shared" si="17"/>
        <v>ATIVAÇÃO DE AECliente2</v>
      </c>
      <c r="B511" s="37" t="s">
        <v>200</v>
      </c>
      <c r="C511" s="37" t="s">
        <v>124</v>
      </c>
      <c r="D511" s="37">
        <v>2</v>
      </c>
      <c r="E511" s="37" t="s">
        <v>1213</v>
      </c>
      <c r="F511" s="38">
        <v>0.1</v>
      </c>
      <c r="G511" s="39">
        <f>IF(OR(B511="FIXO",B511="XFIXO"),IF(F511="","ERRO",10*F511)*'BD Campos'!$W$2,IF(F511="","ERRO",10*F511)*'BD Campos'!$W$3)</f>
        <v>1</v>
      </c>
      <c r="H511" s="40">
        <v>0.05</v>
      </c>
      <c r="I511" s="41">
        <f t="shared" si="18"/>
        <v>-0.05</v>
      </c>
    </row>
    <row r="512" spans="1:9" hidden="1" x14ac:dyDescent="0.35">
      <c r="A512" s="37" t="str">
        <f t="shared" si="17"/>
        <v>ATIVAÇÃO DE AECliente3</v>
      </c>
      <c r="B512" s="37" t="s">
        <v>200</v>
      </c>
      <c r="C512" s="37" t="s">
        <v>124</v>
      </c>
      <c r="D512" s="37">
        <v>3</v>
      </c>
      <c r="E512" s="37" t="s">
        <v>1214</v>
      </c>
      <c r="F512" s="38">
        <v>0.1</v>
      </c>
      <c r="G512" s="39">
        <f>IF(OR(B512="FIXO",B512="XFIXO"),IF(F512="","ERRO",10*F512)*'BD Campos'!$W$2,IF(F512="","ERRO",10*F512)*'BD Campos'!$W$3)</f>
        <v>1</v>
      </c>
      <c r="H512" s="40">
        <v>0.05</v>
      </c>
      <c r="I512" s="41">
        <f t="shared" si="18"/>
        <v>-0.05</v>
      </c>
    </row>
    <row r="513" spans="1:9" hidden="1" x14ac:dyDescent="0.35">
      <c r="A513" s="37" t="str">
        <f t="shared" si="17"/>
        <v>ATIVAÇÃO DE AECliente4</v>
      </c>
      <c r="B513" s="37" t="s">
        <v>200</v>
      </c>
      <c r="C513" s="37" t="s">
        <v>124</v>
      </c>
      <c r="D513" s="37">
        <v>4</v>
      </c>
      <c r="E513" s="37" t="s">
        <v>1215</v>
      </c>
      <c r="F513" s="38">
        <v>0.1</v>
      </c>
      <c r="G513" s="39">
        <f>IF(OR(B513="FIXO",B513="XFIXO"),IF(F513="","ERRO",10*F513)*'BD Campos'!$W$2,IF(F513="","ERRO",10*F513)*'BD Campos'!$W$3)</f>
        <v>1</v>
      </c>
      <c r="H513" s="40">
        <v>0.05</v>
      </c>
      <c r="I513" s="41">
        <f t="shared" si="18"/>
        <v>-0.05</v>
      </c>
    </row>
    <row r="514" spans="1:9" hidden="1" x14ac:dyDescent="0.35">
      <c r="A514" s="37" t="str">
        <f t="shared" si="17"/>
        <v>ATIVAÇÃO DE AECliente5</v>
      </c>
      <c r="B514" s="37" t="s">
        <v>200</v>
      </c>
      <c r="C514" s="37" t="s">
        <v>124</v>
      </c>
      <c r="D514" s="37">
        <v>5</v>
      </c>
      <c r="E514" s="37" t="s">
        <v>1216</v>
      </c>
      <c r="F514" s="38">
        <v>0.1</v>
      </c>
      <c r="G514" s="39">
        <f>IF(OR(B514="FIXO",B514="XFIXO"),IF(F514="","ERRO",10*F514)*'BD Campos'!$W$2,IF(F514="","ERRO",10*F514)*'BD Campos'!$W$3)</f>
        <v>1</v>
      </c>
      <c r="H514" s="40">
        <v>0.05</v>
      </c>
      <c r="I514" s="41">
        <f t="shared" si="18"/>
        <v>-0.05</v>
      </c>
    </row>
    <row r="515" spans="1:9" hidden="1" x14ac:dyDescent="0.35">
      <c r="A515" s="37" t="str">
        <f t="shared" si="17"/>
        <v>ATIVAÇÃO DE AECliente6</v>
      </c>
      <c r="B515" s="37" t="s">
        <v>200</v>
      </c>
      <c r="C515" s="37" t="s">
        <v>124</v>
      </c>
      <c r="D515" s="37">
        <v>6</v>
      </c>
      <c r="E515" s="37" t="s">
        <v>1217</v>
      </c>
      <c r="F515" s="38">
        <v>0.1</v>
      </c>
      <c r="G515" s="39">
        <f>IF(OR(B515="FIXO",B515="XFIXO"),IF(F515="","ERRO",10*F515)*'BD Campos'!$W$2,IF(F515="","ERRO",10*F515)*'BD Campos'!$W$3)</f>
        <v>1</v>
      </c>
      <c r="H515" s="40">
        <v>0.05</v>
      </c>
      <c r="I515" s="41">
        <f t="shared" si="18"/>
        <v>-0.05</v>
      </c>
    </row>
    <row r="516" spans="1:9" hidden="1" x14ac:dyDescent="0.35">
      <c r="A516" s="37" t="str">
        <f t="shared" si="17"/>
        <v>ATIVAÇÃO DE AECliente7</v>
      </c>
      <c r="B516" s="37" t="s">
        <v>200</v>
      </c>
      <c r="C516" s="37" t="s">
        <v>124</v>
      </c>
      <c r="D516" s="37">
        <v>7</v>
      </c>
      <c r="E516" s="37" t="s">
        <v>1257</v>
      </c>
      <c r="F516" s="38">
        <v>0.15</v>
      </c>
      <c r="G516" s="39">
        <f>IF(OR(B516="FIXO",B516="XFIXO"),IF(F516="","ERRO",10*F516)*'BD Campos'!$W$2,IF(F516="","ERRO",10*F516)*'BD Campos'!$W$3)</f>
        <v>1.5</v>
      </c>
      <c r="H516" s="40">
        <v>0.05</v>
      </c>
      <c r="I516" s="41">
        <f t="shared" si="18"/>
        <v>-7.5000000000000011E-2</v>
      </c>
    </row>
    <row r="517" spans="1:9" hidden="1" x14ac:dyDescent="0.35">
      <c r="A517" s="37" t="str">
        <f t="shared" si="17"/>
        <v>ATIVAÇÃO DE AECliente8</v>
      </c>
      <c r="B517" s="37" t="s">
        <v>200</v>
      </c>
      <c r="C517" s="37" t="s">
        <v>124</v>
      </c>
      <c r="D517" s="37">
        <v>8</v>
      </c>
      <c r="E517" s="37" t="s">
        <v>1278</v>
      </c>
      <c r="F517" s="38">
        <v>0.15</v>
      </c>
      <c r="G517" s="39">
        <f>IF(OR(B517="FIXO",B517="XFIXO"),IF(F517="","ERRO",10*F517)*'BD Campos'!$W$2,IF(F517="","ERRO",10*F517)*'BD Campos'!$W$3)</f>
        <v>1.5</v>
      </c>
      <c r="H517" s="40">
        <v>0.05</v>
      </c>
      <c r="I517" s="41">
        <f t="shared" si="18"/>
        <v>-7.5000000000000011E-2</v>
      </c>
    </row>
    <row r="518" spans="1:9" hidden="1" x14ac:dyDescent="0.35">
      <c r="A518" s="37" t="str">
        <f t="shared" si="17"/>
        <v>ATIVAÇÃO DE AECliente9</v>
      </c>
      <c r="B518" s="37" t="s">
        <v>200</v>
      </c>
      <c r="C518" s="37" t="s">
        <v>124</v>
      </c>
      <c r="D518" s="37">
        <v>9</v>
      </c>
      <c r="E518" s="37" t="s">
        <v>1279</v>
      </c>
      <c r="F518" s="38">
        <v>0.1</v>
      </c>
      <c r="G518" s="39">
        <f>IF(OR(B518="FIXO",B518="XFIXO"),IF(F518="","ERRO",10*F518)*'BD Campos'!$W$2,IF(F518="","ERRO",10*F518)*'BD Campos'!$W$3)</f>
        <v>1</v>
      </c>
      <c r="H518" s="40">
        <v>0.05</v>
      </c>
      <c r="I518" s="41">
        <f t="shared" si="18"/>
        <v>-0.05</v>
      </c>
    </row>
    <row r="519" spans="1:9" hidden="1" x14ac:dyDescent="0.35">
      <c r="A519" s="37" t="str">
        <f t="shared" si="17"/>
        <v>ATIVAÇÃO DE AECliente 21</v>
      </c>
      <c r="B519" s="37" t="s">
        <v>200</v>
      </c>
      <c r="C519" s="37" t="s">
        <v>185</v>
      </c>
      <c r="D519" s="37">
        <v>1</v>
      </c>
      <c r="E519" s="37" t="s">
        <v>1212</v>
      </c>
      <c r="F519" s="38">
        <v>0.1</v>
      </c>
      <c r="G519" s="39">
        <f>IF(OR(B519="FIXO",B519="XFIXO"),IF(F519="","ERRO",10*F519)*'BD Campos'!$W$2,IF(F519="","ERRO",10*F519)*'BD Campos'!$W$3)</f>
        <v>1</v>
      </c>
      <c r="H519" s="40">
        <v>0.05</v>
      </c>
      <c r="I519" s="41">
        <f t="shared" si="18"/>
        <v>-0.05</v>
      </c>
    </row>
    <row r="520" spans="1:9" hidden="1" x14ac:dyDescent="0.35">
      <c r="A520" s="37" t="str">
        <f t="shared" si="17"/>
        <v>ATIVAÇÃO DE AECliente 22</v>
      </c>
      <c r="B520" s="37" t="s">
        <v>200</v>
      </c>
      <c r="C520" s="37" t="s">
        <v>185</v>
      </c>
      <c r="D520" s="37">
        <v>2</v>
      </c>
      <c r="E520" s="37" t="s">
        <v>1213</v>
      </c>
      <c r="F520" s="38">
        <v>0.1</v>
      </c>
      <c r="G520" s="39">
        <f>IF(OR(B520="FIXO",B520="XFIXO"),IF(F520="","ERRO",10*F520)*'BD Campos'!$W$2,IF(F520="","ERRO",10*F520)*'BD Campos'!$W$3)</f>
        <v>1</v>
      </c>
      <c r="H520" s="40">
        <v>0.05</v>
      </c>
      <c r="I520" s="41">
        <f t="shared" si="18"/>
        <v>-0.05</v>
      </c>
    </row>
    <row r="521" spans="1:9" hidden="1" x14ac:dyDescent="0.35">
      <c r="A521" s="37" t="str">
        <f t="shared" si="17"/>
        <v>ATIVAÇÃO DE AECliente 23</v>
      </c>
      <c r="B521" s="37" t="s">
        <v>200</v>
      </c>
      <c r="C521" s="37" t="s">
        <v>185</v>
      </c>
      <c r="D521" s="37">
        <v>3</v>
      </c>
      <c r="E521" s="37" t="s">
        <v>1214</v>
      </c>
      <c r="F521" s="38">
        <v>0.1</v>
      </c>
      <c r="G521" s="39">
        <f>IF(OR(B521="FIXO",B521="XFIXO"),IF(F521="","ERRO",10*F521)*'BD Campos'!$W$2,IF(F521="","ERRO",10*F521)*'BD Campos'!$W$3)</f>
        <v>1</v>
      </c>
      <c r="H521" s="40">
        <v>0.05</v>
      </c>
      <c r="I521" s="41">
        <f t="shared" si="18"/>
        <v>-0.05</v>
      </c>
    </row>
    <row r="522" spans="1:9" hidden="1" x14ac:dyDescent="0.35">
      <c r="A522" s="37" t="str">
        <f t="shared" si="17"/>
        <v>ATIVAÇÃO DE AECliente 24</v>
      </c>
      <c r="B522" s="37" t="s">
        <v>200</v>
      </c>
      <c r="C522" s="37" t="s">
        <v>185</v>
      </c>
      <c r="D522" s="37">
        <v>4</v>
      </c>
      <c r="E522" s="37" t="s">
        <v>1215</v>
      </c>
      <c r="F522" s="38">
        <v>0.1</v>
      </c>
      <c r="G522" s="39">
        <f>IF(OR(B522="FIXO",B522="XFIXO"),IF(F522="","ERRO",10*F522)*'BD Campos'!$W$2,IF(F522="","ERRO",10*F522)*'BD Campos'!$W$3)</f>
        <v>1</v>
      </c>
      <c r="H522" s="40">
        <v>0.05</v>
      </c>
      <c r="I522" s="41">
        <f t="shared" si="18"/>
        <v>-0.05</v>
      </c>
    </row>
    <row r="523" spans="1:9" hidden="1" x14ac:dyDescent="0.35">
      <c r="A523" s="37" t="str">
        <f t="shared" si="17"/>
        <v>ATIVAÇÃO DE AECliente 25</v>
      </c>
      <c r="B523" s="37" t="s">
        <v>200</v>
      </c>
      <c r="C523" s="37" t="s">
        <v>185</v>
      </c>
      <c r="D523" s="37">
        <v>5</v>
      </c>
      <c r="E523" s="37" t="s">
        <v>1216</v>
      </c>
      <c r="F523" s="38">
        <v>0.1</v>
      </c>
      <c r="G523" s="39">
        <f>IF(OR(B523="FIXO",B523="XFIXO"),IF(F523="","ERRO",10*F523)*'BD Campos'!$W$2,IF(F523="","ERRO",10*F523)*'BD Campos'!$W$3)</f>
        <v>1</v>
      </c>
      <c r="H523" s="40">
        <v>0.05</v>
      </c>
      <c r="I523" s="41">
        <f t="shared" si="18"/>
        <v>-0.05</v>
      </c>
    </row>
    <row r="524" spans="1:9" hidden="1" x14ac:dyDescent="0.35">
      <c r="A524" s="37" t="str">
        <f t="shared" si="17"/>
        <v>ATIVAÇÃO DE AECliente 26</v>
      </c>
      <c r="B524" s="37" t="s">
        <v>200</v>
      </c>
      <c r="C524" s="37" t="s">
        <v>185</v>
      </c>
      <c r="D524" s="37">
        <v>6</v>
      </c>
      <c r="E524" s="37" t="s">
        <v>1217</v>
      </c>
      <c r="F524" s="38">
        <v>0.1</v>
      </c>
      <c r="G524" s="39">
        <f>IF(OR(B524="FIXO",B524="XFIXO"),IF(F524="","ERRO",10*F524)*'BD Campos'!$W$2,IF(F524="","ERRO",10*F524)*'BD Campos'!$W$3)</f>
        <v>1</v>
      </c>
      <c r="H524" s="40">
        <v>0.05</v>
      </c>
      <c r="I524" s="41">
        <f t="shared" si="18"/>
        <v>-0.05</v>
      </c>
    </row>
    <row r="525" spans="1:9" hidden="1" x14ac:dyDescent="0.35">
      <c r="A525" s="37" t="str">
        <f t="shared" si="17"/>
        <v>ATIVAÇÃO DE AECliente 27</v>
      </c>
      <c r="B525" s="37" t="s">
        <v>200</v>
      </c>
      <c r="C525" s="37" t="s">
        <v>185</v>
      </c>
      <c r="D525" s="37">
        <v>7</v>
      </c>
      <c r="E525" s="37" t="s">
        <v>1257</v>
      </c>
      <c r="F525" s="38">
        <v>0.15</v>
      </c>
      <c r="G525" s="39">
        <f>IF(OR(B525="FIXO",B525="XFIXO"),IF(F525="","ERRO",10*F525)*'BD Campos'!$W$2,IF(F525="","ERRO",10*F525)*'BD Campos'!$W$3)</f>
        <v>1.5</v>
      </c>
      <c r="H525" s="40">
        <v>0.05</v>
      </c>
      <c r="I525" s="41">
        <f t="shared" si="18"/>
        <v>-7.5000000000000011E-2</v>
      </c>
    </row>
    <row r="526" spans="1:9" hidden="1" x14ac:dyDescent="0.35">
      <c r="A526" s="37" t="str">
        <f t="shared" si="17"/>
        <v>ATIVAÇÃO DE AECliente 28</v>
      </c>
      <c r="B526" s="37" t="s">
        <v>200</v>
      </c>
      <c r="C526" s="37" t="s">
        <v>185</v>
      </c>
      <c r="D526" s="37">
        <v>8</v>
      </c>
      <c r="E526" s="37" t="s">
        <v>1278</v>
      </c>
      <c r="F526" s="38">
        <v>0.15</v>
      </c>
      <c r="G526" s="39">
        <f>IF(OR(B526="FIXO",B526="XFIXO"),IF(F526="","ERRO",10*F526)*'BD Campos'!$W$2,IF(F526="","ERRO",10*F526)*'BD Campos'!$W$3)</f>
        <v>1.5</v>
      </c>
      <c r="H526" s="40">
        <v>0.05</v>
      </c>
      <c r="I526" s="41">
        <f t="shared" si="18"/>
        <v>-7.5000000000000011E-2</v>
      </c>
    </row>
    <row r="527" spans="1:9" hidden="1" x14ac:dyDescent="0.35">
      <c r="A527" s="37" t="str">
        <f t="shared" si="17"/>
        <v>ATIVAÇÃO DE AECliente 29</v>
      </c>
      <c r="B527" s="37" t="s">
        <v>200</v>
      </c>
      <c r="C527" s="37" t="s">
        <v>185</v>
      </c>
      <c r="D527" s="37">
        <v>9</v>
      </c>
      <c r="E527" s="37" t="s">
        <v>1279</v>
      </c>
      <c r="F527" s="38">
        <v>0.1</v>
      </c>
      <c r="G527" s="39">
        <f>IF(OR(B527="FIXO",B527="XFIXO"),IF(F527="","ERRO",10*F527)*'BD Campos'!$W$2,IF(F527="","ERRO",10*F527)*'BD Campos'!$W$3)</f>
        <v>1</v>
      </c>
      <c r="H527" s="40">
        <v>0.05</v>
      </c>
      <c r="I527" s="41">
        <f t="shared" si="18"/>
        <v>-0.05</v>
      </c>
    </row>
    <row r="528" spans="1:9" hidden="1" x14ac:dyDescent="0.35">
      <c r="A528" s="37" t="str">
        <f t="shared" si="17"/>
        <v>ESTADIAMotorista1</v>
      </c>
      <c r="B528" s="37" t="s">
        <v>202</v>
      </c>
      <c r="C528" s="37" t="s">
        <v>122</v>
      </c>
      <c r="D528" s="37">
        <v>1</v>
      </c>
      <c r="E528" s="37" t="s">
        <v>1212</v>
      </c>
      <c r="F528" s="38">
        <v>0.12</v>
      </c>
      <c r="G528" s="39">
        <f>IF(OR(B528="FIXO",B528="XFIXO"),IF(F528="","ERRO",10*F528)*'BD Campos'!$W$2,IF(F528="","ERRO",10*F528)*'BD Campos'!$W$3)</f>
        <v>1.2</v>
      </c>
      <c r="H528" s="40">
        <v>0.05</v>
      </c>
      <c r="I528" s="41">
        <f t="shared" si="18"/>
        <v>-0.06</v>
      </c>
    </row>
    <row r="529" spans="1:9" hidden="1" x14ac:dyDescent="0.35">
      <c r="A529" s="37" t="str">
        <f t="shared" si="17"/>
        <v>ESTADIAMotorista2</v>
      </c>
      <c r="B529" s="37" t="s">
        <v>202</v>
      </c>
      <c r="C529" s="37" t="s">
        <v>122</v>
      </c>
      <c r="D529" s="37">
        <v>2</v>
      </c>
      <c r="E529" s="37" t="s">
        <v>1213</v>
      </c>
      <c r="F529" s="38">
        <v>0.1</v>
      </c>
      <c r="G529" s="39">
        <f>IF(OR(B529="FIXO",B529="XFIXO"),IF(F529="","ERRO",10*F529)*'BD Campos'!$W$2,IF(F529="","ERRO",10*F529)*'BD Campos'!$W$3)</f>
        <v>1</v>
      </c>
      <c r="H529" s="40">
        <v>0.05</v>
      </c>
      <c r="I529" s="41">
        <f t="shared" si="18"/>
        <v>-0.05</v>
      </c>
    </row>
    <row r="530" spans="1:9" hidden="1" x14ac:dyDescent="0.35">
      <c r="A530" s="37" t="str">
        <f t="shared" si="17"/>
        <v>ESTADIAMotorista3</v>
      </c>
      <c r="B530" s="37" t="s">
        <v>202</v>
      </c>
      <c r="C530" s="37" t="s">
        <v>122</v>
      </c>
      <c r="D530" s="37">
        <v>3</v>
      </c>
      <c r="E530" s="37" t="s">
        <v>1214</v>
      </c>
      <c r="F530" s="38">
        <v>0.1</v>
      </c>
      <c r="G530" s="39">
        <f>IF(OR(B530="FIXO",B530="XFIXO"),IF(F530="","ERRO",10*F530)*'BD Campos'!$W$2,IF(F530="","ERRO",10*F530)*'BD Campos'!$W$3)</f>
        <v>1</v>
      </c>
      <c r="H530" s="40">
        <v>0.05</v>
      </c>
      <c r="I530" s="41">
        <f t="shared" si="18"/>
        <v>-0.05</v>
      </c>
    </row>
    <row r="531" spans="1:9" hidden="1" x14ac:dyDescent="0.35">
      <c r="A531" s="37" t="str">
        <f t="shared" si="17"/>
        <v>ESTADIAMotorista4</v>
      </c>
      <c r="B531" s="37" t="s">
        <v>202</v>
      </c>
      <c r="C531" s="37" t="s">
        <v>122</v>
      </c>
      <c r="D531" s="37">
        <v>4</v>
      </c>
      <c r="E531" s="37" t="s">
        <v>1215</v>
      </c>
      <c r="F531" s="38">
        <v>0.1</v>
      </c>
      <c r="G531" s="39">
        <f>IF(OR(B531="FIXO",B531="XFIXO"),IF(F531="","ERRO",10*F531)*'BD Campos'!$W$2,IF(F531="","ERRO",10*F531)*'BD Campos'!$W$3)</f>
        <v>1</v>
      </c>
      <c r="H531" s="40">
        <v>0.05</v>
      </c>
      <c r="I531" s="41">
        <f t="shared" si="18"/>
        <v>-0.05</v>
      </c>
    </row>
    <row r="532" spans="1:9" hidden="1" x14ac:dyDescent="0.35">
      <c r="A532" s="37" t="str">
        <f t="shared" si="17"/>
        <v>ESTADIAMotorista5</v>
      </c>
      <c r="B532" s="37" t="s">
        <v>202</v>
      </c>
      <c r="C532" s="37" t="s">
        <v>122</v>
      </c>
      <c r="D532" s="37">
        <v>5</v>
      </c>
      <c r="E532" s="37" t="s">
        <v>1216</v>
      </c>
      <c r="F532" s="38">
        <v>0.14000000000000001</v>
      </c>
      <c r="G532" s="39">
        <f>IF(OR(B532="FIXO",B532="XFIXO"),IF(F532="","ERRO",10*F532)*'BD Campos'!$W$2,IF(F532="","ERRO",10*F532)*'BD Campos'!$W$3)</f>
        <v>1.4000000000000001</v>
      </c>
      <c r="H532" s="40">
        <v>0.05</v>
      </c>
      <c r="I532" s="41">
        <f t="shared" si="18"/>
        <v>-7.0000000000000007E-2</v>
      </c>
    </row>
    <row r="533" spans="1:9" hidden="1" x14ac:dyDescent="0.35">
      <c r="A533" s="37" t="str">
        <f t="shared" si="17"/>
        <v>ESTADIAMotorista6</v>
      </c>
      <c r="B533" s="37" t="s">
        <v>202</v>
      </c>
      <c r="C533" s="37" t="s">
        <v>122</v>
      </c>
      <c r="D533" s="37">
        <v>6</v>
      </c>
      <c r="E533" s="37" t="s">
        <v>1217</v>
      </c>
      <c r="F533" s="38">
        <v>0.09</v>
      </c>
      <c r="G533" s="39">
        <f>IF(OR(B533="FIXO",B533="XFIXO"),IF(F533="","ERRO",10*F533)*'BD Campos'!$W$2,IF(F533="","ERRO",10*F533)*'BD Campos'!$W$3)</f>
        <v>0.89999999999999991</v>
      </c>
      <c r="H533" s="40">
        <v>0.05</v>
      </c>
      <c r="I533" s="41">
        <f t="shared" si="18"/>
        <v>-4.4999999999999998E-2</v>
      </c>
    </row>
    <row r="534" spans="1:9" hidden="1" x14ac:dyDescent="0.35">
      <c r="A534" s="37" t="str">
        <f t="shared" si="17"/>
        <v>ESTADIAMotorista7</v>
      </c>
      <c r="B534" s="37" t="s">
        <v>202</v>
      </c>
      <c r="C534" s="37" t="s">
        <v>122</v>
      </c>
      <c r="D534" s="37">
        <v>7</v>
      </c>
      <c r="E534" s="37" t="s">
        <v>1257</v>
      </c>
      <c r="F534" s="38">
        <v>0.17</v>
      </c>
      <c r="G534" s="39">
        <f>IF(OR(B534="FIXO",B534="XFIXO"),IF(F534="","ERRO",10*F534)*'BD Campos'!$W$2,IF(F534="","ERRO",10*F534)*'BD Campos'!$W$3)</f>
        <v>1.7000000000000002</v>
      </c>
      <c r="H534" s="40">
        <v>0.05</v>
      </c>
      <c r="I534" s="41">
        <f t="shared" si="18"/>
        <v>-8.500000000000002E-2</v>
      </c>
    </row>
    <row r="535" spans="1:9" hidden="1" x14ac:dyDescent="0.35">
      <c r="A535" s="37" t="str">
        <f t="shared" si="17"/>
        <v>ESTADIAMotorista8</v>
      </c>
      <c r="B535" s="37" t="s">
        <v>202</v>
      </c>
      <c r="C535" s="37" t="s">
        <v>122</v>
      </c>
      <c r="D535" s="37">
        <v>8</v>
      </c>
      <c r="E535" s="37" t="s">
        <v>1280</v>
      </c>
      <c r="F535" s="38">
        <v>0.18</v>
      </c>
      <c r="G535" s="39">
        <f>IF(OR(B535="FIXO",B535="XFIXO"),IF(F535="","ERRO",10*F535)*'BD Campos'!$W$2,IF(F535="","ERRO",10*F535)*'BD Campos'!$W$3)</f>
        <v>1.7999999999999998</v>
      </c>
      <c r="H535" s="40">
        <v>0.05</v>
      </c>
      <c r="I535" s="41">
        <f t="shared" si="18"/>
        <v>-0.09</v>
      </c>
    </row>
    <row r="536" spans="1:9" hidden="1" x14ac:dyDescent="0.35">
      <c r="A536" s="37" t="str">
        <f t="shared" si="17"/>
        <v>ESTADIAMotorista 21</v>
      </c>
      <c r="B536" s="37" t="s">
        <v>202</v>
      </c>
      <c r="C536" s="37" t="s">
        <v>204</v>
      </c>
      <c r="D536" s="37">
        <v>1</v>
      </c>
      <c r="E536" s="37" t="s">
        <v>1212</v>
      </c>
      <c r="F536" s="38">
        <v>0.12</v>
      </c>
      <c r="G536" s="39">
        <f>IF(OR(B536="FIXO",B536="XFIXO"),IF(F536="","ERRO",10*F536)*'BD Campos'!$W$2,IF(F536="","ERRO",10*F536)*'BD Campos'!$W$3)</f>
        <v>1.2</v>
      </c>
      <c r="H536" s="40">
        <v>0.05</v>
      </c>
      <c r="I536" s="41">
        <f t="shared" si="18"/>
        <v>-0.06</v>
      </c>
    </row>
    <row r="537" spans="1:9" hidden="1" x14ac:dyDescent="0.35">
      <c r="A537" s="37" t="str">
        <f t="shared" si="17"/>
        <v>ESTADIAMotorista 22</v>
      </c>
      <c r="B537" s="37" t="s">
        <v>202</v>
      </c>
      <c r="C537" s="37" t="s">
        <v>204</v>
      </c>
      <c r="D537" s="37">
        <v>2</v>
      </c>
      <c r="E537" s="37" t="s">
        <v>1213</v>
      </c>
      <c r="F537" s="38">
        <v>0.1</v>
      </c>
      <c r="G537" s="39">
        <f>IF(OR(B537="FIXO",B537="XFIXO"),IF(F537="","ERRO",10*F537)*'BD Campos'!$W$2,IF(F537="","ERRO",10*F537)*'BD Campos'!$W$3)</f>
        <v>1</v>
      </c>
      <c r="H537" s="40">
        <v>0.05</v>
      </c>
      <c r="I537" s="41">
        <f t="shared" si="18"/>
        <v>-0.05</v>
      </c>
    </row>
    <row r="538" spans="1:9" hidden="1" x14ac:dyDescent="0.35">
      <c r="A538" s="37" t="str">
        <f t="shared" si="17"/>
        <v>ESTADIAMotorista 23</v>
      </c>
      <c r="B538" s="37" t="s">
        <v>202</v>
      </c>
      <c r="C538" s="37" t="s">
        <v>204</v>
      </c>
      <c r="D538" s="37">
        <v>3</v>
      </c>
      <c r="E538" s="37" t="s">
        <v>1214</v>
      </c>
      <c r="F538" s="38">
        <v>0.1</v>
      </c>
      <c r="G538" s="39">
        <f>IF(OR(B538="FIXO",B538="XFIXO"),IF(F538="","ERRO",10*F538)*'BD Campos'!$W$2,IF(F538="","ERRO",10*F538)*'BD Campos'!$W$3)</f>
        <v>1</v>
      </c>
      <c r="H538" s="40">
        <v>0.05</v>
      </c>
      <c r="I538" s="41">
        <f t="shared" si="18"/>
        <v>-0.05</v>
      </c>
    </row>
    <row r="539" spans="1:9" hidden="1" x14ac:dyDescent="0.35">
      <c r="A539" s="37" t="str">
        <f t="shared" si="17"/>
        <v>ESTADIAMotorista 24</v>
      </c>
      <c r="B539" s="37" t="s">
        <v>202</v>
      </c>
      <c r="C539" s="37" t="s">
        <v>204</v>
      </c>
      <c r="D539" s="37">
        <v>4</v>
      </c>
      <c r="E539" s="37" t="s">
        <v>1215</v>
      </c>
      <c r="F539" s="38">
        <v>0.1</v>
      </c>
      <c r="G539" s="39">
        <f>IF(OR(B539="FIXO",B539="XFIXO"),IF(F539="","ERRO",10*F539)*'BD Campos'!$W$2,IF(F539="","ERRO",10*F539)*'BD Campos'!$W$3)</f>
        <v>1</v>
      </c>
      <c r="H539" s="40">
        <v>0.05</v>
      </c>
      <c r="I539" s="41">
        <f t="shared" si="18"/>
        <v>-0.05</v>
      </c>
    </row>
    <row r="540" spans="1:9" hidden="1" x14ac:dyDescent="0.35">
      <c r="A540" s="37" t="str">
        <f t="shared" si="17"/>
        <v>ESTADIAMotorista 25</v>
      </c>
      <c r="B540" s="37" t="s">
        <v>202</v>
      </c>
      <c r="C540" s="37" t="s">
        <v>204</v>
      </c>
      <c r="D540" s="37">
        <v>5</v>
      </c>
      <c r="E540" s="37" t="s">
        <v>1216</v>
      </c>
      <c r="F540" s="38">
        <v>0.14000000000000001</v>
      </c>
      <c r="G540" s="39">
        <f>IF(OR(B540="FIXO",B540="XFIXO"),IF(F540="","ERRO",10*F540)*'BD Campos'!$W$2,IF(F540="","ERRO",10*F540)*'BD Campos'!$W$3)</f>
        <v>1.4000000000000001</v>
      </c>
      <c r="H540" s="40">
        <v>0.05</v>
      </c>
      <c r="I540" s="41">
        <f t="shared" si="18"/>
        <v>-7.0000000000000007E-2</v>
      </c>
    </row>
    <row r="541" spans="1:9" hidden="1" x14ac:dyDescent="0.35">
      <c r="A541" s="37" t="str">
        <f t="shared" si="17"/>
        <v>ESTADIAMotorista 26</v>
      </c>
      <c r="B541" s="37" t="s">
        <v>202</v>
      </c>
      <c r="C541" s="37" t="s">
        <v>204</v>
      </c>
      <c r="D541" s="37">
        <v>6</v>
      </c>
      <c r="E541" s="37" t="s">
        <v>1217</v>
      </c>
      <c r="F541" s="38">
        <v>0.09</v>
      </c>
      <c r="G541" s="39">
        <f>IF(OR(B541="FIXO",B541="XFIXO"),IF(F541="","ERRO",10*F541)*'BD Campos'!$W$2,IF(F541="","ERRO",10*F541)*'BD Campos'!$W$3)</f>
        <v>0.89999999999999991</v>
      </c>
      <c r="H541" s="40">
        <v>0.05</v>
      </c>
      <c r="I541" s="41">
        <f t="shared" si="18"/>
        <v>-4.4999999999999998E-2</v>
      </c>
    </row>
    <row r="542" spans="1:9" hidden="1" x14ac:dyDescent="0.35">
      <c r="A542" s="37" t="str">
        <f t="shared" si="17"/>
        <v>ESTADIAMotorista 27</v>
      </c>
      <c r="B542" s="37" t="s">
        <v>202</v>
      </c>
      <c r="C542" s="37" t="s">
        <v>204</v>
      </c>
      <c r="D542" s="37">
        <v>7</v>
      </c>
      <c r="E542" s="37" t="s">
        <v>1257</v>
      </c>
      <c r="F542" s="38">
        <v>0.17</v>
      </c>
      <c r="G542" s="39">
        <f>IF(OR(B542="FIXO",B542="XFIXO"),IF(F542="","ERRO",10*F542)*'BD Campos'!$W$2,IF(F542="","ERRO",10*F542)*'BD Campos'!$W$3)</f>
        <v>1.7000000000000002</v>
      </c>
      <c r="H542" s="40">
        <v>0.05</v>
      </c>
      <c r="I542" s="41">
        <f t="shared" si="18"/>
        <v>-8.500000000000002E-2</v>
      </c>
    </row>
    <row r="543" spans="1:9" hidden="1" x14ac:dyDescent="0.35">
      <c r="A543" s="37" t="str">
        <f t="shared" si="17"/>
        <v>ESTADIAMotorista 28</v>
      </c>
      <c r="B543" s="37" t="s">
        <v>202</v>
      </c>
      <c r="C543" s="37" t="s">
        <v>204</v>
      </c>
      <c r="D543" s="37">
        <v>8</v>
      </c>
      <c r="E543" s="37" t="s">
        <v>1280</v>
      </c>
      <c r="F543" s="38">
        <v>0.18</v>
      </c>
      <c r="G543" s="39">
        <f>IF(OR(B543="FIXO",B543="XFIXO"),IF(F543="","ERRO",10*F543)*'BD Campos'!$W$2,IF(F543="","ERRO",10*F543)*'BD Campos'!$W$3)</f>
        <v>1.7999999999999998</v>
      </c>
      <c r="H543" s="40">
        <v>0.05</v>
      </c>
      <c r="I543" s="41">
        <f t="shared" si="18"/>
        <v>-0.09</v>
      </c>
    </row>
    <row r="544" spans="1:9" hidden="1" x14ac:dyDescent="0.35">
      <c r="A544" s="37" t="str">
        <f t="shared" si="17"/>
        <v>ABERTURA DE CHAMADOCliente1</v>
      </c>
      <c r="B544" s="37" t="s">
        <v>199</v>
      </c>
      <c r="C544" s="37" t="s">
        <v>124</v>
      </c>
      <c r="D544" s="37">
        <v>1</v>
      </c>
      <c r="E544" s="37" t="s">
        <v>1212</v>
      </c>
      <c r="F544" s="38">
        <v>0.1</v>
      </c>
      <c r="G544" s="39">
        <f>IF(OR(B544="FIXO",B544="XFIXO"),IF(F544="","ERRO",10*F544)*'BD Campos'!$W$2,IF(F544="","ERRO",10*F544)*'BD Campos'!$W$3)</f>
        <v>1</v>
      </c>
      <c r="H544" s="40">
        <v>0.05</v>
      </c>
      <c r="I544" s="41">
        <f t="shared" si="18"/>
        <v>-0.05</v>
      </c>
    </row>
    <row r="545" spans="1:9" hidden="1" x14ac:dyDescent="0.35">
      <c r="A545" s="37" t="str">
        <f t="shared" si="17"/>
        <v>ABERTURA DE CHAMADOCliente2</v>
      </c>
      <c r="B545" s="37" t="s">
        <v>199</v>
      </c>
      <c r="C545" s="37" t="s">
        <v>124</v>
      </c>
      <c r="D545" s="37">
        <v>2</v>
      </c>
      <c r="E545" s="37" t="s">
        <v>1213</v>
      </c>
      <c r="F545" s="38">
        <v>0.1</v>
      </c>
      <c r="G545" s="39">
        <f>IF(OR(B545="FIXO",B545="XFIXO"),IF(F545="","ERRO",10*F545)*'BD Campos'!$W$2,IF(F545="","ERRO",10*F545)*'BD Campos'!$W$3)</f>
        <v>1</v>
      </c>
      <c r="H545" s="40">
        <v>0.05</v>
      </c>
      <c r="I545" s="41">
        <f t="shared" si="18"/>
        <v>-0.05</v>
      </c>
    </row>
    <row r="546" spans="1:9" hidden="1" x14ac:dyDescent="0.35">
      <c r="A546" s="37" t="str">
        <f t="shared" si="17"/>
        <v>ABERTURA DE CHAMADOCliente3</v>
      </c>
      <c r="B546" s="37" t="s">
        <v>199</v>
      </c>
      <c r="C546" s="37" t="s">
        <v>124</v>
      </c>
      <c r="D546" s="37">
        <v>3</v>
      </c>
      <c r="E546" s="37" t="s">
        <v>1214</v>
      </c>
      <c r="F546" s="38">
        <v>0.1</v>
      </c>
      <c r="G546" s="39">
        <f>IF(OR(B546="FIXO",B546="XFIXO"),IF(F546="","ERRO",10*F546)*'BD Campos'!$W$2,IF(F546="","ERRO",10*F546)*'BD Campos'!$W$3)</f>
        <v>1</v>
      </c>
      <c r="H546" s="40">
        <v>0.05</v>
      </c>
      <c r="I546" s="41">
        <f t="shared" si="18"/>
        <v>-0.05</v>
      </c>
    </row>
    <row r="547" spans="1:9" hidden="1" x14ac:dyDescent="0.35">
      <c r="A547" s="37" t="str">
        <f t="shared" si="17"/>
        <v>ABERTURA DE CHAMADOCliente4</v>
      </c>
      <c r="B547" s="37" t="s">
        <v>199</v>
      </c>
      <c r="C547" s="37" t="s">
        <v>124</v>
      </c>
      <c r="D547" s="37">
        <v>4</v>
      </c>
      <c r="E547" s="37" t="s">
        <v>1215</v>
      </c>
      <c r="F547" s="38">
        <v>0.1</v>
      </c>
      <c r="G547" s="39">
        <f>IF(OR(B547="FIXO",B547="XFIXO"),IF(F547="","ERRO",10*F547)*'BD Campos'!$W$2,IF(F547="","ERRO",10*F547)*'BD Campos'!$W$3)</f>
        <v>1</v>
      </c>
      <c r="H547" s="40">
        <v>0.05</v>
      </c>
      <c r="I547" s="41">
        <f t="shared" si="18"/>
        <v>-0.05</v>
      </c>
    </row>
    <row r="548" spans="1:9" hidden="1" x14ac:dyDescent="0.35">
      <c r="A548" s="37" t="str">
        <f t="shared" si="17"/>
        <v>ABERTURA DE CHAMADOCliente5</v>
      </c>
      <c r="B548" s="37" t="s">
        <v>199</v>
      </c>
      <c r="C548" s="37" t="s">
        <v>124</v>
      </c>
      <c r="D548" s="37">
        <v>5</v>
      </c>
      <c r="E548" s="37" t="s">
        <v>1216</v>
      </c>
      <c r="F548" s="38">
        <v>0.1</v>
      </c>
      <c r="G548" s="39">
        <f>IF(OR(B548="FIXO",B548="XFIXO"),IF(F548="","ERRO",10*F548)*'BD Campos'!$W$2,IF(F548="","ERRO",10*F548)*'BD Campos'!$W$3)</f>
        <v>1</v>
      </c>
      <c r="H548" s="40">
        <v>0.05</v>
      </c>
      <c r="I548" s="41">
        <f t="shared" si="18"/>
        <v>-0.05</v>
      </c>
    </row>
    <row r="549" spans="1:9" hidden="1" x14ac:dyDescent="0.35">
      <c r="A549" s="37" t="str">
        <f t="shared" si="17"/>
        <v>ABERTURA DE CHAMADOCliente6</v>
      </c>
      <c r="B549" s="37" t="s">
        <v>199</v>
      </c>
      <c r="C549" s="37" t="s">
        <v>124</v>
      </c>
      <c r="D549" s="37">
        <v>6</v>
      </c>
      <c r="E549" s="37" t="s">
        <v>1217</v>
      </c>
      <c r="F549" s="38">
        <v>0.1</v>
      </c>
      <c r="G549" s="39">
        <f>IF(OR(B549="FIXO",B549="XFIXO"),IF(F549="","ERRO",10*F549)*'BD Campos'!$W$2,IF(F549="","ERRO",10*F549)*'BD Campos'!$W$3)</f>
        <v>1</v>
      </c>
      <c r="H549" s="40">
        <v>0.05</v>
      </c>
      <c r="I549" s="41">
        <f t="shared" si="18"/>
        <v>-0.05</v>
      </c>
    </row>
    <row r="550" spans="1:9" hidden="1" x14ac:dyDescent="0.35">
      <c r="A550" s="37" t="str">
        <f t="shared" si="17"/>
        <v>ABERTURA DE CHAMADOCliente7</v>
      </c>
      <c r="B550" s="37" t="s">
        <v>199</v>
      </c>
      <c r="C550" s="37" t="s">
        <v>124</v>
      </c>
      <c r="D550" s="37">
        <v>7</v>
      </c>
      <c r="E550" s="37" t="s">
        <v>1281</v>
      </c>
      <c r="F550" s="38">
        <v>0.15</v>
      </c>
      <c r="G550" s="39">
        <f>IF(OR(B550="FIXO",B550="XFIXO"),IF(F550="","ERRO",10*F550)*'BD Campos'!$W$2,IF(F550="","ERRO",10*F550)*'BD Campos'!$W$3)</f>
        <v>1.5</v>
      </c>
      <c r="H550" s="40">
        <v>0.05</v>
      </c>
      <c r="I550" s="41">
        <f t="shared" si="18"/>
        <v>-7.5000000000000011E-2</v>
      </c>
    </row>
    <row r="551" spans="1:9" hidden="1" x14ac:dyDescent="0.35">
      <c r="A551" s="37" t="str">
        <f t="shared" si="17"/>
        <v>ABERTURA DE CHAMADOCliente8</v>
      </c>
      <c r="B551" s="37" t="s">
        <v>199</v>
      </c>
      <c r="C551" s="37" t="s">
        <v>124</v>
      </c>
      <c r="D551" s="37">
        <v>8</v>
      </c>
      <c r="E551" s="37" t="s">
        <v>1282</v>
      </c>
      <c r="F551" s="38">
        <v>0.15</v>
      </c>
      <c r="G551" s="39">
        <f>IF(OR(B551="FIXO",B551="XFIXO"),IF(F551="","ERRO",10*F551)*'BD Campos'!$W$2,IF(F551="","ERRO",10*F551)*'BD Campos'!$W$3)</f>
        <v>1.5</v>
      </c>
      <c r="H551" s="40">
        <v>0.05</v>
      </c>
      <c r="I551" s="41">
        <f t="shared" si="18"/>
        <v>-7.5000000000000011E-2</v>
      </c>
    </row>
    <row r="552" spans="1:9" hidden="1" x14ac:dyDescent="0.35">
      <c r="A552" s="37" t="str">
        <f t="shared" si="17"/>
        <v>ABERTURA DE CHAMADOCliente9</v>
      </c>
      <c r="B552" s="37" t="s">
        <v>199</v>
      </c>
      <c r="C552" s="37" t="s">
        <v>124</v>
      </c>
      <c r="D552" s="37">
        <v>9</v>
      </c>
      <c r="E552" s="37" t="s">
        <v>1283</v>
      </c>
      <c r="F552" s="38">
        <v>0.1</v>
      </c>
      <c r="G552" s="39">
        <f>IF(OR(B552="FIXO",B552="XFIXO"),IF(F552="","ERRO",10*F552)*'BD Campos'!$W$2,IF(F552="","ERRO",10*F552)*'BD Campos'!$W$3)</f>
        <v>1</v>
      </c>
      <c r="H552" s="40">
        <v>0.05</v>
      </c>
      <c r="I552" s="41">
        <f t="shared" si="18"/>
        <v>-0.05</v>
      </c>
    </row>
    <row r="553" spans="1:9" hidden="1" x14ac:dyDescent="0.35">
      <c r="A553" s="37" t="str">
        <f t="shared" si="17"/>
        <v>ABERTURA DE CHAMADOCliente 21</v>
      </c>
      <c r="B553" s="37" t="s">
        <v>199</v>
      </c>
      <c r="C553" s="37" t="s">
        <v>185</v>
      </c>
      <c r="D553" s="37">
        <v>1</v>
      </c>
      <c r="E553" s="37" t="s">
        <v>1212</v>
      </c>
      <c r="F553" s="38">
        <v>0.1</v>
      </c>
      <c r="G553" s="39">
        <f>IF(OR(B553="FIXO",B553="XFIXO"),IF(F553="","ERRO",10*F553)*'BD Campos'!$W$2,IF(F553="","ERRO",10*F553)*'BD Campos'!$W$3)</f>
        <v>1</v>
      </c>
      <c r="H553" s="40">
        <v>0.05</v>
      </c>
      <c r="I553" s="41">
        <f t="shared" si="18"/>
        <v>-0.05</v>
      </c>
    </row>
    <row r="554" spans="1:9" hidden="1" x14ac:dyDescent="0.35">
      <c r="A554" s="37" t="str">
        <f t="shared" si="17"/>
        <v>ABERTURA DE CHAMADOCliente 22</v>
      </c>
      <c r="B554" s="37" t="s">
        <v>199</v>
      </c>
      <c r="C554" s="37" t="s">
        <v>185</v>
      </c>
      <c r="D554" s="37">
        <v>2</v>
      </c>
      <c r="E554" s="37" t="s">
        <v>1213</v>
      </c>
      <c r="F554" s="38">
        <v>0.1</v>
      </c>
      <c r="G554" s="39">
        <f>IF(OR(B554="FIXO",B554="XFIXO"),IF(F554="","ERRO",10*F554)*'BD Campos'!$W$2,IF(F554="","ERRO",10*F554)*'BD Campos'!$W$3)</f>
        <v>1</v>
      </c>
      <c r="H554" s="40">
        <v>0.05</v>
      </c>
      <c r="I554" s="41">
        <f t="shared" si="18"/>
        <v>-0.05</v>
      </c>
    </row>
    <row r="555" spans="1:9" hidden="1" x14ac:dyDescent="0.35">
      <c r="A555" s="37" t="str">
        <f t="shared" si="17"/>
        <v>ABERTURA DE CHAMADOCliente 23</v>
      </c>
      <c r="B555" s="37" t="s">
        <v>199</v>
      </c>
      <c r="C555" s="37" t="s">
        <v>185</v>
      </c>
      <c r="D555" s="37">
        <v>3</v>
      </c>
      <c r="E555" s="37" t="s">
        <v>1214</v>
      </c>
      <c r="F555" s="38">
        <v>0.1</v>
      </c>
      <c r="G555" s="39">
        <f>IF(OR(B555="FIXO",B555="XFIXO"),IF(F555="","ERRO",10*F555)*'BD Campos'!$W$2,IF(F555="","ERRO",10*F555)*'BD Campos'!$W$3)</f>
        <v>1</v>
      </c>
      <c r="H555" s="40">
        <v>0.05</v>
      </c>
      <c r="I555" s="41">
        <f t="shared" si="18"/>
        <v>-0.05</v>
      </c>
    </row>
    <row r="556" spans="1:9" hidden="1" x14ac:dyDescent="0.35">
      <c r="A556" s="37" t="str">
        <f t="shared" si="17"/>
        <v>ABERTURA DE CHAMADOCliente 24</v>
      </c>
      <c r="B556" s="37" t="s">
        <v>199</v>
      </c>
      <c r="C556" s="37" t="s">
        <v>185</v>
      </c>
      <c r="D556" s="37">
        <v>4</v>
      </c>
      <c r="E556" s="37" t="s">
        <v>1215</v>
      </c>
      <c r="F556" s="38">
        <v>0.1</v>
      </c>
      <c r="G556" s="39">
        <f>IF(OR(B556="FIXO",B556="XFIXO"),IF(F556="","ERRO",10*F556)*'BD Campos'!$W$2,IF(F556="","ERRO",10*F556)*'BD Campos'!$W$3)</f>
        <v>1</v>
      </c>
      <c r="H556" s="40">
        <v>0.05</v>
      </c>
      <c r="I556" s="41">
        <f t="shared" si="18"/>
        <v>-0.05</v>
      </c>
    </row>
    <row r="557" spans="1:9" hidden="1" x14ac:dyDescent="0.35">
      <c r="A557" s="37" t="str">
        <f t="shared" si="17"/>
        <v>ABERTURA DE CHAMADOCliente 25</v>
      </c>
      <c r="B557" s="37" t="s">
        <v>199</v>
      </c>
      <c r="C557" s="37" t="s">
        <v>185</v>
      </c>
      <c r="D557" s="37">
        <v>5</v>
      </c>
      <c r="E557" s="37" t="s">
        <v>1216</v>
      </c>
      <c r="F557" s="38">
        <v>0.1</v>
      </c>
      <c r="G557" s="39">
        <f>IF(OR(B557="FIXO",B557="XFIXO"),IF(F557="","ERRO",10*F557)*'BD Campos'!$W$2,IF(F557="","ERRO",10*F557)*'BD Campos'!$W$3)</f>
        <v>1</v>
      </c>
      <c r="H557" s="40">
        <v>0.05</v>
      </c>
      <c r="I557" s="41">
        <f t="shared" si="18"/>
        <v>-0.05</v>
      </c>
    </row>
    <row r="558" spans="1:9" hidden="1" x14ac:dyDescent="0.35">
      <c r="A558" s="37" t="str">
        <f t="shared" si="17"/>
        <v>ABERTURA DE CHAMADOCliente 26</v>
      </c>
      <c r="B558" s="37" t="s">
        <v>199</v>
      </c>
      <c r="C558" s="37" t="s">
        <v>185</v>
      </c>
      <c r="D558" s="37">
        <v>6</v>
      </c>
      <c r="E558" s="37" t="s">
        <v>1217</v>
      </c>
      <c r="F558" s="38">
        <v>0.1</v>
      </c>
      <c r="G558" s="39">
        <f>IF(OR(B558="FIXO",B558="XFIXO"),IF(F558="","ERRO",10*F558)*'BD Campos'!$W$2,IF(F558="","ERRO",10*F558)*'BD Campos'!$W$3)</f>
        <v>1</v>
      </c>
      <c r="H558" s="40">
        <v>0.05</v>
      </c>
      <c r="I558" s="41">
        <f t="shared" si="18"/>
        <v>-0.05</v>
      </c>
    </row>
    <row r="559" spans="1:9" hidden="1" x14ac:dyDescent="0.35">
      <c r="A559" s="37" t="str">
        <f t="shared" si="17"/>
        <v>ABERTURA DE CHAMADOCliente 27</v>
      </c>
      <c r="B559" s="37" t="s">
        <v>199</v>
      </c>
      <c r="C559" s="37" t="s">
        <v>185</v>
      </c>
      <c r="D559" s="37">
        <v>7</v>
      </c>
      <c r="E559" s="37" t="s">
        <v>1281</v>
      </c>
      <c r="F559" s="38">
        <v>0.15</v>
      </c>
      <c r="G559" s="39">
        <f>IF(OR(B559="FIXO",B559="XFIXO"),IF(F559="","ERRO",10*F559)*'BD Campos'!$W$2,IF(F559="","ERRO",10*F559)*'BD Campos'!$W$3)</f>
        <v>1.5</v>
      </c>
      <c r="H559" s="40">
        <v>0.05</v>
      </c>
      <c r="I559" s="41">
        <f t="shared" si="18"/>
        <v>-7.5000000000000011E-2</v>
      </c>
    </row>
    <row r="560" spans="1:9" hidden="1" x14ac:dyDescent="0.35">
      <c r="A560" s="37" t="str">
        <f t="shared" si="17"/>
        <v>ABERTURA DE CHAMADOCliente 28</v>
      </c>
      <c r="B560" s="37" t="s">
        <v>199</v>
      </c>
      <c r="C560" s="37" t="s">
        <v>185</v>
      </c>
      <c r="D560" s="37">
        <v>8</v>
      </c>
      <c r="E560" s="37" t="s">
        <v>1282</v>
      </c>
      <c r="F560" s="38">
        <v>0.15</v>
      </c>
      <c r="G560" s="39">
        <f>IF(OR(B560="FIXO",B560="XFIXO"),IF(F560="","ERRO",10*F560)*'BD Campos'!$W$2,IF(F560="","ERRO",10*F560)*'BD Campos'!$W$3)</f>
        <v>1.5</v>
      </c>
      <c r="H560" s="40">
        <v>0.05</v>
      </c>
      <c r="I560" s="41">
        <f t="shared" si="18"/>
        <v>-7.5000000000000011E-2</v>
      </c>
    </row>
    <row r="561" spans="1:9" hidden="1" x14ac:dyDescent="0.35">
      <c r="A561" s="37" t="str">
        <f t="shared" si="17"/>
        <v>ABERTURA DE CHAMADOCliente 29</v>
      </c>
      <c r="B561" s="37" t="s">
        <v>199</v>
      </c>
      <c r="C561" s="37" t="s">
        <v>185</v>
      </c>
      <c r="D561" s="37">
        <v>9</v>
      </c>
      <c r="E561" s="37" t="s">
        <v>1283</v>
      </c>
      <c r="F561" s="38">
        <v>0.1</v>
      </c>
      <c r="G561" s="39">
        <f>IF(OR(B561="FIXO",B561="XFIXO"),IF(F561="","ERRO",10*F561)*'BD Campos'!$W$2,IF(F561="","ERRO",10*F561)*'BD Campos'!$W$3)</f>
        <v>1</v>
      </c>
      <c r="H561" s="40">
        <v>0.05</v>
      </c>
      <c r="I561" s="41">
        <f t="shared" si="18"/>
        <v>-0.05</v>
      </c>
    </row>
    <row r="562" spans="1:9" hidden="1" x14ac:dyDescent="0.35">
      <c r="A562" s="37" t="str">
        <f t="shared" ref="A562:A593" si="19">B562&amp;C562&amp;D562</f>
        <v>TELEFÔNICAReceptiva1</v>
      </c>
      <c r="B562" s="37" t="s">
        <v>6</v>
      </c>
      <c r="C562" s="37" t="s">
        <v>98</v>
      </c>
      <c r="D562" s="37">
        <v>1</v>
      </c>
      <c r="E562" s="37" t="s">
        <v>1284</v>
      </c>
      <c r="F562" s="38">
        <v>0.08</v>
      </c>
      <c r="G562" s="39">
        <f>IF(OR(B562="FIXO",B562="XFIXO"),IF(F562="","ERRO",10*F562)*'BD Campos'!$W$2,IF(F562="","ERRO",10*F562)*'BD Campos'!$W$3)</f>
        <v>0.8</v>
      </c>
      <c r="H562" s="40">
        <v>0.05</v>
      </c>
      <c r="I562" s="41">
        <f t="shared" ref="I562:I593" si="20">H562*G562*-1</f>
        <v>-4.0000000000000008E-2</v>
      </c>
    </row>
    <row r="563" spans="1:9" hidden="1" x14ac:dyDescent="0.35">
      <c r="A563" s="37" t="str">
        <f t="shared" si="19"/>
        <v>TELEFÔNICAReceptiva2</v>
      </c>
      <c r="B563" s="37" t="s">
        <v>6</v>
      </c>
      <c r="C563" s="37" t="s">
        <v>98</v>
      </c>
      <c r="D563" s="37">
        <v>2</v>
      </c>
      <c r="E563" s="37" t="s">
        <v>1285</v>
      </c>
      <c r="F563" s="38">
        <v>0.08</v>
      </c>
      <c r="G563" s="39">
        <f>IF(OR(B563="FIXO",B563="XFIXO"),IF(F563="","ERRO",10*F563)*'BD Campos'!$W$2,IF(F563="","ERRO",10*F563)*'BD Campos'!$W$3)</f>
        <v>0.8</v>
      </c>
      <c r="H563" s="40">
        <v>0.05</v>
      </c>
      <c r="I563" s="41">
        <f t="shared" si="20"/>
        <v>-4.0000000000000008E-2</v>
      </c>
    </row>
    <row r="564" spans="1:9" hidden="1" x14ac:dyDescent="0.35">
      <c r="A564" s="37" t="str">
        <f t="shared" si="19"/>
        <v>TELEFÔNICAReceptiva3</v>
      </c>
      <c r="B564" s="37" t="s">
        <v>6</v>
      </c>
      <c r="C564" s="37" t="s">
        <v>98</v>
      </c>
      <c r="D564" s="37">
        <v>3</v>
      </c>
      <c r="E564" s="37" t="s">
        <v>1286</v>
      </c>
      <c r="F564" s="38">
        <v>0.12</v>
      </c>
      <c r="G564" s="39">
        <f>IF(OR(B564="FIXO",B564="XFIXO"),IF(F564="","ERRO",10*F564)*'BD Campos'!$W$2,IF(F564="","ERRO",10*F564)*'BD Campos'!$W$3)</f>
        <v>1.2</v>
      </c>
      <c r="H564" s="40">
        <v>1</v>
      </c>
      <c r="I564" s="41">
        <f t="shared" si="20"/>
        <v>-1.2</v>
      </c>
    </row>
    <row r="565" spans="1:9" hidden="1" x14ac:dyDescent="0.35">
      <c r="A565" s="37" t="str">
        <f t="shared" si="19"/>
        <v>TELEFÔNICAReceptiva4</v>
      </c>
      <c r="B565" s="37" t="s">
        <v>6</v>
      </c>
      <c r="C565" s="37" t="s">
        <v>98</v>
      </c>
      <c r="D565" s="37">
        <v>4</v>
      </c>
      <c r="E565" s="37" t="s">
        <v>1287</v>
      </c>
      <c r="F565" s="38">
        <v>0.08</v>
      </c>
      <c r="G565" s="39">
        <f>IF(OR(B565="FIXO",B565="XFIXO"),IF(F565="","ERRO",10*F565)*'BD Campos'!$W$2,IF(F565="","ERRO",10*F565)*'BD Campos'!$W$3)</f>
        <v>0.8</v>
      </c>
      <c r="H565" s="40">
        <v>0.05</v>
      </c>
      <c r="I565" s="41">
        <f t="shared" si="20"/>
        <v>-4.0000000000000008E-2</v>
      </c>
    </row>
    <row r="566" spans="1:9" hidden="1" x14ac:dyDescent="0.35">
      <c r="A566" s="37" t="str">
        <f t="shared" si="19"/>
        <v>TELEFÔNICAReceptiva5</v>
      </c>
      <c r="B566" s="37" t="s">
        <v>6</v>
      </c>
      <c r="C566" s="37" t="s">
        <v>98</v>
      </c>
      <c r="D566" s="37">
        <v>5</v>
      </c>
      <c r="E566" s="37" t="s">
        <v>1288</v>
      </c>
      <c r="F566" s="38">
        <v>0.08</v>
      </c>
      <c r="G566" s="39">
        <f>IF(OR(B566="FIXO",B566="XFIXO"),IF(F566="","ERRO",10*F566)*'BD Campos'!$W$2,IF(F566="","ERRO",10*F566)*'BD Campos'!$W$3)</f>
        <v>0.8</v>
      </c>
      <c r="H566" s="40">
        <v>0.05</v>
      </c>
      <c r="I566" s="41">
        <f t="shared" si="20"/>
        <v>-4.0000000000000008E-2</v>
      </c>
    </row>
    <row r="567" spans="1:9" hidden="1" x14ac:dyDescent="0.35">
      <c r="A567" s="37" t="str">
        <f t="shared" si="19"/>
        <v>TELEFÔNICAReceptiva6</v>
      </c>
      <c r="B567" s="37" t="s">
        <v>6</v>
      </c>
      <c r="C567" s="37" t="s">
        <v>98</v>
      </c>
      <c r="D567" s="37">
        <v>6</v>
      </c>
      <c r="E567" s="37" t="s">
        <v>1289</v>
      </c>
      <c r="F567" s="38">
        <v>0.08</v>
      </c>
      <c r="G567" s="39">
        <f>IF(OR(B567="FIXO",B567="XFIXO"),IF(F567="","ERRO",10*F567)*'BD Campos'!$W$2,IF(F567="","ERRO",10*F567)*'BD Campos'!$W$3)</f>
        <v>0.8</v>
      </c>
      <c r="H567" s="40">
        <v>0.05</v>
      </c>
      <c r="I567" s="41">
        <f t="shared" si="20"/>
        <v>-4.0000000000000008E-2</v>
      </c>
    </row>
    <row r="568" spans="1:9" hidden="1" x14ac:dyDescent="0.35">
      <c r="A568" s="37" t="str">
        <f t="shared" si="19"/>
        <v>TELEFÔNICAReceptiva7</v>
      </c>
      <c r="B568" s="37" t="s">
        <v>6</v>
      </c>
      <c r="C568" s="37" t="s">
        <v>98</v>
      </c>
      <c r="D568" s="37">
        <v>7</v>
      </c>
      <c r="E568" s="37" t="s">
        <v>1216</v>
      </c>
      <c r="F568" s="38">
        <v>0.08</v>
      </c>
      <c r="G568" s="39">
        <f>IF(OR(B568="FIXO",B568="XFIXO"),IF(F568="","ERRO",10*F568)*'BD Campos'!$W$2,IF(F568="","ERRO",10*F568)*'BD Campos'!$W$3)</f>
        <v>0.8</v>
      </c>
      <c r="H568" s="40">
        <v>0.05</v>
      </c>
      <c r="I568" s="41">
        <f t="shared" si="20"/>
        <v>-4.0000000000000008E-2</v>
      </c>
    </row>
    <row r="569" spans="1:9" hidden="1" x14ac:dyDescent="0.35">
      <c r="A569" s="37" t="str">
        <f t="shared" si="19"/>
        <v>TELEFÔNICAReceptiva8</v>
      </c>
      <c r="B569" s="37" t="s">
        <v>6</v>
      </c>
      <c r="C569" s="37" t="s">
        <v>98</v>
      </c>
      <c r="D569" s="37">
        <v>8</v>
      </c>
      <c r="E569" s="37" t="s">
        <v>1290</v>
      </c>
      <c r="F569" s="38">
        <v>0.08</v>
      </c>
      <c r="G569" s="39">
        <f>IF(OR(B569="FIXO",B569="XFIXO"),IF(F569="","ERRO",10*F569)*'BD Campos'!$W$2,IF(F569="","ERRO",10*F569)*'BD Campos'!$W$3)</f>
        <v>0.8</v>
      </c>
      <c r="H569" s="40">
        <v>0.05</v>
      </c>
      <c r="I569" s="41">
        <f t="shared" si="20"/>
        <v>-4.0000000000000008E-2</v>
      </c>
    </row>
    <row r="570" spans="1:9" hidden="1" x14ac:dyDescent="0.35">
      <c r="A570" s="37" t="str">
        <f t="shared" si="19"/>
        <v>TELEFÔNICAReceptiva9</v>
      </c>
      <c r="B570" s="37" t="s">
        <v>6</v>
      </c>
      <c r="C570" s="37" t="s">
        <v>98</v>
      </c>
      <c r="D570" s="37">
        <v>9</v>
      </c>
      <c r="E570" s="37" t="s">
        <v>1291</v>
      </c>
      <c r="F570" s="38">
        <v>0.08</v>
      </c>
      <c r="G570" s="39">
        <f>IF(OR(B570="FIXO",B570="XFIXO"),IF(F570="","ERRO",10*F570)*'BD Campos'!$W$2,IF(F570="","ERRO",10*F570)*'BD Campos'!$W$3)</f>
        <v>0.8</v>
      </c>
      <c r="H570" s="40">
        <v>0.05</v>
      </c>
      <c r="I570" s="41">
        <f t="shared" si="20"/>
        <v>-4.0000000000000008E-2</v>
      </c>
    </row>
    <row r="571" spans="1:9" hidden="1" x14ac:dyDescent="0.35">
      <c r="A571" s="37" t="str">
        <f t="shared" si="19"/>
        <v>TELEFÔNICAReceptiva10</v>
      </c>
      <c r="B571" s="37" t="s">
        <v>6</v>
      </c>
      <c r="C571" s="37" t="s">
        <v>98</v>
      </c>
      <c r="D571" s="37">
        <v>10</v>
      </c>
      <c r="E571" s="37" t="s">
        <v>1292</v>
      </c>
      <c r="F571" s="38">
        <v>0.08</v>
      </c>
      <c r="G571" s="39">
        <f>IF(OR(B571="FIXO",B571="XFIXO"),IF(F571="","ERRO",10*F571)*'BD Campos'!$W$2,IF(F571="","ERRO",10*F571)*'BD Campos'!$W$3)</f>
        <v>0.8</v>
      </c>
      <c r="H571" s="40">
        <v>0.05</v>
      </c>
      <c r="I571" s="41">
        <f t="shared" si="20"/>
        <v>-4.0000000000000008E-2</v>
      </c>
    </row>
    <row r="572" spans="1:9" hidden="1" x14ac:dyDescent="0.35">
      <c r="A572" s="37" t="str">
        <f t="shared" si="19"/>
        <v>TELEFÔNICAReceptiva11</v>
      </c>
      <c r="B572" s="37" t="s">
        <v>6</v>
      </c>
      <c r="C572" s="37" t="s">
        <v>98</v>
      </c>
      <c r="D572" s="37">
        <v>11</v>
      </c>
      <c r="E572" s="37" t="s">
        <v>1217</v>
      </c>
      <c r="F572" s="38">
        <v>0.08</v>
      </c>
      <c r="G572" s="39">
        <f>IF(OR(B572="FIXO",B572="XFIXO"),IF(F572="","ERRO",10*F572)*'BD Campos'!$W$2,IF(F572="","ERRO",10*F572)*'BD Campos'!$W$3)</f>
        <v>0.8</v>
      </c>
      <c r="H572" s="40">
        <v>0.05</v>
      </c>
      <c r="I572" s="41">
        <f t="shared" si="20"/>
        <v>-4.0000000000000008E-2</v>
      </c>
    </row>
    <row r="573" spans="1:9" hidden="1" x14ac:dyDescent="0.35">
      <c r="A573" s="37" t="str">
        <f t="shared" si="19"/>
        <v>TELEFÔNICAReceptiva12</v>
      </c>
      <c r="B573" s="37" t="s">
        <v>6</v>
      </c>
      <c r="C573" s="37" t="s">
        <v>98</v>
      </c>
      <c r="D573" s="37">
        <v>12</v>
      </c>
      <c r="E573" s="37" t="s">
        <v>1293</v>
      </c>
      <c r="F573" s="38">
        <v>0.08</v>
      </c>
      <c r="G573" s="39">
        <f>IF(OR(B573="FIXO",B573="XFIXO"),IF(F573="","ERRO",10*F573)*'BD Campos'!$W$2,IF(F573="","ERRO",10*F573)*'BD Campos'!$W$3)</f>
        <v>0.8</v>
      </c>
      <c r="H573" s="40">
        <v>0.05</v>
      </c>
      <c r="I573" s="41">
        <f t="shared" si="20"/>
        <v>-4.0000000000000008E-2</v>
      </c>
    </row>
    <row r="574" spans="1:9" hidden="1" x14ac:dyDescent="0.35">
      <c r="A574" s="37" t="str">
        <f t="shared" si="19"/>
        <v>TELEFÔNICAReceptiva 21</v>
      </c>
      <c r="B574" s="37" t="s">
        <v>6</v>
      </c>
      <c r="C574" s="37" t="s">
        <v>100</v>
      </c>
      <c r="D574" s="37">
        <v>1</v>
      </c>
      <c r="E574" s="37" t="s">
        <v>1284</v>
      </c>
      <c r="F574" s="38">
        <v>0.08</v>
      </c>
      <c r="G574" s="39">
        <f>IF(OR(B574="FIXO",B574="XFIXO"),IF(F574="","ERRO",10*F574)*'BD Campos'!$W$2,IF(F574="","ERRO",10*F574)*'BD Campos'!$W$3)</f>
        <v>0.8</v>
      </c>
      <c r="H574" s="40">
        <v>0.05</v>
      </c>
      <c r="I574" s="41">
        <f t="shared" si="20"/>
        <v>-4.0000000000000008E-2</v>
      </c>
    </row>
    <row r="575" spans="1:9" hidden="1" x14ac:dyDescent="0.35">
      <c r="A575" s="37" t="str">
        <f t="shared" si="19"/>
        <v>TELEFÔNICAReceptiva 22</v>
      </c>
      <c r="B575" s="37" t="s">
        <v>6</v>
      </c>
      <c r="C575" s="37" t="s">
        <v>100</v>
      </c>
      <c r="D575" s="37">
        <v>2</v>
      </c>
      <c r="E575" s="37" t="s">
        <v>1285</v>
      </c>
      <c r="F575" s="38">
        <v>0.08</v>
      </c>
      <c r="G575" s="39">
        <f>IF(OR(B575="FIXO",B575="XFIXO"),IF(F575="","ERRO",10*F575)*'BD Campos'!$W$2,IF(F575="","ERRO",10*F575)*'BD Campos'!$W$3)</f>
        <v>0.8</v>
      </c>
      <c r="H575" s="40">
        <v>0.05</v>
      </c>
      <c r="I575" s="41">
        <f t="shared" si="20"/>
        <v>-4.0000000000000008E-2</v>
      </c>
    </row>
    <row r="576" spans="1:9" hidden="1" x14ac:dyDescent="0.35">
      <c r="A576" s="37" t="str">
        <f t="shared" si="19"/>
        <v>TELEFÔNICAReceptiva 23</v>
      </c>
      <c r="B576" s="37" t="s">
        <v>6</v>
      </c>
      <c r="C576" s="37" t="s">
        <v>100</v>
      </c>
      <c r="D576" s="37">
        <v>3</v>
      </c>
      <c r="E576" s="37" t="s">
        <v>1286</v>
      </c>
      <c r="F576" s="38">
        <v>0.12</v>
      </c>
      <c r="G576" s="39">
        <f>IF(OR(B576="FIXO",B576="XFIXO"),IF(F576="","ERRO",10*F576)*'BD Campos'!$W$2,IF(F576="","ERRO",10*F576)*'BD Campos'!$W$3)</f>
        <v>1.2</v>
      </c>
      <c r="H576" s="40">
        <v>0.05</v>
      </c>
      <c r="I576" s="41">
        <f t="shared" si="20"/>
        <v>-0.06</v>
      </c>
    </row>
    <row r="577" spans="1:9" hidden="1" x14ac:dyDescent="0.35">
      <c r="A577" s="37" t="str">
        <f t="shared" si="19"/>
        <v>TELEFÔNICAReceptiva 24</v>
      </c>
      <c r="B577" s="37" t="s">
        <v>6</v>
      </c>
      <c r="C577" s="37" t="s">
        <v>100</v>
      </c>
      <c r="D577" s="37">
        <v>4</v>
      </c>
      <c r="E577" s="37" t="s">
        <v>1287</v>
      </c>
      <c r="F577" s="38">
        <v>0.08</v>
      </c>
      <c r="G577" s="39">
        <f>IF(OR(B577="FIXO",B577="XFIXO"),IF(F577="","ERRO",10*F577)*'BD Campos'!$W$2,IF(F577="","ERRO",10*F577)*'BD Campos'!$W$3)</f>
        <v>0.8</v>
      </c>
      <c r="H577" s="40">
        <v>0.05</v>
      </c>
      <c r="I577" s="41">
        <f t="shared" si="20"/>
        <v>-4.0000000000000008E-2</v>
      </c>
    </row>
    <row r="578" spans="1:9" hidden="1" x14ac:dyDescent="0.35">
      <c r="A578" s="37" t="str">
        <f t="shared" si="19"/>
        <v>TELEFÔNICAReceptiva 25</v>
      </c>
      <c r="B578" s="37" t="s">
        <v>6</v>
      </c>
      <c r="C578" s="37" t="s">
        <v>100</v>
      </c>
      <c r="D578" s="37">
        <v>5</v>
      </c>
      <c r="E578" s="37" t="s">
        <v>1288</v>
      </c>
      <c r="F578" s="38">
        <v>0.08</v>
      </c>
      <c r="G578" s="39">
        <f>IF(OR(B578="FIXO",B578="XFIXO"),IF(F578="","ERRO",10*F578)*'BD Campos'!$W$2,IF(F578="","ERRO",10*F578)*'BD Campos'!$W$3)</f>
        <v>0.8</v>
      </c>
      <c r="H578" s="40">
        <v>0.05</v>
      </c>
      <c r="I578" s="41">
        <f t="shared" si="20"/>
        <v>-4.0000000000000008E-2</v>
      </c>
    </row>
    <row r="579" spans="1:9" hidden="1" x14ac:dyDescent="0.35">
      <c r="A579" s="37" t="str">
        <f t="shared" si="19"/>
        <v>TELEFÔNICAReceptiva 26</v>
      </c>
      <c r="B579" s="37" t="s">
        <v>6</v>
      </c>
      <c r="C579" s="37" t="s">
        <v>100</v>
      </c>
      <c r="D579" s="37">
        <v>6</v>
      </c>
      <c r="E579" s="37" t="s">
        <v>1289</v>
      </c>
      <c r="F579" s="38">
        <v>0.08</v>
      </c>
      <c r="G579" s="39">
        <f>IF(OR(B579="FIXO",B579="XFIXO"),IF(F579="","ERRO",10*F579)*'BD Campos'!$W$2,IF(F579="","ERRO",10*F579)*'BD Campos'!$W$3)</f>
        <v>0.8</v>
      </c>
      <c r="H579" s="40">
        <v>0.05</v>
      </c>
      <c r="I579" s="41">
        <f t="shared" si="20"/>
        <v>-4.0000000000000008E-2</v>
      </c>
    </row>
    <row r="580" spans="1:9" hidden="1" x14ac:dyDescent="0.35">
      <c r="A580" s="37" t="str">
        <f t="shared" si="19"/>
        <v>TELEFÔNICAReceptiva 27</v>
      </c>
      <c r="B580" s="37" t="s">
        <v>6</v>
      </c>
      <c r="C580" s="37" t="s">
        <v>100</v>
      </c>
      <c r="D580" s="37">
        <v>7</v>
      </c>
      <c r="E580" s="37" t="s">
        <v>1216</v>
      </c>
      <c r="F580" s="38">
        <v>0.08</v>
      </c>
      <c r="G580" s="39">
        <f>IF(OR(B580="FIXO",B580="XFIXO"),IF(F580="","ERRO",10*F580)*'BD Campos'!$W$2,IF(F580="","ERRO",10*F580)*'BD Campos'!$W$3)</f>
        <v>0.8</v>
      </c>
      <c r="H580" s="40">
        <v>0.05</v>
      </c>
      <c r="I580" s="41">
        <f t="shared" si="20"/>
        <v>-4.0000000000000008E-2</v>
      </c>
    </row>
    <row r="581" spans="1:9" hidden="1" x14ac:dyDescent="0.35">
      <c r="A581" s="37" t="str">
        <f t="shared" si="19"/>
        <v>TELEFÔNICAReceptiva 28</v>
      </c>
      <c r="B581" s="37" t="s">
        <v>6</v>
      </c>
      <c r="C581" s="37" t="s">
        <v>100</v>
      </c>
      <c r="D581" s="37">
        <v>8</v>
      </c>
      <c r="E581" s="37" t="s">
        <v>1290</v>
      </c>
      <c r="F581" s="38">
        <v>0.08</v>
      </c>
      <c r="G581" s="39">
        <f>IF(OR(B581="FIXO",B581="XFIXO"),IF(F581="","ERRO",10*F581)*'BD Campos'!$W$2,IF(F581="","ERRO",10*F581)*'BD Campos'!$W$3)</f>
        <v>0.8</v>
      </c>
      <c r="H581" s="40">
        <v>0.05</v>
      </c>
      <c r="I581" s="41">
        <f t="shared" si="20"/>
        <v>-4.0000000000000008E-2</v>
      </c>
    </row>
    <row r="582" spans="1:9" hidden="1" x14ac:dyDescent="0.35">
      <c r="A582" s="37" t="str">
        <f t="shared" si="19"/>
        <v>TELEFÔNICAReceptiva 29</v>
      </c>
      <c r="B582" s="37" t="s">
        <v>6</v>
      </c>
      <c r="C582" s="37" t="s">
        <v>100</v>
      </c>
      <c r="D582" s="37">
        <v>9</v>
      </c>
      <c r="E582" s="37" t="s">
        <v>1291</v>
      </c>
      <c r="F582" s="38">
        <v>0.08</v>
      </c>
      <c r="G582" s="39">
        <f>IF(OR(B582="FIXO",B582="XFIXO"),IF(F582="","ERRO",10*F582)*'BD Campos'!$W$2,IF(F582="","ERRO",10*F582)*'BD Campos'!$W$3)</f>
        <v>0.8</v>
      </c>
      <c r="H582" s="40">
        <v>0.05</v>
      </c>
      <c r="I582" s="41">
        <f t="shared" si="20"/>
        <v>-4.0000000000000008E-2</v>
      </c>
    </row>
    <row r="583" spans="1:9" hidden="1" x14ac:dyDescent="0.35">
      <c r="A583" s="37" t="str">
        <f t="shared" si="19"/>
        <v>TELEFÔNICAReceptiva 210</v>
      </c>
      <c r="B583" s="37" t="s">
        <v>6</v>
      </c>
      <c r="C583" s="37" t="s">
        <v>100</v>
      </c>
      <c r="D583" s="37">
        <v>10</v>
      </c>
      <c r="E583" s="37" t="s">
        <v>1292</v>
      </c>
      <c r="F583" s="38">
        <v>0.08</v>
      </c>
      <c r="G583" s="39">
        <f>IF(OR(B583="FIXO",B583="XFIXO"),IF(F583="","ERRO",10*F583)*'BD Campos'!$W$2,IF(F583="","ERRO",10*F583)*'BD Campos'!$W$3)</f>
        <v>0.8</v>
      </c>
      <c r="H583" s="40">
        <v>0.05</v>
      </c>
      <c r="I583" s="41">
        <f t="shared" si="20"/>
        <v>-4.0000000000000008E-2</v>
      </c>
    </row>
    <row r="584" spans="1:9" hidden="1" x14ac:dyDescent="0.35">
      <c r="A584" s="37" t="str">
        <f t="shared" si="19"/>
        <v>TELEFÔNICAReceptiva 211</v>
      </c>
      <c r="B584" s="37" t="s">
        <v>6</v>
      </c>
      <c r="C584" s="37" t="s">
        <v>100</v>
      </c>
      <c r="D584" s="37">
        <v>11</v>
      </c>
      <c r="E584" s="37" t="s">
        <v>1217</v>
      </c>
      <c r="F584" s="38">
        <v>0.08</v>
      </c>
      <c r="G584" s="39">
        <f>IF(OR(B584="FIXO",B584="XFIXO"),IF(F584="","ERRO",10*F584)*'BD Campos'!$W$2,IF(F584="","ERRO",10*F584)*'BD Campos'!$W$3)</f>
        <v>0.8</v>
      </c>
      <c r="H584" s="40">
        <v>0.05</v>
      </c>
      <c r="I584" s="41">
        <f t="shared" si="20"/>
        <v>-4.0000000000000008E-2</v>
      </c>
    </row>
    <row r="585" spans="1:9" hidden="1" x14ac:dyDescent="0.35">
      <c r="A585" s="37" t="str">
        <f t="shared" si="19"/>
        <v>TELEFÔNICAReceptiva 212</v>
      </c>
      <c r="B585" s="37" t="s">
        <v>6</v>
      </c>
      <c r="C585" s="37" t="s">
        <v>100</v>
      </c>
      <c r="D585" s="37">
        <v>12</v>
      </c>
      <c r="E585" s="37" t="s">
        <v>1293</v>
      </c>
      <c r="F585" s="38">
        <v>0.08</v>
      </c>
      <c r="G585" s="39">
        <f>IF(OR(B585="FIXO",B585="XFIXO"),IF(F585="","ERRO",10*F585)*'BD Campos'!$W$2,IF(F585="","ERRO",10*F585)*'BD Campos'!$W$3)</f>
        <v>0.8</v>
      </c>
      <c r="H585" s="40">
        <v>0.05</v>
      </c>
      <c r="I585" s="41">
        <f t="shared" si="20"/>
        <v>-4.0000000000000008E-2</v>
      </c>
    </row>
    <row r="586" spans="1:9" hidden="1" x14ac:dyDescent="0.35">
      <c r="A586" s="37" t="str">
        <f t="shared" si="19"/>
        <v>ESTADIAMotorista1</v>
      </c>
      <c r="B586" s="37" t="s">
        <v>202</v>
      </c>
      <c r="C586" s="37" t="s">
        <v>122</v>
      </c>
      <c r="D586" s="37">
        <v>1</v>
      </c>
      <c r="E586" s="37" t="s">
        <v>1212</v>
      </c>
      <c r="F586" s="38">
        <v>0.12</v>
      </c>
      <c r="G586" s="39">
        <f>IF(OR(B586="FIXO",B586="XFIXO"),IF(F586="","ERRO",10*F586)*'BD Campos'!$W$2,IF(F586="","ERRO",10*F586)*'BD Campos'!$W$3)</f>
        <v>1.2</v>
      </c>
      <c r="H586" s="40">
        <v>0.05</v>
      </c>
      <c r="I586" s="41">
        <f t="shared" si="20"/>
        <v>-0.06</v>
      </c>
    </row>
    <row r="587" spans="1:9" hidden="1" x14ac:dyDescent="0.35">
      <c r="A587" s="37" t="str">
        <f t="shared" si="19"/>
        <v>ESTADIAMotorista2</v>
      </c>
      <c r="B587" s="37" t="s">
        <v>202</v>
      </c>
      <c r="C587" s="37" t="s">
        <v>122</v>
      </c>
      <c r="D587" s="37">
        <v>2</v>
      </c>
      <c r="E587" s="37" t="s">
        <v>1213</v>
      </c>
      <c r="F587" s="38">
        <v>0.1</v>
      </c>
      <c r="G587" s="39">
        <f>IF(OR(B587="FIXO",B587="XFIXO"),IF(F587="","ERRO",10*F587)*'BD Campos'!$W$2,IF(F587="","ERRO",10*F587)*'BD Campos'!$W$3)</f>
        <v>1</v>
      </c>
      <c r="H587" s="40">
        <v>0.05</v>
      </c>
      <c r="I587" s="41">
        <f t="shared" si="20"/>
        <v>-0.05</v>
      </c>
    </row>
    <row r="588" spans="1:9" hidden="1" x14ac:dyDescent="0.35">
      <c r="A588" s="37" t="str">
        <f t="shared" si="19"/>
        <v>ESTADIAMotorista3</v>
      </c>
      <c r="B588" s="37" t="s">
        <v>202</v>
      </c>
      <c r="C588" s="37" t="s">
        <v>122</v>
      </c>
      <c r="D588" s="37">
        <v>3</v>
      </c>
      <c r="E588" s="37" t="s">
        <v>1214</v>
      </c>
      <c r="F588" s="38">
        <v>0.1</v>
      </c>
      <c r="G588" s="39">
        <f>IF(OR(B588="FIXO",B588="XFIXO"),IF(F588="","ERRO",10*F588)*'BD Campos'!$W$2,IF(F588="","ERRO",10*F588)*'BD Campos'!$W$3)</f>
        <v>1</v>
      </c>
      <c r="H588" s="40">
        <v>0.05</v>
      </c>
      <c r="I588" s="41">
        <f t="shared" si="20"/>
        <v>-0.05</v>
      </c>
    </row>
    <row r="589" spans="1:9" hidden="1" x14ac:dyDescent="0.35">
      <c r="A589" s="37" t="str">
        <f t="shared" si="19"/>
        <v>ESTADIAMotorista4</v>
      </c>
      <c r="B589" s="37" t="s">
        <v>202</v>
      </c>
      <c r="C589" s="37" t="s">
        <v>122</v>
      </c>
      <c r="D589" s="37">
        <v>4</v>
      </c>
      <c r="E589" s="37" t="s">
        <v>1215</v>
      </c>
      <c r="F589" s="38">
        <v>0.1</v>
      </c>
      <c r="G589" s="39">
        <f>IF(OR(B589="FIXO",B589="XFIXO"),IF(F589="","ERRO",10*F589)*'BD Campos'!$W$2,IF(F589="","ERRO",10*F589)*'BD Campos'!$W$3)</f>
        <v>1</v>
      </c>
      <c r="H589" s="40">
        <v>0.05</v>
      </c>
      <c r="I589" s="41">
        <f t="shared" si="20"/>
        <v>-0.05</v>
      </c>
    </row>
    <row r="590" spans="1:9" hidden="1" x14ac:dyDescent="0.35">
      <c r="A590" s="37" t="str">
        <f t="shared" si="19"/>
        <v>ESTADIAMotorista5</v>
      </c>
      <c r="B590" s="37" t="s">
        <v>202</v>
      </c>
      <c r="C590" s="37" t="s">
        <v>122</v>
      </c>
      <c r="D590" s="37">
        <v>5</v>
      </c>
      <c r="E590" s="37" t="s">
        <v>1216</v>
      </c>
      <c r="F590" s="38">
        <v>0.14000000000000001</v>
      </c>
      <c r="G590" s="39">
        <f>IF(OR(B590="FIXO",B590="XFIXO"),IF(F590="","ERRO",10*F590)*'BD Campos'!$W$2,IF(F590="","ERRO",10*F590)*'BD Campos'!$W$3)</f>
        <v>1.4000000000000001</v>
      </c>
      <c r="H590" s="40">
        <v>0.05</v>
      </c>
      <c r="I590" s="41">
        <f t="shared" si="20"/>
        <v>-7.0000000000000007E-2</v>
      </c>
    </row>
    <row r="591" spans="1:9" hidden="1" x14ac:dyDescent="0.35">
      <c r="A591" s="37" t="str">
        <f t="shared" si="19"/>
        <v>ESTADIAMotorista6</v>
      </c>
      <c r="B591" s="37" t="s">
        <v>202</v>
      </c>
      <c r="C591" s="37" t="s">
        <v>122</v>
      </c>
      <c r="D591" s="37">
        <v>6</v>
      </c>
      <c r="E591" s="37" t="s">
        <v>1217</v>
      </c>
      <c r="F591" s="38">
        <v>0.09</v>
      </c>
      <c r="G591" s="39">
        <f>IF(OR(B591="FIXO",B591="XFIXO"),IF(F591="","ERRO",10*F591)*'BD Campos'!$W$2,IF(F591="","ERRO",10*F591)*'BD Campos'!$W$3)</f>
        <v>0.89999999999999991</v>
      </c>
      <c r="H591" s="40">
        <v>0.05</v>
      </c>
      <c r="I591" s="41">
        <f t="shared" si="20"/>
        <v>-4.4999999999999998E-2</v>
      </c>
    </row>
    <row r="592" spans="1:9" hidden="1" x14ac:dyDescent="0.35">
      <c r="A592" s="37" t="str">
        <f t="shared" si="19"/>
        <v>ESTADIAMotorista7</v>
      </c>
      <c r="B592" s="37" t="s">
        <v>202</v>
      </c>
      <c r="C592" s="37" t="s">
        <v>122</v>
      </c>
      <c r="D592" s="37">
        <v>7</v>
      </c>
      <c r="E592" s="37" t="s">
        <v>1257</v>
      </c>
      <c r="F592" s="38">
        <v>0.17</v>
      </c>
      <c r="G592" s="39">
        <f>IF(OR(B592="FIXO",B592="XFIXO"),IF(F592="","ERRO",10*F592)*'BD Campos'!$W$2,IF(F592="","ERRO",10*F592)*'BD Campos'!$W$3)</f>
        <v>1.7000000000000002</v>
      </c>
      <c r="H592" s="40">
        <v>0.05</v>
      </c>
      <c r="I592" s="41">
        <f t="shared" si="20"/>
        <v>-8.500000000000002E-2</v>
      </c>
    </row>
    <row r="593" spans="1:9" hidden="1" x14ac:dyDescent="0.35">
      <c r="A593" s="37" t="str">
        <f t="shared" si="19"/>
        <v>ESTADIAMotorista8</v>
      </c>
      <c r="B593" s="37" t="s">
        <v>202</v>
      </c>
      <c r="C593" s="37" t="s">
        <v>122</v>
      </c>
      <c r="D593" s="37">
        <v>8</v>
      </c>
      <c r="E593" s="37" t="s">
        <v>1294</v>
      </c>
      <c r="F593" s="38">
        <v>0.18</v>
      </c>
      <c r="G593" s="39">
        <f>IF(OR(B593="FIXO",B593="XFIXO"),IF(F593="","ERRO",10*F593)*'BD Campos'!$W$2,IF(F593="","ERRO",10*F593)*'BD Campos'!$W$3)</f>
        <v>1.7999999999999998</v>
      </c>
      <c r="H593" s="40">
        <v>0.05</v>
      </c>
      <c r="I593" s="41">
        <f t="shared" si="20"/>
        <v>-0.09</v>
      </c>
    </row>
    <row r="594" spans="1:9" hidden="1" x14ac:dyDescent="0.35">
      <c r="A594" s="37" t="str">
        <f t="shared" ref="A594:A608" si="21">B594&amp;C594&amp;D594</f>
        <v>ESTADIAMotorista 21</v>
      </c>
      <c r="B594" s="37" t="s">
        <v>202</v>
      </c>
      <c r="C594" s="37" t="s">
        <v>204</v>
      </c>
      <c r="D594" s="37">
        <v>1</v>
      </c>
      <c r="E594" s="37" t="s">
        <v>1212</v>
      </c>
      <c r="F594" s="38">
        <v>0.12</v>
      </c>
      <c r="G594" s="39">
        <f>IF(OR(B594="FIXO",B594="XFIXO"),IF(F594="","ERRO",10*F594)*'BD Campos'!$W$2,IF(F594="","ERRO",10*F594)*'BD Campos'!$W$3)</f>
        <v>1.2</v>
      </c>
      <c r="H594" s="40">
        <v>0.05</v>
      </c>
      <c r="I594" s="41">
        <f t="shared" ref="I594:I610" si="22">H594*G594*-1</f>
        <v>-0.06</v>
      </c>
    </row>
    <row r="595" spans="1:9" hidden="1" x14ac:dyDescent="0.35">
      <c r="A595" s="37" t="str">
        <f t="shared" si="21"/>
        <v>ESTADIAMotorista 22</v>
      </c>
      <c r="B595" s="37" t="s">
        <v>202</v>
      </c>
      <c r="C595" s="37" t="s">
        <v>204</v>
      </c>
      <c r="D595" s="37">
        <v>2</v>
      </c>
      <c r="E595" s="37" t="s">
        <v>1213</v>
      </c>
      <c r="F595" s="38">
        <v>0.1</v>
      </c>
      <c r="G595" s="39">
        <f>IF(OR(B595="FIXO",B595="XFIXO"),IF(F595="","ERRO",10*F595)*'BD Campos'!$W$2,IF(F595="","ERRO",10*F595)*'BD Campos'!$W$3)</f>
        <v>1</v>
      </c>
      <c r="H595" s="40">
        <v>0.05</v>
      </c>
      <c r="I595" s="41">
        <f t="shared" si="22"/>
        <v>-0.05</v>
      </c>
    </row>
    <row r="596" spans="1:9" hidden="1" x14ac:dyDescent="0.35">
      <c r="A596" s="37" t="str">
        <f t="shared" si="21"/>
        <v>ESTADIAMotorista 23</v>
      </c>
      <c r="B596" s="37" t="s">
        <v>202</v>
      </c>
      <c r="C596" s="37" t="s">
        <v>204</v>
      </c>
      <c r="D596" s="37">
        <v>3</v>
      </c>
      <c r="E596" s="37" t="s">
        <v>1214</v>
      </c>
      <c r="F596" s="38">
        <v>0.1</v>
      </c>
      <c r="G596" s="39">
        <f>IF(OR(B596="FIXO",B596="XFIXO"),IF(F596="","ERRO",10*F596)*'BD Campos'!$W$2,IF(F596="","ERRO",10*F596)*'BD Campos'!$W$3)</f>
        <v>1</v>
      </c>
      <c r="H596" s="40">
        <v>0.05</v>
      </c>
      <c r="I596" s="41">
        <f t="shared" si="22"/>
        <v>-0.05</v>
      </c>
    </row>
    <row r="597" spans="1:9" hidden="1" x14ac:dyDescent="0.35">
      <c r="A597" s="37" t="str">
        <f t="shared" si="21"/>
        <v>ESTADIAMotorista 24</v>
      </c>
      <c r="B597" s="37" t="s">
        <v>202</v>
      </c>
      <c r="C597" s="37" t="s">
        <v>204</v>
      </c>
      <c r="D597" s="37">
        <v>4</v>
      </c>
      <c r="E597" s="37" t="s">
        <v>1215</v>
      </c>
      <c r="F597" s="38">
        <v>0.1</v>
      </c>
      <c r="G597" s="39">
        <f>IF(OR(B597="FIXO",B597="XFIXO"),IF(F597="","ERRO",10*F597)*'BD Campos'!$W$2,IF(F597="","ERRO",10*F597)*'BD Campos'!$W$3)</f>
        <v>1</v>
      </c>
      <c r="H597" s="40">
        <v>0.05</v>
      </c>
      <c r="I597" s="41">
        <f t="shared" si="22"/>
        <v>-0.05</v>
      </c>
    </row>
    <row r="598" spans="1:9" hidden="1" x14ac:dyDescent="0.35">
      <c r="A598" s="37" t="str">
        <f t="shared" si="21"/>
        <v>ESTADIAMotorista 25</v>
      </c>
      <c r="B598" s="37" t="s">
        <v>202</v>
      </c>
      <c r="C598" s="37" t="s">
        <v>204</v>
      </c>
      <c r="D598" s="37">
        <v>5</v>
      </c>
      <c r="E598" s="37" t="s">
        <v>1216</v>
      </c>
      <c r="F598" s="38">
        <v>0.14000000000000001</v>
      </c>
      <c r="G598" s="39">
        <f>IF(OR(B598="FIXO",B598="XFIXO"),IF(F598="","ERRO",10*F598)*'BD Campos'!$W$2,IF(F598="","ERRO",10*F598)*'BD Campos'!$W$3)</f>
        <v>1.4000000000000001</v>
      </c>
      <c r="H598" s="40">
        <v>0.05</v>
      </c>
      <c r="I598" s="41">
        <f t="shared" si="22"/>
        <v>-7.0000000000000007E-2</v>
      </c>
    </row>
    <row r="599" spans="1:9" hidden="1" x14ac:dyDescent="0.35">
      <c r="A599" s="37" t="str">
        <f t="shared" si="21"/>
        <v>ESTADIAMotorista 26</v>
      </c>
      <c r="B599" s="37" t="s">
        <v>202</v>
      </c>
      <c r="C599" s="37" t="s">
        <v>204</v>
      </c>
      <c r="D599" s="37">
        <v>6</v>
      </c>
      <c r="E599" s="37" t="s">
        <v>1217</v>
      </c>
      <c r="F599" s="38">
        <v>0.09</v>
      </c>
      <c r="G599" s="39">
        <f>IF(OR(B599="FIXO",B599="XFIXO"),IF(F599="","ERRO",10*F599)*'BD Campos'!$W$2,IF(F599="","ERRO",10*F599)*'BD Campos'!$W$3)</f>
        <v>0.89999999999999991</v>
      </c>
      <c r="H599" s="40">
        <v>0.05</v>
      </c>
      <c r="I599" s="41">
        <f t="shared" si="22"/>
        <v>-4.4999999999999998E-2</v>
      </c>
    </row>
    <row r="600" spans="1:9" hidden="1" x14ac:dyDescent="0.35">
      <c r="A600" s="37" t="str">
        <f t="shared" si="21"/>
        <v>ESTADIAMotorista 27</v>
      </c>
      <c r="B600" s="37" t="s">
        <v>202</v>
      </c>
      <c r="C600" s="37" t="s">
        <v>204</v>
      </c>
      <c r="D600" s="37">
        <v>7</v>
      </c>
      <c r="E600" s="37" t="s">
        <v>1257</v>
      </c>
      <c r="F600" s="38">
        <v>0.17</v>
      </c>
      <c r="G600" s="39">
        <f>IF(OR(B600="FIXO",B600="XFIXO"),IF(F600="","ERRO",10*F600)*'BD Campos'!$W$2,IF(F600="","ERRO",10*F600)*'BD Campos'!$W$3)</f>
        <v>1.7000000000000002</v>
      </c>
      <c r="H600" s="40">
        <v>0.05</v>
      </c>
      <c r="I600" s="41">
        <f t="shared" si="22"/>
        <v>-8.500000000000002E-2</v>
      </c>
    </row>
    <row r="601" spans="1:9" hidden="1" x14ac:dyDescent="0.35">
      <c r="A601" s="37" t="str">
        <f t="shared" si="21"/>
        <v>ESTADIAMotorista 28</v>
      </c>
      <c r="B601" s="37" t="s">
        <v>202</v>
      </c>
      <c r="C601" s="37" t="s">
        <v>204</v>
      </c>
      <c r="D601" s="37">
        <v>8</v>
      </c>
      <c r="E601" s="37" t="s">
        <v>1294</v>
      </c>
      <c r="F601" s="38">
        <v>0.18</v>
      </c>
      <c r="G601" s="39">
        <f>IF(OR(B601="FIXO",B601="XFIXO"),IF(F601="","ERRO",10*F601)*'BD Campos'!$W$2,IF(F601="","ERRO",10*F601)*'BD Campos'!$W$3)</f>
        <v>1.7999999999999998</v>
      </c>
      <c r="H601" s="40">
        <v>0.05</v>
      </c>
      <c r="I601" s="41">
        <f t="shared" si="22"/>
        <v>-0.09</v>
      </c>
    </row>
    <row r="602" spans="1:9" hidden="1" x14ac:dyDescent="0.35">
      <c r="A602" s="37" t="str">
        <f t="shared" si="21"/>
        <v>COBRANÇA DE OSCliente1</v>
      </c>
      <c r="B602" s="37" t="s">
        <v>540</v>
      </c>
      <c r="C602" s="37" t="s">
        <v>124</v>
      </c>
      <c r="D602" s="37">
        <v>1</v>
      </c>
      <c r="E602" s="37" t="s">
        <v>1212</v>
      </c>
      <c r="F602" s="38">
        <v>0.1</v>
      </c>
      <c r="G602" s="39">
        <f>IF(OR(B602="FIXO",B602="XFIXO"),IF(F602="","ERRO",10*F602)*'BD Campos'!$W$2,IF(F602="","ERRO",10*F602)*'BD Campos'!$W$3)</f>
        <v>1</v>
      </c>
      <c r="H602" s="40">
        <v>0.05</v>
      </c>
      <c r="I602" s="41">
        <f t="shared" si="22"/>
        <v>-0.05</v>
      </c>
    </row>
    <row r="603" spans="1:9" hidden="1" x14ac:dyDescent="0.35">
      <c r="A603" s="37" t="str">
        <f t="shared" si="21"/>
        <v>COBRANÇA DE OSCliente2</v>
      </c>
      <c r="B603" s="37" t="s">
        <v>540</v>
      </c>
      <c r="C603" s="37" t="s">
        <v>124</v>
      </c>
      <c r="D603" s="37">
        <v>2</v>
      </c>
      <c r="E603" s="37" t="s">
        <v>1213</v>
      </c>
      <c r="F603" s="38">
        <v>0.1</v>
      </c>
      <c r="G603" s="39">
        <f>IF(OR(B603="FIXO",B603="XFIXO"),IF(F603="","ERRO",10*F603)*'BD Campos'!$W$2,IF(F603="","ERRO",10*F603)*'BD Campos'!$W$3)</f>
        <v>1</v>
      </c>
      <c r="H603" s="40">
        <v>0.05</v>
      </c>
      <c r="I603" s="41">
        <f t="shared" si="22"/>
        <v>-0.05</v>
      </c>
    </row>
    <row r="604" spans="1:9" hidden="1" x14ac:dyDescent="0.35">
      <c r="A604" s="37" t="str">
        <f t="shared" si="21"/>
        <v>COBRANÇA DE OSCliente3</v>
      </c>
      <c r="B604" s="37" t="s">
        <v>540</v>
      </c>
      <c r="C604" s="37" t="s">
        <v>124</v>
      </c>
      <c r="D604" s="37">
        <v>3</v>
      </c>
      <c r="E604" s="37" t="s">
        <v>1214</v>
      </c>
      <c r="F604" s="38">
        <v>0.1</v>
      </c>
      <c r="G604" s="39">
        <f>IF(OR(B604="FIXO",B604="XFIXO"),IF(F604="","ERRO",10*F604)*'BD Campos'!$W$2,IF(F604="","ERRO",10*F604)*'BD Campos'!$W$3)</f>
        <v>1</v>
      </c>
      <c r="H604" s="40">
        <v>0.05</v>
      </c>
      <c r="I604" s="41">
        <f t="shared" si="22"/>
        <v>-0.05</v>
      </c>
    </row>
    <row r="605" spans="1:9" hidden="1" x14ac:dyDescent="0.35">
      <c r="A605" s="37" t="str">
        <f t="shared" si="21"/>
        <v>COBRANÇA DE OSCliente4</v>
      </c>
      <c r="B605" s="37" t="s">
        <v>540</v>
      </c>
      <c r="C605" s="37" t="s">
        <v>124</v>
      </c>
      <c r="D605" s="37">
        <v>4</v>
      </c>
      <c r="E605" s="37" t="s">
        <v>1215</v>
      </c>
      <c r="F605" s="38">
        <v>0.1</v>
      </c>
      <c r="G605" s="39">
        <f>IF(OR(B605="FIXO",B605="XFIXO"),IF(F605="","ERRO",10*F605)*'BD Campos'!$W$2,IF(F605="","ERRO",10*F605)*'BD Campos'!$W$3)</f>
        <v>1</v>
      </c>
      <c r="H605" s="40">
        <v>0.05</v>
      </c>
      <c r="I605" s="41">
        <f t="shared" si="22"/>
        <v>-0.05</v>
      </c>
    </row>
    <row r="606" spans="1:9" hidden="1" x14ac:dyDescent="0.35">
      <c r="A606" s="37" t="str">
        <f t="shared" si="21"/>
        <v>COBRANÇA DE OSCliente5</v>
      </c>
      <c r="B606" s="37" t="s">
        <v>540</v>
      </c>
      <c r="C606" s="37" t="s">
        <v>124</v>
      </c>
      <c r="D606" s="37">
        <v>5</v>
      </c>
      <c r="E606" s="37" t="s">
        <v>1216</v>
      </c>
      <c r="F606" s="38">
        <v>0.1</v>
      </c>
      <c r="G606" s="39">
        <f>IF(OR(B606="FIXO",B606="XFIXO"),IF(F606="","ERRO",10*F606)*'BD Campos'!$W$2,IF(F606="","ERRO",10*F606)*'BD Campos'!$W$3)</f>
        <v>1</v>
      </c>
      <c r="H606" s="40">
        <v>0.05</v>
      </c>
      <c r="I606" s="41">
        <f t="shared" si="22"/>
        <v>-0.05</v>
      </c>
    </row>
    <row r="607" spans="1:9" hidden="1" x14ac:dyDescent="0.35">
      <c r="A607" s="37" t="str">
        <f t="shared" si="21"/>
        <v>COBRANÇA DE OSCliente6</v>
      </c>
      <c r="B607" s="37" t="s">
        <v>540</v>
      </c>
      <c r="C607" s="37" t="s">
        <v>124</v>
      </c>
      <c r="D607" s="37">
        <v>6</v>
      </c>
      <c r="E607" s="37" t="s">
        <v>1217</v>
      </c>
      <c r="F607" s="38">
        <v>0.1</v>
      </c>
      <c r="G607" s="39">
        <f>IF(OR(B607="FIXO",B607="XFIXO"),IF(F607="","ERRO",10*F607)*'BD Campos'!$W$2,IF(F607="","ERRO",10*F607)*'BD Campos'!$W$3)</f>
        <v>1</v>
      </c>
      <c r="H607" s="40">
        <v>0.05</v>
      </c>
      <c r="I607" s="41">
        <f t="shared" si="22"/>
        <v>-0.05</v>
      </c>
    </row>
    <row r="608" spans="1:9" hidden="1" x14ac:dyDescent="0.35">
      <c r="A608" s="37" t="str">
        <f t="shared" si="21"/>
        <v>COBRANÇA DE OSCliente7</v>
      </c>
      <c r="B608" s="37" t="s">
        <v>540</v>
      </c>
      <c r="C608" s="37" t="s">
        <v>124</v>
      </c>
      <c r="D608" s="37">
        <v>7</v>
      </c>
      <c r="E608" s="37" t="s">
        <v>1257</v>
      </c>
      <c r="F608" s="38">
        <v>0.15</v>
      </c>
      <c r="G608" s="39">
        <f>IF(OR(B608="FIXO",B608="XFIXO"),IF(F608="","ERRO",10*F608)*'BD Campos'!$W$2,IF(F608="","ERRO",10*F608)*'BD Campos'!$W$3)</f>
        <v>1.5</v>
      </c>
      <c r="H608" s="40">
        <v>0.05</v>
      </c>
      <c r="I608" s="41">
        <f t="shared" si="22"/>
        <v>-7.5000000000000011E-2</v>
      </c>
    </row>
    <row r="609" spans="1:9" hidden="1" x14ac:dyDescent="0.35">
      <c r="A609" s="37" t="str">
        <f t="shared" ref="A609:A617" si="23">B609&amp;C609&amp;D609</f>
        <v>COBRANÇA DE OSCliente8</v>
      </c>
      <c r="B609" s="37" t="s">
        <v>540</v>
      </c>
      <c r="C609" s="37" t="s">
        <v>124</v>
      </c>
      <c r="D609" s="37">
        <v>8</v>
      </c>
      <c r="E609" s="37" t="s">
        <v>1295</v>
      </c>
      <c r="F609" s="38">
        <v>0.15</v>
      </c>
      <c r="G609" s="39">
        <f>IF(OR(B609="FIXO",B609="XFIXO"),IF(F609="","ERRO",10*F609)*'BD Campos'!$W$2,IF(F609="","ERRO",10*F609)*'BD Campos'!$W$3)</f>
        <v>1.5</v>
      </c>
      <c r="H609" s="40">
        <v>0.05</v>
      </c>
      <c r="I609" s="41">
        <f t="shared" si="22"/>
        <v>-7.5000000000000011E-2</v>
      </c>
    </row>
    <row r="610" spans="1:9" hidden="1" x14ac:dyDescent="0.35">
      <c r="A610" s="37" t="str">
        <f t="shared" si="23"/>
        <v>COBRANÇA DE OSCliente9</v>
      </c>
      <c r="B610" s="37" t="s">
        <v>540</v>
      </c>
      <c r="C610" s="37" t="s">
        <v>124</v>
      </c>
      <c r="D610" s="37">
        <v>9</v>
      </c>
      <c r="E610" s="37" t="s">
        <v>1296</v>
      </c>
      <c r="F610" s="38">
        <v>0.1</v>
      </c>
      <c r="G610" s="39">
        <f>IF(OR(B610="FIXO",B610="XFIXO"),IF(F610="","ERRO",10*F610)*'BD Campos'!$W$2,IF(F610="","ERRO",10*F610)*'BD Campos'!$W$3)</f>
        <v>1</v>
      </c>
      <c r="H610" s="40">
        <v>0.05</v>
      </c>
      <c r="I610" s="41">
        <f t="shared" si="22"/>
        <v>-0.05</v>
      </c>
    </row>
    <row r="611" spans="1:9" hidden="1" x14ac:dyDescent="0.35">
      <c r="A611" s="37" t="str">
        <f t="shared" si="23"/>
        <v>COBRANÇA DE OSCliente 21</v>
      </c>
      <c r="B611" s="37" t="s">
        <v>540</v>
      </c>
      <c r="C611" s="37" t="s">
        <v>185</v>
      </c>
      <c r="D611" s="37">
        <v>1</v>
      </c>
      <c r="E611" s="37" t="s">
        <v>1212</v>
      </c>
      <c r="F611" s="38">
        <v>0.1</v>
      </c>
      <c r="G611" s="39">
        <f>IF(OR(B611="FIXO",B611="XFIXO"),IF(F611="","ERRO",10*F611)*'BD Campos'!$W$2,IF(F611="","ERRO",10*F611)*'BD Campos'!$W$3)</f>
        <v>1</v>
      </c>
      <c r="H611" s="40">
        <v>0.05</v>
      </c>
      <c r="I611" s="41">
        <f t="shared" ref="I611:I619" si="24">H611*G611*-1</f>
        <v>-0.05</v>
      </c>
    </row>
    <row r="612" spans="1:9" hidden="1" x14ac:dyDescent="0.35">
      <c r="A612" s="37" t="str">
        <f t="shared" si="23"/>
        <v>COBRANÇA DE OSCliente 22</v>
      </c>
      <c r="B612" s="37" t="s">
        <v>540</v>
      </c>
      <c r="C612" s="37" t="s">
        <v>185</v>
      </c>
      <c r="D612" s="37">
        <v>2</v>
      </c>
      <c r="E612" s="37" t="s">
        <v>1213</v>
      </c>
      <c r="F612" s="38">
        <v>0.1</v>
      </c>
      <c r="G612" s="39">
        <f>IF(OR(B612="FIXO",B612="XFIXO"),IF(F612="","ERRO",10*F612)*'BD Campos'!$W$2,IF(F612="","ERRO",10*F612)*'BD Campos'!$W$3)</f>
        <v>1</v>
      </c>
      <c r="H612" s="40">
        <v>0.05</v>
      </c>
      <c r="I612" s="41">
        <f t="shared" si="24"/>
        <v>-0.05</v>
      </c>
    </row>
    <row r="613" spans="1:9" hidden="1" x14ac:dyDescent="0.35">
      <c r="A613" s="37" t="str">
        <f t="shared" si="23"/>
        <v>COBRANÇA DE OSCliente 23</v>
      </c>
      <c r="B613" s="37" t="s">
        <v>540</v>
      </c>
      <c r="C613" s="37" t="s">
        <v>185</v>
      </c>
      <c r="D613" s="37">
        <v>3</v>
      </c>
      <c r="E613" s="37" t="s">
        <v>1214</v>
      </c>
      <c r="F613" s="38">
        <v>0.1</v>
      </c>
      <c r="G613" s="39">
        <f>IF(OR(B613="FIXO",B613="XFIXO"),IF(F613="","ERRO",10*F613)*'BD Campos'!$W$2,IF(F613="","ERRO",10*F613)*'BD Campos'!$W$3)</f>
        <v>1</v>
      </c>
      <c r="H613" s="40">
        <v>0.05</v>
      </c>
      <c r="I613" s="41">
        <f t="shared" si="24"/>
        <v>-0.05</v>
      </c>
    </row>
    <row r="614" spans="1:9" hidden="1" x14ac:dyDescent="0.35">
      <c r="A614" s="37" t="str">
        <f t="shared" si="23"/>
        <v>COBRANÇA DE OSCliente 24</v>
      </c>
      <c r="B614" s="37" t="s">
        <v>540</v>
      </c>
      <c r="C614" s="37" t="s">
        <v>185</v>
      </c>
      <c r="D614" s="37">
        <v>4</v>
      </c>
      <c r="E614" s="37" t="s">
        <v>1215</v>
      </c>
      <c r="F614" s="38">
        <v>0.1</v>
      </c>
      <c r="G614" s="39">
        <f>IF(OR(B614="FIXO",B614="XFIXO"),IF(F614="","ERRO",10*F614)*'BD Campos'!$W$2,IF(F614="","ERRO",10*F614)*'BD Campos'!$W$3)</f>
        <v>1</v>
      </c>
      <c r="H614" s="40">
        <v>0.05</v>
      </c>
      <c r="I614" s="41">
        <f t="shared" si="24"/>
        <v>-0.05</v>
      </c>
    </row>
    <row r="615" spans="1:9" hidden="1" x14ac:dyDescent="0.35">
      <c r="A615" s="37" t="str">
        <f t="shared" si="23"/>
        <v>COBRANÇA DE OSCliente 25</v>
      </c>
      <c r="B615" s="37" t="s">
        <v>540</v>
      </c>
      <c r="C615" s="37" t="s">
        <v>185</v>
      </c>
      <c r="D615" s="37">
        <v>5</v>
      </c>
      <c r="E615" s="37" t="s">
        <v>1216</v>
      </c>
      <c r="F615" s="38">
        <v>0.1</v>
      </c>
      <c r="G615" s="39">
        <f>IF(OR(B615="FIXO",B615="XFIXO"),IF(F615="","ERRO",10*F615)*'BD Campos'!$W$2,IF(F615="","ERRO",10*F615)*'BD Campos'!$W$3)</f>
        <v>1</v>
      </c>
      <c r="H615" s="40">
        <v>0.05</v>
      </c>
      <c r="I615" s="41">
        <f t="shared" si="24"/>
        <v>-0.05</v>
      </c>
    </row>
    <row r="616" spans="1:9" hidden="1" x14ac:dyDescent="0.35">
      <c r="A616" s="37" t="str">
        <f t="shared" si="23"/>
        <v>COBRANÇA DE OSCliente 26</v>
      </c>
      <c r="B616" s="37" t="s">
        <v>540</v>
      </c>
      <c r="C616" s="37" t="s">
        <v>185</v>
      </c>
      <c r="D616" s="37">
        <v>6</v>
      </c>
      <c r="E616" s="37" t="s">
        <v>1217</v>
      </c>
      <c r="F616" s="38">
        <v>0.1</v>
      </c>
      <c r="G616" s="39">
        <f>IF(OR(B616="FIXO",B616="XFIXO"),IF(F616="","ERRO",10*F616)*'BD Campos'!$W$2,IF(F616="","ERRO",10*F616)*'BD Campos'!$W$3)</f>
        <v>1</v>
      </c>
      <c r="H616" s="40">
        <v>0.05</v>
      </c>
      <c r="I616" s="41">
        <f t="shared" si="24"/>
        <v>-0.05</v>
      </c>
    </row>
    <row r="617" spans="1:9" hidden="1" x14ac:dyDescent="0.35">
      <c r="A617" s="37" t="str">
        <f t="shared" si="23"/>
        <v>COBRANÇA DE OSCliente 27</v>
      </c>
      <c r="B617" s="37" t="s">
        <v>540</v>
      </c>
      <c r="C617" s="37" t="s">
        <v>185</v>
      </c>
      <c r="D617" s="37">
        <v>7</v>
      </c>
      <c r="E617" s="37" t="s">
        <v>1257</v>
      </c>
      <c r="F617" s="38">
        <v>0.15</v>
      </c>
      <c r="G617" s="39">
        <f>IF(OR(B617="FIXO",B617="XFIXO"),IF(F617="","ERRO",10*F617)*'BD Campos'!$W$2,IF(F617="","ERRO",10*F617)*'BD Campos'!$W$3)</f>
        <v>1.5</v>
      </c>
      <c r="H617" s="40">
        <v>0.05</v>
      </c>
      <c r="I617" s="41">
        <f t="shared" si="24"/>
        <v>-7.5000000000000011E-2</v>
      </c>
    </row>
    <row r="618" spans="1:9" hidden="1" x14ac:dyDescent="0.35">
      <c r="A618" s="37" t="str">
        <f>B618&amp;C618&amp;D618</f>
        <v>COBRANÇA DE OSCliente 28</v>
      </c>
      <c r="B618" s="37" t="s">
        <v>540</v>
      </c>
      <c r="C618" s="37" t="s">
        <v>185</v>
      </c>
      <c r="D618" s="37">
        <v>8</v>
      </c>
      <c r="E618" s="37" t="s">
        <v>1295</v>
      </c>
      <c r="F618" s="38">
        <v>0.15</v>
      </c>
      <c r="G618" s="39">
        <f>IF(OR(B618="FIXO",B618="XFIXO"),IF(F618="","ERRO",10*F618)*'BD Campos'!$W$2,IF(F618="","ERRO",10*F618)*'BD Campos'!$W$3)</f>
        <v>1.5</v>
      </c>
      <c r="H618" s="40">
        <v>0.05</v>
      </c>
      <c r="I618" s="41">
        <f t="shared" si="24"/>
        <v>-7.5000000000000011E-2</v>
      </c>
    </row>
    <row r="619" spans="1:9" hidden="1" x14ac:dyDescent="0.35">
      <c r="A619" s="37" t="str">
        <f>B619&amp;C619&amp;D619</f>
        <v>COBRANÇA DE OSCliente 29</v>
      </c>
      <c r="B619" s="37" t="s">
        <v>540</v>
      </c>
      <c r="C619" s="37" t="s">
        <v>185</v>
      </c>
      <c r="D619" s="37">
        <v>9</v>
      </c>
      <c r="E619" s="37" t="s">
        <v>1296</v>
      </c>
      <c r="F619" s="38">
        <v>0.1</v>
      </c>
      <c r="G619" s="39">
        <f>IF(OR(B619="FIXO",B619="XFIXO"),IF(F619="","ERRO",10*F619)*'BD Campos'!$W$2,IF(F619="","ERRO",10*F619)*'BD Campos'!$W$3)</f>
        <v>1</v>
      </c>
      <c r="H619" s="40">
        <v>0.05</v>
      </c>
      <c r="I619" s="41">
        <f t="shared" si="24"/>
        <v>-0.05</v>
      </c>
    </row>
    <row r="620" spans="1:9" hidden="1" x14ac:dyDescent="0.35">
      <c r="A620" s="37" t="str">
        <f t="shared" ref="A620:A625" si="25">B620&amp;C620&amp;D620</f>
        <v>CONFIRMAR VALORIZAÇÃOCliente1</v>
      </c>
      <c r="B620" s="37" t="s">
        <v>538</v>
      </c>
      <c r="C620" s="37" t="s">
        <v>124</v>
      </c>
      <c r="D620" s="37">
        <v>1</v>
      </c>
      <c r="E620" s="37" t="s">
        <v>1212</v>
      </c>
      <c r="F620" s="38">
        <v>0.08</v>
      </c>
      <c r="G620" s="39">
        <f>IF(OR(B620="FIXO",B620="XFIXO"),IF(F620="","ERRO",10*F620)*'BD Campos'!$W$2,IF(F620="","ERRO",10*F620)*'BD Campos'!$W$3)</f>
        <v>0.8</v>
      </c>
      <c r="H620" s="40">
        <v>0.05</v>
      </c>
      <c r="I620" s="41">
        <f t="shared" ref="I620:I630" si="26">H620*G620*-1</f>
        <v>-4.0000000000000008E-2</v>
      </c>
    </row>
    <row r="621" spans="1:9" hidden="1" x14ac:dyDescent="0.35">
      <c r="A621" s="37" t="str">
        <f t="shared" si="25"/>
        <v>CONFIRMAR VALORIZAÇÃOCliente2</v>
      </c>
      <c r="B621" s="37" t="s">
        <v>538</v>
      </c>
      <c r="C621" s="37" t="s">
        <v>124</v>
      </c>
      <c r="D621" s="37">
        <v>2</v>
      </c>
      <c r="E621" s="37" t="s">
        <v>1213</v>
      </c>
      <c r="F621" s="38">
        <v>0.08</v>
      </c>
      <c r="G621" s="39">
        <f>IF(OR(B621="FIXO",B621="XFIXO"),IF(F621="","ERRO",10*F621)*'BD Campos'!$W$2,IF(F621="","ERRO",10*F621)*'BD Campos'!$W$3)</f>
        <v>0.8</v>
      </c>
      <c r="H621" s="40">
        <v>0.05</v>
      </c>
      <c r="I621" s="41">
        <f t="shared" si="26"/>
        <v>-4.0000000000000008E-2</v>
      </c>
    </row>
    <row r="622" spans="1:9" hidden="1" x14ac:dyDescent="0.35">
      <c r="A622" s="37" t="str">
        <f t="shared" si="25"/>
        <v>CONFIRMAR VALORIZAÇÃOCliente3</v>
      </c>
      <c r="B622" s="37" t="s">
        <v>538</v>
      </c>
      <c r="C622" s="37" t="s">
        <v>124</v>
      </c>
      <c r="D622" s="37">
        <v>3</v>
      </c>
      <c r="E622" s="37" t="s">
        <v>1214</v>
      </c>
      <c r="F622" s="38">
        <v>0.08</v>
      </c>
      <c r="G622" s="39">
        <f>IF(OR(B622="FIXO",B622="XFIXO"),IF(F622="","ERRO",10*F622)*'BD Campos'!$W$2,IF(F622="","ERRO",10*F622)*'BD Campos'!$W$3)</f>
        <v>0.8</v>
      </c>
      <c r="H622" s="40">
        <v>0.05</v>
      </c>
      <c r="I622" s="41">
        <f t="shared" si="26"/>
        <v>-4.0000000000000008E-2</v>
      </c>
    </row>
    <row r="623" spans="1:9" hidden="1" x14ac:dyDescent="0.35">
      <c r="A623" s="37" t="str">
        <f t="shared" si="25"/>
        <v>CONFIRMAR VALORIZAÇÃOCliente4</v>
      </c>
      <c r="B623" s="37" t="s">
        <v>538</v>
      </c>
      <c r="C623" s="37" t="s">
        <v>124</v>
      </c>
      <c r="D623" s="37">
        <v>4</v>
      </c>
      <c r="E623" s="37" t="s">
        <v>1215</v>
      </c>
      <c r="F623" s="38">
        <v>0.08</v>
      </c>
      <c r="G623" s="39">
        <f>IF(OR(B623="FIXO",B623="XFIXO"),IF(F623="","ERRO",10*F623)*'BD Campos'!$W$2,IF(F623="","ERRO",10*F623)*'BD Campos'!$W$3)</f>
        <v>0.8</v>
      </c>
      <c r="H623" s="40">
        <v>0.05</v>
      </c>
      <c r="I623" s="41">
        <f t="shared" si="26"/>
        <v>-4.0000000000000008E-2</v>
      </c>
    </row>
    <row r="624" spans="1:9" hidden="1" x14ac:dyDescent="0.35">
      <c r="A624" s="37" t="str">
        <f t="shared" si="25"/>
        <v>CONFIRMAR VALORIZAÇÃOCliente5</v>
      </c>
      <c r="B624" s="37" t="s">
        <v>538</v>
      </c>
      <c r="C624" s="37" t="s">
        <v>124</v>
      </c>
      <c r="D624" s="37">
        <v>5</v>
      </c>
      <c r="E624" s="37" t="s">
        <v>1216</v>
      </c>
      <c r="F624" s="38">
        <v>0.1</v>
      </c>
      <c r="G624" s="39">
        <f>IF(OR(B624="FIXO",B624="XFIXO"),IF(F624="","ERRO",10*F624)*'BD Campos'!$W$2,IF(F624="","ERRO",10*F624)*'BD Campos'!$W$3)</f>
        <v>1</v>
      </c>
      <c r="H624" s="40">
        <v>0.05</v>
      </c>
      <c r="I624" s="41">
        <f t="shared" si="26"/>
        <v>-0.05</v>
      </c>
    </row>
    <row r="625" spans="1:9" hidden="1" x14ac:dyDescent="0.35">
      <c r="A625" s="37" t="str">
        <f t="shared" si="25"/>
        <v>CONFIRMAR VALORIZAÇÃOCliente6</v>
      </c>
      <c r="B625" s="37" t="s">
        <v>538</v>
      </c>
      <c r="C625" s="37" t="s">
        <v>124</v>
      </c>
      <c r="D625" s="37">
        <v>6</v>
      </c>
      <c r="E625" s="37" t="s">
        <v>1217</v>
      </c>
      <c r="F625" s="38">
        <v>0.1</v>
      </c>
      <c r="G625" s="39">
        <f>IF(OR(B625="FIXO",B625="XFIXO"),IF(F625="","ERRO",10*F625)*'BD Campos'!$W$2,IF(F625="","ERRO",10*F625)*'BD Campos'!$W$3)</f>
        <v>1</v>
      </c>
      <c r="H625" s="40">
        <v>0.05</v>
      </c>
      <c r="I625" s="41">
        <f t="shared" si="26"/>
        <v>-0.05</v>
      </c>
    </row>
    <row r="626" spans="1:9" hidden="1" x14ac:dyDescent="0.35">
      <c r="A626" s="37" t="str">
        <f t="shared" ref="A626:A636" si="27">B626&amp;C626&amp;D626</f>
        <v>CONFIRMAR VALORIZAÇÃOCliente7</v>
      </c>
      <c r="B626" s="37" t="s">
        <v>538</v>
      </c>
      <c r="C626" s="37" t="s">
        <v>124</v>
      </c>
      <c r="D626" s="37">
        <v>7</v>
      </c>
      <c r="E626" s="37" t="s">
        <v>1257</v>
      </c>
      <c r="F626" s="38">
        <v>0.09</v>
      </c>
      <c r="G626" s="39">
        <f>IF(OR(B626="FIXO",B626="XFIXO"),IF(F626="","ERRO",10*F626)*'BD Campos'!$W$2,IF(F626="","ERRO",10*F626)*'BD Campos'!$W$3)</f>
        <v>0.89999999999999991</v>
      </c>
      <c r="H626" s="40">
        <v>0.05</v>
      </c>
      <c r="I626" s="41">
        <f t="shared" si="26"/>
        <v>-4.4999999999999998E-2</v>
      </c>
    </row>
    <row r="627" spans="1:9" hidden="1" x14ac:dyDescent="0.35">
      <c r="A627" s="37" t="str">
        <f t="shared" si="27"/>
        <v>CONFIRMAR VALORIZAÇÃOCliente8</v>
      </c>
      <c r="B627" s="37" t="s">
        <v>538</v>
      </c>
      <c r="C627" s="37" t="s">
        <v>124</v>
      </c>
      <c r="D627" s="37">
        <v>8</v>
      </c>
      <c r="E627" s="37" t="s">
        <v>1297</v>
      </c>
      <c r="F627" s="38">
        <v>0.09</v>
      </c>
      <c r="G627" s="39">
        <f>IF(OR(B627="FIXO",B627="XFIXO"),IF(F627="","ERRO",10*F627)*'BD Campos'!$W$2,IF(F627="","ERRO",10*F627)*'BD Campos'!$W$3)</f>
        <v>0.89999999999999991</v>
      </c>
      <c r="H627" s="40">
        <v>0.05</v>
      </c>
      <c r="I627" s="41">
        <f t="shared" si="26"/>
        <v>-4.4999999999999998E-2</v>
      </c>
    </row>
    <row r="628" spans="1:9" hidden="1" x14ac:dyDescent="0.35">
      <c r="A628" s="37" t="str">
        <f t="shared" si="27"/>
        <v>CONFIRMAR VALORIZAÇÃOCliente9</v>
      </c>
      <c r="B628" s="37" t="s">
        <v>538</v>
      </c>
      <c r="C628" s="37" t="s">
        <v>124</v>
      </c>
      <c r="D628" s="37">
        <v>9</v>
      </c>
      <c r="E628" s="37" t="s">
        <v>1298</v>
      </c>
      <c r="F628" s="38">
        <v>0.09</v>
      </c>
      <c r="G628" s="39">
        <f>IF(OR(B628="FIXO",B628="XFIXO"),IF(F628="","ERRO",10*F628)*'BD Campos'!$W$2,IF(F628="","ERRO",10*F628)*'BD Campos'!$W$3)</f>
        <v>0.89999999999999991</v>
      </c>
      <c r="H628" s="40">
        <v>0.05</v>
      </c>
      <c r="I628" s="41">
        <f t="shared" si="26"/>
        <v>-4.4999999999999998E-2</v>
      </c>
    </row>
    <row r="629" spans="1:9" hidden="1" x14ac:dyDescent="0.35">
      <c r="A629" s="37" t="str">
        <f t="shared" si="27"/>
        <v>CONFIRMAR VALORIZAÇÃOCliente10</v>
      </c>
      <c r="B629" s="37" t="s">
        <v>538</v>
      </c>
      <c r="C629" s="37" t="s">
        <v>124</v>
      </c>
      <c r="D629" s="37">
        <v>10</v>
      </c>
      <c r="E629" s="37" t="s">
        <v>1299</v>
      </c>
      <c r="F629" s="38">
        <v>0.09</v>
      </c>
      <c r="G629" s="39">
        <f>IF(OR(B629="FIXO",B629="XFIXO"),IF(F629="","ERRO",10*F629)*'BD Campos'!$W$2,IF(F629="","ERRO",10*F629)*'BD Campos'!$W$3)</f>
        <v>0.89999999999999991</v>
      </c>
      <c r="H629" s="40">
        <v>0.05</v>
      </c>
      <c r="I629" s="41">
        <f t="shared" si="26"/>
        <v>-4.4999999999999998E-2</v>
      </c>
    </row>
    <row r="630" spans="1:9" hidden="1" x14ac:dyDescent="0.35">
      <c r="A630" s="37" t="str">
        <f t="shared" si="27"/>
        <v>CONFIRMAR VALORIZAÇÃOCliente11</v>
      </c>
      <c r="B630" s="37" t="s">
        <v>538</v>
      </c>
      <c r="C630" s="37" t="s">
        <v>124</v>
      </c>
      <c r="D630" s="37">
        <v>11</v>
      </c>
      <c r="E630" s="37" t="s">
        <v>1300</v>
      </c>
      <c r="F630" s="38">
        <v>0.12</v>
      </c>
      <c r="G630" s="39">
        <f>IF(OR(B630="FIXO",B630="XFIXO"),IF(F630="","ERRO",10*F630)*'BD Campos'!$W$2,IF(F630="","ERRO",10*F630)*'BD Campos'!$W$3)</f>
        <v>1.2</v>
      </c>
      <c r="H630" s="40">
        <v>0.05</v>
      </c>
      <c r="I630" s="41">
        <f t="shared" si="26"/>
        <v>-0.06</v>
      </c>
    </row>
    <row r="631" spans="1:9" hidden="1" x14ac:dyDescent="0.35">
      <c r="A631" s="37" t="str">
        <f t="shared" si="27"/>
        <v>CONFIRMAR VALORIZAÇÃOCliente 21</v>
      </c>
      <c r="B631" s="37" t="s">
        <v>538</v>
      </c>
      <c r="C631" s="37" t="s">
        <v>185</v>
      </c>
      <c r="D631" s="37">
        <v>1</v>
      </c>
      <c r="E631" s="37" t="s">
        <v>1212</v>
      </c>
      <c r="F631" s="38">
        <v>0.08</v>
      </c>
      <c r="G631" s="39">
        <f>IF(OR(B631="FIXO",B631="XFIXO"),IF(F631="","ERRO",10*F631)*'BD Campos'!$W$2,IF(F631="","ERRO",10*F631)*'BD Campos'!$W$3)</f>
        <v>0.8</v>
      </c>
      <c r="H631" s="40">
        <v>0.05</v>
      </c>
      <c r="I631" s="41">
        <f t="shared" ref="I631:I641" si="28">H631*G631*-1</f>
        <v>-4.0000000000000008E-2</v>
      </c>
    </row>
    <row r="632" spans="1:9" hidden="1" x14ac:dyDescent="0.35">
      <c r="A632" s="37" t="str">
        <f t="shared" si="27"/>
        <v>CONFIRMAR VALORIZAÇÃOCliente 22</v>
      </c>
      <c r="B632" s="37" t="s">
        <v>538</v>
      </c>
      <c r="C632" s="37" t="s">
        <v>185</v>
      </c>
      <c r="D632" s="37">
        <v>2</v>
      </c>
      <c r="E632" s="37" t="s">
        <v>1213</v>
      </c>
      <c r="F632" s="38">
        <v>0.08</v>
      </c>
      <c r="G632" s="39">
        <f>IF(OR(B632="FIXO",B632="XFIXO"),IF(F632="","ERRO",10*F632)*'BD Campos'!$W$2,IF(F632="","ERRO",10*F632)*'BD Campos'!$W$3)</f>
        <v>0.8</v>
      </c>
      <c r="H632" s="40">
        <v>0.05</v>
      </c>
      <c r="I632" s="41">
        <f t="shared" si="28"/>
        <v>-4.0000000000000008E-2</v>
      </c>
    </row>
    <row r="633" spans="1:9" hidden="1" x14ac:dyDescent="0.35">
      <c r="A633" s="37" t="str">
        <f t="shared" si="27"/>
        <v>CONFIRMAR VALORIZAÇÃOCliente 23</v>
      </c>
      <c r="B633" s="37" t="s">
        <v>538</v>
      </c>
      <c r="C633" s="37" t="s">
        <v>185</v>
      </c>
      <c r="D633" s="37">
        <v>3</v>
      </c>
      <c r="E633" s="37" t="s">
        <v>1214</v>
      </c>
      <c r="F633" s="38">
        <v>0.08</v>
      </c>
      <c r="G633" s="39">
        <f>IF(OR(B633="FIXO",B633="XFIXO"),IF(F633="","ERRO",10*F633)*'BD Campos'!$W$2,IF(F633="","ERRO",10*F633)*'BD Campos'!$W$3)</f>
        <v>0.8</v>
      </c>
      <c r="H633" s="40">
        <v>0.05</v>
      </c>
      <c r="I633" s="41">
        <f t="shared" si="28"/>
        <v>-4.0000000000000008E-2</v>
      </c>
    </row>
    <row r="634" spans="1:9" hidden="1" x14ac:dyDescent="0.35">
      <c r="A634" s="37" t="str">
        <f t="shared" si="27"/>
        <v>CONFIRMAR VALORIZAÇÃOCliente 24</v>
      </c>
      <c r="B634" s="37" t="s">
        <v>538</v>
      </c>
      <c r="C634" s="37" t="s">
        <v>185</v>
      </c>
      <c r="D634" s="37">
        <v>4</v>
      </c>
      <c r="E634" s="37" t="s">
        <v>1215</v>
      </c>
      <c r="F634" s="38">
        <v>0.08</v>
      </c>
      <c r="G634" s="39">
        <f>IF(OR(B634="FIXO",B634="XFIXO"),IF(F634="","ERRO",10*F634)*'BD Campos'!$W$2,IF(F634="","ERRO",10*F634)*'BD Campos'!$W$3)</f>
        <v>0.8</v>
      </c>
      <c r="H634" s="40">
        <v>0.05</v>
      </c>
      <c r="I634" s="41">
        <f t="shared" si="28"/>
        <v>-4.0000000000000008E-2</v>
      </c>
    </row>
    <row r="635" spans="1:9" hidden="1" x14ac:dyDescent="0.35">
      <c r="A635" s="37" t="str">
        <f t="shared" si="27"/>
        <v>CONFIRMAR VALORIZAÇÃOCliente 25</v>
      </c>
      <c r="B635" s="37" t="s">
        <v>538</v>
      </c>
      <c r="C635" s="37" t="s">
        <v>185</v>
      </c>
      <c r="D635" s="37">
        <v>5</v>
      </c>
      <c r="E635" s="37" t="s">
        <v>1216</v>
      </c>
      <c r="F635" s="38">
        <v>0.1</v>
      </c>
      <c r="G635" s="39">
        <f>IF(OR(B635="FIXO",B635="XFIXO"),IF(F635="","ERRO",10*F635)*'BD Campos'!$W$2,IF(F635="","ERRO",10*F635)*'BD Campos'!$W$3)</f>
        <v>1</v>
      </c>
      <c r="H635" s="40">
        <v>0.05</v>
      </c>
      <c r="I635" s="41">
        <f t="shared" si="28"/>
        <v>-0.05</v>
      </c>
    </row>
    <row r="636" spans="1:9" hidden="1" x14ac:dyDescent="0.35">
      <c r="A636" s="37" t="str">
        <f t="shared" si="27"/>
        <v>CONFIRMAR VALORIZAÇÃOCliente 26</v>
      </c>
      <c r="B636" s="37" t="s">
        <v>538</v>
      </c>
      <c r="C636" s="37" t="s">
        <v>185</v>
      </c>
      <c r="D636" s="37">
        <v>6</v>
      </c>
      <c r="E636" s="37" t="s">
        <v>1217</v>
      </c>
      <c r="F636" s="38">
        <v>0.1</v>
      </c>
      <c r="G636" s="39">
        <f>IF(OR(B636="FIXO",B636="XFIXO"),IF(F636="","ERRO",10*F636)*'BD Campos'!$W$2,IF(F636="","ERRO",10*F636)*'BD Campos'!$W$3)</f>
        <v>1</v>
      </c>
      <c r="H636" s="40">
        <v>0.05</v>
      </c>
      <c r="I636" s="41">
        <f t="shared" si="28"/>
        <v>-0.05</v>
      </c>
    </row>
    <row r="637" spans="1:9" hidden="1" x14ac:dyDescent="0.35">
      <c r="A637" s="37" t="str">
        <f>B637&amp;C637&amp;D637</f>
        <v>CONFIRMAR VALORIZAÇÃOCliente 27</v>
      </c>
      <c r="B637" s="37" t="s">
        <v>538</v>
      </c>
      <c r="C637" s="37" t="s">
        <v>185</v>
      </c>
      <c r="D637" s="37">
        <v>7</v>
      </c>
      <c r="E637" s="37" t="s">
        <v>1257</v>
      </c>
      <c r="F637" s="38">
        <v>0.09</v>
      </c>
      <c r="G637" s="39">
        <f>IF(OR(B637="FIXO",B637="XFIXO"),IF(F637="","ERRO",10*F637)*'BD Campos'!$W$2,IF(F637="","ERRO",10*F637)*'BD Campos'!$W$3)</f>
        <v>0.89999999999999991</v>
      </c>
      <c r="H637" s="40">
        <v>0.05</v>
      </c>
      <c r="I637" s="41">
        <f t="shared" si="28"/>
        <v>-4.4999999999999998E-2</v>
      </c>
    </row>
    <row r="638" spans="1:9" hidden="1" x14ac:dyDescent="0.35">
      <c r="A638" s="37" t="str">
        <f>B638&amp;C638&amp;D638</f>
        <v>CONFIRMAR VALORIZAÇÃOCliente 28</v>
      </c>
      <c r="B638" s="37" t="s">
        <v>538</v>
      </c>
      <c r="C638" s="37" t="s">
        <v>185</v>
      </c>
      <c r="D638" s="37">
        <v>8</v>
      </c>
      <c r="E638" s="37" t="s">
        <v>1297</v>
      </c>
      <c r="F638" s="38">
        <v>0.09</v>
      </c>
      <c r="G638" s="39">
        <f>IF(OR(B638="FIXO",B638="XFIXO"),IF(F638="","ERRO",10*F638)*'BD Campos'!$W$2,IF(F638="","ERRO",10*F638)*'BD Campos'!$W$3)</f>
        <v>0.89999999999999991</v>
      </c>
      <c r="H638" s="40">
        <v>0.05</v>
      </c>
      <c r="I638" s="41">
        <f t="shared" si="28"/>
        <v>-4.4999999999999998E-2</v>
      </c>
    </row>
    <row r="639" spans="1:9" hidden="1" x14ac:dyDescent="0.35">
      <c r="A639" s="37" t="str">
        <f>B639&amp;C639&amp;D639</f>
        <v>CONFIRMAR VALORIZAÇÃOCliente 29</v>
      </c>
      <c r="B639" s="37" t="s">
        <v>538</v>
      </c>
      <c r="C639" s="37" t="s">
        <v>185</v>
      </c>
      <c r="D639" s="37">
        <v>9</v>
      </c>
      <c r="E639" s="37" t="s">
        <v>1298</v>
      </c>
      <c r="F639" s="38">
        <v>0.09</v>
      </c>
      <c r="G639" s="39">
        <f>IF(OR(B639="FIXO",B639="XFIXO"),IF(F639="","ERRO",10*F639)*'BD Campos'!$W$2,IF(F639="","ERRO",10*F639)*'BD Campos'!$W$3)</f>
        <v>0.89999999999999991</v>
      </c>
      <c r="H639" s="40">
        <v>0.05</v>
      </c>
      <c r="I639" s="41">
        <f t="shared" si="28"/>
        <v>-4.4999999999999998E-2</v>
      </c>
    </row>
    <row r="640" spans="1:9" hidden="1" x14ac:dyDescent="0.35">
      <c r="A640" s="37" t="str">
        <f>B640&amp;C640&amp;D640</f>
        <v>CONFIRMAR VALORIZAÇÃOCliente 210</v>
      </c>
      <c r="B640" s="37" t="s">
        <v>538</v>
      </c>
      <c r="C640" s="37" t="s">
        <v>185</v>
      </c>
      <c r="D640" s="37">
        <v>10</v>
      </c>
      <c r="E640" s="37" t="s">
        <v>1299</v>
      </c>
      <c r="F640" s="38">
        <v>0.09</v>
      </c>
      <c r="G640" s="39">
        <f>IF(OR(B640="FIXO",B640="XFIXO"),IF(F640="","ERRO",10*F640)*'BD Campos'!$W$2,IF(F640="","ERRO",10*F640)*'BD Campos'!$W$3)</f>
        <v>0.89999999999999991</v>
      </c>
      <c r="H640" s="40">
        <v>0.05</v>
      </c>
      <c r="I640" s="41">
        <f t="shared" si="28"/>
        <v>-4.4999999999999998E-2</v>
      </c>
    </row>
    <row r="641" spans="1:9" hidden="1" x14ac:dyDescent="0.35">
      <c r="A641" s="37" t="str">
        <f>B641&amp;C641&amp;D641</f>
        <v>CONFIRMAR VALORIZAÇÃOCliente 211</v>
      </c>
      <c r="B641" s="37" t="s">
        <v>538</v>
      </c>
      <c r="C641" s="37" t="s">
        <v>185</v>
      </c>
      <c r="D641" s="37">
        <v>11</v>
      </c>
      <c r="E641" s="37" t="s">
        <v>1300</v>
      </c>
      <c r="F641" s="38">
        <v>0.12</v>
      </c>
      <c r="G641" s="39">
        <f>IF(OR(B641="FIXO",B641="XFIXO"),IF(F641="","ERRO",10*F641)*'BD Campos'!$W$2,IF(F641="","ERRO",10*F641)*'BD Campos'!$W$3)</f>
        <v>1.2</v>
      </c>
      <c r="H641" s="40">
        <v>0.05</v>
      </c>
      <c r="I641" s="41">
        <f t="shared" si="28"/>
        <v>-0.06</v>
      </c>
    </row>
    <row r="642" spans="1:9" hidden="1" x14ac:dyDescent="0.35">
      <c r="A642" s="37" t="str">
        <f t="shared" ref="A642:A687" si="29">B642&amp;C642&amp;D642</f>
        <v>TELEFÔNICATransferência1</v>
      </c>
      <c r="B642" s="37" t="s">
        <v>6</v>
      </c>
      <c r="C642" s="37" t="s">
        <v>1301</v>
      </c>
      <c r="D642" s="37">
        <v>1</v>
      </c>
      <c r="E642" s="37" t="s">
        <v>1212</v>
      </c>
      <c r="F642" s="38">
        <v>0.09</v>
      </c>
      <c r="G642" s="39">
        <f>IF(OR(B642="FIXO",B642="XFIXO"),IF(F642="","ERRO",10*F642)*'BD Campos'!$W$2,IF(F642="","ERRO",10*F642)*'BD Campos'!$W$3)</f>
        <v>0.89999999999999991</v>
      </c>
      <c r="H642" s="40">
        <v>0.05</v>
      </c>
      <c r="I642" s="41">
        <f t="shared" ref="I642:I681" si="30">H642*G642*-1</f>
        <v>-4.4999999999999998E-2</v>
      </c>
    </row>
    <row r="643" spans="1:9" hidden="1" x14ac:dyDescent="0.35">
      <c r="A643" s="37" t="str">
        <f t="shared" si="29"/>
        <v>TELEFÔNICATransferência2</v>
      </c>
      <c r="B643" s="37" t="s">
        <v>6</v>
      </c>
      <c r="C643" s="37" t="s">
        <v>1301</v>
      </c>
      <c r="D643" s="37">
        <v>2</v>
      </c>
      <c r="E643" s="37" t="s">
        <v>1285</v>
      </c>
      <c r="F643" s="38">
        <v>0.09</v>
      </c>
      <c r="G643" s="39">
        <f>IF(OR(B643="FIXO",B643="XFIXO"),IF(F643="","ERRO",10*F643)*'BD Campos'!$W$2,IF(F643="","ERRO",10*F643)*'BD Campos'!$W$3)</f>
        <v>0.89999999999999991</v>
      </c>
      <c r="H643" s="40">
        <v>0.05</v>
      </c>
      <c r="I643" s="41">
        <f t="shared" si="30"/>
        <v>-4.4999999999999998E-2</v>
      </c>
    </row>
    <row r="644" spans="1:9" hidden="1" x14ac:dyDescent="0.35">
      <c r="A644" s="37" t="str">
        <f t="shared" si="29"/>
        <v>TELEFÔNICATransferência3</v>
      </c>
      <c r="B644" s="37" t="s">
        <v>6</v>
      </c>
      <c r="C644" s="37" t="s">
        <v>1301</v>
      </c>
      <c r="D644" s="37">
        <v>3</v>
      </c>
      <c r="E644" s="37" t="s">
        <v>1287</v>
      </c>
      <c r="F644" s="38">
        <v>0.09</v>
      </c>
      <c r="G644" s="39">
        <f>IF(OR(B644="FIXO",B644="XFIXO"),IF(F644="","ERRO",10*F644)*'BD Campos'!$W$2,IF(F644="","ERRO",10*F644)*'BD Campos'!$W$3)</f>
        <v>0.89999999999999991</v>
      </c>
      <c r="H644" s="40">
        <v>0.05</v>
      </c>
      <c r="I644" s="41">
        <f t="shared" si="30"/>
        <v>-4.4999999999999998E-2</v>
      </c>
    </row>
    <row r="645" spans="1:9" hidden="1" x14ac:dyDescent="0.35">
      <c r="A645" s="37" t="str">
        <f t="shared" si="29"/>
        <v>TELEFÔNICATransferência4</v>
      </c>
      <c r="B645" s="37" t="s">
        <v>6</v>
      </c>
      <c r="C645" s="37" t="s">
        <v>1301</v>
      </c>
      <c r="D645" s="37">
        <v>4</v>
      </c>
      <c r="E645" s="37" t="s">
        <v>1289</v>
      </c>
      <c r="F645" s="38">
        <v>0.09</v>
      </c>
      <c r="G645" s="39">
        <f>IF(OR(B645="FIXO",B645="XFIXO"),IF(F645="","ERRO",10*F645)*'BD Campos'!$W$2,IF(F645="","ERRO",10*F645)*'BD Campos'!$W$3)</f>
        <v>0.89999999999999991</v>
      </c>
      <c r="H645" s="40">
        <v>0.05</v>
      </c>
      <c r="I645" s="41">
        <f t="shared" si="30"/>
        <v>-4.4999999999999998E-2</v>
      </c>
    </row>
    <row r="646" spans="1:9" hidden="1" x14ac:dyDescent="0.35">
      <c r="A646" s="37" t="str">
        <f t="shared" si="29"/>
        <v>TELEFÔNICATransferência5</v>
      </c>
      <c r="B646" s="37" t="s">
        <v>6</v>
      </c>
      <c r="C646" s="37" t="s">
        <v>1301</v>
      </c>
      <c r="D646" s="37">
        <v>5</v>
      </c>
      <c r="E646" s="37" t="s">
        <v>1216</v>
      </c>
      <c r="F646" s="38">
        <v>0.09</v>
      </c>
      <c r="G646" s="39">
        <f>IF(OR(B646="FIXO",B646="XFIXO"),IF(F646="","ERRO",10*F646)*'BD Campos'!$W$2,IF(F646="","ERRO",10*F646)*'BD Campos'!$W$3)</f>
        <v>0.89999999999999991</v>
      </c>
      <c r="H646" s="40">
        <v>0.05</v>
      </c>
      <c r="I646" s="41">
        <f t="shared" si="30"/>
        <v>-4.4999999999999998E-2</v>
      </c>
    </row>
    <row r="647" spans="1:9" hidden="1" x14ac:dyDescent="0.35">
      <c r="A647" s="37" t="str">
        <f t="shared" si="29"/>
        <v>TELEFÔNICATransferência6</v>
      </c>
      <c r="B647" s="37" t="s">
        <v>6</v>
      </c>
      <c r="C647" s="37" t="s">
        <v>1301</v>
      </c>
      <c r="D647" s="37">
        <v>6</v>
      </c>
      <c r="E647" s="37" t="s">
        <v>1290</v>
      </c>
      <c r="F647" s="38">
        <v>0.09</v>
      </c>
      <c r="G647" s="39">
        <f>IF(OR(B647="FIXO",B647="XFIXO"),IF(F647="","ERRO",10*F647)*'BD Campos'!$W$2,IF(F647="","ERRO",10*F647)*'BD Campos'!$W$3)</f>
        <v>0.89999999999999991</v>
      </c>
      <c r="H647" s="40">
        <v>0.05</v>
      </c>
      <c r="I647" s="41">
        <f t="shared" si="30"/>
        <v>-4.4999999999999998E-2</v>
      </c>
    </row>
    <row r="648" spans="1:9" hidden="1" x14ac:dyDescent="0.35">
      <c r="A648" s="37" t="str">
        <f t="shared" si="29"/>
        <v>TELEFÔNICATransferência7</v>
      </c>
      <c r="B648" s="37" t="s">
        <v>6</v>
      </c>
      <c r="C648" s="37" t="s">
        <v>1301</v>
      </c>
      <c r="D648" s="37">
        <v>7</v>
      </c>
      <c r="E648" s="37" t="s">
        <v>1291</v>
      </c>
      <c r="F648" s="38">
        <v>0.09</v>
      </c>
      <c r="G648" s="39">
        <f>IF(OR(B648="FIXO",B648="XFIXO"),IF(F648="","ERRO",10*F648)*'BD Campos'!$W$2,IF(F648="","ERRO",10*F648)*'BD Campos'!$W$3)</f>
        <v>0.89999999999999991</v>
      </c>
      <c r="H648" s="40">
        <v>0.05</v>
      </c>
      <c r="I648" s="41">
        <f t="shared" si="30"/>
        <v>-4.4999999999999998E-2</v>
      </c>
    </row>
    <row r="649" spans="1:9" hidden="1" x14ac:dyDescent="0.35">
      <c r="A649" s="37" t="str">
        <f t="shared" si="29"/>
        <v>TELEFÔNICATransferência8</v>
      </c>
      <c r="B649" s="37" t="s">
        <v>6</v>
      </c>
      <c r="C649" s="37" t="s">
        <v>1301</v>
      </c>
      <c r="D649" s="37">
        <v>8</v>
      </c>
      <c r="E649" s="37" t="s">
        <v>1292</v>
      </c>
      <c r="F649" s="38">
        <v>9.5000000000000001E-2</v>
      </c>
      <c r="G649" s="39">
        <f>IF(OR(B649="FIXO",B649="XFIXO"),IF(F649="","ERRO",10*F649)*'BD Campos'!$W$2,IF(F649="","ERRO",10*F649)*'BD Campos'!$W$3)</f>
        <v>0.95</v>
      </c>
      <c r="H649" s="40">
        <v>0.05</v>
      </c>
      <c r="I649" s="41">
        <f t="shared" si="30"/>
        <v>-4.7500000000000001E-2</v>
      </c>
    </row>
    <row r="650" spans="1:9" hidden="1" x14ac:dyDescent="0.35">
      <c r="A650" s="37" t="str">
        <f t="shared" si="29"/>
        <v>TELEFÔNICATransferência9</v>
      </c>
      <c r="B650" s="37" t="s">
        <v>6</v>
      </c>
      <c r="C650" s="37" t="s">
        <v>1301</v>
      </c>
      <c r="D650" s="37">
        <v>9</v>
      </c>
      <c r="E650" s="37" t="s">
        <v>1217</v>
      </c>
      <c r="F650" s="38">
        <v>9.5000000000000001E-2</v>
      </c>
      <c r="G650" s="39">
        <f>IF(OR(B650="FIXO",B650="XFIXO"),IF(F650="","ERRO",10*F650)*'BD Campos'!$W$2,IF(F650="","ERRO",10*F650)*'BD Campos'!$W$3)</f>
        <v>0.95</v>
      </c>
      <c r="H650" s="40">
        <v>0.05</v>
      </c>
      <c r="I650" s="41">
        <f t="shared" si="30"/>
        <v>-4.7500000000000001E-2</v>
      </c>
    </row>
    <row r="651" spans="1:9" hidden="1" x14ac:dyDescent="0.35">
      <c r="A651" s="37" t="str">
        <f t="shared" si="29"/>
        <v>TELEFÔNICATransferência10</v>
      </c>
      <c r="B651" s="37" t="s">
        <v>6</v>
      </c>
      <c r="C651" s="37" t="s">
        <v>1301</v>
      </c>
      <c r="D651" s="37">
        <v>10</v>
      </c>
      <c r="E651" s="37" t="s">
        <v>1293</v>
      </c>
      <c r="F651" s="38">
        <v>0.09</v>
      </c>
      <c r="G651" s="39">
        <f>IF(OR(B651="FIXO",B651="XFIXO"),IF(F651="","ERRO",10*F651)*'BD Campos'!$W$2,IF(F651="","ERRO",10*F651)*'BD Campos'!$W$3)</f>
        <v>0.89999999999999991</v>
      </c>
      <c r="H651" s="40">
        <v>0.05</v>
      </c>
      <c r="I651" s="41">
        <f t="shared" si="30"/>
        <v>-4.4999999999999998E-2</v>
      </c>
    </row>
    <row r="652" spans="1:9" hidden="1" x14ac:dyDescent="0.35">
      <c r="A652" s="37" t="str">
        <f t="shared" si="29"/>
        <v>TELEFÔNICATransferência11</v>
      </c>
      <c r="B652" s="37" t="s">
        <v>6</v>
      </c>
      <c r="C652" s="37" t="s">
        <v>1301</v>
      </c>
      <c r="D652" s="37">
        <v>11</v>
      </c>
      <c r="E652" s="37" t="s">
        <v>1302</v>
      </c>
      <c r="F652" s="38">
        <v>0.09</v>
      </c>
      <c r="G652" s="39">
        <f>IF(OR(B652="FIXO",B652="XFIXO"),IF(F652="","ERRO",10*F652)*'BD Campos'!$W$2,IF(F652="","ERRO",10*F652)*'BD Campos'!$W$3)</f>
        <v>0.89999999999999991</v>
      </c>
      <c r="H652" s="40">
        <v>0.05</v>
      </c>
      <c r="I652" s="41">
        <f t="shared" si="30"/>
        <v>-4.4999999999999998E-2</v>
      </c>
    </row>
    <row r="653" spans="1:9" hidden="1" x14ac:dyDescent="0.35">
      <c r="A653" s="37" t="str">
        <f t="shared" si="29"/>
        <v>DESVIO DE ROTACliente 31</v>
      </c>
      <c r="B653" s="37" t="s">
        <v>126</v>
      </c>
      <c r="C653" s="37" t="s">
        <v>1303</v>
      </c>
      <c r="D653" s="37">
        <v>1</v>
      </c>
      <c r="E653" s="37" t="s">
        <v>1212</v>
      </c>
      <c r="F653" s="38">
        <v>0.1</v>
      </c>
      <c r="G653" s="39">
        <f>IF(OR(B653="FIXO",B653="XFIXO"),IF(F653="","ERRO",10*F653)*'BD Campos'!$W$2,IF(F653="","ERRO",10*F653)*'BD Campos'!$W$3)</f>
        <v>1</v>
      </c>
      <c r="H653" s="40">
        <v>0.05</v>
      </c>
      <c r="I653" s="41">
        <f t="shared" si="30"/>
        <v>-0.05</v>
      </c>
    </row>
    <row r="654" spans="1:9" hidden="1" x14ac:dyDescent="0.35">
      <c r="A654" s="37" t="str">
        <f t="shared" si="29"/>
        <v>DESVIO DE ROTACliente 32</v>
      </c>
      <c r="B654" s="37" t="s">
        <v>126</v>
      </c>
      <c r="C654" s="37" t="s">
        <v>1303</v>
      </c>
      <c r="D654" s="37">
        <v>2</v>
      </c>
      <c r="E654" s="37" t="s">
        <v>1213</v>
      </c>
      <c r="F654" s="38">
        <v>0.1</v>
      </c>
      <c r="G654" s="39">
        <f>IF(OR(B654="FIXO",B654="XFIXO"),IF(F654="","ERRO",10*F654)*'BD Campos'!$W$2,IF(F654="","ERRO",10*F654)*'BD Campos'!$W$3)</f>
        <v>1</v>
      </c>
      <c r="H654" s="40">
        <v>0.05</v>
      </c>
      <c r="I654" s="41">
        <f t="shared" si="30"/>
        <v>-0.05</v>
      </c>
    </row>
    <row r="655" spans="1:9" hidden="1" x14ac:dyDescent="0.35">
      <c r="A655" s="37" t="str">
        <f t="shared" si="29"/>
        <v>DESVIO DE ROTACliente 33</v>
      </c>
      <c r="B655" s="37" t="s">
        <v>126</v>
      </c>
      <c r="C655" s="37" t="s">
        <v>1303</v>
      </c>
      <c r="D655" s="37">
        <v>3</v>
      </c>
      <c r="E655" s="37" t="s">
        <v>1214</v>
      </c>
      <c r="F655" s="38">
        <v>0.1</v>
      </c>
      <c r="G655" s="39">
        <f>IF(OR(B655="FIXO",B655="XFIXO"),IF(F655="","ERRO",10*F655)*'BD Campos'!$W$2,IF(F655="","ERRO",10*F655)*'BD Campos'!$W$3)</f>
        <v>1</v>
      </c>
      <c r="H655" s="40">
        <v>0.05</v>
      </c>
      <c r="I655" s="41">
        <f t="shared" si="30"/>
        <v>-0.05</v>
      </c>
    </row>
    <row r="656" spans="1:9" hidden="1" x14ac:dyDescent="0.35">
      <c r="A656" s="37" t="str">
        <f t="shared" si="29"/>
        <v>DESVIO DE ROTACliente 34</v>
      </c>
      <c r="B656" s="37" t="s">
        <v>126</v>
      </c>
      <c r="C656" s="37" t="s">
        <v>1303</v>
      </c>
      <c r="D656" s="37">
        <v>4</v>
      </c>
      <c r="E656" s="37" t="s">
        <v>1215</v>
      </c>
      <c r="F656" s="38">
        <v>0.1</v>
      </c>
      <c r="G656" s="39">
        <f>IF(OR(B656="FIXO",B656="XFIXO"),IF(F656="","ERRO",10*F656)*'BD Campos'!$W$2,IF(F656="","ERRO",10*F656)*'BD Campos'!$W$3)</f>
        <v>1</v>
      </c>
      <c r="H656" s="40">
        <v>0.05</v>
      </c>
      <c r="I656" s="41">
        <f t="shared" si="30"/>
        <v>-0.05</v>
      </c>
    </row>
    <row r="657" spans="1:9" hidden="1" x14ac:dyDescent="0.35">
      <c r="A657" s="37" t="str">
        <f t="shared" si="29"/>
        <v>DESVIO DE ROTACliente 35</v>
      </c>
      <c r="B657" s="37" t="s">
        <v>126</v>
      </c>
      <c r="C657" s="37" t="s">
        <v>1303</v>
      </c>
      <c r="D657" s="37">
        <v>5</v>
      </c>
      <c r="E657" s="37" t="s">
        <v>1216</v>
      </c>
      <c r="F657" s="38">
        <v>0.1</v>
      </c>
      <c r="G657" s="39">
        <f>IF(OR(B657="FIXO",B657="XFIXO"),IF(F657="","ERRO",10*F657)*'BD Campos'!$W$2,IF(F657="","ERRO",10*F657)*'BD Campos'!$W$3)</f>
        <v>1</v>
      </c>
      <c r="H657" s="40">
        <v>0.05</v>
      </c>
      <c r="I657" s="41">
        <f t="shared" si="30"/>
        <v>-0.05</v>
      </c>
    </row>
    <row r="658" spans="1:9" hidden="1" x14ac:dyDescent="0.35">
      <c r="A658" s="37" t="str">
        <f t="shared" si="29"/>
        <v>DESVIO DE ROTACliente 36</v>
      </c>
      <c r="B658" s="37" t="s">
        <v>126</v>
      </c>
      <c r="C658" s="37" t="s">
        <v>1303</v>
      </c>
      <c r="D658" s="37">
        <v>6</v>
      </c>
      <c r="E658" s="37" t="s">
        <v>1217</v>
      </c>
      <c r="F658" s="38">
        <v>0.1</v>
      </c>
      <c r="G658" s="39">
        <f>IF(OR(B658="FIXO",B658="XFIXO"),IF(F658="","ERRO",10*F658)*'BD Campos'!$W$2,IF(F658="","ERRO",10*F658)*'BD Campos'!$W$3)</f>
        <v>1</v>
      </c>
      <c r="H658" s="40">
        <v>0.05</v>
      </c>
      <c r="I658" s="41">
        <f t="shared" si="30"/>
        <v>-0.05</v>
      </c>
    </row>
    <row r="659" spans="1:9" hidden="1" x14ac:dyDescent="0.35">
      <c r="A659" s="37" t="str">
        <f t="shared" si="29"/>
        <v>DESVIO DE ROTACliente 37</v>
      </c>
      <c r="B659" s="37" t="s">
        <v>126</v>
      </c>
      <c r="C659" s="37" t="s">
        <v>1303</v>
      </c>
      <c r="D659" s="37">
        <v>7</v>
      </c>
      <c r="E659" s="45" t="s">
        <v>1230</v>
      </c>
      <c r="F659" s="38">
        <v>0.1</v>
      </c>
      <c r="G659" s="39">
        <f>IF(OR(B659="FIXO",B659="XFIXO"),IF(F659="","ERRO",10*F659)*'BD Campos'!$W$2,IF(F659="","ERRO",10*F659)*'BD Campos'!$W$3)</f>
        <v>1</v>
      </c>
      <c r="H659" s="40">
        <v>0.05</v>
      </c>
      <c r="I659" s="41">
        <f t="shared" si="30"/>
        <v>-0.05</v>
      </c>
    </row>
    <row r="660" spans="1:9" hidden="1" x14ac:dyDescent="0.35">
      <c r="A660" s="37" t="str">
        <f t="shared" si="29"/>
        <v>DESVIO DE ROTACliente 38</v>
      </c>
      <c r="B660" s="37" t="s">
        <v>126</v>
      </c>
      <c r="C660" s="37" t="s">
        <v>1303</v>
      </c>
      <c r="D660" s="37">
        <v>8</v>
      </c>
      <c r="E660" s="45" t="s">
        <v>1231</v>
      </c>
      <c r="F660" s="38">
        <v>0.1</v>
      </c>
      <c r="G660" s="39">
        <f>IF(OR(B660="FIXO",B660="XFIXO"),IF(F660="","ERRO",10*F660)*'BD Campos'!$W$2,IF(F660="","ERRO",10*F660)*'BD Campos'!$W$3)</f>
        <v>1</v>
      </c>
      <c r="H660" s="40">
        <v>0.05</v>
      </c>
      <c r="I660" s="41">
        <f t="shared" si="30"/>
        <v>-0.05</v>
      </c>
    </row>
    <row r="661" spans="1:9" hidden="1" x14ac:dyDescent="0.35">
      <c r="A661" s="37" t="str">
        <f t="shared" si="29"/>
        <v>DESVIO DE ROTACliente 39</v>
      </c>
      <c r="B661" s="37" t="s">
        <v>126</v>
      </c>
      <c r="C661" s="37" t="s">
        <v>1303</v>
      </c>
      <c r="D661" s="37">
        <v>9</v>
      </c>
      <c r="E661" s="45" t="s">
        <v>1232</v>
      </c>
      <c r="F661" s="38">
        <v>0.1</v>
      </c>
      <c r="G661" s="39">
        <f>IF(OR(B661="FIXO",B661="XFIXO"),IF(F661="","ERRO",10*F661)*'BD Campos'!$W$2,IF(F661="","ERRO",10*F661)*'BD Campos'!$W$3)</f>
        <v>1</v>
      </c>
      <c r="H661" s="40">
        <v>0.05</v>
      </c>
      <c r="I661" s="41">
        <f t="shared" si="30"/>
        <v>-0.05</v>
      </c>
    </row>
    <row r="662" spans="1:9" hidden="1" x14ac:dyDescent="0.35">
      <c r="A662" s="37" t="str">
        <f t="shared" si="29"/>
        <v>DESVIO DE ROTACliente 310</v>
      </c>
      <c r="B662" s="37" t="s">
        <v>126</v>
      </c>
      <c r="C662" s="37" t="s">
        <v>1303</v>
      </c>
      <c r="D662" s="37">
        <v>10</v>
      </c>
      <c r="E662" s="37" t="s">
        <v>1220</v>
      </c>
      <c r="F662" s="38">
        <v>0.1</v>
      </c>
      <c r="G662" s="39">
        <f>IF(OR(B662="FIXO",B662="XFIXO"),IF(F662="","ERRO",10*F662)*'BD Campos'!$W$2,IF(F662="","ERRO",10*F662)*'BD Campos'!$W$3)</f>
        <v>1</v>
      </c>
      <c r="H662" s="40">
        <v>0.05</v>
      </c>
      <c r="I662" s="41">
        <f t="shared" si="30"/>
        <v>-0.05</v>
      </c>
    </row>
    <row r="663" spans="1:9" hidden="1" x14ac:dyDescent="0.35">
      <c r="A663" s="37" t="str">
        <f t="shared" si="29"/>
        <v>PARADA INDEVIDACliente 31</v>
      </c>
      <c r="B663" s="37" t="s">
        <v>121</v>
      </c>
      <c r="C663" s="37" t="s">
        <v>1303</v>
      </c>
      <c r="D663" s="43">
        <v>1</v>
      </c>
      <c r="E663" s="37" t="s">
        <v>1212</v>
      </c>
      <c r="F663" s="38">
        <v>0.09</v>
      </c>
      <c r="G663" s="39">
        <f>IF(OR(B663="FIXO",B663="XFIXO"),IF(F663="","ERRO",10*F663)*'BD Campos'!$W$2,IF(F663="","ERRO",10*F663)*'BD Campos'!$W$3)</f>
        <v>0.89999999999999991</v>
      </c>
      <c r="H663" s="40">
        <v>0.05</v>
      </c>
      <c r="I663" s="41">
        <f t="shared" si="30"/>
        <v>-4.4999999999999998E-2</v>
      </c>
    </row>
    <row r="664" spans="1:9" hidden="1" x14ac:dyDescent="0.35">
      <c r="A664" s="37" t="str">
        <f t="shared" si="29"/>
        <v>PARADA INDEVIDACliente 32</v>
      </c>
      <c r="B664" s="37" t="s">
        <v>121</v>
      </c>
      <c r="C664" s="37" t="s">
        <v>1303</v>
      </c>
      <c r="D664" s="43">
        <v>2</v>
      </c>
      <c r="E664" s="37" t="s">
        <v>1213</v>
      </c>
      <c r="F664" s="38">
        <v>0.09</v>
      </c>
      <c r="G664" s="39">
        <f>IF(OR(B664="FIXO",B664="XFIXO"),IF(F664="","ERRO",10*F664)*'BD Campos'!$W$2,IF(F664="","ERRO",10*F664)*'BD Campos'!$W$3)</f>
        <v>0.89999999999999991</v>
      </c>
      <c r="H664" s="40">
        <v>0.05</v>
      </c>
      <c r="I664" s="41">
        <f t="shared" si="30"/>
        <v>-4.4999999999999998E-2</v>
      </c>
    </row>
    <row r="665" spans="1:9" hidden="1" x14ac:dyDescent="0.35">
      <c r="A665" s="37" t="str">
        <f t="shared" si="29"/>
        <v>PARADA INDEVIDACliente 33</v>
      </c>
      <c r="B665" s="37" t="s">
        <v>121</v>
      </c>
      <c r="C665" s="37" t="s">
        <v>1303</v>
      </c>
      <c r="D665" s="43">
        <v>3</v>
      </c>
      <c r="E665" s="37" t="s">
        <v>1214</v>
      </c>
      <c r="F665" s="38">
        <v>0.09</v>
      </c>
      <c r="G665" s="39">
        <f>IF(OR(B665="FIXO",B665="XFIXO"),IF(F665="","ERRO",10*F665)*'BD Campos'!$W$2,IF(F665="","ERRO",10*F665)*'BD Campos'!$W$3)</f>
        <v>0.89999999999999991</v>
      </c>
      <c r="H665" s="40">
        <v>0.05</v>
      </c>
      <c r="I665" s="41">
        <f t="shared" si="30"/>
        <v>-4.4999999999999998E-2</v>
      </c>
    </row>
    <row r="666" spans="1:9" hidden="1" x14ac:dyDescent="0.35">
      <c r="A666" s="37" t="str">
        <f t="shared" si="29"/>
        <v>PARADA INDEVIDACliente 34</v>
      </c>
      <c r="B666" s="37" t="s">
        <v>121</v>
      </c>
      <c r="C666" s="37" t="s">
        <v>1303</v>
      </c>
      <c r="D666" s="43">
        <v>4</v>
      </c>
      <c r="E666" s="37" t="s">
        <v>1215</v>
      </c>
      <c r="F666" s="38">
        <v>0.09</v>
      </c>
      <c r="G666" s="39">
        <f>IF(OR(B666="FIXO",B666="XFIXO"),IF(F666="","ERRO",10*F666)*'BD Campos'!$W$2,IF(F666="","ERRO",10*F666)*'BD Campos'!$W$3)</f>
        <v>0.89999999999999991</v>
      </c>
      <c r="H666" s="40">
        <v>0.05</v>
      </c>
      <c r="I666" s="41">
        <f t="shared" si="30"/>
        <v>-4.4999999999999998E-2</v>
      </c>
    </row>
    <row r="667" spans="1:9" hidden="1" x14ac:dyDescent="0.35">
      <c r="A667" s="37" t="str">
        <f t="shared" si="29"/>
        <v>PARADA INDEVIDACliente 35</v>
      </c>
      <c r="B667" s="37" t="s">
        <v>121</v>
      </c>
      <c r="C667" s="37" t="s">
        <v>1303</v>
      </c>
      <c r="D667" s="43">
        <v>5</v>
      </c>
      <c r="E667" s="37" t="s">
        <v>1216</v>
      </c>
      <c r="F667" s="38">
        <v>0.09</v>
      </c>
      <c r="G667" s="39">
        <f>IF(OR(B667="FIXO",B667="XFIXO"),IF(F667="","ERRO",10*F667)*'BD Campos'!$W$2,IF(F667="","ERRO",10*F667)*'BD Campos'!$W$3)</f>
        <v>0.89999999999999991</v>
      </c>
      <c r="H667" s="40">
        <v>0.05</v>
      </c>
      <c r="I667" s="41">
        <f t="shared" si="30"/>
        <v>-4.4999999999999998E-2</v>
      </c>
    </row>
    <row r="668" spans="1:9" hidden="1" x14ac:dyDescent="0.35">
      <c r="A668" s="37" t="str">
        <f t="shared" si="29"/>
        <v>PARADA INDEVIDACliente 36</v>
      </c>
      <c r="B668" s="37" t="s">
        <v>121</v>
      </c>
      <c r="C668" s="37" t="s">
        <v>1303</v>
      </c>
      <c r="D668" s="43">
        <v>6</v>
      </c>
      <c r="E668" s="37" t="s">
        <v>1217</v>
      </c>
      <c r="F668" s="38">
        <v>0.09</v>
      </c>
      <c r="G668" s="39">
        <f>IF(OR(B668="FIXO",B668="XFIXO"),IF(F668="","ERRO",10*F668)*'BD Campos'!$W$2,IF(F668="","ERRO",10*F668)*'BD Campos'!$W$3)</f>
        <v>0.89999999999999991</v>
      </c>
      <c r="H668" s="40">
        <v>0.05</v>
      </c>
      <c r="I668" s="41">
        <f t="shared" si="30"/>
        <v>-4.4999999999999998E-2</v>
      </c>
    </row>
    <row r="669" spans="1:9" hidden="1" x14ac:dyDescent="0.35">
      <c r="A669" s="37" t="str">
        <f t="shared" si="29"/>
        <v>PARADA INDEVIDACliente 37</v>
      </c>
      <c r="B669" s="37" t="s">
        <v>121</v>
      </c>
      <c r="C669" s="37" t="s">
        <v>1303</v>
      </c>
      <c r="D669" s="43">
        <v>7</v>
      </c>
      <c r="E669" s="37" t="s">
        <v>1233</v>
      </c>
      <c r="F669" s="38">
        <v>0.09</v>
      </c>
      <c r="G669" s="39">
        <f>IF(OR(B669="FIXO",B669="XFIXO"),IF(F669="","ERRO",10*F669)*'BD Campos'!$W$2,IF(F669="","ERRO",10*F669)*'BD Campos'!$W$3)</f>
        <v>0.89999999999999991</v>
      </c>
      <c r="H669" s="40">
        <v>0.05</v>
      </c>
      <c r="I669" s="41">
        <f t="shared" si="30"/>
        <v>-4.4999999999999998E-2</v>
      </c>
    </row>
    <row r="670" spans="1:9" hidden="1" x14ac:dyDescent="0.35">
      <c r="A670" s="37" t="str">
        <f t="shared" si="29"/>
        <v>PARADA INDEVIDACliente 38</v>
      </c>
      <c r="B670" s="37" t="s">
        <v>121</v>
      </c>
      <c r="C670" s="37" t="s">
        <v>1303</v>
      </c>
      <c r="D670" s="43">
        <v>8</v>
      </c>
      <c r="E670" s="37" t="s">
        <v>1234</v>
      </c>
      <c r="F670" s="38">
        <v>9.5000000000000001E-2</v>
      </c>
      <c r="G670" s="39">
        <f>IF(OR(B670="FIXO",B670="XFIXO"),IF(F670="","ERRO",10*F670)*'BD Campos'!$W$2,IF(F670="","ERRO",10*F670)*'BD Campos'!$W$3)</f>
        <v>0.95</v>
      </c>
      <c r="H670" s="40">
        <v>0.05</v>
      </c>
      <c r="I670" s="41">
        <f t="shared" si="30"/>
        <v>-4.7500000000000001E-2</v>
      </c>
    </row>
    <row r="671" spans="1:9" hidden="1" x14ac:dyDescent="0.35">
      <c r="A671" s="37" t="str">
        <f t="shared" si="29"/>
        <v>PARADA INDEVIDACliente 39</v>
      </c>
      <c r="B671" s="37" t="s">
        <v>121</v>
      </c>
      <c r="C671" s="37" t="s">
        <v>1303</v>
      </c>
      <c r="D671" s="43">
        <v>9</v>
      </c>
      <c r="E671" s="37" t="s">
        <v>1235</v>
      </c>
      <c r="F671" s="38">
        <v>9.5000000000000001E-2</v>
      </c>
      <c r="G671" s="39">
        <f>IF(OR(B671="FIXO",B671="XFIXO"),IF(F671="","ERRO",10*F671)*'BD Campos'!$W$2,IF(F671="","ERRO",10*F671)*'BD Campos'!$W$3)</f>
        <v>0.95</v>
      </c>
      <c r="H671" s="40">
        <v>0.05</v>
      </c>
      <c r="I671" s="41">
        <f t="shared" si="30"/>
        <v>-4.7500000000000001E-2</v>
      </c>
    </row>
    <row r="672" spans="1:9" hidden="1" x14ac:dyDescent="0.35">
      <c r="A672" s="37" t="str">
        <f t="shared" si="29"/>
        <v>PARADA INDEVIDACliente 310</v>
      </c>
      <c r="B672" s="37" t="s">
        <v>121</v>
      </c>
      <c r="C672" s="37" t="s">
        <v>1303</v>
      </c>
      <c r="D672" s="43">
        <v>10</v>
      </c>
      <c r="E672" s="37" t="s">
        <v>1223</v>
      </c>
      <c r="F672" s="38">
        <v>0.09</v>
      </c>
      <c r="G672" s="39">
        <f>IF(OR(B672="FIXO",B672="XFIXO"),IF(F672="","ERRO",10*F672)*'BD Campos'!$W$2,IF(F672="","ERRO",10*F672)*'BD Campos'!$W$3)</f>
        <v>0.89999999999999991</v>
      </c>
      <c r="H672" s="40">
        <v>0.05</v>
      </c>
      <c r="I672" s="41">
        <f t="shared" si="30"/>
        <v>-4.4999999999999998E-2</v>
      </c>
    </row>
    <row r="673" spans="1:9" hidden="1" x14ac:dyDescent="0.35">
      <c r="A673" s="37" t="str">
        <f t="shared" si="29"/>
        <v>PARADA INDEVIDACliente 311</v>
      </c>
      <c r="B673" s="37" t="s">
        <v>121</v>
      </c>
      <c r="C673" s="37" t="s">
        <v>1303</v>
      </c>
      <c r="D673" s="43">
        <v>11</v>
      </c>
      <c r="E673" s="37" t="s">
        <v>1236</v>
      </c>
      <c r="F673" s="38">
        <v>0.09</v>
      </c>
      <c r="G673" s="39">
        <f>IF(OR(B673="FIXO",B673="XFIXO"),IF(F673="","ERRO",10*F673)*'BD Campos'!$W$2,IF(F673="","ERRO",10*F673)*'BD Campos'!$W$3)</f>
        <v>0.89999999999999991</v>
      </c>
      <c r="H673" s="40">
        <v>0.05</v>
      </c>
      <c r="I673" s="41">
        <f t="shared" si="30"/>
        <v>-4.4999999999999998E-2</v>
      </c>
    </row>
    <row r="674" spans="1:9" hidden="1" x14ac:dyDescent="0.35">
      <c r="A674" s="37" t="str">
        <f t="shared" si="29"/>
        <v>POSIÇÃO EM ATRASOCliente 31</v>
      </c>
      <c r="B674" s="37" t="s">
        <v>123</v>
      </c>
      <c r="C674" s="37" t="s">
        <v>1303</v>
      </c>
      <c r="D674" s="43">
        <v>1</v>
      </c>
      <c r="E674" s="37" t="s">
        <v>1212</v>
      </c>
      <c r="F674" s="38">
        <v>0.09</v>
      </c>
      <c r="G674" s="39">
        <f>IF(OR(B674="FIXO",B674="XFIXO"),IF(F674="","ERRO",10*F674)*'BD Campos'!$W$2,IF(F674="","ERRO",10*F674)*'BD Campos'!$W$3)</f>
        <v>0.89999999999999991</v>
      </c>
      <c r="H674" s="40">
        <v>0.05</v>
      </c>
      <c r="I674" s="41">
        <f t="shared" si="30"/>
        <v>-4.4999999999999998E-2</v>
      </c>
    </row>
    <row r="675" spans="1:9" hidden="1" x14ac:dyDescent="0.35">
      <c r="A675" s="37" t="str">
        <f t="shared" si="29"/>
        <v>POSIÇÃO EM ATRASOCliente 32</v>
      </c>
      <c r="B675" s="37" t="s">
        <v>123</v>
      </c>
      <c r="C675" s="37" t="s">
        <v>1303</v>
      </c>
      <c r="D675" s="43">
        <v>2</v>
      </c>
      <c r="E675" s="37" t="s">
        <v>1213</v>
      </c>
      <c r="F675" s="38">
        <v>0.09</v>
      </c>
      <c r="G675" s="39">
        <f>IF(OR(B675="FIXO",B675="XFIXO"),IF(F675="","ERRO",10*F675)*'BD Campos'!$W$2,IF(F675="","ERRO",10*F675)*'BD Campos'!$W$3)</f>
        <v>0.89999999999999991</v>
      </c>
      <c r="H675" s="40">
        <v>0.05</v>
      </c>
      <c r="I675" s="41">
        <f t="shared" si="30"/>
        <v>-4.4999999999999998E-2</v>
      </c>
    </row>
    <row r="676" spans="1:9" hidden="1" x14ac:dyDescent="0.35">
      <c r="A676" s="37" t="str">
        <f t="shared" si="29"/>
        <v>POSIÇÃO EM ATRASOCliente 33</v>
      </c>
      <c r="B676" s="37" t="s">
        <v>123</v>
      </c>
      <c r="C676" s="37" t="s">
        <v>1303</v>
      </c>
      <c r="D676" s="43">
        <v>3</v>
      </c>
      <c r="E676" s="37" t="s">
        <v>1214</v>
      </c>
      <c r="F676" s="38">
        <v>0.09</v>
      </c>
      <c r="G676" s="39">
        <f>IF(OR(B676="FIXO",B676="XFIXO"),IF(F676="","ERRO",10*F676)*'BD Campos'!$W$2,IF(F676="","ERRO",10*F676)*'BD Campos'!$W$3)</f>
        <v>0.89999999999999991</v>
      </c>
      <c r="H676" s="40">
        <v>0.05</v>
      </c>
      <c r="I676" s="41">
        <f t="shared" si="30"/>
        <v>-4.4999999999999998E-2</v>
      </c>
    </row>
    <row r="677" spans="1:9" hidden="1" x14ac:dyDescent="0.35">
      <c r="A677" s="37" t="str">
        <f t="shared" si="29"/>
        <v>POSIÇÃO EM ATRASOCliente 34</v>
      </c>
      <c r="B677" s="37" t="s">
        <v>123</v>
      </c>
      <c r="C677" s="37" t="s">
        <v>1303</v>
      </c>
      <c r="D677" s="43">
        <v>4</v>
      </c>
      <c r="E677" s="37" t="s">
        <v>1215</v>
      </c>
      <c r="F677" s="38">
        <v>0.09</v>
      </c>
      <c r="G677" s="39">
        <f>IF(OR(B677="FIXO",B677="XFIXO"),IF(F677="","ERRO",10*F677)*'BD Campos'!$W$2,IF(F677="","ERRO",10*F677)*'BD Campos'!$W$3)</f>
        <v>0.89999999999999991</v>
      </c>
      <c r="H677" s="40">
        <v>0.05</v>
      </c>
      <c r="I677" s="41">
        <f t="shared" si="30"/>
        <v>-4.4999999999999998E-2</v>
      </c>
    </row>
    <row r="678" spans="1:9" hidden="1" x14ac:dyDescent="0.35">
      <c r="A678" s="37" t="str">
        <f t="shared" si="29"/>
        <v>POSIÇÃO EM ATRASOCliente 35</v>
      </c>
      <c r="B678" s="37" t="s">
        <v>123</v>
      </c>
      <c r="C678" s="37" t="s">
        <v>1303</v>
      </c>
      <c r="D678" s="43">
        <v>5</v>
      </c>
      <c r="E678" s="37" t="s">
        <v>1216</v>
      </c>
      <c r="F678" s="38">
        <v>0.09</v>
      </c>
      <c r="G678" s="39">
        <f>IF(OR(B678="FIXO",B678="XFIXO"),IF(F678="","ERRO",10*F678)*'BD Campos'!$W$2,IF(F678="","ERRO",10*F678)*'BD Campos'!$W$3)</f>
        <v>0.89999999999999991</v>
      </c>
      <c r="H678" s="40">
        <v>0.05</v>
      </c>
      <c r="I678" s="41">
        <f t="shared" si="30"/>
        <v>-4.4999999999999998E-2</v>
      </c>
    </row>
    <row r="679" spans="1:9" hidden="1" x14ac:dyDescent="0.35">
      <c r="A679" s="37" t="str">
        <f t="shared" si="29"/>
        <v>POSIÇÃO EM ATRASOCliente 36</v>
      </c>
      <c r="B679" s="37" t="s">
        <v>123</v>
      </c>
      <c r="C679" s="37" t="s">
        <v>1303</v>
      </c>
      <c r="D679" s="43">
        <v>6</v>
      </c>
      <c r="E679" s="37" t="s">
        <v>1217</v>
      </c>
      <c r="F679" s="38">
        <v>0.09</v>
      </c>
      <c r="G679" s="39">
        <f>IF(OR(B679="FIXO",B679="XFIXO"),IF(F679="","ERRO",10*F679)*'BD Campos'!$W$2,IF(F679="","ERRO",10*F679)*'BD Campos'!$W$3)</f>
        <v>0.89999999999999991</v>
      </c>
      <c r="H679" s="40">
        <v>0.05</v>
      </c>
      <c r="I679" s="41">
        <f t="shared" si="30"/>
        <v>-4.4999999999999998E-2</v>
      </c>
    </row>
    <row r="680" spans="1:9" hidden="1" x14ac:dyDescent="0.35">
      <c r="A680" s="37" t="str">
        <f t="shared" si="29"/>
        <v>POSIÇÃO EM ATRASOCliente 37</v>
      </c>
      <c r="B680" s="37" t="s">
        <v>123</v>
      </c>
      <c r="C680" s="37" t="s">
        <v>1303</v>
      </c>
      <c r="D680" s="43">
        <v>7</v>
      </c>
      <c r="E680" s="37" t="s">
        <v>1233</v>
      </c>
      <c r="F680" s="38">
        <v>0.09</v>
      </c>
      <c r="G680" s="39">
        <f>IF(OR(B680="FIXO",B680="XFIXO"),IF(F680="","ERRO",10*F680)*'BD Campos'!$W$2,IF(F680="","ERRO",10*F680)*'BD Campos'!$W$3)</f>
        <v>0.89999999999999991</v>
      </c>
      <c r="H680" s="40">
        <v>0.05</v>
      </c>
      <c r="I680" s="41">
        <f t="shared" si="30"/>
        <v>-4.4999999999999998E-2</v>
      </c>
    </row>
    <row r="681" spans="1:9" hidden="1" x14ac:dyDescent="0.35">
      <c r="A681" s="37" t="str">
        <f t="shared" si="29"/>
        <v>POSIÇÃO EM ATRASOCliente 38</v>
      </c>
      <c r="B681" s="37" t="s">
        <v>123</v>
      </c>
      <c r="C681" s="37" t="s">
        <v>1303</v>
      </c>
      <c r="D681" s="43">
        <v>8</v>
      </c>
      <c r="E681" s="37" t="s">
        <v>1237</v>
      </c>
      <c r="F681" s="38">
        <v>9.5000000000000001E-2</v>
      </c>
      <c r="G681" s="39">
        <f>IF(OR(B681="FIXO",B681="XFIXO"),IF(F681="","ERRO",10*F681)*'BD Campos'!$W$2,IF(F681="","ERRO",10*F681)*'BD Campos'!$W$3)</f>
        <v>0.95</v>
      </c>
      <c r="H681" s="40">
        <v>0.05</v>
      </c>
      <c r="I681" s="41">
        <f t="shared" si="30"/>
        <v>-4.7500000000000001E-2</v>
      </c>
    </row>
    <row r="682" spans="1:9" hidden="1" x14ac:dyDescent="0.35">
      <c r="A682" s="37" t="str">
        <f t="shared" si="29"/>
        <v>POSIÇÃO EM ATRASOCliente 39</v>
      </c>
      <c r="B682" s="37" t="s">
        <v>123</v>
      </c>
      <c r="C682" s="37" t="s">
        <v>1303</v>
      </c>
      <c r="D682" s="43">
        <v>9</v>
      </c>
      <c r="E682" s="37" t="s">
        <v>1238</v>
      </c>
      <c r="F682" s="38">
        <v>9.5000000000000001E-2</v>
      </c>
      <c r="G682" s="39">
        <f>IF(OR(B682="FIXO",B682="XFIXO"),IF(F682="","ERRO",10*F682)*'BD Campos'!$W$2,IF(F682="","ERRO",10*F682)*'BD Campos'!$W$3)</f>
        <v>0.95</v>
      </c>
      <c r="H682" s="40">
        <v>0.05</v>
      </c>
      <c r="I682" s="41">
        <f t="shared" ref="I682:I719" si="31">H682*G682*-1</f>
        <v>-4.7500000000000001E-2</v>
      </c>
    </row>
    <row r="683" spans="1:9" hidden="1" x14ac:dyDescent="0.35">
      <c r="A683" s="37" t="str">
        <f t="shared" si="29"/>
        <v>POSIÇÃO EM ATRASOCliente 310</v>
      </c>
      <c r="B683" s="37" t="s">
        <v>123</v>
      </c>
      <c r="C683" s="37" t="s">
        <v>1303</v>
      </c>
      <c r="D683" s="43">
        <v>10</v>
      </c>
      <c r="E683" s="37" t="s">
        <v>1239</v>
      </c>
      <c r="F683" s="38">
        <v>0.09</v>
      </c>
      <c r="G683" s="39">
        <f>IF(OR(B683="FIXO",B683="XFIXO"),IF(F683="","ERRO",10*F683)*'BD Campos'!$W$2,IF(F683="","ERRO",10*F683)*'BD Campos'!$W$3)</f>
        <v>0.89999999999999991</v>
      </c>
      <c r="H683" s="40">
        <v>0.05</v>
      </c>
      <c r="I683" s="41">
        <f t="shared" si="31"/>
        <v>-4.4999999999999998E-2</v>
      </c>
    </row>
    <row r="684" spans="1:9" hidden="1" x14ac:dyDescent="0.35">
      <c r="A684" s="37" t="str">
        <f t="shared" si="29"/>
        <v>POSIÇÃO EM ATRASOCliente 311</v>
      </c>
      <c r="B684" s="37" t="s">
        <v>123</v>
      </c>
      <c r="C684" s="37" t="s">
        <v>1303</v>
      </c>
      <c r="D684" s="43">
        <v>11</v>
      </c>
      <c r="E684" s="37" t="s">
        <v>1240</v>
      </c>
      <c r="F684" s="38">
        <v>0.09</v>
      </c>
      <c r="G684" s="39">
        <f>IF(OR(B684="FIXO",B684="XFIXO"),IF(F684="","ERRO",10*F684)*'BD Campos'!$W$2,IF(F684="","ERRO",10*F684)*'BD Campos'!$W$3)</f>
        <v>0.89999999999999991</v>
      </c>
      <c r="H684" s="40">
        <v>0.05</v>
      </c>
      <c r="I684" s="41">
        <f t="shared" si="31"/>
        <v>-4.4999999999999998E-2</v>
      </c>
    </row>
    <row r="685" spans="1:9" hidden="1" x14ac:dyDescent="0.35">
      <c r="A685" s="37" t="str">
        <f t="shared" si="29"/>
        <v>ALERTAS PRIORITÁRIOSCliente 31</v>
      </c>
      <c r="B685" s="37" t="s">
        <v>147</v>
      </c>
      <c r="C685" s="37" t="s">
        <v>1303</v>
      </c>
      <c r="D685" s="43">
        <v>1</v>
      </c>
      <c r="E685" s="37" t="s">
        <v>1212</v>
      </c>
      <c r="F685" s="38">
        <v>0.1</v>
      </c>
      <c r="G685" s="39">
        <f>IF(OR(B685="FIXO",B685="XFIXO"),IF(F685="","ERRO",10*F685)*'BD Campos'!$W$2,IF(F685="","ERRO",10*F685)*'BD Campos'!$W$3)</f>
        <v>1</v>
      </c>
      <c r="H685" s="40">
        <v>0.05</v>
      </c>
      <c r="I685" s="41">
        <f t="shared" si="31"/>
        <v>-0.05</v>
      </c>
    </row>
    <row r="686" spans="1:9" hidden="1" x14ac:dyDescent="0.35">
      <c r="A686" s="37" t="str">
        <f t="shared" si="29"/>
        <v>ALERTAS PRIORITÁRIOSCliente 32</v>
      </c>
      <c r="B686" s="37" t="s">
        <v>147</v>
      </c>
      <c r="C686" s="37" t="s">
        <v>1303</v>
      </c>
      <c r="D686" s="43">
        <v>2</v>
      </c>
      <c r="E686" s="37" t="s">
        <v>1213</v>
      </c>
      <c r="F686" s="38">
        <v>0.1</v>
      </c>
      <c r="G686" s="39">
        <f>IF(OR(B686="FIXO",B686="XFIXO"),IF(F686="","ERRO",10*F686)*'BD Campos'!$W$2,IF(F686="","ERRO",10*F686)*'BD Campos'!$W$3)</f>
        <v>1</v>
      </c>
      <c r="H686" s="40">
        <v>0.05</v>
      </c>
      <c r="I686" s="41">
        <f t="shared" si="31"/>
        <v>-0.05</v>
      </c>
    </row>
    <row r="687" spans="1:9" hidden="1" x14ac:dyDescent="0.35">
      <c r="A687" s="37" t="str">
        <f t="shared" si="29"/>
        <v>ALERTAS PRIORITÁRIOSCliente 33</v>
      </c>
      <c r="B687" s="37" t="s">
        <v>147</v>
      </c>
      <c r="C687" s="37" t="s">
        <v>1303</v>
      </c>
      <c r="D687" s="43">
        <v>3</v>
      </c>
      <c r="E687" s="37" t="s">
        <v>1214</v>
      </c>
      <c r="F687" s="38">
        <v>0.1</v>
      </c>
      <c r="G687" s="39">
        <f>IF(OR(B687="FIXO",B687="XFIXO"),IF(F687="","ERRO",10*F687)*'BD Campos'!$W$2,IF(F687="","ERRO",10*F687)*'BD Campos'!$W$3)</f>
        <v>1</v>
      </c>
      <c r="H687" s="40">
        <v>0.05</v>
      </c>
      <c r="I687" s="41">
        <f t="shared" si="31"/>
        <v>-0.05</v>
      </c>
    </row>
    <row r="688" spans="1:9" hidden="1" x14ac:dyDescent="0.35">
      <c r="A688" s="37" t="str">
        <f t="shared" ref="A688:A719" si="32">B688&amp;C688&amp;D688</f>
        <v>ALERTAS PRIORITÁRIOSCliente 34</v>
      </c>
      <c r="B688" s="37" t="s">
        <v>147</v>
      </c>
      <c r="C688" s="37" t="s">
        <v>1303</v>
      </c>
      <c r="D688" s="43">
        <v>4</v>
      </c>
      <c r="E688" s="37" t="s">
        <v>1215</v>
      </c>
      <c r="F688" s="38">
        <v>0.1</v>
      </c>
      <c r="G688" s="39">
        <f>IF(OR(B688="FIXO",B688="XFIXO"),IF(F688="","ERRO",10*F688)*'BD Campos'!$W$2,IF(F688="","ERRO",10*F688)*'BD Campos'!$W$3)</f>
        <v>1</v>
      </c>
      <c r="H688" s="40">
        <v>0.05</v>
      </c>
      <c r="I688" s="41">
        <f t="shared" si="31"/>
        <v>-0.05</v>
      </c>
    </row>
    <row r="689" spans="1:9" hidden="1" x14ac:dyDescent="0.35">
      <c r="A689" s="37" t="str">
        <f t="shared" si="32"/>
        <v>ALERTAS PRIORITÁRIOSCliente 35</v>
      </c>
      <c r="B689" s="37" t="s">
        <v>147</v>
      </c>
      <c r="C689" s="37" t="s">
        <v>1303</v>
      </c>
      <c r="D689" s="43">
        <v>5</v>
      </c>
      <c r="E689" s="37" t="s">
        <v>1216</v>
      </c>
      <c r="F689" s="38">
        <v>0.1</v>
      </c>
      <c r="G689" s="39">
        <f>IF(OR(B689="FIXO",B689="XFIXO"),IF(F689="","ERRO",10*F689)*'BD Campos'!$W$2,IF(F689="","ERRO",10*F689)*'BD Campos'!$W$3)</f>
        <v>1</v>
      </c>
      <c r="H689" s="40">
        <v>0.05</v>
      </c>
      <c r="I689" s="41">
        <f t="shared" si="31"/>
        <v>-0.05</v>
      </c>
    </row>
    <row r="690" spans="1:9" hidden="1" x14ac:dyDescent="0.35">
      <c r="A690" s="37" t="str">
        <f t="shared" si="32"/>
        <v>ALERTAS PRIORITÁRIOSCliente 36</v>
      </c>
      <c r="B690" s="37" t="s">
        <v>147</v>
      </c>
      <c r="C690" s="37" t="s">
        <v>1303</v>
      </c>
      <c r="D690" s="43">
        <v>6</v>
      </c>
      <c r="E690" s="37" t="s">
        <v>1217</v>
      </c>
      <c r="F690" s="38">
        <v>0.1</v>
      </c>
      <c r="G690" s="39">
        <f>IF(OR(B690="FIXO",B690="XFIXO"),IF(F690="","ERRO",10*F690)*'BD Campos'!$W$2,IF(F690="","ERRO",10*F690)*'BD Campos'!$W$3)</f>
        <v>1</v>
      </c>
      <c r="H690" s="40">
        <v>0.05</v>
      </c>
      <c r="I690" s="41">
        <f t="shared" si="31"/>
        <v>-0.05</v>
      </c>
    </row>
    <row r="691" spans="1:9" hidden="1" x14ac:dyDescent="0.35">
      <c r="A691" s="37" t="str">
        <f t="shared" si="32"/>
        <v>ALERTAS PRIORITÁRIOSCliente 37</v>
      </c>
      <c r="B691" s="37" t="s">
        <v>147</v>
      </c>
      <c r="C691" s="37" t="s">
        <v>1303</v>
      </c>
      <c r="D691" s="43">
        <v>7</v>
      </c>
      <c r="E691" s="37" t="s">
        <v>1233</v>
      </c>
      <c r="F691" s="38">
        <v>0.1</v>
      </c>
      <c r="G691" s="39">
        <f>IF(OR(B691="FIXO",B691="XFIXO"),IF(F691="","ERRO",10*F691)*'BD Campos'!$W$2,IF(F691="","ERRO",10*F691)*'BD Campos'!$W$3)</f>
        <v>1</v>
      </c>
      <c r="H691" s="40">
        <v>0.05</v>
      </c>
      <c r="I691" s="41">
        <f t="shared" si="31"/>
        <v>-0.05</v>
      </c>
    </row>
    <row r="692" spans="1:9" hidden="1" x14ac:dyDescent="0.35">
      <c r="A692" s="37" t="str">
        <f t="shared" si="32"/>
        <v>ALERTAS PRIORITÁRIOSCliente 38</v>
      </c>
      <c r="B692" s="37" t="s">
        <v>147</v>
      </c>
      <c r="C692" s="37" t="s">
        <v>1303</v>
      </c>
      <c r="D692" s="43">
        <v>8</v>
      </c>
      <c r="E692" s="37" t="s">
        <v>1244</v>
      </c>
      <c r="F692" s="38">
        <v>0.1</v>
      </c>
      <c r="G692" s="39">
        <f>IF(OR(B692="FIXO",B692="XFIXO"),IF(F692="","ERRO",10*F692)*'BD Campos'!$W$2,IF(F692="","ERRO",10*F692)*'BD Campos'!$W$3)</f>
        <v>1</v>
      </c>
      <c r="H692" s="40">
        <v>0.05</v>
      </c>
      <c r="I692" s="41">
        <f t="shared" si="31"/>
        <v>-0.05</v>
      </c>
    </row>
    <row r="693" spans="1:9" hidden="1" x14ac:dyDescent="0.35">
      <c r="A693" s="37" t="str">
        <f t="shared" si="32"/>
        <v>ALERTAS PRIORITÁRIOSCliente 39</v>
      </c>
      <c r="B693" s="37" t="s">
        <v>147</v>
      </c>
      <c r="C693" s="37" t="s">
        <v>1303</v>
      </c>
      <c r="D693" s="43">
        <v>9</v>
      </c>
      <c r="E693" s="37" t="s">
        <v>1245</v>
      </c>
      <c r="F693" s="38">
        <v>0.05</v>
      </c>
      <c r="G693" s="39">
        <f>IF(OR(B693="FIXO",B693="XFIXO"),IF(F693="","ERRO",10*F693)*'BD Campos'!$W$2,IF(F693="","ERRO",10*F693)*'BD Campos'!$W$3)</f>
        <v>0.5</v>
      </c>
      <c r="H693" s="40">
        <v>0.05</v>
      </c>
      <c r="I693" s="41">
        <f t="shared" si="31"/>
        <v>-2.5000000000000001E-2</v>
      </c>
    </row>
    <row r="694" spans="1:9" hidden="1" x14ac:dyDescent="0.35">
      <c r="A694" s="37" t="str">
        <f t="shared" si="32"/>
        <v>ALERTAS PRIORITÁRIOSCliente 310</v>
      </c>
      <c r="B694" s="37" t="s">
        <v>147</v>
      </c>
      <c r="C694" s="37" t="s">
        <v>1303</v>
      </c>
      <c r="D694" s="43">
        <v>10</v>
      </c>
      <c r="E694" s="45" t="s">
        <v>1243</v>
      </c>
      <c r="F694" s="38">
        <v>0.05</v>
      </c>
      <c r="G694" s="39">
        <f>IF(OR(B694="FIXO",B694="XFIXO"),IF(F694="","ERRO",10*F694)*'BD Campos'!$W$2,IF(F694="","ERRO",10*F694)*'BD Campos'!$W$3)</f>
        <v>0.5</v>
      </c>
      <c r="H694" s="40">
        <v>0.05</v>
      </c>
      <c r="I694" s="41">
        <f t="shared" si="31"/>
        <v>-2.5000000000000001E-2</v>
      </c>
    </row>
    <row r="695" spans="1:9" hidden="1" x14ac:dyDescent="0.35">
      <c r="A695" s="37" t="str">
        <f t="shared" si="32"/>
        <v>ALERTAS PRIORITÁRIOSCliente 311</v>
      </c>
      <c r="B695" s="37" t="s">
        <v>147</v>
      </c>
      <c r="C695" s="37" t="s">
        <v>1303</v>
      </c>
      <c r="D695" s="43">
        <v>11</v>
      </c>
      <c r="E695" s="37" t="s">
        <v>1240</v>
      </c>
      <c r="F695" s="38">
        <v>0.1</v>
      </c>
      <c r="G695" s="39">
        <f>IF(OR(B695="FIXO",B695="XFIXO"),IF(F695="","ERRO",10*F695)*'BD Campos'!$W$2,IF(F695="","ERRO",10*F695)*'BD Campos'!$W$3)</f>
        <v>1</v>
      </c>
      <c r="H695" s="40">
        <v>0.05</v>
      </c>
      <c r="I695" s="41">
        <f t="shared" si="31"/>
        <v>-0.05</v>
      </c>
    </row>
    <row r="696" spans="1:9" hidden="1" x14ac:dyDescent="0.35">
      <c r="A696" s="37" t="str">
        <f t="shared" si="32"/>
        <v>ANTECEDENTESReceptiva1</v>
      </c>
      <c r="B696" s="37" t="s">
        <v>76</v>
      </c>
      <c r="C696" s="37" t="s">
        <v>98</v>
      </c>
      <c r="D696" s="37">
        <v>1</v>
      </c>
      <c r="E696" s="37" t="s">
        <v>1304</v>
      </c>
      <c r="F696" s="38">
        <v>0.08</v>
      </c>
      <c r="G696" s="39">
        <f>IF(OR(B696="FIXO",B696="XFIXO"),IF(F696="","ERRO",10*F696)*'BD Campos'!$W$2,IF(F696="","ERRO",10*F696)*'BD Campos'!$W$3)</f>
        <v>0.8</v>
      </c>
      <c r="H696" s="40">
        <v>0.05</v>
      </c>
      <c r="I696" s="41">
        <f t="shared" si="31"/>
        <v>-4.0000000000000008E-2</v>
      </c>
    </row>
    <row r="697" spans="1:9" hidden="1" x14ac:dyDescent="0.35">
      <c r="A697" s="37" t="str">
        <f t="shared" si="32"/>
        <v>ANTECEDENTESReceptiva2</v>
      </c>
      <c r="B697" s="37" t="s">
        <v>76</v>
      </c>
      <c r="C697" s="37" t="s">
        <v>98</v>
      </c>
      <c r="D697" s="37">
        <v>2</v>
      </c>
      <c r="E697" s="37" t="s">
        <v>1305</v>
      </c>
      <c r="F697" s="38">
        <v>0.08</v>
      </c>
      <c r="G697" s="39">
        <f>IF(OR(B697="FIXO",B697="XFIXO"),IF(F697="","ERRO",10*F697)*'BD Campos'!$W$2,IF(F697="","ERRO",10*F697)*'BD Campos'!$W$3)</f>
        <v>0.8</v>
      </c>
      <c r="H697" s="40">
        <v>0.05</v>
      </c>
      <c r="I697" s="41">
        <f t="shared" si="31"/>
        <v>-4.0000000000000008E-2</v>
      </c>
    </row>
    <row r="698" spans="1:9" hidden="1" x14ac:dyDescent="0.35">
      <c r="A698" s="37" t="str">
        <f t="shared" si="32"/>
        <v>ANTECEDENTESReceptiva3</v>
      </c>
      <c r="B698" s="37" t="s">
        <v>76</v>
      </c>
      <c r="C698" s="37" t="s">
        <v>98</v>
      </c>
      <c r="D698" s="37">
        <v>3</v>
      </c>
      <c r="E698" s="37" t="s">
        <v>1306</v>
      </c>
      <c r="F698" s="38">
        <v>0.12</v>
      </c>
      <c r="G698" s="39">
        <f>IF(OR(B698="FIXO",B698="XFIXO"),IF(F698="","ERRO",10*F698)*'BD Campos'!$W$2,IF(F698="","ERRO",10*F698)*'BD Campos'!$W$3)</f>
        <v>1.2</v>
      </c>
      <c r="H698" s="40">
        <v>1</v>
      </c>
      <c r="I698" s="41">
        <f t="shared" si="31"/>
        <v>-1.2</v>
      </c>
    </row>
    <row r="699" spans="1:9" hidden="1" x14ac:dyDescent="0.35">
      <c r="A699" s="37" t="str">
        <f t="shared" si="32"/>
        <v>ANTECEDENTESReceptiva4</v>
      </c>
      <c r="B699" s="37" t="s">
        <v>76</v>
      </c>
      <c r="C699" s="37" t="s">
        <v>98</v>
      </c>
      <c r="D699" s="37">
        <v>4</v>
      </c>
      <c r="E699" s="37" t="s">
        <v>1287</v>
      </c>
      <c r="F699" s="38">
        <v>0.08</v>
      </c>
      <c r="G699" s="39">
        <f>IF(OR(B699="FIXO",B699="XFIXO"),IF(F699="","ERRO",10*F699)*'BD Campos'!$W$2,IF(F699="","ERRO",10*F699)*'BD Campos'!$W$3)</f>
        <v>0.8</v>
      </c>
      <c r="H699" s="40">
        <v>0.05</v>
      </c>
      <c r="I699" s="41">
        <f t="shared" si="31"/>
        <v>-4.0000000000000008E-2</v>
      </c>
    </row>
    <row r="700" spans="1:9" hidden="1" x14ac:dyDescent="0.35">
      <c r="A700" s="37" t="str">
        <f t="shared" si="32"/>
        <v>ANTECEDENTESReceptiva5</v>
      </c>
      <c r="B700" s="37" t="s">
        <v>76</v>
      </c>
      <c r="C700" s="37" t="s">
        <v>98</v>
      </c>
      <c r="D700" s="37">
        <v>5</v>
      </c>
      <c r="E700" s="37" t="s">
        <v>1307</v>
      </c>
      <c r="F700" s="38">
        <v>0.08</v>
      </c>
      <c r="G700" s="39">
        <f>IF(OR(B700="FIXO",B700="XFIXO"),IF(F700="","ERRO",10*F700)*'BD Campos'!$W$2,IF(F700="","ERRO",10*F700)*'BD Campos'!$W$3)</f>
        <v>0.8</v>
      </c>
      <c r="H700" s="40">
        <v>0.05</v>
      </c>
      <c r="I700" s="41">
        <f t="shared" si="31"/>
        <v>-4.0000000000000008E-2</v>
      </c>
    </row>
    <row r="701" spans="1:9" hidden="1" x14ac:dyDescent="0.35">
      <c r="A701" s="37" t="str">
        <f t="shared" si="32"/>
        <v>ANTECEDENTESReceptiva6</v>
      </c>
      <c r="B701" s="37" t="s">
        <v>76</v>
      </c>
      <c r="C701" s="37" t="s">
        <v>98</v>
      </c>
      <c r="D701" s="37">
        <v>6</v>
      </c>
      <c r="E701" s="37" t="s">
        <v>1308</v>
      </c>
      <c r="F701" s="38">
        <v>0.08</v>
      </c>
      <c r="G701" s="39">
        <f>IF(OR(B701="FIXO",B701="XFIXO"),IF(F701="","ERRO",10*F701)*'BD Campos'!$W$2,IF(F701="","ERRO",10*F701)*'BD Campos'!$W$3)</f>
        <v>0.8</v>
      </c>
      <c r="H701" s="40">
        <v>0.05</v>
      </c>
      <c r="I701" s="41">
        <f t="shared" si="31"/>
        <v>-4.0000000000000008E-2</v>
      </c>
    </row>
    <row r="702" spans="1:9" hidden="1" x14ac:dyDescent="0.35">
      <c r="A702" s="37" t="str">
        <f t="shared" si="32"/>
        <v>ANTECEDENTESReceptiva7</v>
      </c>
      <c r="B702" s="37" t="s">
        <v>76</v>
      </c>
      <c r="C702" s="37" t="s">
        <v>98</v>
      </c>
      <c r="D702" s="37">
        <v>7</v>
      </c>
      <c r="E702" s="45" t="s">
        <v>1309</v>
      </c>
      <c r="F702" s="38">
        <v>0.08</v>
      </c>
      <c r="G702" s="39">
        <f>IF(OR(B702="FIXO",B702="XFIXO"),IF(F702="","ERRO",10*F702)*'BD Campos'!$W$2,IF(F702="","ERRO",10*F702)*'BD Campos'!$W$3)</f>
        <v>0.8</v>
      </c>
      <c r="H702" s="40">
        <v>0.05</v>
      </c>
      <c r="I702" s="41">
        <f t="shared" si="31"/>
        <v>-4.0000000000000008E-2</v>
      </c>
    </row>
    <row r="703" spans="1:9" hidden="1" x14ac:dyDescent="0.35">
      <c r="A703" s="37" t="str">
        <f t="shared" si="32"/>
        <v>ANTECEDENTESReceptiva8</v>
      </c>
      <c r="B703" s="37" t="s">
        <v>76</v>
      </c>
      <c r="C703" s="37" t="s">
        <v>98</v>
      </c>
      <c r="D703" s="37">
        <v>8</v>
      </c>
      <c r="E703" s="37" t="s">
        <v>1216</v>
      </c>
      <c r="F703" s="38">
        <v>0.08</v>
      </c>
      <c r="G703" s="39">
        <f>IF(OR(B703="FIXO",B703="XFIXO"),IF(F703="","ERRO",10*F703)*'BD Campos'!$W$2,IF(F703="","ERRO",10*F703)*'BD Campos'!$W$3)</f>
        <v>0.8</v>
      </c>
      <c r="H703" s="40">
        <v>0.05</v>
      </c>
      <c r="I703" s="41">
        <f t="shared" si="31"/>
        <v>-4.0000000000000008E-2</v>
      </c>
    </row>
    <row r="704" spans="1:9" hidden="1" x14ac:dyDescent="0.35">
      <c r="A704" s="37" t="str">
        <f t="shared" si="32"/>
        <v>ANTECEDENTESReceptiva9</v>
      </c>
      <c r="B704" s="37" t="s">
        <v>76</v>
      </c>
      <c r="C704" s="37" t="s">
        <v>98</v>
      </c>
      <c r="D704" s="37">
        <v>9</v>
      </c>
      <c r="E704" s="45" t="s">
        <v>1290</v>
      </c>
      <c r="F704" s="38">
        <v>0.08</v>
      </c>
      <c r="G704" s="39">
        <f>IF(OR(B704="FIXO",B704="XFIXO"),IF(F704="","ERRO",10*F704)*'BD Campos'!$W$2,IF(F704="","ERRO",10*F704)*'BD Campos'!$W$3)</f>
        <v>0.8</v>
      </c>
      <c r="H704" s="40">
        <v>0.05</v>
      </c>
      <c r="I704" s="41">
        <f t="shared" si="31"/>
        <v>-4.0000000000000008E-2</v>
      </c>
    </row>
    <row r="705" spans="1:9" hidden="1" x14ac:dyDescent="0.35">
      <c r="A705" s="37" t="str">
        <f t="shared" si="32"/>
        <v>ANTECEDENTESReceptiva10</v>
      </c>
      <c r="B705" s="37" t="s">
        <v>76</v>
      </c>
      <c r="C705" s="37" t="s">
        <v>98</v>
      </c>
      <c r="D705" s="37">
        <v>10</v>
      </c>
      <c r="E705" s="45" t="s">
        <v>1310</v>
      </c>
      <c r="F705" s="38">
        <v>0.08</v>
      </c>
      <c r="G705" s="39">
        <f>IF(OR(B705="FIXO",B705="XFIXO"),IF(F705="","ERRO",10*F705)*'BD Campos'!$W$2,IF(F705="","ERRO",10*F705)*'BD Campos'!$W$3)</f>
        <v>0.8</v>
      </c>
      <c r="H705" s="40">
        <v>0.05</v>
      </c>
      <c r="I705" s="41">
        <f t="shared" si="31"/>
        <v>-4.0000000000000008E-2</v>
      </c>
    </row>
    <row r="706" spans="1:9" hidden="1" x14ac:dyDescent="0.35">
      <c r="A706" s="37" t="str">
        <f t="shared" si="32"/>
        <v>ANTECEDENTESReceptiva11</v>
      </c>
      <c r="B706" s="37" t="s">
        <v>76</v>
      </c>
      <c r="C706" s="37" t="s">
        <v>98</v>
      </c>
      <c r="D706" s="37">
        <v>11</v>
      </c>
      <c r="E706" s="37" t="s">
        <v>1292</v>
      </c>
      <c r="F706" s="38">
        <v>0.08</v>
      </c>
      <c r="G706" s="39">
        <f>IF(OR(B706="FIXO",B706="XFIXO"),IF(F706="","ERRO",10*F706)*'BD Campos'!$W$2,IF(F706="","ERRO",10*F706)*'BD Campos'!$W$3)</f>
        <v>0.8</v>
      </c>
      <c r="H706" s="40">
        <v>0.05</v>
      </c>
      <c r="I706" s="41">
        <f t="shared" si="31"/>
        <v>-4.0000000000000008E-2</v>
      </c>
    </row>
    <row r="707" spans="1:9" hidden="1" x14ac:dyDescent="0.35">
      <c r="A707" s="37" t="str">
        <f t="shared" si="32"/>
        <v>ANTECEDENTESReceptiva12</v>
      </c>
      <c r="B707" s="37" t="s">
        <v>76</v>
      </c>
      <c r="C707" s="37" t="s">
        <v>98</v>
      </c>
      <c r="D707" s="37">
        <v>12</v>
      </c>
      <c r="E707" s="37" t="s">
        <v>1311</v>
      </c>
      <c r="F707" s="38">
        <v>0.08</v>
      </c>
      <c r="G707" s="39">
        <f>IF(OR(B707="FIXO",B707="XFIXO"),IF(F707="","ERRO",10*F707)*'BD Campos'!$W$2,IF(F707="","ERRO",10*F707)*'BD Campos'!$W$3)</f>
        <v>0.8</v>
      </c>
      <c r="H707" s="40">
        <v>0.05</v>
      </c>
      <c r="I707" s="41">
        <f t="shared" si="31"/>
        <v>-4.0000000000000008E-2</v>
      </c>
    </row>
    <row r="708" spans="1:9" hidden="1" x14ac:dyDescent="0.35">
      <c r="A708" s="37" t="str">
        <f t="shared" si="32"/>
        <v>IMPEDIMENTOSReceptiva1</v>
      </c>
      <c r="B708" s="37" t="s">
        <v>80</v>
      </c>
      <c r="C708" s="37" t="s">
        <v>98</v>
      </c>
      <c r="D708" s="43">
        <v>1</v>
      </c>
      <c r="E708" s="37" t="s">
        <v>1304</v>
      </c>
      <c r="F708" s="38">
        <v>0.08</v>
      </c>
      <c r="G708" s="39">
        <f>IF(OR(B708="FIXO",B708="XFIXO"),IF(F708="","ERRO",10*F708)*'BD Campos'!$W$2,IF(F708="","ERRO",10*F708)*'BD Campos'!$W$3)</f>
        <v>0.8</v>
      </c>
      <c r="H708" s="40">
        <v>0.05</v>
      </c>
      <c r="I708" s="41">
        <f t="shared" si="31"/>
        <v>-4.0000000000000008E-2</v>
      </c>
    </row>
    <row r="709" spans="1:9" hidden="1" x14ac:dyDescent="0.35">
      <c r="A709" s="37" t="str">
        <f t="shared" si="32"/>
        <v>IMPEDIMENTOSReceptiva2</v>
      </c>
      <c r="B709" s="37" t="s">
        <v>80</v>
      </c>
      <c r="C709" s="37" t="s">
        <v>98</v>
      </c>
      <c r="D709" s="43">
        <v>2</v>
      </c>
      <c r="E709" s="37" t="s">
        <v>1305</v>
      </c>
      <c r="F709" s="38">
        <v>0.08</v>
      </c>
      <c r="G709" s="39">
        <f>IF(OR(B709="FIXO",B709="XFIXO"),IF(F709="","ERRO",10*F709)*'BD Campos'!$W$2,IF(F709="","ERRO",10*F709)*'BD Campos'!$W$3)</f>
        <v>0.8</v>
      </c>
      <c r="H709" s="40">
        <v>0.05</v>
      </c>
      <c r="I709" s="41">
        <f t="shared" si="31"/>
        <v>-4.0000000000000008E-2</v>
      </c>
    </row>
    <row r="710" spans="1:9" hidden="1" x14ac:dyDescent="0.35">
      <c r="A710" s="37" t="str">
        <f t="shared" si="32"/>
        <v>IMPEDIMENTOSReceptiva3</v>
      </c>
      <c r="B710" s="37" t="s">
        <v>80</v>
      </c>
      <c r="C710" s="37" t="s">
        <v>98</v>
      </c>
      <c r="D710" s="43">
        <v>3</v>
      </c>
      <c r="E710" s="37" t="s">
        <v>1306</v>
      </c>
      <c r="F710" s="38">
        <v>0.12</v>
      </c>
      <c r="G710" s="39">
        <f>IF(OR(B710="FIXO",B710="XFIXO"),IF(F710="","ERRO",10*F710)*'BD Campos'!$W$2,IF(F710="","ERRO",10*F710)*'BD Campos'!$W$3)</f>
        <v>1.2</v>
      </c>
      <c r="H710" s="40">
        <v>1</v>
      </c>
      <c r="I710" s="41">
        <f t="shared" si="31"/>
        <v>-1.2</v>
      </c>
    </row>
    <row r="711" spans="1:9" hidden="1" x14ac:dyDescent="0.35">
      <c r="A711" s="37" t="str">
        <f t="shared" si="32"/>
        <v>IMPEDIMENTOSReceptiva4</v>
      </c>
      <c r="B711" s="37" t="s">
        <v>80</v>
      </c>
      <c r="C711" s="37" t="s">
        <v>98</v>
      </c>
      <c r="D711" s="43">
        <v>4</v>
      </c>
      <c r="E711" s="37" t="s">
        <v>1287</v>
      </c>
      <c r="F711" s="38">
        <v>0.08</v>
      </c>
      <c r="G711" s="39">
        <f>IF(OR(B711="FIXO",B711="XFIXO"),IF(F711="","ERRO",10*F711)*'BD Campos'!$W$2,IF(F711="","ERRO",10*F711)*'BD Campos'!$W$3)</f>
        <v>0.8</v>
      </c>
      <c r="H711" s="40">
        <v>0.05</v>
      </c>
      <c r="I711" s="41">
        <f t="shared" si="31"/>
        <v>-4.0000000000000008E-2</v>
      </c>
    </row>
    <row r="712" spans="1:9" hidden="1" x14ac:dyDescent="0.35">
      <c r="A712" s="37" t="str">
        <f t="shared" si="32"/>
        <v>IMPEDIMENTOSReceptiva5</v>
      </c>
      <c r="B712" s="37" t="s">
        <v>80</v>
      </c>
      <c r="C712" s="37" t="s">
        <v>98</v>
      </c>
      <c r="D712" s="43">
        <v>5</v>
      </c>
      <c r="E712" s="37" t="s">
        <v>1307</v>
      </c>
      <c r="F712" s="38">
        <v>0.08</v>
      </c>
      <c r="G712" s="39">
        <f>IF(OR(B712="FIXO",B712="XFIXO"),IF(F712="","ERRO",10*F712)*'BD Campos'!$W$2,IF(F712="","ERRO",10*F712)*'BD Campos'!$W$3)</f>
        <v>0.8</v>
      </c>
      <c r="H712" s="40">
        <v>0.05</v>
      </c>
      <c r="I712" s="41">
        <f t="shared" si="31"/>
        <v>-4.0000000000000008E-2</v>
      </c>
    </row>
    <row r="713" spans="1:9" hidden="1" x14ac:dyDescent="0.35">
      <c r="A713" s="37" t="str">
        <f t="shared" si="32"/>
        <v>IMPEDIMENTOSReceptiva6</v>
      </c>
      <c r="B713" s="37" t="s">
        <v>80</v>
      </c>
      <c r="C713" s="37" t="s">
        <v>98</v>
      </c>
      <c r="D713" s="43">
        <v>6</v>
      </c>
      <c r="E713" s="37" t="s">
        <v>1312</v>
      </c>
      <c r="F713" s="38">
        <v>0.08</v>
      </c>
      <c r="G713" s="39">
        <f>IF(OR(B713="FIXO",B713="XFIXO"),IF(F713="","ERRO",10*F713)*'BD Campos'!$W$2,IF(F713="","ERRO",10*F713)*'BD Campos'!$W$3)</f>
        <v>0.8</v>
      </c>
      <c r="H713" s="40">
        <v>0.05</v>
      </c>
      <c r="I713" s="41">
        <f t="shared" si="31"/>
        <v>-4.0000000000000008E-2</v>
      </c>
    </row>
    <row r="714" spans="1:9" hidden="1" x14ac:dyDescent="0.35">
      <c r="A714" s="37" t="str">
        <f t="shared" si="32"/>
        <v>IMPEDIMENTOSReceptiva7</v>
      </c>
      <c r="B714" s="37" t="s">
        <v>80</v>
      </c>
      <c r="C714" s="37" t="s">
        <v>98</v>
      </c>
      <c r="D714" s="43">
        <v>7</v>
      </c>
      <c r="E714" s="37" t="s">
        <v>1309</v>
      </c>
      <c r="F714" s="38">
        <v>0.08</v>
      </c>
      <c r="G714" s="39">
        <f>IF(OR(B714="FIXO",B714="XFIXO"),IF(F714="","ERRO",10*F714)*'BD Campos'!$W$2,IF(F714="","ERRO",10*F714)*'BD Campos'!$W$3)</f>
        <v>0.8</v>
      </c>
      <c r="H714" s="40">
        <v>0.05</v>
      </c>
      <c r="I714" s="41">
        <f t="shared" si="31"/>
        <v>-4.0000000000000008E-2</v>
      </c>
    </row>
    <row r="715" spans="1:9" hidden="1" x14ac:dyDescent="0.35">
      <c r="A715" s="37" t="str">
        <f t="shared" si="32"/>
        <v>IMPEDIMENTOSReceptiva8</v>
      </c>
      <c r="B715" s="37" t="s">
        <v>80</v>
      </c>
      <c r="C715" s="37" t="s">
        <v>98</v>
      </c>
      <c r="D715" s="43">
        <v>8</v>
      </c>
      <c r="E715" s="37" t="s">
        <v>1216</v>
      </c>
      <c r="F715" s="38">
        <v>0.08</v>
      </c>
      <c r="G715" s="39">
        <f>IF(OR(B715="FIXO",B715="XFIXO"),IF(F715="","ERRO",10*F715)*'BD Campos'!$W$2,IF(F715="","ERRO",10*F715)*'BD Campos'!$W$3)</f>
        <v>0.8</v>
      </c>
      <c r="H715" s="40">
        <v>0.05</v>
      </c>
      <c r="I715" s="41">
        <f t="shared" si="31"/>
        <v>-4.0000000000000008E-2</v>
      </c>
    </row>
    <row r="716" spans="1:9" hidden="1" x14ac:dyDescent="0.35">
      <c r="A716" s="37" t="str">
        <f t="shared" si="32"/>
        <v>IMPEDIMENTOSReceptiva9</v>
      </c>
      <c r="B716" s="37" t="s">
        <v>80</v>
      </c>
      <c r="C716" s="37" t="s">
        <v>98</v>
      </c>
      <c r="D716" s="43">
        <v>9</v>
      </c>
      <c r="E716" s="37" t="s">
        <v>1290</v>
      </c>
      <c r="F716" s="38">
        <v>0.08</v>
      </c>
      <c r="G716" s="39">
        <f>IF(OR(B716="FIXO",B716="XFIXO"),IF(F716="","ERRO",10*F716)*'BD Campos'!$W$2,IF(F716="","ERRO",10*F716)*'BD Campos'!$W$3)</f>
        <v>0.8</v>
      </c>
      <c r="H716" s="40">
        <v>0.05</v>
      </c>
      <c r="I716" s="41">
        <f t="shared" si="31"/>
        <v>-4.0000000000000008E-2</v>
      </c>
    </row>
    <row r="717" spans="1:9" hidden="1" x14ac:dyDescent="0.35">
      <c r="A717" s="37" t="str">
        <f t="shared" si="32"/>
        <v>IMPEDIMENTOSReceptiva10</v>
      </c>
      <c r="B717" s="37" t="s">
        <v>80</v>
      </c>
      <c r="C717" s="37" t="s">
        <v>98</v>
      </c>
      <c r="D717" s="43">
        <v>10</v>
      </c>
      <c r="E717" s="37" t="s">
        <v>1310</v>
      </c>
      <c r="F717" s="38">
        <v>0.08</v>
      </c>
      <c r="G717" s="39">
        <f>IF(OR(B717="FIXO",B717="XFIXO"),IF(F717="","ERRO",10*F717)*'BD Campos'!$W$2,IF(F717="","ERRO",10*F717)*'BD Campos'!$W$3)</f>
        <v>0.8</v>
      </c>
      <c r="H717" s="40">
        <v>0.05</v>
      </c>
      <c r="I717" s="41">
        <f t="shared" si="31"/>
        <v>-4.0000000000000008E-2</v>
      </c>
    </row>
    <row r="718" spans="1:9" hidden="1" x14ac:dyDescent="0.35">
      <c r="A718" s="37" t="str">
        <f t="shared" si="32"/>
        <v>IMPEDIMENTOSReceptiva11</v>
      </c>
      <c r="B718" s="37" t="s">
        <v>80</v>
      </c>
      <c r="C718" s="37" t="s">
        <v>98</v>
      </c>
      <c r="D718" s="43">
        <v>11</v>
      </c>
      <c r="E718" s="37" t="s">
        <v>1292</v>
      </c>
      <c r="F718" s="38">
        <v>0.08</v>
      </c>
      <c r="G718" s="39">
        <f>IF(OR(B718="FIXO",B718="XFIXO"),IF(F718="","ERRO",10*F718)*'BD Campos'!$W$2,IF(F718="","ERRO",10*F718)*'BD Campos'!$W$3)</f>
        <v>0.8</v>
      </c>
      <c r="H718" s="40">
        <v>0.05</v>
      </c>
      <c r="I718" s="41">
        <f t="shared" si="31"/>
        <v>-4.0000000000000008E-2</v>
      </c>
    </row>
    <row r="719" spans="1:9" hidden="1" x14ac:dyDescent="0.35">
      <c r="A719" s="37" t="str">
        <f t="shared" si="32"/>
        <v>IMPEDIMENTOSReceptiva12</v>
      </c>
      <c r="B719" s="37" t="s">
        <v>80</v>
      </c>
      <c r="C719" s="37" t="s">
        <v>98</v>
      </c>
      <c r="D719" s="43">
        <v>12</v>
      </c>
      <c r="E719" s="37" t="s">
        <v>1311</v>
      </c>
      <c r="F719" s="38">
        <v>0.08</v>
      </c>
      <c r="G719" s="39">
        <f>IF(OR(B719="FIXO",B719="XFIXO"),IF(F719="","ERRO",10*F719)*'BD Campos'!$W$2,IF(F719="","ERRO",10*F719)*'BD Campos'!$W$3)</f>
        <v>0.8</v>
      </c>
      <c r="H719" s="40">
        <v>0.05</v>
      </c>
      <c r="I719" s="41">
        <f t="shared" si="31"/>
        <v>-4.0000000000000008E-2</v>
      </c>
    </row>
    <row r="720" spans="1:9" hidden="1" x14ac:dyDescent="0.35">
      <c r="A720" s="37" t="str">
        <f t="shared" ref="A720:A760" si="33">B720&amp;C720&amp;D720</f>
        <v>DESVIO DE ROTAMotorista 31</v>
      </c>
      <c r="B720" s="37" t="s">
        <v>126</v>
      </c>
      <c r="C720" s="37" t="s">
        <v>1313</v>
      </c>
      <c r="D720" s="37">
        <v>1</v>
      </c>
      <c r="E720" s="37" t="s">
        <v>1212</v>
      </c>
      <c r="F720" s="38">
        <v>0.08</v>
      </c>
      <c r="G720" s="39">
        <f>IF(OR(B720="FIXO",B720="XFIXO"),IF(F720="","ERRO",10*F720)*'BD Campos'!$W$2,IF(F720="","ERRO",10*F720)*'BD Campos'!$W$3)</f>
        <v>0.8</v>
      </c>
      <c r="H720" s="40">
        <v>0.05</v>
      </c>
      <c r="I720" s="41">
        <f t="shared" ref="I720:I760" si="34">H720*G720*-1</f>
        <v>-4.0000000000000008E-2</v>
      </c>
    </row>
    <row r="721" spans="1:9" hidden="1" x14ac:dyDescent="0.35">
      <c r="A721" s="37" t="str">
        <f t="shared" si="33"/>
        <v>DESVIO DE ROTAMotorista 32</v>
      </c>
      <c r="B721" s="37" t="s">
        <v>126</v>
      </c>
      <c r="C721" s="37" t="s">
        <v>1313</v>
      </c>
      <c r="D721" s="37">
        <v>2</v>
      </c>
      <c r="E721" s="37" t="s">
        <v>1213</v>
      </c>
      <c r="F721" s="38">
        <v>0.08</v>
      </c>
      <c r="G721" s="39">
        <f>IF(OR(B721="FIXO",B721="XFIXO"),IF(F721="","ERRO",10*F721)*'BD Campos'!$W$2,IF(F721="","ERRO",10*F721)*'BD Campos'!$W$3)</f>
        <v>0.8</v>
      </c>
      <c r="H721" s="40">
        <v>0.05</v>
      </c>
      <c r="I721" s="41">
        <f t="shared" si="34"/>
        <v>-4.0000000000000008E-2</v>
      </c>
    </row>
    <row r="722" spans="1:9" hidden="1" x14ac:dyDescent="0.35">
      <c r="A722" s="37" t="str">
        <f t="shared" si="33"/>
        <v>DESVIO DE ROTAMotorista 33</v>
      </c>
      <c r="B722" s="37" t="s">
        <v>126</v>
      </c>
      <c r="C722" s="37" t="s">
        <v>1313</v>
      </c>
      <c r="D722" s="37">
        <v>3</v>
      </c>
      <c r="E722" s="37" t="s">
        <v>1214</v>
      </c>
      <c r="F722" s="38">
        <v>0.08</v>
      </c>
      <c r="G722" s="39">
        <f>IF(OR(B722="FIXO",B722="XFIXO"),IF(F722="","ERRO",10*F722)*'BD Campos'!$W$2,IF(F722="","ERRO",10*F722)*'BD Campos'!$W$3)</f>
        <v>0.8</v>
      </c>
      <c r="H722" s="40">
        <v>0.05</v>
      </c>
      <c r="I722" s="41">
        <f t="shared" si="34"/>
        <v>-4.0000000000000008E-2</v>
      </c>
    </row>
    <row r="723" spans="1:9" hidden="1" x14ac:dyDescent="0.35">
      <c r="A723" s="37" t="str">
        <f t="shared" si="33"/>
        <v>DESVIO DE ROTAMotorista 34</v>
      </c>
      <c r="B723" s="37" t="s">
        <v>126</v>
      </c>
      <c r="C723" s="37" t="s">
        <v>1313</v>
      </c>
      <c r="D723" s="37">
        <v>4</v>
      </c>
      <c r="E723" s="37" t="s">
        <v>1215</v>
      </c>
      <c r="F723" s="38">
        <v>0.08</v>
      </c>
      <c r="G723" s="39">
        <f>IF(OR(B723="FIXO",B723="XFIXO"),IF(F723="","ERRO",10*F723)*'BD Campos'!$W$2,IF(F723="","ERRO",10*F723)*'BD Campos'!$W$3)</f>
        <v>0.8</v>
      </c>
      <c r="H723" s="40">
        <v>0.05</v>
      </c>
      <c r="I723" s="41">
        <f t="shared" si="34"/>
        <v>-4.0000000000000008E-2</v>
      </c>
    </row>
    <row r="724" spans="1:9" hidden="1" x14ac:dyDescent="0.35">
      <c r="A724" s="37" t="str">
        <f t="shared" si="33"/>
        <v>DESVIO DE ROTAMotorista 35</v>
      </c>
      <c r="B724" s="37" t="s">
        <v>126</v>
      </c>
      <c r="C724" s="37" t="s">
        <v>1313</v>
      </c>
      <c r="D724" s="37">
        <v>5</v>
      </c>
      <c r="E724" s="37" t="s">
        <v>1216</v>
      </c>
      <c r="F724" s="38">
        <v>0.08</v>
      </c>
      <c r="G724" s="39">
        <f>IF(OR(B724="FIXO",B724="XFIXO"),IF(F724="","ERRO",10*F724)*'BD Campos'!$W$2,IF(F724="","ERRO",10*F724)*'BD Campos'!$W$3)</f>
        <v>0.8</v>
      </c>
      <c r="H724" s="40">
        <v>0.05</v>
      </c>
      <c r="I724" s="41">
        <f t="shared" si="34"/>
        <v>-4.0000000000000008E-2</v>
      </c>
    </row>
    <row r="725" spans="1:9" hidden="1" x14ac:dyDescent="0.35">
      <c r="A725" s="37" t="str">
        <f t="shared" si="33"/>
        <v>DESVIO DE ROTAMotorista 36</v>
      </c>
      <c r="B725" s="37" t="s">
        <v>126</v>
      </c>
      <c r="C725" s="37" t="s">
        <v>1313</v>
      </c>
      <c r="D725" s="37">
        <v>6</v>
      </c>
      <c r="E725" s="37" t="s">
        <v>1217</v>
      </c>
      <c r="F725" s="38">
        <v>0.08</v>
      </c>
      <c r="G725" s="39">
        <f>IF(OR(B725="FIXO",B725="XFIXO"),IF(F725="","ERRO",10*F725)*'BD Campos'!$W$2,IF(F725="","ERRO",10*F725)*'BD Campos'!$W$3)</f>
        <v>0.8</v>
      </c>
      <c r="H725" s="40">
        <v>0.05</v>
      </c>
      <c r="I725" s="41">
        <f t="shared" si="34"/>
        <v>-4.0000000000000008E-2</v>
      </c>
    </row>
    <row r="726" spans="1:9" hidden="1" x14ac:dyDescent="0.35">
      <c r="A726" s="37" t="str">
        <f t="shared" si="33"/>
        <v>DESVIO DE ROTAMotorista 37</v>
      </c>
      <c r="B726" s="37" t="s">
        <v>126</v>
      </c>
      <c r="C726" s="37" t="s">
        <v>1313</v>
      </c>
      <c r="D726" s="37">
        <v>7</v>
      </c>
      <c r="E726" s="37" t="s">
        <v>1218</v>
      </c>
      <c r="F726" s="38">
        <v>0.08</v>
      </c>
      <c r="G726" s="39">
        <f>IF(OR(B726="FIXO",B726="XFIXO"),IF(F726="","ERRO",10*F726)*'BD Campos'!$W$2,IF(F726="","ERRO",10*F726)*'BD Campos'!$W$3)</f>
        <v>0.8</v>
      </c>
      <c r="H726" s="40">
        <v>0.05</v>
      </c>
      <c r="I726" s="41">
        <f t="shared" si="34"/>
        <v>-4.0000000000000008E-2</v>
      </c>
    </row>
    <row r="727" spans="1:9" hidden="1" x14ac:dyDescent="0.35">
      <c r="A727" s="37" t="str">
        <f t="shared" si="33"/>
        <v>DESVIO DE ROTAMotorista 38</v>
      </c>
      <c r="B727" s="37" t="s">
        <v>126</v>
      </c>
      <c r="C727" s="37" t="s">
        <v>1313</v>
      </c>
      <c r="D727" s="37">
        <v>8</v>
      </c>
      <c r="E727" s="37" t="s">
        <v>1219</v>
      </c>
      <c r="F727" s="38">
        <v>0.08</v>
      </c>
      <c r="G727" s="39">
        <f>IF(OR(B727="FIXO",B727="XFIXO"),IF(F727="","ERRO",10*F727)*'BD Campos'!$W$2,IF(F727="","ERRO",10*F727)*'BD Campos'!$W$3)</f>
        <v>0.8</v>
      </c>
      <c r="H727" s="40">
        <v>0.05</v>
      </c>
      <c r="I727" s="41">
        <f t="shared" si="34"/>
        <v>-4.0000000000000008E-2</v>
      </c>
    </row>
    <row r="728" spans="1:9" hidden="1" x14ac:dyDescent="0.35">
      <c r="A728" s="37" t="str">
        <f t="shared" si="33"/>
        <v>DESVIO DE ROTAMotorista 39</v>
      </c>
      <c r="B728" s="37" t="s">
        <v>126</v>
      </c>
      <c r="C728" s="37" t="s">
        <v>1313</v>
      </c>
      <c r="D728" s="37">
        <v>9</v>
      </c>
      <c r="E728" s="37" t="s">
        <v>1220</v>
      </c>
      <c r="F728" s="38">
        <v>0.08</v>
      </c>
      <c r="G728" s="39">
        <f>IF(OR(B728="FIXO",B728="XFIXO"),IF(F728="","ERRO",10*F728)*'BD Campos'!$W$2,IF(F728="","ERRO",10*F728)*'BD Campos'!$W$3)</f>
        <v>0.8</v>
      </c>
      <c r="H728" s="40">
        <v>0.05</v>
      </c>
      <c r="I728" s="41">
        <f t="shared" si="34"/>
        <v>-4.0000000000000008E-2</v>
      </c>
    </row>
    <row r="729" spans="1:9" hidden="1" x14ac:dyDescent="0.35">
      <c r="A729" s="37" t="str">
        <f t="shared" si="33"/>
        <v>DESVIO DE ROTAMotorista 310</v>
      </c>
      <c r="B729" s="37" t="s">
        <v>126</v>
      </c>
      <c r="C729" s="37" t="s">
        <v>1313</v>
      </c>
      <c r="D729" s="37">
        <v>10</v>
      </c>
      <c r="E729" s="37" t="s">
        <v>1221</v>
      </c>
      <c r="F729" s="38">
        <v>0.08</v>
      </c>
      <c r="G729" s="39">
        <f>IF(OR(B729="FIXO",B729="XFIXO"),IF(F729="","ERRO",10*F729)*'BD Campos'!$W$2,IF(F729="","ERRO",10*F729)*'BD Campos'!$W$3)</f>
        <v>0.8</v>
      </c>
      <c r="H729" s="40">
        <v>0.05</v>
      </c>
      <c r="I729" s="41">
        <f t="shared" si="34"/>
        <v>-4.0000000000000008E-2</v>
      </c>
    </row>
    <row r="730" spans="1:9" hidden="1" x14ac:dyDescent="0.35">
      <c r="A730" s="37" t="str">
        <f t="shared" si="33"/>
        <v>DESVIO DE ROTAMotorista 311</v>
      </c>
      <c r="B730" s="37" t="s">
        <v>126</v>
      </c>
      <c r="C730" s="37" t="s">
        <v>1313</v>
      </c>
      <c r="D730" s="37">
        <v>11</v>
      </c>
      <c r="E730" s="37" t="s">
        <v>1222</v>
      </c>
      <c r="F730" s="38">
        <v>0.1</v>
      </c>
      <c r="G730" s="39">
        <f>IF(OR(B730="FIXO",B730="XFIXO"),IF(F730="","ERRO",10*F730)*'BD Campos'!$W$2,IF(F730="","ERRO",10*F730)*'BD Campos'!$W$3)</f>
        <v>1</v>
      </c>
      <c r="H730" s="40">
        <v>0.05</v>
      </c>
      <c r="I730" s="41">
        <f t="shared" si="34"/>
        <v>-0.05</v>
      </c>
    </row>
    <row r="731" spans="1:9" hidden="1" x14ac:dyDescent="0.35">
      <c r="A731" s="42" t="str">
        <f t="shared" si="33"/>
        <v>DESVIO DE ROTAMotorista 312</v>
      </c>
      <c r="B731" s="37" t="s">
        <v>126</v>
      </c>
      <c r="C731" s="37" t="s">
        <v>1313</v>
      </c>
      <c r="D731" s="37">
        <v>12</v>
      </c>
      <c r="E731" s="37" t="s">
        <v>1223</v>
      </c>
      <c r="F731" s="38">
        <v>0.1</v>
      </c>
      <c r="G731" s="39">
        <f>IF(OR(B731="FIXO",B731="XFIXO"),IF(F731="","ERRO",10*F731)*'BD Campos'!$W$2,IF(F731="","ERRO",10*F731)*'BD Campos'!$W$3)</f>
        <v>1</v>
      </c>
      <c r="H731" s="40">
        <v>0.05</v>
      </c>
      <c r="I731" s="41">
        <f t="shared" si="34"/>
        <v>-0.05</v>
      </c>
    </row>
    <row r="732" spans="1:9" hidden="1" x14ac:dyDescent="0.35">
      <c r="A732" s="43" t="str">
        <f t="shared" si="33"/>
        <v>PARADA INDEVIDAMotorista 31</v>
      </c>
      <c r="B732" s="43" t="s">
        <v>121</v>
      </c>
      <c r="C732" s="37" t="s">
        <v>1313</v>
      </c>
      <c r="D732" s="37">
        <v>1</v>
      </c>
      <c r="E732" s="37" t="s">
        <v>1212</v>
      </c>
      <c r="F732" s="38">
        <v>0.09</v>
      </c>
      <c r="G732" s="39">
        <f>IF(OR(B732="FIXO",B732="XFIXO"),IF(F732="","ERRO",10*F732)*'BD Campos'!$W$2,IF(F732="","ERRO",10*F732)*'BD Campos'!$W$3)</f>
        <v>0.89999999999999991</v>
      </c>
      <c r="H732" s="40">
        <v>0.05</v>
      </c>
      <c r="I732" s="41">
        <f t="shared" si="34"/>
        <v>-4.4999999999999998E-2</v>
      </c>
    </row>
    <row r="733" spans="1:9" hidden="1" x14ac:dyDescent="0.35">
      <c r="A733" s="43" t="str">
        <f t="shared" si="33"/>
        <v>PARADA INDEVIDAMotorista 32</v>
      </c>
      <c r="B733" s="43" t="s">
        <v>121</v>
      </c>
      <c r="C733" s="37" t="s">
        <v>1313</v>
      </c>
      <c r="D733" s="37">
        <v>2</v>
      </c>
      <c r="E733" s="37" t="s">
        <v>1213</v>
      </c>
      <c r="F733" s="38">
        <v>0.09</v>
      </c>
      <c r="G733" s="39">
        <f>IF(OR(B733="FIXO",B733="XFIXO"),IF(F733="","ERRO",10*F733)*'BD Campos'!$W$2,IF(F733="","ERRO",10*F733)*'BD Campos'!$W$3)</f>
        <v>0.89999999999999991</v>
      </c>
      <c r="H733" s="40">
        <v>0.05</v>
      </c>
      <c r="I733" s="41">
        <f t="shared" si="34"/>
        <v>-4.4999999999999998E-2</v>
      </c>
    </row>
    <row r="734" spans="1:9" hidden="1" x14ac:dyDescent="0.35">
      <c r="A734" s="43" t="str">
        <f t="shared" si="33"/>
        <v>PARADA INDEVIDAMotorista 33</v>
      </c>
      <c r="B734" s="43" t="s">
        <v>121</v>
      </c>
      <c r="C734" s="37" t="s">
        <v>1313</v>
      </c>
      <c r="D734" s="37">
        <v>3</v>
      </c>
      <c r="E734" s="37" t="s">
        <v>1214</v>
      </c>
      <c r="F734" s="38">
        <v>0.09</v>
      </c>
      <c r="G734" s="39">
        <f>IF(OR(B734="FIXO",B734="XFIXO"),IF(F734="","ERRO",10*F734)*'BD Campos'!$W$2,IF(F734="","ERRO",10*F734)*'BD Campos'!$W$3)</f>
        <v>0.89999999999999991</v>
      </c>
      <c r="H734" s="40">
        <v>0.05</v>
      </c>
      <c r="I734" s="41">
        <f t="shared" si="34"/>
        <v>-4.4999999999999998E-2</v>
      </c>
    </row>
    <row r="735" spans="1:9" hidden="1" x14ac:dyDescent="0.35">
      <c r="A735" s="43" t="str">
        <f t="shared" si="33"/>
        <v>PARADA INDEVIDAMotorista 34</v>
      </c>
      <c r="B735" s="43" t="s">
        <v>121</v>
      </c>
      <c r="C735" s="37" t="s">
        <v>1313</v>
      </c>
      <c r="D735" s="37">
        <v>4</v>
      </c>
      <c r="E735" s="37" t="s">
        <v>1215</v>
      </c>
      <c r="F735" s="38">
        <v>0.09</v>
      </c>
      <c r="G735" s="39">
        <f>IF(OR(B735="FIXO",B735="XFIXO"),IF(F735="","ERRO",10*F735)*'BD Campos'!$W$2,IF(F735="","ERRO",10*F735)*'BD Campos'!$W$3)</f>
        <v>0.89999999999999991</v>
      </c>
      <c r="H735" s="40">
        <v>0.05</v>
      </c>
      <c r="I735" s="41">
        <f t="shared" si="34"/>
        <v>-4.4999999999999998E-2</v>
      </c>
    </row>
    <row r="736" spans="1:9" hidden="1" x14ac:dyDescent="0.35">
      <c r="A736" s="43" t="str">
        <f t="shared" si="33"/>
        <v>PARADA INDEVIDAMotorista 35</v>
      </c>
      <c r="B736" s="43" t="s">
        <v>121</v>
      </c>
      <c r="C736" s="37" t="s">
        <v>1313</v>
      </c>
      <c r="D736" s="37">
        <v>5</v>
      </c>
      <c r="E736" s="37" t="s">
        <v>1216</v>
      </c>
      <c r="F736" s="38">
        <v>0.09</v>
      </c>
      <c r="G736" s="39">
        <f>IF(OR(B736="FIXO",B736="XFIXO"),IF(F736="","ERRO",10*F736)*'BD Campos'!$W$2,IF(F736="","ERRO",10*F736)*'BD Campos'!$W$3)</f>
        <v>0.89999999999999991</v>
      </c>
      <c r="H736" s="40">
        <v>0.05</v>
      </c>
      <c r="I736" s="41">
        <f t="shared" si="34"/>
        <v>-4.4999999999999998E-2</v>
      </c>
    </row>
    <row r="737" spans="1:9" hidden="1" x14ac:dyDescent="0.35">
      <c r="A737" s="43" t="str">
        <f t="shared" si="33"/>
        <v>PARADA INDEVIDAMotorista 36</v>
      </c>
      <c r="B737" s="43" t="s">
        <v>121</v>
      </c>
      <c r="C737" s="37" t="s">
        <v>1313</v>
      </c>
      <c r="D737" s="37">
        <v>6</v>
      </c>
      <c r="E737" s="37" t="s">
        <v>1217</v>
      </c>
      <c r="F737" s="38">
        <v>0.09</v>
      </c>
      <c r="G737" s="39">
        <f>IF(OR(B737="FIXO",B737="XFIXO"),IF(F737="","ERRO",10*F737)*'BD Campos'!$W$2,IF(F737="","ERRO",10*F737)*'BD Campos'!$W$3)</f>
        <v>0.89999999999999991</v>
      </c>
      <c r="H737" s="40">
        <v>0.05</v>
      </c>
      <c r="I737" s="41">
        <f t="shared" si="34"/>
        <v>-4.4999999999999998E-2</v>
      </c>
    </row>
    <row r="738" spans="1:9" hidden="1" x14ac:dyDescent="0.35">
      <c r="A738" s="43" t="str">
        <f t="shared" si="33"/>
        <v>PARADA INDEVIDAMotorista 37</v>
      </c>
      <c r="B738" s="43" t="s">
        <v>121</v>
      </c>
      <c r="C738" s="37" t="s">
        <v>1313</v>
      </c>
      <c r="D738" s="37">
        <v>7</v>
      </c>
      <c r="E738" s="43" t="s">
        <v>1218</v>
      </c>
      <c r="F738" s="38">
        <v>0.09</v>
      </c>
      <c r="G738" s="39">
        <f>IF(OR(B738="FIXO",B738="XFIXO"),IF(F738="","ERRO",10*F738)*'BD Campos'!$W$2,IF(F738="","ERRO",10*F738)*'BD Campos'!$W$3)</f>
        <v>0.89999999999999991</v>
      </c>
      <c r="H738" s="40">
        <v>0.05</v>
      </c>
      <c r="I738" s="41">
        <f t="shared" si="34"/>
        <v>-4.4999999999999998E-2</v>
      </c>
    </row>
    <row r="739" spans="1:9" hidden="1" x14ac:dyDescent="0.35">
      <c r="A739" s="43" t="str">
        <f t="shared" si="33"/>
        <v>PARADA INDEVIDAMotorista 38</v>
      </c>
      <c r="B739" s="43" t="s">
        <v>121</v>
      </c>
      <c r="C739" s="37" t="s">
        <v>1313</v>
      </c>
      <c r="D739" s="37">
        <v>8</v>
      </c>
      <c r="E739" s="43" t="s">
        <v>1224</v>
      </c>
      <c r="F739" s="38">
        <v>9.2499999999999999E-2</v>
      </c>
      <c r="G739" s="39">
        <f>IF(OR(B739="FIXO",B739="XFIXO"),IF(F739="","ERRO",10*F739)*'BD Campos'!$W$2,IF(F739="","ERRO",10*F739)*'BD Campos'!$W$3)</f>
        <v>0.92500000000000004</v>
      </c>
      <c r="H739" s="40">
        <v>0.05</v>
      </c>
      <c r="I739" s="41">
        <f t="shared" si="34"/>
        <v>-4.6250000000000006E-2</v>
      </c>
    </row>
    <row r="740" spans="1:9" hidden="1" x14ac:dyDescent="0.35">
      <c r="A740" s="43" t="str">
        <f t="shared" si="33"/>
        <v>PARADA INDEVIDAMotorista 39</v>
      </c>
      <c r="B740" s="43" t="s">
        <v>121</v>
      </c>
      <c r="C740" s="37" t="s">
        <v>1313</v>
      </c>
      <c r="D740" s="37">
        <v>9</v>
      </c>
      <c r="E740" s="37" t="s">
        <v>1220</v>
      </c>
      <c r="F740" s="38">
        <v>9.2499999999999999E-2</v>
      </c>
      <c r="G740" s="39">
        <f>IF(OR(B740="FIXO",B740="XFIXO"),IF(F740="","ERRO",10*F740)*'BD Campos'!$W$2,IF(F740="","ERRO",10*F740)*'BD Campos'!$W$3)</f>
        <v>0.92500000000000004</v>
      </c>
      <c r="H740" s="40">
        <v>0.05</v>
      </c>
      <c r="I740" s="41">
        <f t="shared" si="34"/>
        <v>-4.6250000000000006E-2</v>
      </c>
    </row>
    <row r="741" spans="1:9" hidden="1" x14ac:dyDescent="0.35">
      <c r="A741" s="43" t="str">
        <f t="shared" si="33"/>
        <v>PARADA INDEVIDAMotorista 310</v>
      </c>
      <c r="B741" s="43" t="s">
        <v>121</v>
      </c>
      <c r="C741" s="37" t="s">
        <v>1313</v>
      </c>
      <c r="D741" s="37">
        <v>10</v>
      </c>
      <c r="E741" s="43" t="s">
        <v>1225</v>
      </c>
      <c r="F741" s="38">
        <v>0.09</v>
      </c>
      <c r="G741" s="39">
        <f>IF(OR(B741="FIXO",B741="XFIXO"),IF(F741="","ERRO",10*F741)*'BD Campos'!$W$2,IF(F741="","ERRO",10*F741)*'BD Campos'!$W$3)</f>
        <v>0.89999999999999991</v>
      </c>
      <c r="H741" s="40">
        <v>0.05</v>
      </c>
      <c r="I741" s="41">
        <f t="shared" si="34"/>
        <v>-4.4999999999999998E-2</v>
      </c>
    </row>
    <row r="742" spans="1:9" hidden="1" x14ac:dyDescent="0.35">
      <c r="A742" s="44" t="str">
        <f t="shared" si="33"/>
        <v>PARADA INDEVIDAMotorista 311</v>
      </c>
      <c r="B742" s="43" t="s">
        <v>121</v>
      </c>
      <c r="C742" s="37" t="s">
        <v>1313</v>
      </c>
      <c r="D742" s="37">
        <v>11</v>
      </c>
      <c r="E742" s="43" t="s">
        <v>1223</v>
      </c>
      <c r="F742" s="38">
        <v>9.5000000000000001E-2</v>
      </c>
      <c r="G742" s="39">
        <f>IF(OR(B742="FIXO",B742="XFIXO"),IF(F742="","ERRO",10*F742)*'BD Campos'!$W$2,IF(F742="","ERRO",10*F742)*'BD Campos'!$W$3)</f>
        <v>0.95</v>
      </c>
      <c r="H742" s="40">
        <v>0.05</v>
      </c>
      <c r="I742" s="41">
        <f t="shared" si="34"/>
        <v>-4.7500000000000001E-2</v>
      </c>
    </row>
    <row r="743" spans="1:9" hidden="1" x14ac:dyDescent="0.35">
      <c r="A743" s="37" t="str">
        <f t="shared" si="33"/>
        <v>POSIÇÃO EM ATRASOMotorista 31</v>
      </c>
      <c r="B743" s="37" t="s">
        <v>123</v>
      </c>
      <c r="C743" s="37" t="s">
        <v>1313</v>
      </c>
      <c r="D743" s="37">
        <v>1</v>
      </c>
      <c r="E743" s="37" t="s">
        <v>1212</v>
      </c>
      <c r="F743" s="38">
        <v>0.1</v>
      </c>
      <c r="G743" s="39">
        <f>IF(OR(B743="FIXO",B743="XFIXO"),IF(F743="","ERRO",10*F743)*'BD Campos'!$W$2,IF(F743="","ERRO",10*F743)*'BD Campos'!$W$3)</f>
        <v>1</v>
      </c>
      <c r="H743" s="40">
        <v>0.05</v>
      </c>
      <c r="I743" s="41">
        <f t="shared" si="34"/>
        <v>-0.05</v>
      </c>
    </row>
    <row r="744" spans="1:9" hidden="1" x14ac:dyDescent="0.35">
      <c r="A744" s="37" t="str">
        <f t="shared" si="33"/>
        <v>POSIÇÃO EM ATRASOMotorista 32</v>
      </c>
      <c r="B744" s="37" t="s">
        <v>123</v>
      </c>
      <c r="C744" s="37" t="s">
        <v>1313</v>
      </c>
      <c r="D744" s="37">
        <v>2</v>
      </c>
      <c r="E744" s="37" t="s">
        <v>1213</v>
      </c>
      <c r="F744" s="38">
        <v>0.1</v>
      </c>
      <c r="G744" s="39">
        <f>IF(OR(B744="FIXO",B744="XFIXO"),IF(F744="","ERRO",10*F744)*'BD Campos'!$W$2,IF(F744="","ERRO",10*F744)*'BD Campos'!$W$3)</f>
        <v>1</v>
      </c>
      <c r="H744" s="40">
        <v>0.05</v>
      </c>
      <c r="I744" s="41">
        <f t="shared" si="34"/>
        <v>-0.05</v>
      </c>
    </row>
    <row r="745" spans="1:9" hidden="1" x14ac:dyDescent="0.35">
      <c r="A745" s="37" t="str">
        <f t="shared" si="33"/>
        <v>POSIÇÃO EM ATRASOMotorista 33</v>
      </c>
      <c r="B745" s="37" t="s">
        <v>123</v>
      </c>
      <c r="C745" s="37" t="s">
        <v>1313</v>
      </c>
      <c r="D745" s="37">
        <v>3</v>
      </c>
      <c r="E745" s="37" t="s">
        <v>1214</v>
      </c>
      <c r="F745" s="38">
        <v>0.1</v>
      </c>
      <c r="G745" s="39">
        <f>IF(OR(B745="FIXO",B745="XFIXO"),IF(F745="","ERRO",10*F745)*'BD Campos'!$W$2,IF(F745="","ERRO",10*F745)*'BD Campos'!$W$3)</f>
        <v>1</v>
      </c>
      <c r="H745" s="40">
        <v>0.05</v>
      </c>
      <c r="I745" s="41">
        <f t="shared" si="34"/>
        <v>-0.05</v>
      </c>
    </row>
    <row r="746" spans="1:9" hidden="1" x14ac:dyDescent="0.35">
      <c r="A746" s="37" t="str">
        <f t="shared" si="33"/>
        <v>POSIÇÃO EM ATRASOMotorista 34</v>
      </c>
      <c r="B746" s="37" t="s">
        <v>123</v>
      </c>
      <c r="C746" s="37" t="s">
        <v>1313</v>
      </c>
      <c r="D746" s="37">
        <v>4</v>
      </c>
      <c r="E746" s="37" t="s">
        <v>1215</v>
      </c>
      <c r="F746" s="38">
        <v>0.1</v>
      </c>
      <c r="G746" s="39">
        <f>IF(OR(B746="FIXO",B746="XFIXO"),IF(F746="","ERRO",10*F746)*'BD Campos'!$W$2,IF(F746="","ERRO",10*F746)*'BD Campos'!$W$3)</f>
        <v>1</v>
      </c>
      <c r="H746" s="40">
        <v>0.05</v>
      </c>
      <c r="I746" s="41">
        <f t="shared" si="34"/>
        <v>-0.05</v>
      </c>
    </row>
    <row r="747" spans="1:9" hidden="1" x14ac:dyDescent="0.35">
      <c r="A747" s="37" t="str">
        <f t="shared" si="33"/>
        <v>POSIÇÃO EM ATRASOMotorista 35</v>
      </c>
      <c r="B747" s="37" t="s">
        <v>123</v>
      </c>
      <c r="C747" s="37" t="s">
        <v>1313</v>
      </c>
      <c r="D747" s="37">
        <v>5</v>
      </c>
      <c r="E747" s="37" t="s">
        <v>1216</v>
      </c>
      <c r="F747" s="38">
        <v>0.1</v>
      </c>
      <c r="G747" s="39">
        <f>IF(OR(B747="FIXO",B747="XFIXO"),IF(F747="","ERRO",10*F747)*'BD Campos'!$W$2,IF(F747="","ERRO",10*F747)*'BD Campos'!$W$3)</f>
        <v>1</v>
      </c>
      <c r="H747" s="40">
        <v>0.05</v>
      </c>
      <c r="I747" s="41">
        <f t="shared" si="34"/>
        <v>-0.05</v>
      </c>
    </row>
    <row r="748" spans="1:9" hidden="1" x14ac:dyDescent="0.35">
      <c r="A748" s="37" t="str">
        <f t="shared" si="33"/>
        <v>POSIÇÃO EM ATRASOMotorista 36</v>
      </c>
      <c r="B748" s="37" t="s">
        <v>123</v>
      </c>
      <c r="C748" s="37" t="s">
        <v>1313</v>
      </c>
      <c r="D748" s="37">
        <v>6</v>
      </c>
      <c r="E748" s="37" t="s">
        <v>1217</v>
      </c>
      <c r="F748" s="38">
        <v>0.1</v>
      </c>
      <c r="G748" s="39">
        <f>IF(OR(B748="FIXO",B748="XFIXO"),IF(F748="","ERRO",10*F748)*'BD Campos'!$W$2,IF(F748="","ERRO",10*F748)*'BD Campos'!$W$3)</f>
        <v>1</v>
      </c>
      <c r="H748" s="40">
        <v>0.05</v>
      </c>
      <c r="I748" s="41">
        <f t="shared" si="34"/>
        <v>-0.05</v>
      </c>
    </row>
    <row r="749" spans="1:9" hidden="1" x14ac:dyDescent="0.35">
      <c r="A749" s="37" t="str">
        <f t="shared" si="33"/>
        <v>POSIÇÃO EM ATRASOMotorista 37</v>
      </c>
      <c r="B749" s="37" t="s">
        <v>123</v>
      </c>
      <c r="C749" s="37" t="s">
        <v>1313</v>
      </c>
      <c r="D749" s="37">
        <v>7</v>
      </c>
      <c r="E749" s="37" t="s">
        <v>1218</v>
      </c>
      <c r="F749" s="38">
        <v>0.1</v>
      </c>
      <c r="G749" s="39">
        <f>IF(OR(B749="FIXO",B749="XFIXO"),IF(F749="","ERRO",10*F749)*'BD Campos'!$W$2,IF(F749="","ERRO",10*F749)*'BD Campos'!$W$3)</f>
        <v>1</v>
      </c>
      <c r="H749" s="40">
        <v>0.05</v>
      </c>
      <c r="I749" s="41">
        <f t="shared" si="34"/>
        <v>-0.05</v>
      </c>
    </row>
    <row r="750" spans="1:9" hidden="1" x14ac:dyDescent="0.35">
      <c r="A750" s="37" t="str">
        <f t="shared" si="33"/>
        <v>POSIÇÃO EM ATRASOMotorista 38</v>
      </c>
      <c r="B750" s="37" t="s">
        <v>123</v>
      </c>
      <c r="C750" s="37" t="s">
        <v>1313</v>
      </c>
      <c r="D750" s="37">
        <v>8</v>
      </c>
      <c r="E750" s="37" t="s">
        <v>1226</v>
      </c>
      <c r="F750" s="38">
        <v>0.1</v>
      </c>
      <c r="G750" s="39">
        <f>IF(OR(B750="FIXO",B750="XFIXO"),IF(F750="","ERRO",10*F750)*'BD Campos'!$W$2,IF(F750="","ERRO",10*F750)*'BD Campos'!$W$3)</f>
        <v>1</v>
      </c>
      <c r="H750" s="40">
        <v>0.05</v>
      </c>
      <c r="I750" s="41">
        <f t="shared" si="34"/>
        <v>-0.05</v>
      </c>
    </row>
    <row r="751" spans="1:9" hidden="1" x14ac:dyDescent="0.35">
      <c r="A751" s="37" t="str">
        <f t="shared" si="33"/>
        <v>POSIÇÃO EM ATRASOMotorista 39</v>
      </c>
      <c r="B751" s="37" t="s">
        <v>123</v>
      </c>
      <c r="C751" s="37" t="s">
        <v>1313</v>
      </c>
      <c r="D751" s="37">
        <v>9</v>
      </c>
      <c r="E751" s="37" t="s">
        <v>1227</v>
      </c>
      <c r="F751" s="38">
        <v>0.1</v>
      </c>
      <c r="G751" s="39">
        <f>IF(OR(B751="FIXO",B751="XFIXO"),IF(F751="","ERRO",10*F751)*'BD Campos'!$W$2,IF(F751="","ERRO",10*F751)*'BD Campos'!$W$3)</f>
        <v>1</v>
      </c>
      <c r="H751" s="40">
        <v>0.05</v>
      </c>
      <c r="I751" s="41">
        <f t="shared" si="34"/>
        <v>-0.05</v>
      </c>
    </row>
    <row r="752" spans="1:9" hidden="1" x14ac:dyDescent="0.35">
      <c r="A752" s="42" t="str">
        <f t="shared" si="33"/>
        <v>POSIÇÃO EM ATRASOMotorista 310</v>
      </c>
      <c r="B752" s="37" t="s">
        <v>123</v>
      </c>
      <c r="C752" s="37" t="s">
        <v>1313</v>
      </c>
      <c r="D752" s="37">
        <v>10</v>
      </c>
      <c r="E752" s="37" t="s">
        <v>1228</v>
      </c>
      <c r="F752" s="38">
        <v>0.1</v>
      </c>
      <c r="G752" s="39">
        <f>IF(OR(B752="FIXO",B752="XFIXO"),IF(F752="","ERRO",10*F752)*'BD Campos'!$W$2,IF(F752="","ERRO",10*F752)*'BD Campos'!$W$3)</f>
        <v>1</v>
      </c>
      <c r="H752" s="40">
        <v>0.05</v>
      </c>
      <c r="I752" s="41">
        <f t="shared" si="34"/>
        <v>-0.05</v>
      </c>
    </row>
    <row r="753" spans="1:9" hidden="1" x14ac:dyDescent="0.35">
      <c r="A753" s="37" t="str">
        <f t="shared" si="33"/>
        <v>ALERTAS PRIORITÁRIOSMotorista 31</v>
      </c>
      <c r="B753" s="37" t="s">
        <v>147</v>
      </c>
      <c r="C753" s="37" t="s">
        <v>1313</v>
      </c>
      <c r="D753" s="37">
        <v>1</v>
      </c>
      <c r="E753" s="37" t="s">
        <v>1212</v>
      </c>
      <c r="F753" s="38">
        <v>0.11</v>
      </c>
      <c r="G753" s="39">
        <f>IF(OR(B753="FIXO",B753="XFIXO"),IF(F753="","ERRO",10*F753)*'BD Campos'!$W$2,IF(F753="","ERRO",10*F753)*'BD Campos'!$W$3)</f>
        <v>1.1000000000000001</v>
      </c>
      <c r="H753" s="40">
        <v>0.05</v>
      </c>
      <c r="I753" s="41">
        <f t="shared" si="34"/>
        <v>-5.5000000000000007E-2</v>
      </c>
    </row>
    <row r="754" spans="1:9" hidden="1" x14ac:dyDescent="0.35">
      <c r="A754" s="37" t="str">
        <f t="shared" si="33"/>
        <v>ALERTAS PRIORITÁRIOSMotorista 32</v>
      </c>
      <c r="B754" s="37" t="s">
        <v>147</v>
      </c>
      <c r="C754" s="37" t="s">
        <v>1313</v>
      </c>
      <c r="D754" s="37">
        <v>2</v>
      </c>
      <c r="E754" s="37" t="s">
        <v>1213</v>
      </c>
      <c r="F754" s="38">
        <v>0.11</v>
      </c>
      <c r="G754" s="39">
        <f>IF(OR(B754="FIXO",B754="XFIXO"),IF(F754="","ERRO",10*F754)*'BD Campos'!$W$2,IF(F754="","ERRO",10*F754)*'BD Campos'!$W$3)</f>
        <v>1.1000000000000001</v>
      </c>
      <c r="H754" s="40">
        <v>0.05</v>
      </c>
      <c r="I754" s="41">
        <f t="shared" si="34"/>
        <v>-5.5000000000000007E-2</v>
      </c>
    </row>
    <row r="755" spans="1:9" hidden="1" x14ac:dyDescent="0.35">
      <c r="A755" s="37" t="str">
        <f t="shared" si="33"/>
        <v>ALERTAS PRIORITÁRIOSMotorista 33</v>
      </c>
      <c r="B755" s="37" t="s">
        <v>147</v>
      </c>
      <c r="C755" s="37" t="s">
        <v>1313</v>
      </c>
      <c r="D755" s="37">
        <v>3</v>
      </c>
      <c r="E755" s="37" t="s">
        <v>1214</v>
      </c>
      <c r="F755" s="38">
        <v>0.11</v>
      </c>
      <c r="G755" s="39">
        <f>IF(OR(B755="FIXO",B755="XFIXO"),IF(F755="","ERRO",10*F755)*'BD Campos'!$W$2,IF(F755="","ERRO",10*F755)*'BD Campos'!$W$3)</f>
        <v>1.1000000000000001</v>
      </c>
      <c r="H755" s="40">
        <v>0.05</v>
      </c>
      <c r="I755" s="41">
        <f t="shared" si="34"/>
        <v>-5.5000000000000007E-2</v>
      </c>
    </row>
    <row r="756" spans="1:9" hidden="1" x14ac:dyDescent="0.35">
      <c r="A756" s="37" t="str">
        <f t="shared" si="33"/>
        <v>ALERTAS PRIORITÁRIOSMotorista 34</v>
      </c>
      <c r="B756" s="37" t="s">
        <v>147</v>
      </c>
      <c r="C756" s="37" t="s">
        <v>1313</v>
      </c>
      <c r="D756" s="37">
        <v>4</v>
      </c>
      <c r="E756" s="37" t="s">
        <v>1215</v>
      </c>
      <c r="F756" s="38">
        <v>0.11</v>
      </c>
      <c r="G756" s="39">
        <f>IF(OR(B756="FIXO",B756="XFIXO"),IF(F756="","ERRO",10*F756)*'BD Campos'!$W$2,IF(F756="","ERRO",10*F756)*'BD Campos'!$W$3)</f>
        <v>1.1000000000000001</v>
      </c>
      <c r="H756" s="40">
        <v>0.05</v>
      </c>
      <c r="I756" s="41">
        <f t="shared" si="34"/>
        <v>-5.5000000000000007E-2</v>
      </c>
    </row>
    <row r="757" spans="1:9" hidden="1" x14ac:dyDescent="0.35">
      <c r="A757" s="37" t="str">
        <f t="shared" si="33"/>
        <v>ALERTAS PRIORITÁRIOSMotorista 35</v>
      </c>
      <c r="B757" s="37" t="s">
        <v>147</v>
      </c>
      <c r="C757" s="37" t="s">
        <v>1313</v>
      </c>
      <c r="D757" s="37">
        <v>5</v>
      </c>
      <c r="E757" s="37" t="s">
        <v>1216</v>
      </c>
      <c r="F757" s="38">
        <v>0.11</v>
      </c>
      <c r="G757" s="39">
        <f>IF(OR(B757="FIXO",B757="XFIXO"),IF(F757="","ERRO",10*F757)*'BD Campos'!$W$2,IF(F757="","ERRO",10*F757)*'BD Campos'!$W$3)</f>
        <v>1.1000000000000001</v>
      </c>
      <c r="H757" s="40">
        <v>0.05</v>
      </c>
      <c r="I757" s="41">
        <f t="shared" si="34"/>
        <v>-5.5000000000000007E-2</v>
      </c>
    </row>
    <row r="758" spans="1:9" hidden="1" x14ac:dyDescent="0.35">
      <c r="A758" s="37" t="str">
        <f t="shared" si="33"/>
        <v>ALERTAS PRIORITÁRIOSMotorista 36</v>
      </c>
      <c r="B758" s="37" t="s">
        <v>147</v>
      </c>
      <c r="C758" s="37" t="s">
        <v>1313</v>
      </c>
      <c r="D758" s="37">
        <v>6</v>
      </c>
      <c r="E758" s="37" t="s">
        <v>1217</v>
      </c>
      <c r="F758" s="38">
        <v>0.16</v>
      </c>
      <c r="G758" s="39">
        <f>IF(OR(B758="FIXO",B758="XFIXO"),IF(F758="","ERRO",10*F758)*'BD Campos'!$W$2,IF(F758="","ERRO",10*F758)*'BD Campos'!$W$3)</f>
        <v>1.6</v>
      </c>
      <c r="H758" s="40">
        <v>0.05</v>
      </c>
      <c r="I758" s="41">
        <f t="shared" si="34"/>
        <v>-8.0000000000000016E-2</v>
      </c>
    </row>
    <row r="759" spans="1:9" hidden="1" x14ac:dyDescent="0.35">
      <c r="A759" s="37" t="str">
        <f t="shared" si="33"/>
        <v>ALERTAS PRIORITÁRIOSMotorista 37</v>
      </c>
      <c r="B759" s="37" t="s">
        <v>147</v>
      </c>
      <c r="C759" s="37" t="s">
        <v>1313</v>
      </c>
      <c r="D759" s="37">
        <v>7</v>
      </c>
      <c r="E759" s="37" t="s">
        <v>1218</v>
      </c>
      <c r="F759" s="38">
        <v>0.12</v>
      </c>
      <c r="G759" s="39">
        <f>IF(OR(B759="FIXO",B759="XFIXO"),IF(F759="","ERRO",10*F759)*'BD Campos'!$W$2,IF(F759="","ERRO",10*F759)*'BD Campos'!$W$3)</f>
        <v>1.2</v>
      </c>
      <c r="H759" s="40">
        <v>0.05</v>
      </c>
      <c r="I759" s="41">
        <f t="shared" si="34"/>
        <v>-0.06</v>
      </c>
    </row>
    <row r="760" spans="1:9" hidden="1" x14ac:dyDescent="0.35">
      <c r="A760" s="37" t="str">
        <f t="shared" si="33"/>
        <v>ALERTAS PRIORITÁRIOSMotorista 38</v>
      </c>
      <c r="B760" s="37" t="s">
        <v>147</v>
      </c>
      <c r="C760" s="37" t="s">
        <v>1313</v>
      </c>
      <c r="D760" s="37">
        <v>8</v>
      </c>
      <c r="E760" s="37" t="s">
        <v>1229</v>
      </c>
      <c r="F760" s="38">
        <v>0.17</v>
      </c>
      <c r="G760" s="39">
        <f>IF(OR(B760="FIXO",B760="XFIXO"),IF(F760="","ERRO",10*F760)*'BD Campos'!$W$2,IF(F760="","ERRO",10*F760)*'BD Campos'!$W$3)</f>
        <v>1.7000000000000002</v>
      </c>
      <c r="H760" s="40">
        <v>0.05</v>
      </c>
      <c r="I760" s="41">
        <f t="shared" si="34"/>
        <v>-8.500000000000002E-2</v>
      </c>
    </row>
    <row r="761" spans="1:9" hidden="1" x14ac:dyDescent="0.35">
      <c r="A761" s="37" t="str">
        <f t="shared" ref="A761:A801" si="35">B761&amp;C761&amp;D761</f>
        <v>DESVIO DE ROTAMotorista 41</v>
      </c>
      <c r="B761" s="37" t="s">
        <v>126</v>
      </c>
      <c r="C761" s="37" t="s">
        <v>1314</v>
      </c>
      <c r="D761" s="37">
        <v>1</v>
      </c>
      <c r="E761" s="37" t="s">
        <v>1212</v>
      </c>
      <c r="F761" s="38">
        <v>0.08</v>
      </c>
      <c r="G761" s="39">
        <f>IF(OR(B761="FIXO",B761="XFIXO"),IF(F761="","ERRO",10*F761)*'BD Campos'!$W$2,IF(F761="","ERRO",10*F761)*'BD Campos'!$W$3)</f>
        <v>0.8</v>
      </c>
      <c r="H761" s="40">
        <v>0.05</v>
      </c>
      <c r="I761" s="41">
        <f t="shared" ref="I761:I808" si="36">H761*G761*-1</f>
        <v>-4.0000000000000008E-2</v>
      </c>
    </row>
    <row r="762" spans="1:9" hidden="1" x14ac:dyDescent="0.35">
      <c r="A762" s="37" t="str">
        <f t="shared" si="35"/>
        <v>DESVIO DE ROTAMotorista 42</v>
      </c>
      <c r="B762" s="37" t="s">
        <v>126</v>
      </c>
      <c r="C762" s="37" t="s">
        <v>1314</v>
      </c>
      <c r="D762" s="37">
        <v>2</v>
      </c>
      <c r="E762" s="37" t="s">
        <v>1213</v>
      </c>
      <c r="F762" s="38">
        <v>0.08</v>
      </c>
      <c r="G762" s="39">
        <f>IF(OR(B762="FIXO",B762="XFIXO"),IF(F762="","ERRO",10*F762)*'BD Campos'!$W$2,IF(F762="","ERRO",10*F762)*'BD Campos'!$W$3)</f>
        <v>0.8</v>
      </c>
      <c r="H762" s="40">
        <v>0.05</v>
      </c>
      <c r="I762" s="41">
        <f t="shared" si="36"/>
        <v>-4.0000000000000008E-2</v>
      </c>
    </row>
    <row r="763" spans="1:9" hidden="1" x14ac:dyDescent="0.35">
      <c r="A763" s="37" t="str">
        <f t="shared" si="35"/>
        <v>DESVIO DE ROTAMotorista 43</v>
      </c>
      <c r="B763" s="37" t="s">
        <v>126</v>
      </c>
      <c r="C763" s="37" t="s">
        <v>1314</v>
      </c>
      <c r="D763" s="37">
        <v>3</v>
      </c>
      <c r="E763" s="37" t="s">
        <v>1214</v>
      </c>
      <c r="F763" s="38">
        <v>0.08</v>
      </c>
      <c r="G763" s="39">
        <f>IF(OR(B763="FIXO",B763="XFIXO"),IF(F763="","ERRO",10*F763)*'BD Campos'!$W$2,IF(F763="","ERRO",10*F763)*'BD Campos'!$W$3)</f>
        <v>0.8</v>
      </c>
      <c r="H763" s="40">
        <v>0.05</v>
      </c>
      <c r="I763" s="41">
        <f t="shared" si="36"/>
        <v>-4.0000000000000008E-2</v>
      </c>
    </row>
    <row r="764" spans="1:9" hidden="1" x14ac:dyDescent="0.35">
      <c r="A764" s="37" t="str">
        <f t="shared" si="35"/>
        <v>DESVIO DE ROTAMotorista 44</v>
      </c>
      <c r="B764" s="37" t="s">
        <v>126</v>
      </c>
      <c r="C764" s="37" t="s">
        <v>1314</v>
      </c>
      <c r="D764" s="37">
        <v>4</v>
      </c>
      <c r="E764" s="37" t="s">
        <v>1215</v>
      </c>
      <c r="F764" s="38">
        <v>0.08</v>
      </c>
      <c r="G764" s="39">
        <f>IF(OR(B764="FIXO",B764="XFIXO"),IF(F764="","ERRO",10*F764)*'BD Campos'!$W$2,IF(F764="","ERRO",10*F764)*'BD Campos'!$W$3)</f>
        <v>0.8</v>
      </c>
      <c r="H764" s="40">
        <v>0.05</v>
      </c>
      <c r="I764" s="41">
        <f t="shared" si="36"/>
        <v>-4.0000000000000008E-2</v>
      </c>
    </row>
    <row r="765" spans="1:9" hidden="1" x14ac:dyDescent="0.35">
      <c r="A765" s="37" t="str">
        <f t="shared" si="35"/>
        <v>DESVIO DE ROTAMotorista 45</v>
      </c>
      <c r="B765" s="37" t="s">
        <v>126</v>
      </c>
      <c r="C765" s="37" t="s">
        <v>1314</v>
      </c>
      <c r="D765" s="37">
        <v>5</v>
      </c>
      <c r="E765" s="37" t="s">
        <v>1216</v>
      </c>
      <c r="F765" s="38">
        <v>0.08</v>
      </c>
      <c r="G765" s="39">
        <f>IF(OR(B765="FIXO",B765="XFIXO"),IF(F765="","ERRO",10*F765)*'BD Campos'!$W$2,IF(F765="","ERRO",10*F765)*'BD Campos'!$W$3)</f>
        <v>0.8</v>
      </c>
      <c r="H765" s="40">
        <v>0.05</v>
      </c>
      <c r="I765" s="41">
        <f t="shared" si="36"/>
        <v>-4.0000000000000008E-2</v>
      </c>
    </row>
    <row r="766" spans="1:9" hidden="1" x14ac:dyDescent="0.35">
      <c r="A766" s="37" t="str">
        <f t="shared" si="35"/>
        <v>DESVIO DE ROTAMotorista 46</v>
      </c>
      <c r="B766" s="37" t="s">
        <v>126</v>
      </c>
      <c r="C766" s="37" t="s">
        <v>1314</v>
      </c>
      <c r="D766" s="37">
        <v>6</v>
      </c>
      <c r="E766" s="37" t="s">
        <v>1217</v>
      </c>
      <c r="F766" s="38">
        <v>0.08</v>
      </c>
      <c r="G766" s="39">
        <f>IF(OR(B766="FIXO",B766="XFIXO"),IF(F766="","ERRO",10*F766)*'BD Campos'!$W$2,IF(F766="","ERRO",10*F766)*'BD Campos'!$W$3)</f>
        <v>0.8</v>
      </c>
      <c r="H766" s="40">
        <v>0.05</v>
      </c>
      <c r="I766" s="41">
        <f t="shared" si="36"/>
        <v>-4.0000000000000008E-2</v>
      </c>
    </row>
    <row r="767" spans="1:9" hidden="1" x14ac:dyDescent="0.35">
      <c r="A767" s="37" t="str">
        <f t="shared" si="35"/>
        <v>DESVIO DE ROTAMotorista 47</v>
      </c>
      <c r="B767" s="37" t="s">
        <v>126</v>
      </c>
      <c r="C767" s="37" t="s">
        <v>1314</v>
      </c>
      <c r="D767" s="37">
        <v>7</v>
      </c>
      <c r="E767" s="37" t="s">
        <v>1218</v>
      </c>
      <c r="F767" s="38">
        <v>0.08</v>
      </c>
      <c r="G767" s="39">
        <f>IF(OR(B767="FIXO",B767="XFIXO"),IF(F767="","ERRO",10*F767)*'BD Campos'!$W$2,IF(F767="","ERRO",10*F767)*'BD Campos'!$W$3)</f>
        <v>0.8</v>
      </c>
      <c r="H767" s="40">
        <v>0.05</v>
      </c>
      <c r="I767" s="41">
        <f t="shared" si="36"/>
        <v>-4.0000000000000008E-2</v>
      </c>
    </row>
    <row r="768" spans="1:9" hidden="1" x14ac:dyDescent="0.35">
      <c r="A768" s="37" t="str">
        <f t="shared" si="35"/>
        <v>DESVIO DE ROTAMotorista 48</v>
      </c>
      <c r="B768" s="37" t="s">
        <v>126</v>
      </c>
      <c r="C768" s="37" t="s">
        <v>1314</v>
      </c>
      <c r="D768" s="37">
        <v>8</v>
      </c>
      <c r="E768" s="37" t="s">
        <v>1219</v>
      </c>
      <c r="F768" s="38">
        <v>0.08</v>
      </c>
      <c r="G768" s="39">
        <f>IF(OR(B768="FIXO",B768="XFIXO"),IF(F768="","ERRO",10*F768)*'BD Campos'!$W$2,IF(F768="","ERRO",10*F768)*'BD Campos'!$W$3)</f>
        <v>0.8</v>
      </c>
      <c r="H768" s="40">
        <v>0.05</v>
      </c>
      <c r="I768" s="41">
        <f t="shared" si="36"/>
        <v>-4.0000000000000008E-2</v>
      </c>
    </row>
    <row r="769" spans="1:9" hidden="1" x14ac:dyDescent="0.35">
      <c r="A769" s="37" t="str">
        <f t="shared" si="35"/>
        <v>DESVIO DE ROTAMotorista 49</v>
      </c>
      <c r="B769" s="37" t="s">
        <v>126</v>
      </c>
      <c r="C769" s="37" t="s">
        <v>1314</v>
      </c>
      <c r="D769" s="37">
        <v>9</v>
      </c>
      <c r="E769" s="37" t="s">
        <v>1220</v>
      </c>
      <c r="F769" s="38">
        <v>0.08</v>
      </c>
      <c r="G769" s="39">
        <f>IF(OR(B769="FIXO",B769="XFIXO"),IF(F769="","ERRO",10*F769)*'BD Campos'!$W$2,IF(F769="","ERRO",10*F769)*'BD Campos'!$W$3)</f>
        <v>0.8</v>
      </c>
      <c r="H769" s="40">
        <v>0.05</v>
      </c>
      <c r="I769" s="41">
        <f t="shared" si="36"/>
        <v>-4.0000000000000008E-2</v>
      </c>
    </row>
    <row r="770" spans="1:9" hidden="1" x14ac:dyDescent="0.35">
      <c r="A770" s="37" t="str">
        <f t="shared" si="35"/>
        <v>DESVIO DE ROTAMotorista 410</v>
      </c>
      <c r="B770" s="37" t="s">
        <v>126</v>
      </c>
      <c r="C770" s="37" t="s">
        <v>1314</v>
      </c>
      <c r="D770" s="37">
        <v>10</v>
      </c>
      <c r="E770" s="37" t="s">
        <v>1221</v>
      </c>
      <c r="F770" s="38">
        <v>0.08</v>
      </c>
      <c r="G770" s="39">
        <f>IF(OR(B770="FIXO",B770="XFIXO"),IF(F770="","ERRO",10*F770)*'BD Campos'!$W$2,IF(F770="","ERRO",10*F770)*'BD Campos'!$W$3)</f>
        <v>0.8</v>
      </c>
      <c r="H770" s="40">
        <v>0.05</v>
      </c>
      <c r="I770" s="41">
        <f t="shared" si="36"/>
        <v>-4.0000000000000008E-2</v>
      </c>
    </row>
    <row r="771" spans="1:9" hidden="1" x14ac:dyDescent="0.35">
      <c r="A771" s="37" t="str">
        <f t="shared" si="35"/>
        <v>DESVIO DE ROTAMotorista 411</v>
      </c>
      <c r="B771" s="37" t="s">
        <v>126</v>
      </c>
      <c r="C771" s="37" t="s">
        <v>1314</v>
      </c>
      <c r="D771" s="37">
        <v>11</v>
      </c>
      <c r="E771" s="37" t="s">
        <v>1222</v>
      </c>
      <c r="F771" s="38">
        <v>0.1</v>
      </c>
      <c r="G771" s="39">
        <f>IF(OR(B771="FIXO",B771="XFIXO"),IF(F771="","ERRO",10*F771)*'BD Campos'!$W$2,IF(F771="","ERRO",10*F771)*'BD Campos'!$W$3)</f>
        <v>1</v>
      </c>
      <c r="H771" s="40">
        <v>0.05</v>
      </c>
      <c r="I771" s="41">
        <f t="shared" si="36"/>
        <v>-0.05</v>
      </c>
    </row>
    <row r="772" spans="1:9" hidden="1" x14ac:dyDescent="0.35">
      <c r="A772" s="42" t="str">
        <f t="shared" si="35"/>
        <v>DESVIO DE ROTAMotorista 412</v>
      </c>
      <c r="B772" s="37" t="s">
        <v>126</v>
      </c>
      <c r="C772" s="37" t="s">
        <v>1314</v>
      </c>
      <c r="D772" s="37">
        <v>12</v>
      </c>
      <c r="E772" s="37" t="s">
        <v>1223</v>
      </c>
      <c r="F772" s="38">
        <v>0.1</v>
      </c>
      <c r="G772" s="39">
        <f>IF(OR(B772="FIXO",B772="XFIXO"),IF(F772="","ERRO",10*F772)*'BD Campos'!$W$2,IF(F772="","ERRO",10*F772)*'BD Campos'!$W$3)</f>
        <v>1</v>
      </c>
      <c r="H772" s="40">
        <v>0.05</v>
      </c>
      <c r="I772" s="41">
        <f t="shared" si="36"/>
        <v>-0.05</v>
      </c>
    </row>
    <row r="773" spans="1:9" hidden="1" x14ac:dyDescent="0.35">
      <c r="A773" s="43" t="str">
        <f t="shared" si="35"/>
        <v>PARADA INDEVIDAMotorista 41</v>
      </c>
      <c r="B773" s="43" t="s">
        <v>121</v>
      </c>
      <c r="C773" s="37" t="s">
        <v>1314</v>
      </c>
      <c r="D773" s="37">
        <v>1</v>
      </c>
      <c r="E773" s="37" t="s">
        <v>1212</v>
      </c>
      <c r="F773" s="38">
        <v>0.09</v>
      </c>
      <c r="G773" s="39">
        <f>IF(OR(B773="FIXO",B773="XFIXO"),IF(F773="","ERRO",10*F773)*'BD Campos'!$W$2,IF(F773="","ERRO",10*F773)*'BD Campos'!$W$3)</f>
        <v>0.89999999999999991</v>
      </c>
      <c r="H773" s="40">
        <v>0.05</v>
      </c>
      <c r="I773" s="41">
        <f t="shared" si="36"/>
        <v>-4.4999999999999998E-2</v>
      </c>
    </row>
    <row r="774" spans="1:9" hidden="1" x14ac:dyDescent="0.35">
      <c r="A774" s="43" t="str">
        <f t="shared" si="35"/>
        <v>PARADA INDEVIDAMotorista 42</v>
      </c>
      <c r="B774" s="43" t="s">
        <v>121</v>
      </c>
      <c r="C774" s="37" t="s">
        <v>1314</v>
      </c>
      <c r="D774" s="37">
        <v>2</v>
      </c>
      <c r="E774" s="37" t="s">
        <v>1213</v>
      </c>
      <c r="F774" s="38">
        <v>0.09</v>
      </c>
      <c r="G774" s="39">
        <f>IF(OR(B774="FIXO",B774="XFIXO"),IF(F774="","ERRO",10*F774)*'BD Campos'!$W$2,IF(F774="","ERRO",10*F774)*'BD Campos'!$W$3)</f>
        <v>0.89999999999999991</v>
      </c>
      <c r="H774" s="40">
        <v>0.05</v>
      </c>
      <c r="I774" s="41">
        <f t="shared" si="36"/>
        <v>-4.4999999999999998E-2</v>
      </c>
    </row>
    <row r="775" spans="1:9" hidden="1" x14ac:dyDescent="0.35">
      <c r="A775" s="43" t="str">
        <f t="shared" si="35"/>
        <v>PARADA INDEVIDAMotorista 43</v>
      </c>
      <c r="B775" s="43" t="s">
        <v>121</v>
      </c>
      <c r="C775" s="37" t="s">
        <v>1314</v>
      </c>
      <c r="D775" s="37">
        <v>3</v>
      </c>
      <c r="E775" s="37" t="s">
        <v>1214</v>
      </c>
      <c r="F775" s="38">
        <v>0.09</v>
      </c>
      <c r="G775" s="39">
        <f>IF(OR(B775="FIXO",B775="XFIXO"),IF(F775="","ERRO",10*F775)*'BD Campos'!$W$2,IF(F775="","ERRO",10*F775)*'BD Campos'!$W$3)</f>
        <v>0.89999999999999991</v>
      </c>
      <c r="H775" s="40">
        <v>0.05</v>
      </c>
      <c r="I775" s="41">
        <f t="shared" si="36"/>
        <v>-4.4999999999999998E-2</v>
      </c>
    </row>
    <row r="776" spans="1:9" hidden="1" x14ac:dyDescent="0.35">
      <c r="A776" s="43" t="str">
        <f t="shared" si="35"/>
        <v>PARADA INDEVIDAMotorista 44</v>
      </c>
      <c r="B776" s="43" t="s">
        <v>121</v>
      </c>
      <c r="C776" s="37" t="s">
        <v>1314</v>
      </c>
      <c r="D776" s="37">
        <v>4</v>
      </c>
      <c r="E776" s="37" t="s">
        <v>1215</v>
      </c>
      <c r="F776" s="38">
        <v>0.09</v>
      </c>
      <c r="G776" s="39">
        <f>IF(OR(B776="FIXO",B776="XFIXO"),IF(F776="","ERRO",10*F776)*'BD Campos'!$W$2,IF(F776="","ERRO",10*F776)*'BD Campos'!$W$3)</f>
        <v>0.89999999999999991</v>
      </c>
      <c r="H776" s="40">
        <v>0.05</v>
      </c>
      <c r="I776" s="41">
        <f t="shared" si="36"/>
        <v>-4.4999999999999998E-2</v>
      </c>
    </row>
    <row r="777" spans="1:9" hidden="1" x14ac:dyDescent="0.35">
      <c r="A777" s="43" t="str">
        <f t="shared" si="35"/>
        <v>PARADA INDEVIDAMotorista 45</v>
      </c>
      <c r="B777" s="43" t="s">
        <v>121</v>
      </c>
      <c r="C777" s="37" t="s">
        <v>1314</v>
      </c>
      <c r="D777" s="37">
        <v>5</v>
      </c>
      <c r="E777" s="37" t="s">
        <v>1216</v>
      </c>
      <c r="F777" s="38">
        <v>0.09</v>
      </c>
      <c r="G777" s="39">
        <f>IF(OR(B777="FIXO",B777="XFIXO"),IF(F777="","ERRO",10*F777)*'BD Campos'!$W$2,IF(F777="","ERRO",10*F777)*'BD Campos'!$W$3)</f>
        <v>0.89999999999999991</v>
      </c>
      <c r="H777" s="40">
        <v>0.05</v>
      </c>
      <c r="I777" s="41">
        <f t="shared" si="36"/>
        <v>-4.4999999999999998E-2</v>
      </c>
    </row>
    <row r="778" spans="1:9" hidden="1" x14ac:dyDescent="0.35">
      <c r="A778" s="43" t="str">
        <f t="shared" si="35"/>
        <v>PARADA INDEVIDAMotorista 46</v>
      </c>
      <c r="B778" s="43" t="s">
        <v>121</v>
      </c>
      <c r="C778" s="37" t="s">
        <v>1314</v>
      </c>
      <c r="D778" s="37">
        <v>6</v>
      </c>
      <c r="E778" s="37" t="s">
        <v>1217</v>
      </c>
      <c r="F778" s="38">
        <v>0.09</v>
      </c>
      <c r="G778" s="39">
        <f>IF(OR(B778="FIXO",B778="XFIXO"),IF(F778="","ERRO",10*F778)*'BD Campos'!$W$2,IF(F778="","ERRO",10*F778)*'BD Campos'!$W$3)</f>
        <v>0.89999999999999991</v>
      </c>
      <c r="H778" s="40">
        <v>0.05</v>
      </c>
      <c r="I778" s="41">
        <f t="shared" si="36"/>
        <v>-4.4999999999999998E-2</v>
      </c>
    </row>
    <row r="779" spans="1:9" hidden="1" x14ac:dyDescent="0.35">
      <c r="A779" s="43" t="str">
        <f t="shared" si="35"/>
        <v>PARADA INDEVIDAMotorista 47</v>
      </c>
      <c r="B779" s="43" t="s">
        <v>121</v>
      </c>
      <c r="C779" s="37" t="s">
        <v>1314</v>
      </c>
      <c r="D779" s="37">
        <v>7</v>
      </c>
      <c r="E779" s="43" t="s">
        <v>1218</v>
      </c>
      <c r="F779" s="38">
        <v>0.09</v>
      </c>
      <c r="G779" s="39">
        <f>IF(OR(B779="FIXO",B779="XFIXO"),IF(F779="","ERRO",10*F779)*'BD Campos'!$W$2,IF(F779="","ERRO",10*F779)*'BD Campos'!$W$3)</f>
        <v>0.89999999999999991</v>
      </c>
      <c r="H779" s="40">
        <v>0.05</v>
      </c>
      <c r="I779" s="41">
        <f t="shared" si="36"/>
        <v>-4.4999999999999998E-2</v>
      </c>
    </row>
    <row r="780" spans="1:9" hidden="1" x14ac:dyDescent="0.35">
      <c r="A780" s="43" t="str">
        <f t="shared" si="35"/>
        <v>PARADA INDEVIDAMotorista 48</v>
      </c>
      <c r="B780" s="43" t="s">
        <v>121</v>
      </c>
      <c r="C780" s="37" t="s">
        <v>1314</v>
      </c>
      <c r="D780" s="37">
        <v>8</v>
      </c>
      <c r="E780" s="43" t="s">
        <v>1224</v>
      </c>
      <c r="F780" s="38">
        <v>9.2499999999999999E-2</v>
      </c>
      <c r="G780" s="39">
        <f>IF(OR(B780="FIXO",B780="XFIXO"),IF(F780="","ERRO",10*F780)*'BD Campos'!$W$2,IF(F780="","ERRO",10*F780)*'BD Campos'!$W$3)</f>
        <v>0.92500000000000004</v>
      </c>
      <c r="H780" s="40">
        <v>0.05</v>
      </c>
      <c r="I780" s="41">
        <f t="shared" si="36"/>
        <v>-4.6250000000000006E-2</v>
      </c>
    </row>
    <row r="781" spans="1:9" hidden="1" x14ac:dyDescent="0.35">
      <c r="A781" s="43" t="str">
        <f t="shared" si="35"/>
        <v>PARADA INDEVIDAMotorista 49</v>
      </c>
      <c r="B781" s="43" t="s">
        <v>121</v>
      </c>
      <c r="C781" s="37" t="s">
        <v>1314</v>
      </c>
      <c r="D781" s="37">
        <v>9</v>
      </c>
      <c r="E781" s="37" t="s">
        <v>1220</v>
      </c>
      <c r="F781" s="38">
        <v>9.2499999999999999E-2</v>
      </c>
      <c r="G781" s="39">
        <f>IF(OR(B781="FIXO",B781="XFIXO"),IF(F781="","ERRO",10*F781)*'BD Campos'!$W$2,IF(F781="","ERRO",10*F781)*'BD Campos'!$W$3)</f>
        <v>0.92500000000000004</v>
      </c>
      <c r="H781" s="40">
        <v>0.05</v>
      </c>
      <c r="I781" s="41">
        <f t="shared" si="36"/>
        <v>-4.6250000000000006E-2</v>
      </c>
    </row>
    <row r="782" spans="1:9" hidden="1" x14ac:dyDescent="0.35">
      <c r="A782" s="43" t="str">
        <f t="shared" si="35"/>
        <v>PARADA INDEVIDAMotorista 410</v>
      </c>
      <c r="B782" s="43" t="s">
        <v>121</v>
      </c>
      <c r="C782" s="37" t="s">
        <v>1314</v>
      </c>
      <c r="D782" s="37">
        <v>10</v>
      </c>
      <c r="E782" s="43" t="s">
        <v>1225</v>
      </c>
      <c r="F782" s="38">
        <v>0.09</v>
      </c>
      <c r="G782" s="39">
        <f>IF(OR(B782="FIXO",B782="XFIXO"),IF(F782="","ERRO",10*F782)*'BD Campos'!$W$2,IF(F782="","ERRO",10*F782)*'BD Campos'!$W$3)</f>
        <v>0.89999999999999991</v>
      </c>
      <c r="H782" s="40">
        <v>0.05</v>
      </c>
      <c r="I782" s="41">
        <f t="shared" si="36"/>
        <v>-4.4999999999999998E-2</v>
      </c>
    </row>
    <row r="783" spans="1:9" hidden="1" x14ac:dyDescent="0.35">
      <c r="A783" s="44" t="str">
        <f t="shared" si="35"/>
        <v>PARADA INDEVIDAMotorista 411</v>
      </c>
      <c r="B783" s="43" t="s">
        <v>121</v>
      </c>
      <c r="C783" s="37" t="s">
        <v>1314</v>
      </c>
      <c r="D783" s="37">
        <v>11</v>
      </c>
      <c r="E783" s="43" t="s">
        <v>1223</v>
      </c>
      <c r="F783" s="38">
        <v>9.5000000000000001E-2</v>
      </c>
      <c r="G783" s="39">
        <f>IF(OR(B783="FIXO",B783="XFIXO"),IF(F783="","ERRO",10*F783)*'BD Campos'!$W$2,IF(F783="","ERRO",10*F783)*'BD Campos'!$W$3)</f>
        <v>0.95</v>
      </c>
      <c r="H783" s="40">
        <v>0.05</v>
      </c>
      <c r="I783" s="41">
        <f t="shared" si="36"/>
        <v>-4.7500000000000001E-2</v>
      </c>
    </row>
    <row r="784" spans="1:9" hidden="1" x14ac:dyDescent="0.35">
      <c r="A784" s="37" t="str">
        <f t="shared" si="35"/>
        <v>POSIÇÃO EM ATRASOMotorista 41</v>
      </c>
      <c r="B784" s="37" t="s">
        <v>123</v>
      </c>
      <c r="C784" s="37" t="s">
        <v>1314</v>
      </c>
      <c r="D784" s="37">
        <v>1</v>
      </c>
      <c r="E784" s="37" t="s">
        <v>1212</v>
      </c>
      <c r="F784" s="38">
        <v>0.1</v>
      </c>
      <c r="G784" s="39">
        <f>IF(OR(B784="FIXO",B784="XFIXO"),IF(F784="","ERRO",10*F784)*'BD Campos'!$W$2,IF(F784="","ERRO",10*F784)*'BD Campos'!$W$3)</f>
        <v>1</v>
      </c>
      <c r="H784" s="40">
        <v>0.05</v>
      </c>
      <c r="I784" s="41">
        <f t="shared" si="36"/>
        <v>-0.05</v>
      </c>
    </row>
    <row r="785" spans="1:9" hidden="1" x14ac:dyDescent="0.35">
      <c r="A785" s="37" t="str">
        <f t="shared" si="35"/>
        <v>POSIÇÃO EM ATRASOMotorista 42</v>
      </c>
      <c r="B785" s="37" t="s">
        <v>123</v>
      </c>
      <c r="C785" s="37" t="s">
        <v>1314</v>
      </c>
      <c r="D785" s="37">
        <v>2</v>
      </c>
      <c r="E785" s="37" t="s">
        <v>1213</v>
      </c>
      <c r="F785" s="38">
        <v>0.1</v>
      </c>
      <c r="G785" s="39">
        <f>IF(OR(B785="FIXO",B785="XFIXO"),IF(F785="","ERRO",10*F785)*'BD Campos'!$W$2,IF(F785="","ERRO",10*F785)*'BD Campos'!$W$3)</f>
        <v>1</v>
      </c>
      <c r="H785" s="40">
        <v>0.05</v>
      </c>
      <c r="I785" s="41">
        <f t="shared" si="36"/>
        <v>-0.05</v>
      </c>
    </row>
    <row r="786" spans="1:9" hidden="1" x14ac:dyDescent="0.35">
      <c r="A786" s="37" t="str">
        <f t="shared" si="35"/>
        <v>POSIÇÃO EM ATRASOMotorista 43</v>
      </c>
      <c r="B786" s="37" t="s">
        <v>123</v>
      </c>
      <c r="C786" s="37" t="s">
        <v>1314</v>
      </c>
      <c r="D786" s="37">
        <v>3</v>
      </c>
      <c r="E786" s="37" t="s">
        <v>1214</v>
      </c>
      <c r="F786" s="38">
        <v>0.1</v>
      </c>
      <c r="G786" s="39">
        <f>IF(OR(B786="FIXO",B786="XFIXO"),IF(F786="","ERRO",10*F786)*'BD Campos'!$W$2,IF(F786="","ERRO",10*F786)*'BD Campos'!$W$3)</f>
        <v>1</v>
      </c>
      <c r="H786" s="40">
        <v>0.05</v>
      </c>
      <c r="I786" s="41">
        <f t="shared" si="36"/>
        <v>-0.05</v>
      </c>
    </row>
    <row r="787" spans="1:9" hidden="1" x14ac:dyDescent="0.35">
      <c r="A787" s="37" t="str">
        <f t="shared" si="35"/>
        <v>POSIÇÃO EM ATRASOMotorista 44</v>
      </c>
      <c r="B787" s="37" t="s">
        <v>123</v>
      </c>
      <c r="C787" s="37" t="s">
        <v>1314</v>
      </c>
      <c r="D787" s="37">
        <v>4</v>
      </c>
      <c r="E787" s="37" t="s">
        <v>1215</v>
      </c>
      <c r="F787" s="38">
        <v>0.1</v>
      </c>
      <c r="G787" s="39">
        <f>IF(OR(B787="FIXO",B787="XFIXO"),IF(F787="","ERRO",10*F787)*'BD Campos'!$W$2,IF(F787="","ERRO",10*F787)*'BD Campos'!$W$3)</f>
        <v>1</v>
      </c>
      <c r="H787" s="40">
        <v>0.05</v>
      </c>
      <c r="I787" s="41">
        <f t="shared" si="36"/>
        <v>-0.05</v>
      </c>
    </row>
    <row r="788" spans="1:9" hidden="1" x14ac:dyDescent="0.35">
      <c r="A788" s="37" t="str">
        <f t="shared" si="35"/>
        <v>POSIÇÃO EM ATRASOMotorista 45</v>
      </c>
      <c r="B788" s="37" t="s">
        <v>123</v>
      </c>
      <c r="C788" s="37" t="s">
        <v>1314</v>
      </c>
      <c r="D788" s="37">
        <v>5</v>
      </c>
      <c r="E788" s="37" t="s">
        <v>1216</v>
      </c>
      <c r="F788" s="38">
        <v>0.1</v>
      </c>
      <c r="G788" s="39">
        <f>IF(OR(B788="FIXO",B788="XFIXO"),IF(F788="","ERRO",10*F788)*'BD Campos'!$W$2,IF(F788="","ERRO",10*F788)*'BD Campos'!$W$3)</f>
        <v>1</v>
      </c>
      <c r="H788" s="40">
        <v>0.05</v>
      </c>
      <c r="I788" s="41">
        <f t="shared" si="36"/>
        <v>-0.05</v>
      </c>
    </row>
    <row r="789" spans="1:9" hidden="1" x14ac:dyDescent="0.35">
      <c r="A789" s="37" t="str">
        <f t="shared" si="35"/>
        <v>POSIÇÃO EM ATRASOMotorista 46</v>
      </c>
      <c r="B789" s="37" t="s">
        <v>123</v>
      </c>
      <c r="C789" s="37" t="s">
        <v>1314</v>
      </c>
      <c r="D789" s="37">
        <v>6</v>
      </c>
      <c r="E789" s="37" t="s">
        <v>1217</v>
      </c>
      <c r="F789" s="38">
        <v>0.1</v>
      </c>
      <c r="G789" s="39">
        <f>IF(OR(B789="FIXO",B789="XFIXO"),IF(F789="","ERRO",10*F789)*'BD Campos'!$W$2,IF(F789="","ERRO",10*F789)*'BD Campos'!$W$3)</f>
        <v>1</v>
      </c>
      <c r="H789" s="40">
        <v>0.05</v>
      </c>
      <c r="I789" s="41">
        <f t="shared" si="36"/>
        <v>-0.05</v>
      </c>
    </row>
    <row r="790" spans="1:9" hidden="1" x14ac:dyDescent="0.35">
      <c r="A790" s="37" t="str">
        <f t="shared" si="35"/>
        <v>POSIÇÃO EM ATRASOMotorista 47</v>
      </c>
      <c r="B790" s="37" t="s">
        <v>123</v>
      </c>
      <c r="C790" s="37" t="s">
        <v>1314</v>
      </c>
      <c r="D790" s="37">
        <v>7</v>
      </c>
      <c r="E790" s="37" t="s">
        <v>1218</v>
      </c>
      <c r="F790" s="38">
        <v>0.1</v>
      </c>
      <c r="G790" s="39">
        <f>IF(OR(B790="FIXO",B790="XFIXO"),IF(F790="","ERRO",10*F790)*'BD Campos'!$W$2,IF(F790="","ERRO",10*F790)*'BD Campos'!$W$3)</f>
        <v>1</v>
      </c>
      <c r="H790" s="40">
        <v>0.05</v>
      </c>
      <c r="I790" s="41">
        <f t="shared" si="36"/>
        <v>-0.05</v>
      </c>
    </row>
    <row r="791" spans="1:9" hidden="1" x14ac:dyDescent="0.35">
      <c r="A791" s="37" t="str">
        <f t="shared" si="35"/>
        <v>POSIÇÃO EM ATRASOMotorista 48</v>
      </c>
      <c r="B791" s="37" t="s">
        <v>123</v>
      </c>
      <c r="C791" s="37" t="s">
        <v>1314</v>
      </c>
      <c r="D791" s="37">
        <v>8</v>
      </c>
      <c r="E791" s="37" t="s">
        <v>1226</v>
      </c>
      <c r="F791" s="38">
        <v>0.1</v>
      </c>
      <c r="G791" s="39">
        <f>IF(OR(B791="FIXO",B791="XFIXO"),IF(F791="","ERRO",10*F791)*'BD Campos'!$W$2,IF(F791="","ERRO",10*F791)*'BD Campos'!$W$3)</f>
        <v>1</v>
      </c>
      <c r="H791" s="40">
        <v>0.05</v>
      </c>
      <c r="I791" s="41">
        <f t="shared" si="36"/>
        <v>-0.05</v>
      </c>
    </row>
    <row r="792" spans="1:9" hidden="1" x14ac:dyDescent="0.35">
      <c r="A792" s="37" t="str">
        <f t="shared" si="35"/>
        <v>POSIÇÃO EM ATRASOMotorista 49</v>
      </c>
      <c r="B792" s="37" t="s">
        <v>123</v>
      </c>
      <c r="C792" s="37" t="s">
        <v>1314</v>
      </c>
      <c r="D792" s="37">
        <v>9</v>
      </c>
      <c r="E792" s="37" t="s">
        <v>1227</v>
      </c>
      <c r="F792" s="38">
        <v>0.1</v>
      </c>
      <c r="G792" s="39">
        <f>IF(OR(B792="FIXO",B792="XFIXO"),IF(F792="","ERRO",10*F792)*'BD Campos'!$W$2,IF(F792="","ERRO",10*F792)*'BD Campos'!$W$3)</f>
        <v>1</v>
      </c>
      <c r="H792" s="40">
        <v>0.05</v>
      </c>
      <c r="I792" s="41">
        <f t="shared" si="36"/>
        <v>-0.05</v>
      </c>
    </row>
    <row r="793" spans="1:9" hidden="1" x14ac:dyDescent="0.35">
      <c r="A793" s="42" t="str">
        <f t="shared" si="35"/>
        <v>POSIÇÃO EM ATRASOMotorista 410</v>
      </c>
      <c r="B793" s="37" t="s">
        <v>123</v>
      </c>
      <c r="C793" s="37" t="s">
        <v>1314</v>
      </c>
      <c r="D793" s="37">
        <v>10</v>
      </c>
      <c r="E793" s="37" t="s">
        <v>1228</v>
      </c>
      <c r="F793" s="38">
        <v>0.1</v>
      </c>
      <c r="G793" s="39">
        <f>IF(OR(B793="FIXO",B793="XFIXO"),IF(F793="","ERRO",10*F793)*'BD Campos'!$W$2,IF(F793="","ERRO",10*F793)*'BD Campos'!$W$3)</f>
        <v>1</v>
      </c>
      <c r="H793" s="40">
        <v>0.05</v>
      </c>
      <c r="I793" s="41">
        <f t="shared" si="36"/>
        <v>-0.05</v>
      </c>
    </row>
    <row r="794" spans="1:9" hidden="1" x14ac:dyDescent="0.35">
      <c r="A794" s="37" t="str">
        <f t="shared" si="35"/>
        <v>ALERTAS PRIORITÁRIOSMotorista 41</v>
      </c>
      <c r="B794" s="37" t="s">
        <v>147</v>
      </c>
      <c r="C794" s="37" t="s">
        <v>1314</v>
      </c>
      <c r="D794" s="37">
        <v>1</v>
      </c>
      <c r="E794" s="37" t="s">
        <v>1212</v>
      </c>
      <c r="F794" s="38">
        <v>0.11</v>
      </c>
      <c r="G794" s="39">
        <f>IF(OR(B794="FIXO",B794="XFIXO"),IF(F794="","ERRO",10*F794)*'BD Campos'!$W$2,IF(F794="","ERRO",10*F794)*'BD Campos'!$W$3)</f>
        <v>1.1000000000000001</v>
      </c>
      <c r="H794" s="40">
        <v>0.05</v>
      </c>
      <c r="I794" s="41">
        <f t="shared" si="36"/>
        <v>-5.5000000000000007E-2</v>
      </c>
    </row>
    <row r="795" spans="1:9" hidden="1" x14ac:dyDescent="0.35">
      <c r="A795" s="37" t="str">
        <f t="shared" si="35"/>
        <v>ALERTAS PRIORITÁRIOSMotorista 42</v>
      </c>
      <c r="B795" s="37" t="s">
        <v>147</v>
      </c>
      <c r="C795" s="37" t="s">
        <v>1314</v>
      </c>
      <c r="D795" s="37">
        <v>2</v>
      </c>
      <c r="E795" s="37" t="s">
        <v>1213</v>
      </c>
      <c r="F795" s="38">
        <v>0.11</v>
      </c>
      <c r="G795" s="39">
        <f>IF(OR(B795="FIXO",B795="XFIXO"),IF(F795="","ERRO",10*F795)*'BD Campos'!$W$2,IF(F795="","ERRO",10*F795)*'BD Campos'!$W$3)</f>
        <v>1.1000000000000001</v>
      </c>
      <c r="H795" s="40">
        <v>0.05</v>
      </c>
      <c r="I795" s="41">
        <f t="shared" si="36"/>
        <v>-5.5000000000000007E-2</v>
      </c>
    </row>
    <row r="796" spans="1:9" hidden="1" x14ac:dyDescent="0.35">
      <c r="A796" s="37" t="str">
        <f t="shared" si="35"/>
        <v>ALERTAS PRIORITÁRIOSMotorista 43</v>
      </c>
      <c r="B796" s="37" t="s">
        <v>147</v>
      </c>
      <c r="C796" s="37" t="s">
        <v>1314</v>
      </c>
      <c r="D796" s="37">
        <v>3</v>
      </c>
      <c r="E796" s="37" t="s">
        <v>1214</v>
      </c>
      <c r="F796" s="38">
        <v>0.11</v>
      </c>
      <c r="G796" s="39">
        <f>IF(OR(B796="FIXO",B796="XFIXO"),IF(F796="","ERRO",10*F796)*'BD Campos'!$W$2,IF(F796="","ERRO",10*F796)*'BD Campos'!$W$3)</f>
        <v>1.1000000000000001</v>
      </c>
      <c r="H796" s="40">
        <v>0.05</v>
      </c>
      <c r="I796" s="41">
        <f t="shared" si="36"/>
        <v>-5.5000000000000007E-2</v>
      </c>
    </row>
    <row r="797" spans="1:9" hidden="1" x14ac:dyDescent="0.35">
      <c r="A797" s="37" t="str">
        <f t="shared" si="35"/>
        <v>ALERTAS PRIORITÁRIOSMotorista 44</v>
      </c>
      <c r="B797" s="37" t="s">
        <v>147</v>
      </c>
      <c r="C797" s="37" t="s">
        <v>1314</v>
      </c>
      <c r="D797" s="37">
        <v>4</v>
      </c>
      <c r="E797" s="37" t="s">
        <v>1215</v>
      </c>
      <c r="F797" s="38">
        <v>0.11</v>
      </c>
      <c r="G797" s="39">
        <f>IF(OR(B797="FIXO",B797="XFIXO"),IF(F797="","ERRO",10*F797)*'BD Campos'!$W$2,IF(F797="","ERRO",10*F797)*'BD Campos'!$W$3)</f>
        <v>1.1000000000000001</v>
      </c>
      <c r="H797" s="40">
        <v>0.05</v>
      </c>
      <c r="I797" s="41">
        <f t="shared" si="36"/>
        <v>-5.5000000000000007E-2</v>
      </c>
    </row>
    <row r="798" spans="1:9" hidden="1" x14ac:dyDescent="0.35">
      <c r="A798" s="37" t="str">
        <f t="shared" si="35"/>
        <v>ALERTAS PRIORITÁRIOSMotorista 45</v>
      </c>
      <c r="B798" s="37" t="s">
        <v>147</v>
      </c>
      <c r="C798" s="37" t="s">
        <v>1314</v>
      </c>
      <c r="D798" s="37">
        <v>5</v>
      </c>
      <c r="E798" s="37" t="s">
        <v>1216</v>
      </c>
      <c r="F798" s="38">
        <v>0.11</v>
      </c>
      <c r="G798" s="39">
        <f>IF(OR(B798="FIXO",B798="XFIXO"),IF(F798="","ERRO",10*F798)*'BD Campos'!$W$2,IF(F798="","ERRO",10*F798)*'BD Campos'!$W$3)</f>
        <v>1.1000000000000001</v>
      </c>
      <c r="H798" s="40">
        <v>0.05</v>
      </c>
      <c r="I798" s="41">
        <f t="shared" si="36"/>
        <v>-5.5000000000000007E-2</v>
      </c>
    </row>
    <row r="799" spans="1:9" hidden="1" x14ac:dyDescent="0.35">
      <c r="A799" s="37" t="str">
        <f t="shared" si="35"/>
        <v>ALERTAS PRIORITÁRIOSMotorista 46</v>
      </c>
      <c r="B799" s="37" t="s">
        <v>147</v>
      </c>
      <c r="C799" s="37" t="s">
        <v>1314</v>
      </c>
      <c r="D799" s="37">
        <v>6</v>
      </c>
      <c r="E799" s="37" t="s">
        <v>1217</v>
      </c>
      <c r="F799" s="38">
        <v>0.16</v>
      </c>
      <c r="G799" s="39">
        <f>IF(OR(B799="FIXO",B799="XFIXO"),IF(F799="","ERRO",10*F799)*'BD Campos'!$W$2,IF(F799="","ERRO",10*F799)*'BD Campos'!$W$3)</f>
        <v>1.6</v>
      </c>
      <c r="H799" s="40">
        <v>0.05</v>
      </c>
      <c r="I799" s="41">
        <f t="shared" si="36"/>
        <v>-8.0000000000000016E-2</v>
      </c>
    </row>
    <row r="800" spans="1:9" hidden="1" x14ac:dyDescent="0.35">
      <c r="A800" s="37" t="str">
        <f t="shared" si="35"/>
        <v>ALERTAS PRIORITÁRIOSMotorista 47</v>
      </c>
      <c r="B800" s="37" t="s">
        <v>147</v>
      </c>
      <c r="C800" s="37" t="s">
        <v>1314</v>
      </c>
      <c r="D800" s="37">
        <v>7</v>
      </c>
      <c r="E800" s="37" t="s">
        <v>1218</v>
      </c>
      <c r="F800" s="38">
        <v>0.12</v>
      </c>
      <c r="G800" s="39">
        <f>IF(OR(B800="FIXO",B800="XFIXO"),IF(F800="","ERRO",10*F800)*'BD Campos'!$W$2,IF(F800="","ERRO",10*F800)*'BD Campos'!$W$3)</f>
        <v>1.2</v>
      </c>
      <c r="H800" s="40">
        <v>0.05</v>
      </c>
      <c r="I800" s="41">
        <f t="shared" si="36"/>
        <v>-0.06</v>
      </c>
    </row>
    <row r="801" spans="1:9" hidden="1" x14ac:dyDescent="0.35">
      <c r="A801" s="37" t="str">
        <f t="shared" si="35"/>
        <v>ALERTAS PRIORITÁRIOSMotorista 48</v>
      </c>
      <c r="B801" s="37" t="s">
        <v>147</v>
      </c>
      <c r="C801" s="37" t="s">
        <v>1314</v>
      </c>
      <c r="D801" s="37">
        <v>8</v>
      </c>
      <c r="E801" s="37" t="s">
        <v>1229</v>
      </c>
      <c r="F801" s="38">
        <v>0.17</v>
      </c>
      <c r="G801" s="39">
        <f>IF(OR(B801="FIXO",B801="XFIXO"),IF(F801="","ERRO",10*F801)*'BD Campos'!$W$2,IF(F801="","ERRO",10*F801)*'BD Campos'!$W$3)</f>
        <v>1.7000000000000002</v>
      </c>
      <c r="H801" s="40">
        <v>0.05</v>
      </c>
      <c r="I801" s="41">
        <f t="shared" si="36"/>
        <v>-8.500000000000002E-2</v>
      </c>
    </row>
    <row r="802" spans="1:9" hidden="1" x14ac:dyDescent="0.35">
      <c r="A802" s="37" t="str">
        <f t="shared" ref="A802:A816" si="37">B802&amp;C802&amp;D802</f>
        <v>CHATBOTReceptiva1</v>
      </c>
      <c r="B802" s="37" t="s">
        <v>97</v>
      </c>
      <c r="C802" s="37" t="s">
        <v>98</v>
      </c>
      <c r="D802" s="37">
        <v>1</v>
      </c>
      <c r="E802" s="37" t="s">
        <v>1315</v>
      </c>
      <c r="F802" s="38">
        <v>0.1</v>
      </c>
      <c r="G802" s="39">
        <f>IF(OR(B802="FIXO",B802="XFIXO"),IF(F802="","ERRO",10*F802)*'BD Campos'!$W$2,IF(F802="","ERRO",10*F802)*'BD Campos'!$W$3)</f>
        <v>1</v>
      </c>
      <c r="H802" s="40">
        <v>0.05</v>
      </c>
      <c r="I802" s="41">
        <f t="shared" si="36"/>
        <v>-0.05</v>
      </c>
    </row>
    <row r="803" spans="1:9" hidden="1" x14ac:dyDescent="0.35">
      <c r="A803" s="37" t="str">
        <f t="shared" si="37"/>
        <v>CHATBOTReceptiva2</v>
      </c>
      <c r="B803" s="37" t="s">
        <v>97</v>
      </c>
      <c r="C803" s="37" t="s">
        <v>98</v>
      </c>
      <c r="D803" s="37">
        <v>2</v>
      </c>
      <c r="E803" s="37" t="s">
        <v>1316</v>
      </c>
      <c r="F803" s="38">
        <v>0.1</v>
      </c>
      <c r="G803" s="39">
        <f>IF(OR(B803="FIXO",B803="XFIXO"),IF(F803="","ERRO",10*F803)*'BD Campos'!$W$2,IF(F803="","ERRO",10*F803)*'BD Campos'!$W$3)</f>
        <v>1</v>
      </c>
      <c r="H803" s="40">
        <v>0.05</v>
      </c>
      <c r="I803" s="41">
        <f t="shared" si="36"/>
        <v>-0.05</v>
      </c>
    </row>
    <row r="804" spans="1:9" hidden="1" x14ac:dyDescent="0.35">
      <c r="A804" s="37" t="str">
        <f t="shared" si="37"/>
        <v>CHATBOTReceptiva3</v>
      </c>
      <c r="B804" s="37" t="s">
        <v>97</v>
      </c>
      <c r="C804" s="37" t="s">
        <v>98</v>
      </c>
      <c r="D804" s="37">
        <v>3</v>
      </c>
      <c r="E804" s="37" t="s">
        <v>1317</v>
      </c>
      <c r="F804" s="38">
        <v>0.1</v>
      </c>
      <c r="G804" s="39">
        <f>IF(OR(B804="FIXO",B804="XFIXO"),IF(F804="","ERRO",10*F804)*'BD Campos'!$W$2,IF(F804="","ERRO",10*F804)*'BD Campos'!$W$3)</f>
        <v>1</v>
      </c>
      <c r="H804" s="40">
        <v>0.05</v>
      </c>
      <c r="I804" s="41">
        <f t="shared" si="36"/>
        <v>-0.05</v>
      </c>
    </row>
    <row r="805" spans="1:9" hidden="1" x14ac:dyDescent="0.35">
      <c r="A805" s="37" t="str">
        <f t="shared" si="37"/>
        <v>CHATBOTReceptiva4</v>
      </c>
      <c r="B805" s="37" t="s">
        <v>97</v>
      </c>
      <c r="C805" s="37" t="s">
        <v>98</v>
      </c>
      <c r="D805" s="37">
        <v>4</v>
      </c>
      <c r="E805" s="37" t="s">
        <v>1318</v>
      </c>
      <c r="F805" s="38">
        <v>0.1</v>
      </c>
      <c r="G805" s="39">
        <f>IF(OR(B805="FIXO",B805="XFIXO"),IF(F805="","ERRO",10*F805)*'BD Campos'!$W$2,IF(F805="","ERRO",10*F805)*'BD Campos'!$W$3)</f>
        <v>1</v>
      </c>
      <c r="H805" s="40">
        <v>0.05</v>
      </c>
      <c r="I805" s="41">
        <f t="shared" si="36"/>
        <v>-0.05</v>
      </c>
    </row>
    <row r="806" spans="1:9" hidden="1" x14ac:dyDescent="0.35">
      <c r="A806" s="37" t="str">
        <f t="shared" si="37"/>
        <v>CHATBOTReceptiva5</v>
      </c>
      <c r="B806" s="37" t="s">
        <v>97</v>
      </c>
      <c r="C806" s="37" t="s">
        <v>98</v>
      </c>
      <c r="D806" s="37">
        <v>5</v>
      </c>
      <c r="E806" s="37" t="s">
        <v>1319</v>
      </c>
      <c r="F806" s="38">
        <v>0.1</v>
      </c>
      <c r="G806" s="39">
        <f>IF(OR(B806="FIXO",B806="XFIXO"),IF(F806="","ERRO",10*F806)*'BD Campos'!$W$2,IF(F806="","ERRO",10*F806)*'BD Campos'!$W$3)</f>
        <v>1</v>
      </c>
      <c r="H806" s="40">
        <v>0.05</v>
      </c>
      <c r="I806" s="41">
        <f t="shared" si="36"/>
        <v>-0.05</v>
      </c>
    </row>
    <row r="807" spans="1:9" hidden="1" x14ac:dyDescent="0.35">
      <c r="A807" s="37" t="str">
        <f t="shared" si="37"/>
        <v>CHATBOTReceptiva6</v>
      </c>
      <c r="B807" s="37" t="s">
        <v>97</v>
      </c>
      <c r="C807" s="37" t="s">
        <v>98</v>
      </c>
      <c r="D807" s="37">
        <v>6</v>
      </c>
      <c r="E807" s="37" t="s">
        <v>1216</v>
      </c>
      <c r="F807" s="38">
        <v>0.1</v>
      </c>
      <c r="G807" s="39">
        <f>IF(OR(B807="FIXO",B807="XFIXO"),IF(F807="","ERRO",10*F807)*'BD Campos'!$W$2,IF(F807="","ERRO",10*F807)*'BD Campos'!$W$3)</f>
        <v>1</v>
      </c>
      <c r="H807" s="40">
        <v>0.05</v>
      </c>
      <c r="I807" s="41">
        <f t="shared" si="36"/>
        <v>-0.05</v>
      </c>
    </row>
    <row r="808" spans="1:9" hidden="1" x14ac:dyDescent="0.35">
      <c r="A808" s="37" t="str">
        <f t="shared" si="37"/>
        <v>CHATBOTReceptiva7</v>
      </c>
      <c r="B808" s="37" t="s">
        <v>97</v>
      </c>
      <c r="C808" s="37" t="s">
        <v>98</v>
      </c>
      <c r="D808" s="37">
        <v>7</v>
      </c>
      <c r="E808" s="37" t="s">
        <v>1320</v>
      </c>
      <c r="F808" s="38">
        <v>0.1</v>
      </c>
      <c r="G808" s="39">
        <f>IF(OR(B808="FIXO",B808="XFIXO"),IF(F808="","ERRO",10*F808)*'BD Campos'!$W$2,IF(F808="","ERRO",10*F808)*'BD Campos'!$W$3)</f>
        <v>1</v>
      </c>
      <c r="H808" s="40">
        <v>0.05</v>
      </c>
      <c r="I808" s="41">
        <f t="shared" si="36"/>
        <v>-0.05</v>
      </c>
    </row>
    <row r="809" spans="1:9" hidden="1" x14ac:dyDescent="0.35">
      <c r="A809" s="37" t="str">
        <f t="shared" si="37"/>
        <v>CHATBOTReceptiva8</v>
      </c>
      <c r="B809" s="37" t="s">
        <v>97</v>
      </c>
      <c r="C809" s="37" t="s">
        <v>98</v>
      </c>
      <c r="D809" s="37">
        <v>8</v>
      </c>
      <c r="E809" s="37" t="s">
        <v>1321</v>
      </c>
      <c r="F809" s="38">
        <v>0.1</v>
      </c>
      <c r="G809" s="39">
        <f>IF(OR(B809="FIXO",B809="XFIXO"),IF(F809="","ERRO",10*F809)*'BD Campos'!$W$2,IF(F809="","ERRO",10*F809)*'BD Campos'!$W$3)</f>
        <v>1</v>
      </c>
      <c r="H809" s="40">
        <v>0.05</v>
      </c>
      <c r="I809" s="41">
        <f>H809*G809*-1</f>
        <v>-0.05</v>
      </c>
    </row>
    <row r="810" spans="1:9" hidden="1" x14ac:dyDescent="0.35">
      <c r="A810" s="37" t="str">
        <f t="shared" si="37"/>
        <v>CHATBOTReceptiva9</v>
      </c>
      <c r="B810" s="37" t="s">
        <v>97</v>
      </c>
      <c r="C810" s="37" t="s">
        <v>98</v>
      </c>
      <c r="D810" s="37">
        <v>9</v>
      </c>
      <c r="E810" s="37" t="s">
        <v>1322</v>
      </c>
      <c r="F810" s="38">
        <v>0.1</v>
      </c>
      <c r="G810" s="39">
        <f>IF(OR(B810="FIXO",B810="XFIXO"),IF(F810="","ERRO",10*F810)*'BD Campos'!$W$2,IF(F810="","ERRO",10*F810)*'BD Campos'!$W$3)</f>
        <v>1</v>
      </c>
      <c r="H810" s="40">
        <v>0.05</v>
      </c>
      <c r="I810" s="41">
        <f>H810*G810*-1</f>
        <v>-0.05</v>
      </c>
    </row>
    <row r="811" spans="1:9" hidden="1" x14ac:dyDescent="0.35">
      <c r="A811" s="37" t="str">
        <f t="shared" si="37"/>
        <v>CHATBOTReceptiva10</v>
      </c>
      <c r="B811" s="37" t="s">
        <v>97</v>
      </c>
      <c r="C811" s="37" t="s">
        <v>98</v>
      </c>
      <c r="D811" s="37">
        <v>10</v>
      </c>
      <c r="E811" s="37" t="s">
        <v>1323</v>
      </c>
      <c r="F811" s="38">
        <v>0.1</v>
      </c>
      <c r="G811" s="39">
        <f>IF(OR(B811="FIXO",B811="XFIXO"),IF(F811="","ERRO",10*F811)*'BD Campos'!$W$2,IF(F811="","ERRO",10*F811)*'BD Campos'!$W$3)</f>
        <v>1</v>
      </c>
      <c r="H811" s="40">
        <v>0.05</v>
      </c>
      <c r="I811" s="41">
        <f>H811*G811*-1</f>
        <v>-0.05</v>
      </c>
    </row>
    <row r="812" spans="1:9" hidden="1" x14ac:dyDescent="0.35">
      <c r="A812" s="37" t="str">
        <f t="shared" si="37"/>
        <v>CHATBOTReceptiva 21</v>
      </c>
      <c r="B812" s="37" t="s">
        <v>97</v>
      </c>
      <c r="C812" s="37" t="s">
        <v>100</v>
      </c>
      <c r="D812" s="37">
        <v>1</v>
      </c>
      <c r="E812" s="37" t="s">
        <v>1315</v>
      </c>
      <c r="F812" s="38">
        <v>0.1</v>
      </c>
      <c r="G812" s="39">
        <f>IF(OR(B812="FIXO",B812="XFIXO"),IF(F812="","ERRO",10*F812)*'BD Campos'!$W$2,IF(F812="","ERRO",10*F812)*'BD Campos'!$W$3)</f>
        <v>1</v>
      </c>
      <c r="H812" s="40">
        <v>0.05</v>
      </c>
      <c r="I812" s="41">
        <f t="shared" ref="I812:I818" si="38">H812*G812*-1</f>
        <v>-0.05</v>
      </c>
    </row>
    <row r="813" spans="1:9" hidden="1" x14ac:dyDescent="0.35">
      <c r="A813" s="37" t="str">
        <f t="shared" si="37"/>
        <v>CHATBOTReceptiva 22</v>
      </c>
      <c r="B813" s="37" t="s">
        <v>97</v>
      </c>
      <c r="C813" s="37" t="s">
        <v>100</v>
      </c>
      <c r="D813" s="37">
        <v>2</v>
      </c>
      <c r="E813" s="37" t="s">
        <v>1316</v>
      </c>
      <c r="F813" s="38">
        <v>0.1</v>
      </c>
      <c r="G813" s="39">
        <f>IF(OR(B813="FIXO",B813="XFIXO"),IF(F813="","ERRO",10*F813)*'BD Campos'!$W$2,IF(F813="","ERRO",10*F813)*'BD Campos'!$W$3)</f>
        <v>1</v>
      </c>
      <c r="H813" s="40">
        <v>0.05</v>
      </c>
      <c r="I813" s="41">
        <f t="shared" si="38"/>
        <v>-0.05</v>
      </c>
    </row>
    <row r="814" spans="1:9" hidden="1" x14ac:dyDescent="0.35">
      <c r="A814" s="37" t="str">
        <f t="shared" si="37"/>
        <v>CHATBOTReceptiva 23</v>
      </c>
      <c r="B814" s="37" t="s">
        <v>97</v>
      </c>
      <c r="C814" s="37" t="s">
        <v>100</v>
      </c>
      <c r="D814" s="37">
        <v>3</v>
      </c>
      <c r="E814" s="37" t="s">
        <v>1317</v>
      </c>
      <c r="F814" s="38">
        <v>0.1</v>
      </c>
      <c r="G814" s="39">
        <f>IF(OR(B814="FIXO",B814="XFIXO"),IF(F814="","ERRO",10*F814)*'BD Campos'!$W$2,IF(F814="","ERRO",10*F814)*'BD Campos'!$W$3)</f>
        <v>1</v>
      </c>
      <c r="H814" s="40">
        <v>0.05</v>
      </c>
      <c r="I814" s="41">
        <f t="shared" si="38"/>
        <v>-0.05</v>
      </c>
    </row>
    <row r="815" spans="1:9" hidden="1" x14ac:dyDescent="0.35">
      <c r="A815" s="37" t="str">
        <f t="shared" si="37"/>
        <v>CHATBOTReceptiva 24</v>
      </c>
      <c r="B815" s="37" t="s">
        <v>97</v>
      </c>
      <c r="C815" s="37" t="s">
        <v>100</v>
      </c>
      <c r="D815" s="37">
        <v>4</v>
      </c>
      <c r="E815" s="37" t="s">
        <v>1318</v>
      </c>
      <c r="F815" s="38">
        <v>0.1</v>
      </c>
      <c r="G815" s="39">
        <f>IF(OR(B815="FIXO",B815="XFIXO"),IF(F815="","ERRO",10*F815)*'BD Campos'!$W$2,IF(F815="","ERRO",10*F815)*'BD Campos'!$W$3)</f>
        <v>1</v>
      </c>
      <c r="H815" s="40">
        <v>0.05</v>
      </c>
      <c r="I815" s="41">
        <f t="shared" si="38"/>
        <v>-0.05</v>
      </c>
    </row>
    <row r="816" spans="1:9" hidden="1" x14ac:dyDescent="0.35">
      <c r="A816" s="37" t="str">
        <f t="shared" si="37"/>
        <v>CHATBOTReceptiva 25</v>
      </c>
      <c r="B816" s="37" t="s">
        <v>97</v>
      </c>
      <c r="C816" s="37" t="s">
        <v>100</v>
      </c>
      <c r="D816" s="37">
        <v>5</v>
      </c>
      <c r="E816" s="37" t="s">
        <v>1319</v>
      </c>
      <c r="F816" s="38">
        <v>0.1</v>
      </c>
      <c r="G816" s="39">
        <f>IF(OR(B816="FIXO",B816="XFIXO"),IF(F816="","ERRO",10*F816)*'BD Campos'!$W$2,IF(F816="","ERRO",10*F816)*'BD Campos'!$W$3)</f>
        <v>1</v>
      </c>
      <c r="H816" s="40">
        <v>0.05</v>
      </c>
      <c r="I816" s="41">
        <f t="shared" si="38"/>
        <v>-0.05</v>
      </c>
    </row>
    <row r="817" spans="1:9" hidden="1" x14ac:dyDescent="0.35">
      <c r="A817" s="37" t="str">
        <f>B817&amp;C817&amp;D817</f>
        <v>CHATBOTReceptiva 26</v>
      </c>
      <c r="B817" s="37" t="s">
        <v>97</v>
      </c>
      <c r="C817" s="37" t="s">
        <v>100</v>
      </c>
      <c r="D817" s="37">
        <v>6</v>
      </c>
      <c r="E817" s="37" t="s">
        <v>1216</v>
      </c>
      <c r="F817" s="38">
        <v>0.1</v>
      </c>
      <c r="G817" s="39">
        <f>IF(OR(B817="FIXO",B817="XFIXO"),IF(F817="","ERRO",10*F817)*'BD Campos'!$W$2,IF(F817="","ERRO",10*F817)*'BD Campos'!$W$3)</f>
        <v>1</v>
      </c>
      <c r="H817" s="40">
        <v>0.05</v>
      </c>
      <c r="I817" s="41">
        <f t="shared" si="38"/>
        <v>-0.05</v>
      </c>
    </row>
    <row r="818" spans="1:9" hidden="1" x14ac:dyDescent="0.35">
      <c r="A818" s="37" t="str">
        <f>B818&amp;C818&amp;D818</f>
        <v>CHATBOTReceptiva 27</v>
      </c>
      <c r="B818" s="37" t="s">
        <v>97</v>
      </c>
      <c r="C818" s="37" t="s">
        <v>100</v>
      </c>
      <c r="D818" s="37">
        <v>7</v>
      </c>
      <c r="E818" s="37" t="s">
        <v>1320</v>
      </c>
      <c r="F818" s="38">
        <v>0.1</v>
      </c>
      <c r="G818" s="39">
        <f>IF(OR(B818="FIXO",B818="XFIXO"),IF(F818="","ERRO",10*F818)*'BD Campos'!$W$2,IF(F818="","ERRO",10*F818)*'BD Campos'!$W$3)</f>
        <v>1</v>
      </c>
      <c r="H818" s="40">
        <v>0.05</v>
      </c>
      <c r="I818" s="41">
        <f t="shared" si="38"/>
        <v>-0.05</v>
      </c>
    </row>
    <row r="819" spans="1:9" hidden="1" x14ac:dyDescent="0.35">
      <c r="A819" s="37" t="str">
        <f>B819&amp;C819&amp;D819</f>
        <v>CHATBOTReceptiva 28</v>
      </c>
      <c r="B819" s="37" t="s">
        <v>97</v>
      </c>
      <c r="C819" s="37" t="s">
        <v>100</v>
      </c>
      <c r="D819" s="37">
        <v>8</v>
      </c>
      <c r="E819" s="37" t="s">
        <v>1321</v>
      </c>
      <c r="F819" s="38">
        <v>0.1</v>
      </c>
      <c r="G819" s="39">
        <f>IF(OR(B819="FIXO",B819="XFIXO"),IF(F819="","ERRO",10*F819)*'BD Campos'!$W$2,IF(F819="","ERRO",10*F819)*'BD Campos'!$W$3)</f>
        <v>1</v>
      </c>
      <c r="H819" s="40">
        <v>0.05</v>
      </c>
      <c r="I819" s="41">
        <f>H819*G819*-1</f>
        <v>-0.05</v>
      </c>
    </row>
    <row r="820" spans="1:9" hidden="1" x14ac:dyDescent="0.35">
      <c r="A820" s="37" t="str">
        <f>B820&amp;C820&amp;D820</f>
        <v>CHATBOTReceptiva 29</v>
      </c>
      <c r="B820" s="37" t="s">
        <v>97</v>
      </c>
      <c r="C820" s="37" t="s">
        <v>100</v>
      </c>
      <c r="D820" s="37">
        <v>9</v>
      </c>
      <c r="E820" s="37" t="s">
        <v>1322</v>
      </c>
      <c r="F820" s="38">
        <v>0.1</v>
      </c>
      <c r="G820" s="39">
        <f>IF(OR(B820="FIXO",B820="XFIXO"),IF(F820="","ERRO",10*F820)*'BD Campos'!$W$2,IF(F820="","ERRO",10*F820)*'BD Campos'!$W$3)</f>
        <v>1</v>
      </c>
      <c r="H820" s="40">
        <v>0.05</v>
      </c>
      <c r="I820" s="41">
        <f>H820*G820*-1</f>
        <v>-0.05</v>
      </c>
    </row>
    <row r="821" spans="1:9" hidden="1" x14ac:dyDescent="0.35">
      <c r="A821" s="37" t="str">
        <f>B821&amp;C821&amp;D821</f>
        <v>CHATBOTReceptiva 210</v>
      </c>
      <c r="B821" s="37" t="s">
        <v>97</v>
      </c>
      <c r="C821" s="37" t="s">
        <v>100</v>
      </c>
      <c r="D821" s="37">
        <v>10</v>
      </c>
      <c r="E821" s="37" t="s">
        <v>1323</v>
      </c>
      <c r="F821" s="38">
        <v>0.1</v>
      </c>
      <c r="G821" s="39">
        <f>IF(OR(B821="FIXO",B821="XFIXO"),IF(F821="","ERRO",10*F821)*'BD Campos'!$W$2,IF(F821="","ERRO",10*F821)*'BD Campos'!$W$3)</f>
        <v>1</v>
      </c>
      <c r="H821" s="40">
        <v>0.05</v>
      </c>
      <c r="I821" s="41">
        <f>H821*G821*-1</f>
        <v>-0.05</v>
      </c>
    </row>
    <row r="822" spans="1:9" hidden="1" x14ac:dyDescent="0.35">
      <c r="A822" s="43" t="str">
        <f t="shared" ref="A822:A878" si="39">B822&amp;C822&amp;D822</f>
        <v>DESVIO DE ROTAPolicia 31</v>
      </c>
      <c r="B822" s="37" t="s">
        <v>126</v>
      </c>
      <c r="C822" s="37" t="s">
        <v>1324</v>
      </c>
      <c r="D822" s="37">
        <v>1</v>
      </c>
      <c r="E822" s="37" t="s">
        <v>1212</v>
      </c>
      <c r="F822" s="38">
        <v>0.08</v>
      </c>
      <c r="G822" s="39">
        <f>IF(OR(B822="FIXO",B822="XFIXO"),IF(F822="","ERRO",10*F822)*'BD Campos'!$W$2,IF(F822="","ERRO",10*F822)*'BD Campos'!$W$3)</f>
        <v>0.8</v>
      </c>
      <c r="H822" s="46">
        <v>0.05</v>
      </c>
      <c r="I822" s="47">
        <f t="shared" ref="I822:I878" si="40">H822*G822*-1</f>
        <v>-4.0000000000000008E-2</v>
      </c>
    </row>
    <row r="823" spans="1:9" hidden="1" x14ac:dyDescent="0.35">
      <c r="A823" s="43" t="str">
        <f t="shared" si="39"/>
        <v>DESVIO DE ROTAPolicia 32</v>
      </c>
      <c r="B823" s="37" t="s">
        <v>126</v>
      </c>
      <c r="C823" s="37" t="s">
        <v>1324</v>
      </c>
      <c r="D823" s="37">
        <v>2</v>
      </c>
      <c r="E823" s="37" t="s">
        <v>1213</v>
      </c>
      <c r="F823" s="38">
        <v>0.08</v>
      </c>
      <c r="G823" s="39">
        <f>IF(OR(B823="FIXO",B823="XFIXO"),IF(F823="","ERRO",10*F823)*'BD Campos'!$W$2,IF(F823="","ERRO",10*F823)*'BD Campos'!$W$3)</f>
        <v>0.8</v>
      </c>
      <c r="H823" s="46">
        <v>0.05</v>
      </c>
      <c r="I823" s="47">
        <f t="shared" si="40"/>
        <v>-4.0000000000000008E-2</v>
      </c>
    </row>
    <row r="824" spans="1:9" hidden="1" x14ac:dyDescent="0.35">
      <c r="A824" s="43" t="str">
        <f t="shared" si="39"/>
        <v>DESVIO DE ROTAPolicia 33</v>
      </c>
      <c r="B824" s="37" t="s">
        <v>126</v>
      </c>
      <c r="C824" s="37" t="s">
        <v>1324</v>
      </c>
      <c r="D824" s="37">
        <v>3</v>
      </c>
      <c r="E824" s="37" t="s">
        <v>1214</v>
      </c>
      <c r="F824" s="38">
        <v>0.08</v>
      </c>
      <c r="G824" s="39">
        <f>IF(OR(B824="FIXO",B824="XFIXO"),IF(F824="","ERRO",10*F824)*'BD Campos'!$W$2,IF(F824="","ERRO",10*F824)*'BD Campos'!$W$3)</f>
        <v>0.8</v>
      </c>
      <c r="H824" s="46">
        <v>0.05</v>
      </c>
      <c r="I824" s="47">
        <f t="shared" si="40"/>
        <v>-4.0000000000000008E-2</v>
      </c>
    </row>
    <row r="825" spans="1:9" hidden="1" x14ac:dyDescent="0.35">
      <c r="A825" s="43" t="str">
        <f t="shared" si="39"/>
        <v>DESVIO DE ROTAPolicia 34</v>
      </c>
      <c r="B825" s="37" t="s">
        <v>126</v>
      </c>
      <c r="C825" s="37" t="s">
        <v>1324</v>
      </c>
      <c r="D825" s="37">
        <v>4</v>
      </c>
      <c r="E825" s="37" t="s">
        <v>1215</v>
      </c>
      <c r="F825" s="38">
        <v>0.08</v>
      </c>
      <c r="G825" s="39">
        <f>IF(OR(B825="FIXO",B825="XFIXO"),IF(F825="","ERRO",10*F825)*'BD Campos'!$W$2,IF(F825="","ERRO",10*F825)*'BD Campos'!$W$3)</f>
        <v>0.8</v>
      </c>
      <c r="H825" s="46">
        <v>0.05</v>
      </c>
      <c r="I825" s="47">
        <f t="shared" si="40"/>
        <v>-4.0000000000000008E-2</v>
      </c>
    </row>
    <row r="826" spans="1:9" hidden="1" x14ac:dyDescent="0.35">
      <c r="A826" s="43" t="str">
        <f t="shared" si="39"/>
        <v>DESVIO DE ROTAPolicia 35</v>
      </c>
      <c r="B826" s="37" t="s">
        <v>126</v>
      </c>
      <c r="C826" s="37" t="s">
        <v>1324</v>
      </c>
      <c r="D826" s="37">
        <v>5</v>
      </c>
      <c r="E826" s="37" t="s">
        <v>1216</v>
      </c>
      <c r="F826" s="38">
        <v>0.08</v>
      </c>
      <c r="G826" s="39">
        <f>IF(OR(B826="FIXO",B826="XFIXO"),IF(F826="","ERRO",10*F826)*'BD Campos'!$W$2,IF(F826="","ERRO",10*F826)*'BD Campos'!$W$3)</f>
        <v>0.8</v>
      </c>
      <c r="H826" s="46">
        <v>0.05</v>
      </c>
      <c r="I826" s="47">
        <f t="shared" si="40"/>
        <v>-4.0000000000000008E-2</v>
      </c>
    </row>
    <row r="827" spans="1:9" hidden="1" x14ac:dyDescent="0.35">
      <c r="A827" s="43" t="str">
        <f t="shared" si="39"/>
        <v>DESVIO DE ROTAPolicia 36</v>
      </c>
      <c r="B827" s="37" t="s">
        <v>126</v>
      </c>
      <c r="C827" s="37" t="s">
        <v>1324</v>
      </c>
      <c r="D827" s="37">
        <v>6</v>
      </c>
      <c r="E827" s="37" t="s">
        <v>1217</v>
      </c>
      <c r="F827" s="38">
        <v>0.08</v>
      </c>
      <c r="G827" s="39">
        <f>IF(OR(B827="FIXO",B827="XFIXO"),IF(F827="","ERRO",10*F827)*'BD Campos'!$W$2,IF(F827="","ERRO",10*F827)*'BD Campos'!$W$3)</f>
        <v>0.8</v>
      </c>
      <c r="H827" s="46">
        <v>0.05</v>
      </c>
      <c r="I827" s="47">
        <f t="shared" si="40"/>
        <v>-4.0000000000000008E-2</v>
      </c>
    </row>
    <row r="828" spans="1:9" hidden="1" x14ac:dyDescent="0.35">
      <c r="A828" s="43" t="str">
        <f t="shared" si="39"/>
        <v>DESVIO DE ROTAPolicia 37</v>
      </c>
      <c r="B828" s="37" t="s">
        <v>126</v>
      </c>
      <c r="C828" s="37" t="s">
        <v>1324</v>
      </c>
      <c r="D828" s="37">
        <v>7</v>
      </c>
      <c r="E828" s="37" t="s">
        <v>1250</v>
      </c>
      <c r="F828" s="38">
        <v>0.08</v>
      </c>
      <c r="G828" s="39">
        <f>IF(OR(B828="FIXO",B828="XFIXO"),IF(F828="","ERRO",10*F828)*'BD Campos'!$W$2,IF(F828="","ERRO",10*F828)*'BD Campos'!$W$3)</f>
        <v>0.8</v>
      </c>
      <c r="H828" s="40">
        <v>0.05</v>
      </c>
      <c r="I828" s="41">
        <f t="shared" si="40"/>
        <v>-4.0000000000000008E-2</v>
      </c>
    </row>
    <row r="829" spans="1:9" hidden="1" x14ac:dyDescent="0.35">
      <c r="A829" s="43" t="str">
        <f t="shared" si="39"/>
        <v>DESVIO DE ROTAPolicia 38</v>
      </c>
      <c r="B829" s="37" t="s">
        <v>126</v>
      </c>
      <c r="C829" s="37" t="s">
        <v>1324</v>
      </c>
      <c r="D829" s="37">
        <v>8</v>
      </c>
      <c r="E829" s="37" t="s">
        <v>1251</v>
      </c>
      <c r="F829" s="38">
        <v>0.08</v>
      </c>
      <c r="G829" s="39">
        <f>IF(OR(B829="FIXO",B829="XFIXO"),IF(F829="","ERRO",10*F829)*'BD Campos'!$W$2,IF(F829="","ERRO",10*F829)*'BD Campos'!$W$3)</f>
        <v>0.8</v>
      </c>
      <c r="H829" s="40">
        <v>0.05</v>
      </c>
      <c r="I829" s="41">
        <f t="shared" si="40"/>
        <v>-4.0000000000000008E-2</v>
      </c>
    </row>
    <row r="830" spans="1:9" hidden="1" x14ac:dyDescent="0.35">
      <c r="A830" s="43" t="str">
        <f t="shared" si="39"/>
        <v>DESVIO DE ROTAPolicia 39</v>
      </c>
      <c r="B830" s="37" t="s">
        <v>126</v>
      </c>
      <c r="C830" s="37" t="s">
        <v>1324</v>
      </c>
      <c r="D830" s="37">
        <v>9</v>
      </c>
      <c r="E830" s="37" t="s">
        <v>1252</v>
      </c>
      <c r="F830" s="38">
        <v>0.08</v>
      </c>
      <c r="G830" s="39">
        <f>IF(OR(B830="FIXO",B830="XFIXO"),IF(F830="","ERRO",10*F830)*'BD Campos'!$W$2,IF(F830="","ERRO",10*F830)*'BD Campos'!$W$3)</f>
        <v>0.8</v>
      </c>
      <c r="H830" s="40">
        <v>0.05</v>
      </c>
      <c r="I830" s="41">
        <f t="shared" si="40"/>
        <v>-4.0000000000000008E-2</v>
      </c>
    </row>
    <row r="831" spans="1:9" hidden="1" x14ac:dyDescent="0.35">
      <c r="A831" s="43" t="str">
        <f t="shared" si="39"/>
        <v>DESVIO DE ROTAPolicia 310</v>
      </c>
      <c r="B831" s="37" t="s">
        <v>126</v>
      </c>
      <c r="C831" s="37" t="s">
        <v>1324</v>
      </c>
      <c r="D831" s="37">
        <v>10</v>
      </c>
      <c r="E831" s="37" t="s">
        <v>1253</v>
      </c>
      <c r="F831" s="38">
        <v>0.08</v>
      </c>
      <c r="G831" s="39">
        <f>IF(OR(B831="FIXO",B831="XFIXO"),IF(F831="","ERRO",10*F831)*'BD Campos'!$W$2,IF(F831="","ERRO",10*F831)*'BD Campos'!$W$3)</f>
        <v>0.8</v>
      </c>
      <c r="H831" s="40">
        <v>0.05</v>
      </c>
      <c r="I831" s="41">
        <f t="shared" si="40"/>
        <v>-4.0000000000000008E-2</v>
      </c>
    </row>
    <row r="832" spans="1:9" hidden="1" x14ac:dyDescent="0.35">
      <c r="A832" s="43" t="str">
        <f t="shared" si="39"/>
        <v>DESVIO DE ROTAPolicia 311</v>
      </c>
      <c r="B832" s="37" t="s">
        <v>126</v>
      </c>
      <c r="C832" s="37" t="s">
        <v>1324</v>
      </c>
      <c r="D832" s="37">
        <v>11</v>
      </c>
      <c r="E832" s="37" t="s">
        <v>1254</v>
      </c>
      <c r="F832" s="38">
        <v>0.1</v>
      </c>
      <c r="G832" s="39">
        <f>IF(OR(B832="FIXO",B832="XFIXO"),IF(F832="","ERRO",10*F832)*'BD Campos'!$W$2,IF(F832="","ERRO",10*F832)*'BD Campos'!$W$3)</f>
        <v>1</v>
      </c>
      <c r="H832" s="40">
        <v>0.05</v>
      </c>
      <c r="I832" s="41">
        <f t="shared" si="40"/>
        <v>-0.05</v>
      </c>
    </row>
    <row r="833" spans="1:9" hidden="1" x14ac:dyDescent="0.35">
      <c r="A833" s="43" t="str">
        <f t="shared" si="39"/>
        <v>DESVIO DE ROTAPolicia 312</v>
      </c>
      <c r="B833" s="37" t="s">
        <v>126</v>
      </c>
      <c r="C833" s="37" t="s">
        <v>1324</v>
      </c>
      <c r="D833" s="37">
        <v>12</v>
      </c>
      <c r="E833" s="37" t="s">
        <v>1255</v>
      </c>
      <c r="F833" s="38">
        <v>0.1</v>
      </c>
      <c r="G833" s="39">
        <f>IF(OR(B833="FIXO",B833="XFIXO"),IF(F833="","ERRO",10*F833)*'BD Campos'!$W$2,IF(F833="","ERRO",10*F833)*'BD Campos'!$W$3)</f>
        <v>1</v>
      </c>
      <c r="H833" s="40">
        <v>0.05</v>
      </c>
      <c r="I833" s="41">
        <f t="shared" si="40"/>
        <v>-0.05</v>
      </c>
    </row>
    <row r="834" spans="1:9" hidden="1" x14ac:dyDescent="0.35">
      <c r="A834" s="43" t="str">
        <f t="shared" si="39"/>
        <v>PARADA INDEVIDAPolicia 31</v>
      </c>
      <c r="B834" s="37" t="s">
        <v>121</v>
      </c>
      <c r="C834" s="37" t="s">
        <v>1324</v>
      </c>
      <c r="D834" s="37">
        <v>1</v>
      </c>
      <c r="E834" s="37" t="s">
        <v>1212</v>
      </c>
      <c r="F834" s="38">
        <v>0.08</v>
      </c>
      <c r="G834" s="39">
        <f>IF(OR(B834="FIXO",B834="XFIXO"),IF(F834="","ERRO",10*F834)*'BD Campos'!$W$2,IF(F834="","ERRO",10*F834)*'BD Campos'!$W$3)</f>
        <v>0.8</v>
      </c>
      <c r="H834" s="46">
        <v>0.05</v>
      </c>
      <c r="I834" s="47">
        <f t="shared" si="40"/>
        <v>-4.0000000000000008E-2</v>
      </c>
    </row>
    <row r="835" spans="1:9" hidden="1" x14ac:dyDescent="0.35">
      <c r="A835" s="43" t="str">
        <f t="shared" si="39"/>
        <v>PARADA INDEVIDAPolicia 32</v>
      </c>
      <c r="B835" s="37" t="s">
        <v>121</v>
      </c>
      <c r="C835" s="37" t="s">
        <v>1324</v>
      </c>
      <c r="D835" s="37">
        <v>2</v>
      </c>
      <c r="E835" s="37" t="s">
        <v>1213</v>
      </c>
      <c r="F835" s="38">
        <v>0.08</v>
      </c>
      <c r="G835" s="39">
        <f>IF(OR(B835="FIXO",B835="XFIXO"),IF(F835="","ERRO",10*F835)*'BD Campos'!$W$2,IF(F835="","ERRO",10*F835)*'BD Campos'!$W$3)</f>
        <v>0.8</v>
      </c>
      <c r="H835" s="46">
        <v>0.05</v>
      </c>
      <c r="I835" s="47">
        <f t="shared" si="40"/>
        <v>-4.0000000000000008E-2</v>
      </c>
    </row>
    <row r="836" spans="1:9" hidden="1" x14ac:dyDescent="0.35">
      <c r="A836" s="43" t="str">
        <f t="shared" si="39"/>
        <v>PARADA INDEVIDAPolicia 33</v>
      </c>
      <c r="B836" s="37" t="s">
        <v>121</v>
      </c>
      <c r="C836" s="37" t="s">
        <v>1324</v>
      </c>
      <c r="D836" s="37">
        <v>3</v>
      </c>
      <c r="E836" s="37" t="s">
        <v>1214</v>
      </c>
      <c r="F836" s="38">
        <v>0.08</v>
      </c>
      <c r="G836" s="39">
        <f>IF(OR(B836="FIXO",B836="XFIXO"),IF(F836="","ERRO",10*F836)*'BD Campos'!$W$2,IF(F836="","ERRO",10*F836)*'BD Campos'!$W$3)</f>
        <v>0.8</v>
      </c>
      <c r="H836" s="46">
        <v>0.05</v>
      </c>
      <c r="I836" s="47">
        <f t="shared" si="40"/>
        <v>-4.0000000000000008E-2</v>
      </c>
    </row>
    <row r="837" spans="1:9" hidden="1" x14ac:dyDescent="0.35">
      <c r="A837" s="43" t="str">
        <f t="shared" si="39"/>
        <v>PARADA INDEVIDAPolicia 34</v>
      </c>
      <c r="B837" s="37" t="s">
        <v>121</v>
      </c>
      <c r="C837" s="37" t="s">
        <v>1324</v>
      </c>
      <c r="D837" s="37">
        <v>4</v>
      </c>
      <c r="E837" s="37" t="s">
        <v>1215</v>
      </c>
      <c r="F837" s="38">
        <v>0.08</v>
      </c>
      <c r="G837" s="39">
        <f>IF(OR(B837="FIXO",B837="XFIXO"),IF(F837="","ERRO",10*F837)*'BD Campos'!$W$2,IF(F837="","ERRO",10*F837)*'BD Campos'!$W$3)</f>
        <v>0.8</v>
      </c>
      <c r="H837" s="46">
        <v>0.05</v>
      </c>
      <c r="I837" s="47">
        <f t="shared" si="40"/>
        <v>-4.0000000000000008E-2</v>
      </c>
    </row>
    <row r="838" spans="1:9" hidden="1" x14ac:dyDescent="0.35">
      <c r="A838" s="43" t="str">
        <f t="shared" si="39"/>
        <v>PARADA INDEVIDAPolicia 35</v>
      </c>
      <c r="B838" s="37" t="s">
        <v>121</v>
      </c>
      <c r="C838" s="37" t="s">
        <v>1324</v>
      </c>
      <c r="D838" s="37">
        <v>5</v>
      </c>
      <c r="E838" s="37" t="s">
        <v>1216</v>
      </c>
      <c r="F838" s="38">
        <v>0.08</v>
      </c>
      <c r="G838" s="39">
        <f>IF(OR(B838="FIXO",B838="XFIXO"),IF(F838="","ERRO",10*F838)*'BD Campos'!$W$2,IF(F838="","ERRO",10*F838)*'BD Campos'!$W$3)</f>
        <v>0.8</v>
      </c>
      <c r="H838" s="46">
        <v>0.05</v>
      </c>
      <c r="I838" s="47">
        <f t="shared" si="40"/>
        <v>-4.0000000000000008E-2</v>
      </c>
    </row>
    <row r="839" spans="1:9" hidden="1" x14ac:dyDescent="0.35">
      <c r="A839" s="43" t="str">
        <f t="shared" si="39"/>
        <v>PARADA INDEVIDAPolicia 36</v>
      </c>
      <c r="B839" s="37" t="s">
        <v>121</v>
      </c>
      <c r="C839" s="37" t="s">
        <v>1324</v>
      </c>
      <c r="D839" s="37">
        <v>6</v>
      </c>
      <c r="E839" s="37" t="s">
        <v>1217</v>
      </c>
      <c r="F839" s="38">
        <v>0.08</v>
      </c>
      <c r="G839" s="39">
        <f>IF(OR(B839="FIXO",B839="XFIXO"),IF(F839="","ERRO",10*F839)*'BD Campos'!$W$2,IF(F839="","ERRO",10*F839)*'BD Campos'!$W$3)</f>
        <v>0.8</v>
      </c>
      <c r="H839" s="46">
        <v>0.05</v>
      </c>
      <c r="I839" s="47">
        <f t="shared" si="40"/>
        <v>-4.0000000000000008E-2</v>
      </c>
    </row>
    <row r="840" spans="1:9" hidden="1" x14ac:dyDescent="0.35">
      <c r="A840" s="43" t="str">
        <f t="shared" si="39"/>
        <v>PARADA INDEVIDAPolicia 37</v>
      </c>
      <c r="B840" s="37" t="s">
        <v>121</v>
      </c>
      <c r="C840" s="37" t="s">
        <v>1324</v>
      </c>
      <c r="D840" s="37">
        <v>7</v>
      </c>
      <c r="E840" s="37" t="s">
        <v>1250</v>
      </c>
      <c r="F840" s="38">
        <v>0.08</v>
      </c>
      <c r="G840" s="39">
        <f>IF(OR(B840="FIXO",B840="XFIXO"),IF(F840="","ERRO",10*F840)*'BD Campos'!$W$2,IF(F840="","ERRO",10*F840)*'BD Campos'!$W$3)</f>
        <v>0.8</v>
      </c>
      <c r="H840" s="40">
        <v>0.05</v>
      </c>
      <c r="I840" s="41">
        <f t="shared" si="40"/>
        <v>-4.0000000000000008E-2</v>
      </c>
    </row>
    <row r="841" spans="1:9" hidden="1" x14ac:dyDescent="0.35">
      <c r="A841" s="43" t="str">
        <f t="shared" si="39"/>
        <v>PARADA INDEVIDAPolicia 38</v>
      </c>
      <c r="B841" s="37" t="s">
        <v>121</v>
      </c>
      <c r="C841" s="37" t="s">
        <v>1324</v>
      </c>
      <c r="D841" s="37">
        <v>8</v>
      </c>
      <c r="E841" s="37" t="s">
        <v>1251</v>
      </c>
      <c r="F841" s="38">
        <v>0.08</v>
      </c>
      <c r="G841" s="39">
        <f>IF(OR(B841="FIXO",B841="XFIXO"),IF(F841="","ERRO",10*F841)*'BD Campos'!$W$2,IF(F841="","ERRO",10*F841)*'BD Campos'!$W$3)</f>
        <v>0.8</v>
      </c>
      <c r="H841" s="40">
        <v>0.05</v>
      </c>
      <c r="I841" s="41">
        <f t="shared" si="40"/>
        <v>-4.0000000000000008E-2</v>
      </c>
    </row>
    <row r="842" spans="1:9" hidden="1" x14ac:dyDescent="0.35">
      <c r="A842" s="43" t="str">
        <f t="shared" si="39"/>
        <v>PARADA INDEVIDAPolicia 39</v>
      </c>
      <c r="B842" s="37" t="s">
        <v>121</v>
      </c>
      <c r="C842" s="37" t="s">
        <v>1324</v>
      </c>
      <c r="D842" s="37">
        <v>9</v>
      </c>
      <c r="E842" s="37" t="s">
        <v>1252</v>
      </c>
      <c r="F842" s="38">
        <v>0.08</v>
      </c>
      <c r="G842" s="39">
        <f>IF(OR(B842="FIXO",B842="XFIXO"),IF(F842="","ERRO",10*F842)*'BD Campos'!$W$2,IF(F842="","ERRO",10*F842)*'BD Campos'!$W$3)</f>
        <v>0.8</v>
      </c>
      <c r="H842" s="40">
        <v>0.05</v>
      </c>
      <c r="I842" s="41">
        <f t="shared" si="40"/>
        <v>-4.0000000000000008E-2</v>
      </c>
    </row>
    <row r="843" spans="1:9" hidden="1" x14ac:dyDescent="0.35">
      <c r="A843" s="43" t="str">
        <f t="shared" si="39"/>
        <v>PARADA INDEVIDAPolicia 310</v>
      </c>
      <c r="B843" s="37" t="s">
        <v>121</v>
      </c>
      <c r="C843" s="37" t="s">
        <v>1324</v>
      </c>
      <c r="D843" s="37">
        <v>10</v>
      </c>
      <c r="E843" s="37" t="s">
        <v>1253</v>
      </c>
      <c r="F843" s="38">
        <v>0.08</v>
      </c>
      <c r="G843" s="39">
        <f>IF(OR(B843="FIXO",B843="XFIXO"),IF(F843="","ERRO",10*F843)*'BD Campos'!$W$2,IF(F843="","ERRO",10*F843)*'BD Campos'!$W$3)</f>
        <v>0.8</v>
      </c>
      <c r="H843" s="40">
        <v>0.05</v>
      </c>
      <c r="I843" s="41">
        <f t="shared" si="40"/>
        <v>-4.0000000000000008E-2</v>
      </c>
    </row>
    <row r="844" spans="1:9" hidden="1" x14ac:dyDescent="0.35">
      <c r="A844" s="43" t="str">
        <f t="shared" si="39"/>
        <v>PARADA INDEVIDAPolicia 311</v>
      </c>
      <c r="B844" s="37" t="s">
        <v>121</v>
      </c>
      <c r="C844" s="37" t="s">
        <v>1324</v>
      </c>
      <c r="D844" s="37">
        <v>11</v>
      </c>
      <c r="E844" s="37" t="s">
        <v>1254</v>
      </c>
      <c r="F844" s="38">
        <v>0.1</v>
      </c>
      <c r="G844" s="39">
        <f>IF(OR(B844="FIXO",B844="XFIXO"),IF(F844="","ERRO",10*F844)*'BD Campos'!$W$2,IF(F844="","ERRO",10*F844)*'BD Campos'!$W$3)</f>
        <v>1</v>
      </c>
      <c r="H844" s="40">
        <v>0.05</v>
      </c>
      <c r="I844" s="41">
        <f t="shared" si="40"/>
        <v>-0.05</v>
      </c>
    </row>
    <row r="845" spans="1:9" hidden="1" x14ac:dyDescent="0.35">
      <c r="A845" s="43" t="str">
        <f t="shared" si="39"/>
        <v>PARADA INDEVIDAPolicia 312</v>
      </c>
      <c r="B845" s="37" t="s">
        <v>121</v>
      </c>
      <c r="C845" s="37" t="s">
        <v>1324</v>
      </c>
      <c r="D845" s="37">
        <v>12</v>
      </c>
      <c r="E845" s="37" t="s">
        <v>1255</v>
      </c>
      <c r="F845" s="38">
        <v>0.1</v>
      </c>
      <c r="G845" s="39">
        <f>IF(OR(B845="FIXO",B845="XFIXO"),IF(F845="","ERRO",10*F845)*'BD Campos'!$W$2,IF(F845="","ERRO",10*F845)*'BD Campos'!$W$3)</f>
        <v>1</v>
      </c>
      <c r="H845" s="40">
        <v>0.05</v>
      </c>
      <c r="I845" s="41">
        <f t="shared" si="40"/>
        <v>-0.05</v>
      </c>
    </row>
    <row r="846" spans="1:9" hidden="1" x14ac:dyDescent="0.35">
      <c r="A846" s="43" t="str">
        <f t="shared" si="39"/>
        <v>POSIÇÃO EM ATRASOPolicia 31</v>
      </c>
      <c r="B846" s="37" t="s">
        <v>123</v>
      </c>
      <c r="C846" s="37" t="s">
        <v>1324</v>
      </c>
      <c r="D846" s="37">
        <v>1</v>
      </c>
      <c r="E846" s="37" t="s">
        <v>1212</v>
      </c>
      <c r="F846" s="38">
        <v>0.08</v>
      </c>
      <c r="G846" s="39">
        <f>IF(OR(B846="FIXO",B846="XFIXO"),IF(F846="","ERRO",10*F846)*'BD Campos'!$W$2,IF(F846="","ERRO",10*F846)*'BD Campos'!$W$3)</f>
        <v>0.8</v>
      </c>
      <c r="H846" s="46">
        <v>0.05</v>
      </c>
      <c r="I846" s="47">
        <f t="shared" si="40"/>
        <v>-4.0000000000000008E-2</v>
      </c>
    </row>
    <row r="847" spans="1:9" hidden="1" x14ac:dyDescent="0.35">
      <c r="A847" s="43" t="str">
        <f t="shared" si="39"/>
        <v>POSIÇÃO EM ATRASOPolicia 32</v>
      </c>
      <c r="B847" s="37" t="s">
        <v>123</v>
      </c>
      <c r="C847" s="37" t="s">
        <v>1324</v>
      </c>
      <c r="D847" s="37">
        <v>2</v>
      </c>
      <c r="E847" s="37" t="s">
        <v>1213</v>
      </c>
      <c r="F847" s="38">
        <v>0.08</v>
      </c>
      <c r="G847" s="39">
        <f>IF(OR(B847="FIXO",B847="XFIXO"),IF(F847="","ERRO",10*F847)*'BD Campos'!$W$2,IF(F847="","ERRO",10*F847)*'BD Campos'!$W$3)</f>
        <v>0.8</v>
      </c>
      <c r="H847" s="46">
        <v>0.05</v>
      </c>
      <c r="I847" s="47">
        <f t="shared" si="40"/>
        <v>-4.0000000000000008E-2</v>
      </c>
    </row>
    <row r="848" spans="1:9" hidden="1" x14ac:dyDescent="0.35">
      <c r="A848" s="43" t="str">
        <f t="shared" si="39"/>
        <v>POSIÇÃO EM ATRASOPolicia 33</v>
      </c>
      <c r="B848" s="37" t="s">
        <v>123</v>
      </c>
      <c r="C848" s="37" t="s">
        <v>1324</v>
      </c>
      <c r="D848" s="37">
        <v>3</v>
      </c>
      <c r="E848" s="37" t="s">
        <v>1214</v>
      </c>
      <c r="F848" s="38">
        <v>0.08</v>
      </c>
      <c r="G848" s="39">
        <f>IF(OR(B848="FIXO",B848="XFIXO"),IF(F848="","ERRO",10*F848)*'BD Campos'!$W$2,IF(F848="","ERRO",10*F848)*'BD Campos'!$W$3)</f>
        <v>0.8</v>
      </c>
      <c r="H848" s="46">
        <v>0.05</v>
      </c>
      <c r="I848" s="47">
        <f t="shared" si="40"/>
        <v>-4.0000000000000008E-2</v>
      </c>
    </row>
    <row r="849" spans="1:9" hidden="1" x14ac:dyDescent="0.35">
      <c r="A849" s="43" t="str">
        <f t="shared" si="39"/>
        <v>POSIÇÃO EM ATRASOPolicia 34</v>
      </c>
      <c r="B849" s="37" t="s">
        <v>123</v>
      </c>
      <c r="C849" s="37" t="s">
        <v>1324</v>
      </c>
      <c r="D849" s="37">
        <v>4</v>
      </c>
      <c r="E849" s="37" t="s">
        <v>1215</v>
      </c>
      <c r="F849" s="38">
        <v>0.08</v>
      </c>
      <c r="G849" s="39">
        <f>IF(OR(B849="FIXO",B849="XFIXO"),IF(F849="","ERRO",10*F849)*'BD Campos'!$W$2,IF(F849="","ERRO",10*F849)*'BD Campos'!$W$3)</f>
        <v>0.8</v>
      </c>
      <c r="H849" s="46">
        <v>0.05</v>
      </c>
      <c r="I849" s="47">
        <f t="shared" si="40"/>
        <v>-4.0000000000000008E-2</v>
      </c>
    </row>
    <row r="850" spans="1:9" hidden="1" x14ac:dyDescent="0.35">
      <c r="A850" s="43" t="str">
        <f t="shared" si="39"/>
        <v>POSIÇÃO EM ATRASOPolicia 35</v>
      </c>
      <c r="B850" s="37" t="s">
        <v>123</v>
      </c>
      <c r="C850" s="37" t="s">
        <v>1324</v>
      </c>
      <c r="D850" s="37">
        <v>5</v>
      </c>
      <c r="E850" s="37" t="s">
        <v>1216</v>
      </c>
      <c r="F850" s="38">
        <v>0.08</v>
      </c>
      <c r="G850" s="39">
        <f>IF(OR(B850="FIXO",B850="XFIXO"),IF(F850="","ERRO",10*F850)*'BD Campos'!$W$2,IF(F850="","ERRO",10*F850)*'BD Campos'!$W$3)</f>
        <v>0.8</v>
      </c>
      <c r="H850" s="46">
        <v>0.05</v>
      </c>
      <c r="I850" s="47">
        <f t="shared" si="40"/>
        <v>-4.0000000000000008E-2</v>
      </c>
    </row>
    <row r="851" spans="1:9" hidden="1" x14ac:dyDescent="0.35">
      <c r="A851" s="43" t="str">
        <f t="shared" si="39"/>
        <v>POSIÇÃO EM ATRASOPolicia 36</v>
      </c>
      <c r="B851" s="37" t="s">
        <v>123</v>
      </c>
      <c r="C851" s="37" t="s">
        <v>1324</v>
      </c>
      <c r="D851" s="37">
        <v>6</v>
      </c>
      <c r="E851" s="37" t="s">
        <v>1217</v>
      </c>
      <c r="F851" s="38">
        <v>0.08</v>
      </c>
      <c r="G851" s="39">
        <f>IF(OR(B851="FIXO",B851="XFIXO"),IF(F851="","ERRO",10*F851)*'BD Campos'!$W$2,IF(F851="","ERRO",10*F851)*'BD Campos'!$W$3)</f>
        <v>0.8</v>
      </c>
      <c r="H851" s="46">
        <v>0.05</v>
      </c>
      <c r="I851" s="47">
        <f t="shared" si="40"/>
        <v>-4.0000000000000008E-2</v>
      </c>
    </row>
    <row r="852" spans="1:9" hidden="1" x14ac:dyDescent="0.35">
      <c r="A852" s="43" t="str">
        <f t="shared" si="39"/>
        <v>POSIÇÃO EM ATRASOPolicia 37</v>
      </c>
      <c r="B852" s="37" t="s">
        <v>123</v>
      </c>
      <c r="C852" s="37" t="s">
        <v>1324</v>
      </c>
      <c r="D852" s="37">
        <v>7</v>
      </c>
      <c r="E852" s="37" t="s">
        <v>1250</v>
      </c>
      <c r="F852" s="38">
        <v>0.08</v>
      </c>
      <c r="G852" s="39">
        <f>IF(OR(B852="FIXO",B852="XFIXO"),IF(F852="","ERRO",10*F852)*'BD Campos'!$W$2,IF(F852="","ERRO",10*F852)*'BD Campos'!$W$3)</f>
        <v>0.8</v>
      </c>
      <c r="H852" s="40">
        <v>0.05</v>
      </c>
      <c r="I852" s="41">
        <f t="shared" si="40"/>
        <v>-4.0000000000000008E-2</v>
      </c>
    </row>
    <row r="853" spans="1:9" hidden="1" x14ac:dyDescent="0.35">
      <c r="A853" s="43" t="str">
        <f t="shared" si="39"/>
        <v>POSIÇÃO EM ATRASOPolicia 38</v>
      </c>
      <c r="B853" s="37" t="s">
        <v>123</v>
      </c>
      <c r="C853" s="37" t="s">
        <v>1324</v>
      </c>
      <c r="D853" s="37">
        <v>8</v>
      </c>
      <c r="E853" s="37" t="s">
        <v>1251</v>
      </c>
      <c r="F853" s="38">
        <v>0.08</v>
      </c>
      <c r="G853" s="39">
        <f>IF(OR(B853="FIXO",B853="XFIXO"),IF(F853="","ERRO",10*F853)*'BD Campos'!$W$2,IF(F853="","ERRO",10*F853)*'BD Campos'!$W$3)</f>
        <v>0.8</v>
      </c>
      <c r="H853" s="40">
        <v>0.05</v>
      </c>
      <c r="I853" s="41">
        <f t="shared" si="40"/>
        <v>-4.0000000000000008E-2</v>
      </c>
    </row>
    <row r="854" spans="1:9" hidden="1" x14ac:dyDescent="0.35">
      <c r="A854" s="43" t="str">
        <f t="shared" si="39"/>
        <v>POSIÇÃO EM ATRASOPolicia 39</v>
      </c>
      <c r="B854" s="37" t="s">
        <v>123</v>
      </c>
      <c r="C854" s="37" t="s">
        <v>1324</v>
      </c>
      <c r="D854" s="37">
        <v>9</v>
      </c>
      <c r="E854" s="37" t="s">
        <v>1252</v>
      </c>
      <c r="F854" s="38">
        <v>0.08</v>
      </c>
      <c r="G854" s="39">
        <f>IF(OR(B854="FIXO",B854="XFIXO"),IF(F854="","ERRO",10*F854)*'BD Campos'!$W$2,IF(F854="","ERRO",10*F854)*'BD Campos'!$W$3)</f>
        <v>0.8</v>
      </c>
      <c r="H854" s="40">
        <v>0.05</v>
      </c>
      <c r="I854" s="41">
        <f t="shared" si="40"/>
        <v>-4.0000000000000008E-2</v>
      </c>
    </row>
    <row r="855" spans="1:9" hidden="1" x14ac:dyDescent="0.35">
      <c r="A855" s="43" t="str">
        <f t="shared" si="39"/>
        <v>POSIÇÃO EM ATRASOPolicia 310</v>
      </c>
      <c r="B855" s="37" t="s">
        <v>123</v>
      </c>
      <c r="C855" s="37" t="s">
        <v>1324</v>
      </c>
      <c r="D855" s="37">
        <v>10</v>
      </c>
      <c r="E855" s="37" t="s">
        <v>1253</v>
      </c>
      <c r="F855" s="38">
        <v>0.08</v>
      </c>
      <c r="G855" s="39">
        <f>IF(OR(B855="FIXO",B855="XFIXO"),IF(F855="","ERRO",10*F855)*'BD Campos'!$W$2,IF(F855="","ERRO",10*F855)*'BD Campos'!$W$3)</f>
        <v>0.8</v>
      </c>
      <c r="H855" s="40">
        <v>0.05</v>
      </c>
      <c r="I855" s="41">
        <f t="shared" si="40"/>
        <v>-4.0000000000000008E-2</v>
      </c>
    </row>
    <row r="856" spans="1:9" hidden="1" x14ac:dyDescent="0.35">
      <c r="A856" s="43" t="str">
        <f t="shared" si="39"/>
        <v>POSIÇÃO EM ATRASOPolicia 311</v>
      </c>
      <c r="B856" s="37" t="s">
        <v>123</v>
      </c>
      <c r="C856" s="37" t="s">
        <v>1324</v>
      </c>
      <c r="D856" s="37">
        <v>11</v>
      </c>
      <c r="E856" s="37" t="s">
        <v>1254</v>
      </c>
      <c r="F856" s="38">
        <v>0.1</v>
      </c>
      <c r="G856" s="39">
        <f>IF(OR(B856="FIXO",B856="XFIXO"),IF(F856="","ERRO",10*F856)*'BD Campos'!$W$2,IF(F856="","ERRO",10*F856)*'BD Campos'!$W$3)</f>
        <v>1</v>
      </c>
      <c r="H856" s="40">
        <v>0.05</v>
      </c>
      <c r="I856" s="41">
        <f t="shared" si="40"/>
        <v>-0.05</v>
      </c>
    </row>
    <row r="857" spans="1:9" hidden="1" x14ac:dyDescent="0.35">
      <c r="A857" s="43" t="str">
        <f t="shared" si="39"/>
        <v>POSIÇÃO EM ATRASOPolicia 312</v>
      </c>
      <c r="B857" s="37" t="s">
        <v>123</v>
      </c>
      <c r="C857" s="37" t="s">
        <v>1324</v>
      </c>
      <c r="D857" s="37">
        <v>12</v>
      </c>
      <c r="E857" s="37" t="s">
        <v>1255</v>
      </c>
      <c r="F857" s="38">
        <v>0.1</v>
      </c>
      <c r="G857" s="39">
        <f>IF(OR(B857="FIXO",B857="XFIXO"),IF(F857="","ERRO",10*F857)*'BD Campos'!$W$2,IF(F857="","ERRO",10*F857)*'BD Campos'!$W$3)</f>
        <v>1</v>
      </c>
      <c r="H857" s="40">
        <v>0.05</v>
      </c>
      <c r="I857" s="41">
        <f t="shared" si="40"/>
        <v>-0.05</v>
      </c>
    </row>
    <row r="858" spans="1:9" hidden="1" x14ac:dyDescent="0.35">
      <c r="A858" s="43" t="str">
        <f t="shared" si="39"/>
        <v>ALERTAS PRIORITÁRIOSPolicia 31</v>
      </c>
      <c r="B858" s="37" t="s">
        <v>147</v>
      </c>
      <c r="C858" s="37" t="s">
        <v>1324</v>
      </c>
      <c r="D858" s="37">
        <v>1</v>
      </c>
      <c r="E858" s="37" t="s">
        <v>1212</v>
      </c>
      <c r="F858" s="38">
        <v>0.08</v>
      </c>
      <c r="G858" s="39">
        <f>IF(OR(B858="FIXO",B858="XFIXO"),IF(F858="","ERRO",10*F858)*'BD Campos'!$W$2,IF(F858="","ERRO",10*F858)*'BD Campos'!$W$3)</f>
        <v>0.8</v>
      </c>
      <c r="H858" s="46">
        <v>0.05</v>
      </c>
      <c r="I858" s="47">
        <f t="shared" si="40"/>
        <v>-4.0000000000000008E-2</v>
      </c>
    </row>
    <row r="859" spans="1:9" hidden="1" x14ac:dyDescent="0.35">
      <c r="A859" s="43" t="str">
        <f t="shared" si="39"/>
        <v>ALERTAS PRIORITÁRIOSPolicia 32</v>
      </c>
      <c r="B859" s="37" t="s">
        <v>147</v>
      </c>
      <c r="C859" s="37" t="s">
        <v>1324</v>
      </c>
      <c r="D859" s="37">
        <v>2</v>
      </c>
      <c r="E859" s="37" t="s">
        <v>1213</v>
      </c>
      <c r="F859" s="38">
        <v>0.08</v>
      </c>
      <c r="G859" s="39">
        <f>IF(OR(B859="FIXO",B859="XFIXO"),IF(F859="","ERRO",10*F859)*'BD Campos'!$W$2,IF(F859="","ERRO",10*F859)*'BD Campos'!$W$3)</f>
        <v>0.8</v>
      </c>
      <c r="H859" s="46">
        <v>0.05</v>
      </c>
      <c r="I859" s="47">
        <f t="shared" si="40"/>
        <v>-4.0000000000000008E-2</v>
      </c>
    </row>
    <row r="860" spans="1:9" hidden="1" x14ac:dyDescent="0.35">
      <c r="A860" s="43" t="str">
        <f t="shared" si="39"/>
        <v>ALERTAS PRIORITÁRIOSPolicia 33</v>
      </c>
      <c r="B860" s="37" t="s">
        <v>147</v>
      </c>
      <c r="C860" s="37" t="s">
        <v>1324</v>
      </c>
      <c r="D860" s="37">
        <v>3</v>
      </c>
      <c r="E860" s="37" t="s">
        <v>1214</v>
      </c>
      <c r="F860" s="38">
        <v>0.08</v>
      </c>
      <c r="G860" s="39">
        <f>IF(OR(B860="FIXO",B860="XFIXO"),IF(F860="","ERRO",10*F860)*'BD Campos'!$W$2,IF(F860="","ERRO",10*F860)*'BD Campos'!$W$3)</f>
        <v>0.8</v>
      </c>
      <c r="H860" s="46">
        <v>0.05</v>
      </c>
      <c r="I860" s="47">
        <f t="shared" si="40"/>
        <v>-4.0000000000000008E-2</v>
      </c>
    </row>
    <row r="861" spans="1:9" hidden="1" x14ac:dyDescent="0.35">
      <c r="A861" s="43" t="str">
        <f t="shared" si="39"/>
        <v>ALERTAS PRIORITÁRIOSPolicia 34</v>
      </c>
      <c r="B861" s="37" t="s">
        <v>147</v>
      </c>
      <c r="C861" s="37" t="s">
        <v>1324</v>
      </c>
      <c r="D861" s="37">
        <v>4</v>
      </c>
      <c r="E861" s="37" t="s">
        <v>1215</v>
      </c>
      <c r="F861" s="38">
        <v>0.08</v>
      </c>
      <c r="G861" s="39">
        <f>IF(OR(B861="FIXO",B861="XFIXO"),IF(F861="","ERRO",10*F861)*'BD Campos'!$W$2,IF(F861="","ERRO",10*F861)*'BD Campos'!$W$3)</f>
        <v>0.8</v>
      </c>
      <c r="H861" s="46">
        <v>0.05</v>
      </c>
      <c r="I861" s="47">
        <f t="shared" si="40"/>
        <v>-4.0000000000000008E-2</v>
      </c>
    </row>
    <row r="862" spans="1:9" hidden="1" x14ac:dyDescent="0.35">
      <c r="A862" s="43" t="str">
        <f t="shared" si="39"/>
        <v>ALERTAS PRIORITÁRIOSPolicia 35</v>
      </c>
      <c r="B862" s="37" t="s">
        <v>147</v>
      </c>
      <c r="C862" s="37" t="s">
        <v>1324</v>
      </c>
      <c r="D862" s="37">
        <v>5</v>
      </c>
      <c r="E862" s="37" t="s">
        <v>1216</v>
      </c>
      <c r="F862" s="38">
        <v>0.08</v>
      </c>
      <c r="G862" s="39">
        <f>IF(OR(B862="FIXO",B862="XFIXO"),IF(F862="","ERRO",10*F862)*'BD Campos'!$W$2,IF(F862="","ERRO",10*F862)*'BD Campos'!$W$3)</f>
        <v>0.8</v>
      </c>
      <c r="H862" s="46">
        <v>0.05</v>
      </c>
      <c r="I862" s="47">
        <f t="shared" si="40"/>
        <v>-4.0000000000000008E-2</v>
      </c>
    </row>
    <row r="863" spans="1:9" hidden="1" x14ac:dyDescent="0.35">
      <c r="A863" s="43" t="str">
        <f t="shared" si="39"/>
        <v>ALERTAS PRIORITÁRIOSPolicia 36</v>
      </c>
      <c r="B863" s="37" t="s">
        <v>147</v>
      </c>
      <c r="C863" s="37" t="s">
        <v>1324</v>
      </c>
      <c r="D863" s="37">
        <v>6</v>
      </c>
      <c r="E863" s="37" t="s">
        <v>1217</v>
      </c>
      <c r="F863" s="38">
        <v>0.08</v>
      </c>
      <c r="G863" s="39">
        <f>IF(OR(B863="FIXO",B863="XFIXO"),IF(F863="","ERRO",10*F863)*'BD Campos'!$W$2,IF(F863="","ERRO",10*F863)*'BD Campos'!$W$3)</f>
        <v>0.8</v>
      </c>
      <c r="H863" s="46">
        <v>0.05</v>
      </c>
      <c r="I863" s="47">
        <f t="shared" si="40"/>
        <v>-4.0000000000000008E-2</v>
      </c>
    </row>
    <row r="864" spans="1:9" hidden="1" x14ac:dyDescent="0.35">
      <c r="A864" s="43" t="str">
        <f t="shared" si="39"/>
        <v>ALERTAS PRIORITÁRIOSPolicia 37</v>
      </c>
      <c r="B864" s="37" t="s">
        <v>147</v>
      </c>
      <c r="C864" s="37" t="s">
        <v>1324</v>
      </c>
      <c r="D864" s="37">
        <v>7</v>
      </c>
      <c r="E864" s="37" t="s">
        <v>1250</v>
      </c>
      <c r="F864" s="38">
        <v>0.08</v>
      </c>
      <c r="G864" s="39">
        <f>IF(OR(B864="FIXO",B864="XFIXO"),IF(F864="","ERRO",10*F864)*'BD Campos'!$W$2,IF(F864="","ERRO",10*F864)*'BD Campos'!$W$3)</f>
        <v>0.8</v>
      </c>
      <c r="H864" s="40">
        <v>0.05</v>
      </c>
      <c r="I864" s="41">
        <f t="shared" si="40"/>
        <v>-4.0000000000000008E-2</v>
      </c>
    </row>
    <row r="865" spans="1:9" hidden="1" x14ac:dyDescent="0.35">
      <c r="A865" s="43" t="str">
        <f t="shared" si="39"/>
        <v>ALERTAS PRIORITÁRIOSPolicia 38</v>
      </c>
      <c r="B865" s="37" t="s">
        <v>147</v>
      </c>
      <c r="C865" s="37" t="s">
        <v>1324</v>
      </c>
      <c r="D865" s="37">
        <v>8</v>
      </c>
      <c r="E865" s="37" t="s">
        <v>1251</v>
      </c>
      <c r="F865" s="38">
        <v>0.08</v>
      </c>
      <c r="G865" s="39">
        <f>IF(OR(B865="FIXO",B865="XFIXO"),IF(F865="","ERRO",10*F865)*'BD Campos'!$W$2,IF(F865="","ERRO",10*F865)*'BD Campos'!$W$3)</f>
        <v>0.8</v>
      </c>
      <c r="H865" s="40">
        <v>0.05</v>
      </c>
      <c r="I865" s="41">
        <f t="shared" si="40"/>
        <v>-4.0000000000000008E-2</v>
      </c>
    </row>
    <row r="866" spans="1:9" hidden="1" x14ac:dyDescent="0.35">
      <c r="A866" s="43" t="str">
        <f t="shared" si="39"/>
        <v>ALERTAS PRIORITÁRIOSPolicia 39</v>
      </c>
      <c r="B866" s="37" t="s">
        <v>147</v>
      </c>
      <c r="C866" s="37" t="s">
        <v>1324</v>
      </c>
      <c r="D866" s="37">
        <v>9</v>
      </c>
      <c r="E866" s="37" t="s">
        <v>1252</v>
      </c>
      <c r="F866" s="38">
        <v>0.08</v>
      </c>
      <c r="G866" s="39">
        <f>IF(OR(B866="FIXO",B866="XFIXO"),IF(F866="","ERRO",10*F866)*'BD Campos'!$W$2,IF(F866="","ERRO",10*F866)*'BD Campos'!$W$3)</f>
        <v>0.8</v>
      </c>
      <c r="H866" s="40">
        <v>0.05</v>
      </c>
      <c r="I866" s="41">
        <f t="shared" si="40"/>
        <v>-4.0000000000000008E-2</v>
      </c>
    </row>
    <row r="867" spans="1:9" hidden="1" x14ac:dyDescent="0.35">
      <c r="A867" s="43" t="str">
        <f t="shared" si="39"/>
        <v>ALERTAS PRIORITÁRIOSPolicia 310</v>
      </c>
      <c r="B867" s="37" t="s">
        <v>147</v>
      </c>
      <c r="C867" s="37" t="s">
        <v>1324</v>
      </c>
      <c r="D867" s="37">
        <v>10</v>
      </c>
      <c r="E867" s="37" t="s">
        <v>1253</v>
      </c>
      <c r="F867" s="38">
        <v>0.08</v>
      </c>
      <c r="G867" s="39">
        <f>IF(OR(B867="FIXO",B867="XFIXO"),IF(F867="","ERRO",10*F867)*'BD Campos'!$W$2,IF(F867="","ERRO",10*F867)*'BD Campos'!$W$3)</f>
        <v>0.8</v>
      </c>
      <c r="H867" s="40">
        <v>0.05</v>
      </c>
      <c r="I867" s="41">
        <f t="shared" si="40"/>
        <v>-4.0000000000000008E-2</v>
      </c>
    </row>
    <row r="868" spans="1:9" hidden="1" x14ac:dyDescent="0.35">
      <c r="A868" s="43" t="str">
        <f t="shared" si="39"/>
        <v>ALERTAS PRIORITÁRIOSPolicia 311</v>
      </c>
      <c r="B868" s="37" t="s">
        <v>147</v>
      </c>
      <c r="C868" s="37" t="s">
        <v>1324</v>
      </c>
      <c r="D868" s="37">
        <v>11</v>
      </c>
      <c r="E868" s="37" t="s">
        <v>1254</v>
      </c>
      <c r="F868" s="38">
        <v>0.1</v>
      </c>
      <c r="G868" s="39">
        <f>IF(OR(B868="FIXO",B868="XFIXO"),IF(F868="","ERRO",10*F868)*'BD Campos'!$W$2,IF(F868="","ERRO",10*F868)*'BD Campos'!$W$3)</f>
        <v>1</v>
      </c>
      <c r="H868" s="40">
        <v>0.05</v>
      </c>
      <c r="I868" s="41">
        <f t="shared" si="40"/>
        <v>-0.05</v>
      </c>
    </row>
    <row r="869" spans="1:9" hidden="1" x14ac:dyDescent="0.35">
      <c r="A869" s="43" t="str">
        <f t="shared" si="39"/>
        <v>ALERTAS PRIORITÁRIOSPolicia 312</v>
      </c>
      <c r="B869" s="37" t="s">
        <v>147</v>
      </c>
      <c r="C869" s="37" t="s">
        <v>1324</v>
      </c>
      <c r="D869" s="37">
        <v>12</v>
      </c>
      <c r="E869" s="37" t="s">
        <v>1255</v>
      </c>
      <c r="F869" s="38">
        <v>0.1</v>
      </c>
      <c r="G869" s="39">
        <f>IF(OR(B869="FIXO",B869="XFIXO"),IF(F869="","ERRO",10*F869)*'BD Campos'!$W$2,IF(F869="","ERRO",10*F869)*'BD Campos'!$W$3)</f>
        <v>1</v>
      </c>
      <c r="H869" s="40">
        <v>0.05</v>
      </c>
      <c r="I869" s="41">
        <f t="shared" si="40"/>
        <v>-0.05</v>
      </c>
    </row>
    <row r="870" spans="1:9" hidden="1" x14ac:dyDescent="0.35">
      <c r="A870" s="43" t="str">
        <f t="shared" si="39"/>
        <v>ROUBOPolicia 31</v>
      </c>
      <c r="B870" s="37" t="s">
        <v>302</v>
      </c>
      <c r="C870" s="37" t="s">
        <v>1324</v>
      </c>
      <c r="D870" s="37">
        <v>1</v>
      </c>
      <c r="E870" s="37" t="s">
        <v>1212</v>
      </c>
      <c r="F870" s="38">
        <v>0.08</v>
      </c>
      <c r="G870" s="39">
        <f>IF(OR(B870="FIXO",B870="XFIXO"),IF(F870="","ERRO",10*F870)*'BD Campos'!$W$2,IF(F870="","ERRO",10*F870)*'BD Campos'!$W$3)</f>
        <v>0.8</v>
      </c>
      <c r="H870" s="46">
        <v>0.05</v>
      </c>
      <c r="I870" s="47">
        <f t="shared" si="40"/>
        <v>-4.0000000000000008E-2</v>
      </c>
    </row>
    <row r="871" spans="1:9" hidden="1" x14ac:dyDescent="0.35">
      <c r="A871" s="43" t="str">
        <f t="shared" si="39"/>
        <v>ROUBOPolicia 32</v>
      </c>
      <c r="B871" s="37" t="s">
        <v>302</v>
      </c>
      <c r="C871" s="37" t="s">
        <v>1324</v>
      </c>
      <c r="D871" s="37">
        <v>2</v>
      </c>
      <c r="E871" s="37" t="s">
        <v>1213</v>
      </c>
      <c r="F871" s="38">
        <v>0.08</v>
      </c>
      <c r="G871" s="39">
        <f>IF(OR(B871="FIXO",B871="XFIXO"),IF(F871="","ERRO",10*F871)*'BD Campos'!$W$2,IF(F871="","ERRO",10*F871)*'BD Campos'!$W$3)</f>
        <v>0.8</v>
      </c>
      <c r="H871" s="46">
        <v>0.05</v>
      </c>
      <c r="I871" s="47">
        <f t="shared" si="40"/>
        <v>-4.0000000000000008E-2</v>
      </c>
    </row>
    <row r="872" spans="1:9" hidden="1" x14ac:dyDescent="0.35">
      <c r="A872" s="43" t="str">
        <f t="shared" si="39"/>
        <v>ROUBOPolicia 33</v>
      </c>
      <c r="B872" s="37" t="s">
        <v>302</v>
      </c>
      <c r="C872" s="37" t="s">
        <v>1324</v>
      </c>
      <c r="D872" s="37">
        <v>3</v>
      </c>
      <c r="E872" s="37" t="s">
        <v>1214</v>
      </c>
      <c r="F872" s="38">
        <v>0.08</v>
      </c>
      <c r="G872" s="39">
        <f>IF(OR(B872="FIXO",B872="XFIXO"),IF(F872="","ERRO",10*F872)*'BD Campos'!$W$2,IF(F872="","ERRO",10*F872)*'BD Campos'!$W$3)</f>
        <v>0.8</v>
      </c>
      <c r="H872" s="46">
        <v>0.05</v>
      </c>
      <c r="I872" s="47">
        <f t="shared" si="40"/>
        <v>-4.0000000000000008E-2</v>
      </c>
    </row>
    <row r="873" spans="1:9" hidden="1" x14ac:dyDescent="0.35">
      <c r="A873" s="43" t="str">
        <f t="shared" si="39"/>
        <v>ROUBOPolicia 34</v>
      </c>
      <c r="B873" s="37" t="s">
        <v>302</v>
      </c>
      <c r="C873" s="37" t="s">
        <v>1324</v>
      </c>
      <c r="D873" s="37">
        <v>4</v>
      </c>
      <c r="E873" s="37" t="s">
        <v>1215</v>
      </c>
      <c r="F873" s="38">
        <v>0.08</v>
      </c>
      <c r="G873" s="39">
        <f>IF(OR(B873="FIXO",B873="XFIXO"),IF(F873="","ERRO",10*F873)*'BD Campos'!$W$2,IF(F873="","ERRO",10*F873)*'BD Campos'!$W$3)</f>
        <v>0.8</v>
      </c>
      <c r="H873" s="46">
        <v>0.05</v>
      </c>
      <c r="I873" s="47">
        <f t="shared" si="40"/>
        <v>-4.0000000000000008E-2</v>
      </c>
    </row>
    <row r="874" spans="1:9" hidden="1" x14ac:dyDescent="0.35">
      <c r="A874" s="43" t="str">
        <f t="shared" si="39"/>
        <v>ROUBOPolicia 35</v>
      </c>
      <c r="B874" s="37" t="s">
        <v>302</v>
      </c>
      <c r="C874" s="37" t="s">
        <v>1324</v>
      </c>
      <c r="D874" s="37">
        <v>5</v>
      </c>
      <c r="E874" s="37" t="s">
        <v>1216</v>
      </c>
      <c r="F874" s="38">
        <v>0.08</v>
      </c>
      <c r="G874" s="39">
        <f>IF(OR(B874="FIXO",B874="XFIXO"),IF(F874="","ERRO",10*F874)*'BD Campos'!$W$2,IF(F874="","ERRO",10*F874)*'BD Campos'!$W$3)</f>
        <v>0.8</v>
      </c>
      <c r="H874" s="46">
        <v>0.05</v>
      </c>
      <c r="I874" s="47">
        <f t="shared" si="40"/>
        <v>-4.0000000000000008E-2</v>
      </c>
    </row>
    <row r="875" spans="1:9" hidden="1" x14ac:dyDescent="0.35">
      <c r="A875" s="43" t="str">
        <f t="shared" si="39"/>
        <v>ROUBOPolicia 36</v>
      </c>
      <c r="B875" s="37" t="s">
        <v>302</v>
      </c>
      <c r="C875" s="37" t="s">
        <v>1324</v>
      </c>
      <c r="D875" s="37">
        <v>6</v>
      </c>
      <c r="E875" s="37" t="s">
        <v>1217</v>
      </c>
      <c r="F875" s="38">
        <v>0.08</v>
      </c>
      <c r="G875" s="39">
        <f>IF(OR(B875="FIXO",B875="XFIXO"),IF(F875="","ERRO",10*F875)*'BD Campos'!$W$2,IF(F875="","ERRO",10*F875)*'BD Campos'!$W$3)</f>
        <v>0.8</v>
      </c>
      <c r="H875" s="46">
        <v>0.05</v>
      </c>
      <c r="I875" s="47">
        <f t="shared" si="40"/>
        <v>-4.0000000000000008E-2</v>
      </c>
    </row>
    <row r="876" spans="1:9" hidden="1" x14ac:dyDescent="0.35">
      <c r="A876" s="43" t="str">
        <f t="shared" si="39"/>
        <v>ROUBOPolicia 37</v>
      </c>
      <c r="B876" s="37" t="s">
        <v>302</v>
      </c>
      <c r="C876" s="37" t="s">
        <v>1324</v>
      </c>
      <c r="D876" s="37">
        <v>7</v>
      </c>
      <c r="E876" s="37" t="s">
        <v>1250</v>
      </c>
      <c r="F876" s="38">
        <v>0.08</v>
      </c>
      <c r="G876" s="39">
        <f>IF(OR(B876="FIXO",B876="XFIXO"),IF(F876="","ERRO",10*F876)*'BD Campos'!$W$2,IF(F876="","ERRO",10*F876)*'BD Campos'!$W$3)</f>
        <v>0.8</v>
      </c>
      <c r="H876" s="40">
        <v>0.05</v>
      </c>
      <c r="I876" s="41">
        <f t="shared" si="40"/>
        <v>-4.0000000000000008E-2</v>
      </c>
    </row>
    <row r="877" spans="1:9" hidden="1" x14ac:dyDescent="0.35">
      <c r="A877" s="43" t="str">
        <f t="shared" si="39"/>
        <v>ROUBOPolicia 38</v>
      </c>
      <c r="B877" s="37" t="s">
        <v>302</v>
      </c>
      <c r="C877" s="37" t="s">
        <v>1324</v>
      </c>
      <c r="D877" s="37">
        <v>8</v>
      </c>
      <c r="E877" s="37" t="s">
        <v>1256</v>
      </c>
      <c r="F877" s="38">
        <v>0.08</v>
      </c>
      <c r="G877" s="39">
        <f>IF(OR(B877="FIXO",B877="XFIXO"),IF(F877="","ERRO",10*F877)*'BD Campos'!$W$2,IF(F877="","ERRO",10*F877)*'BD Campos'!$W$3)</f>
        <v>0.8</v>
      </c>
      <c r="H877" s="40">
        <v>0.05</v>
      </c>
      <c r="I877" s="41">
        <f t="shared" si="40"/>
        <v>-4.0000000000000008E-2</v>
      </c>
    </row>
    <row r="878" spans="1:9" hidden="1" x14ac:dyDescent="0.35">
      <c r="A878" s="43" t="str">
        <f t="shared" si="39"/>
        <v>ROUBOPolicia 39</v>
      </c>
      <c r="B878" s="37" t="s">
        <v>302</v>
      </c>
      <c r="C878" s="37" t="s">
        <v>1324</v>
      </c>
      <c r="D878" s="37">
        <v>9</v>
      </c>
      <c r="E878" s="37" t="s">
        <v>1252</v>
      </c>
      <c r="F878" s="38">
        <v>0.08</v>
      </c>
      <c r="G878" s="39">
        <f>IF(OR(B878="FIXO",B878="XFIXO"),IF(F878="","ERRO",10*F878)*'BD Campos'!$W$2,IF(F878="","ERRO",10*F878)*'BD Campos'!$W$3)</f>
        <v>0.8</v>
      </c>
      <c r="H878" s="40">
        <v>0.05</v>
      </c>
      <c r="I878" s="41">
        <f t="shared" si="40"/>
        <v>-4.0000000000000008E-2</v>
      </c>
    </row>
    <row r="879" spans="1:9" hidden="1" x14ac:dyDescent="0.35">
      <c r="A879" s="43" t="str">
        <f>B879&amp;C879&amp;D879</f>
        <v>ROUBOPolicia 310</v>
      </c>
      <c r="B879" s="37" t="s">
        <v>302</v>
      </c>
      <c r="C879" s="37" t="s">
        <v>1324</v>
      </c>
      <c r="D879" s="37">
        <v>10</v>
      </c>
      <c r="E879" s="37" t="s">
        <v>1253</v>
      </c>
      <c r="F879" s="38">
        <v>0.08</v>
      </c>
      <c r="G879" s="39">
        <f>IF(OR(B879="FIXO",B879="XFIXO"),IF(F879="","ERRO",10*F879)*'BD Campos'!$W$2,IF(F879="","ERRO",10*F879)*'BD Campos'!$W$3)</f>
        <v>0.8</v>
      </c>
      <c r="H879" s="40">
        <v>0.05</v>
      </c>
      <c r="I879" s="41">
        <f>H879*G879*-1</f>
        <v>-4.0000000000000008E-2</v>
      </c>
    </row>
    <row r="880" spans="1:9" hidden="1" x14ac:dyDescent="0.35">
      <c r="A880" s="43" t="str">
        <f>B880&amp;C880&amp;D880</f>
        <v>ROUBOPolicia 311</v>
      </c>
      <c r="B880" s="37" t="s">
        <v>302</v>
      </c>
      <c r="C880" s="37" t="s">
        <v>1324</v>
      </c>
      <c r="D880" s="37">
        <v>11</v>
      </c>
      <c r="E880" s="37" t="s">
        <v>1254</v>
      </c>
      <c r="F880" s="38">
        <v>0.1</v>
      </c>
      <c r="G880" s="39">
        <f>IF(OR(B880="FIXO",B880="XFIXO"),IF(F880="","ERRO",10*F880)*'BD Campos'!$W$2,IF(F880="","ERRO",10*F880)*'BD Campos'!$W$3)</f>
        <v>1</v>
      </c>
      <c r="H880" s="40">
        <v>0.05</v>
      </c>
      <c r="I880" s="41">
        <f>H880*G880*-1</f>
        <v>-0.05</v>
      </c>
    </row>
    <row r="881" spans="1:9" hidden="1" x14ac:dyDescent="0.35">
      <c r="A881" s="43" t="str">
        <f>B881&amp;C881&amp;D881</f>
        <v>ROUBOPolicia 312</v>
      </c>
      <c r="B881" s="37" t="s">
        <v>302</v>
      </c>
      <c r="C881" s="37" t="s">
        <v>1324</v>
      </c>
      <c r="D881" s="37">
        <v>12</v>
      </c>
      <c r="E881" s="37" t="s">
        <v>1255</v>
      </c>
      <c r="F881" s="38">
        <v>0.1</v>
      </c>
      <c r="G881" s="39">
        <f>IF(OR(B881="FIXO",B881="XFIXO"),IF(F881="","ERRO",10*F881)*'BD Campos'!$W$2,IF(F881="","ERRO",10*F881)*'BD Campos'!$W$3)</f>
        <v>1</v>
      </c>
      <c r="H881" s="40">
        <v>0.05</v>
      </c>
      <c r="I881" s="41">
        <f>H881*G881*-1</f>
        <v>-0.05</v>
      </c>
    </row>
    <row r="882" spans="1:9" hidden="1" x14ac:dyDescent="0.35">
      <c r="A882" s="37" t="str">
        <f t="shared" ref="A882:A892" si="41">B882&amp;C882&amp;D882</f>
        <v>CABINETSCliente1</v>
      </c>
      <c r="B882" s="103" t="s">
        <v>385</v>
      </c>
      <c r="C882" s="37" t="s">
        <v>124</v>
      </c>
      <c r="D882" s="37">
        <v>1</v>
      </c>
      <c r="E882" s="37" t="s">
        <v>1212</v>
      </c>
      <c r="F882" s="38">
        <v>0.08</v>
      </c>
      <c r="G882" s="39">
        <f>IF(OR(B882="FIXO",B882="XFIXO"),IF(F882="","ERRO",10*F882)*'BD Campos'!$W$2,IF(F882="","ERRO",10*F882)*'BD Campos'!$W$3)</f>
        <v>0.8</v>
      </c>
      <c r="H882" s="40">
        <v>0.05</v>
      </c>
      <c r="I882" s="41">
        <f t="shared" ref="I882:I892" si="42">H882*G882*-1</f>
        <v>-4.0000000000000008E-2</v>
      </c>
    </row>
    <row r="883" spans="1:9" hidden="1" x14ac:dyDescent="0.35">
      <c r="A883" s="37" t="str">
        <f t="shared" si="41"/>
        <v>CABINETSCliente2</v>
      </c>
      <c r="B883" s="103" t="s">
        <v>385</v>
      </c>
      <c r="C883" s="37" t="s">
        <v>124</v>
      </c>
      <c r="D883" s="37">
        <v>2</v>
      </c>
      <c r="E883" s="104" t="s">
        <v>1257</v>
      </c>
      <c r="F883" s="38">
        <v>0.08</v>
      </c>
      <c r="G883" s="39">
        <f>IF(OR(B883="FIXO",B883="XFIXO"),IF(F883="","ERRO",10*F883)*'BD Campos'!$W$2,IF(F883="","ERRO",10*F883)*'BD Campos'!$W$3)</f>
        <v>0.8</v>
      </c>
      <c r="H883" s="40">
        <v>0.05</v>
      </c>
      <c r="I883" s="41">
        <f t="shared" si="42"/>
        <v>-4.0000000000000008E-2</v>
      </c>
    </row>
    <row r="884" spans="1:9" hidden="1" x14ac:dyDescent="0.35">
      <c r="A884" s="37" t="str">
        <f t="shared" si="41"/>
        <v>CABINETSCliente3</v>
      </c>
      <c r="B884" s="103" t="s">
        <v>385</v>
      </c>
      <c r="C884" s="37" t="s">
        <v>124</v>
      </c>
      <c r="D884" s="37">
        <v>3</v>
      </c>
      <c r="E884" s="104" t="s">
        <v>1325</v>
      </c>
      <c r="F884" s="38">
        <v>0.11</v>
      </c>
      <c r="G884" s="39">
        <f>IF(OR(B884="FIXO",B884="XFIXO"),IF(F884="","ERRO",10*F884)*'BD Campos'!$W$2,IF(F884="","ERRO",10*F884)*'BD Campos'!$W$3)</f>
        <v>1.1000000000000001</v>
      </c>
      <c r="H884" s="40">
        <v>0.05</v>
      </c>
      <c r="I884" s="41">
        <f t="shared" si="42"/>
        <v>-5.5000000000000007E-2</v>
      </c>
    </row>
    <row r="885" spans="1:9" hidden="1" x14ac:dyDescent="0.35">
      <c r="A885" s="37" t="str">
        <f t="shared" si="41"/>
        <v>CABINETSCliente4</v>
      </c>
      <c r="B885" s="103" t="s">
        <v>385</v>
      </c>
      <c r="C885" s="37" t="s">
        <v>124</v>
      </c>
      <c r="D885" s="37">
        <v>4</v>
      </c>
      <c r="E885" s="104" t="s">
        <v>1259</v>
      </c>
      <c r="F885" s="38">
        <v>0.08</v>
      </c>
      <c r="G885" s="39">
        <f>IF(OR(B885="FIXO",B885="XFIXO"),IF(F885="","ERRO",10*F885)*'BD Campos'!$W$2,IF(F885="","ERRO",10*F885)*'BD Campos'!$W$3)</f>
        <v>0.8</v>
      </c>
      <c r="H885" s="40">
        <v>0.05</v>
      </c>
      <c r="I885" s="41">
        <f t="shared" si="42"/>
        <v>-4.0000000000000008E-2</v>
      </c>
    </row>
    <row r="886" spans="1:9" hidden="1" x14ac:dyDescent="0.35">
      <c r="A886" s="37" t="str">
        <f t="shared" si="41"/>
        <v>CABINETSCliente5</v>
      </c>
      <c r="B886" s="103" t="s">
        <v>385</v>
      </c>
      <c r="C886" s="37" t="s">
        <v>124</v>
      </c>
      <c r="D886" s="37">
        <v>5</v>
      </c>
      <c r="E886" s="37" t="s">
        <v>1215</v>
      </c>
      <c r="F886" s="38">
        <v>0.08</v>
      </c>
      <c r="G886" s="39">
        <f>IF(OR(B886="FIXO",B886="XFIXO"),IF(F886="","ERRO",10*F886)*'BD Campos'!$W$2,IF(F886="","ERRO",10*F886)*'BD Campos'!$W$3)</f>
        <v>0.8</v>
      </c>
      <c r="H886" s="40">
        <v>0.05</v>
      </c>
      <c r="I886" s="41">
        <f t="shared" si="42"/>
        <v>-4.0000000000000008E-2</v>
      </c>
    </row>
    <row r="887" spans="1:9" hidden="1" x14ac:dyDescent="0.35">
      <c r="A887" s="37" t="str">
        <f t="shared" si="41"/>
        <v>CABINETSCliente6</v>
      </c>
      <c r="B887" s="103" t="s">
        <v>385</v>
      </c>
      <c r="C887" s="37" t="s">
        <v>124</v>
      </c>
      <c r="D887" s="37">
        <v>6</v>
      </c>
      <c r="E887" s="37" t="s">
        <v>1216</v>
      </c>
      <c r="F887" s="38">
        <v>0.08</v>
      </c>
      <c r="G887" s="39">
        <f>IF(OR(B887="FIXO",B887="XFIXO"),IF(F887="","ERRO",10*F887)*'BD Campos'!$W$2,IF(F887="","ERRO",10*F887)*'BD Campos'!$W$3)</f>
        <v>0.8</v>
      </c>
      <c r="H887" s="40">
        <v>0.05</v>
      </c>
      <c r="I887" s="41">
        <f t="shared" si="42"/>
        <v>-4.0000000000000008E-2</v>
      </c>
    </row>
    <row r="888" spans="1:9" hidden="1" x14ac:dyDescent="0.35">
      <c r="A888" s="37" t="str">
        <f t="shared" si="41"/>
        <v>CABINETSCliente7</v>
      </c>
      <c r="B888" s="103" t="s">
        <v>385</v>
      </c>
      <c r="C888" s="37" t="s">
        <v>124</v>
      </c>
      <c r="D888" s="37">
        <v>7</v>
      </c>
      <c r="E888" s="104" t="s">
        <v>1260</v>
      </c>
      <c r="F888" s="38">
        <v>0.09</v>
      </c>
      <c r="G888" s="39">
        <f>IF(OR(B888="FIXO",B888="XFIXO"),IF(F888="","ERRO",10*F888)*'BD Campos'!$W$2,IF(F888="","ERRO",10*F888)*'BD Campos'!$W$3)</f>
        <v>0.89999999999999991</v>
      </c>
      <c r="H888" s="40">
        <v>0.05</v>
      </c>
      <c r="I888" s="41">
        <f t="shared" si="42"/>
        <v>-4.4999999999999998E-2</v>
      </c>
    </row>
    <row r="889" spans="1:9" hidden="1" x14ac:dyDescent="0.35">
      <c r="A889" s="37" t="str">
        <f t="shared" si="41"/>
        <v>CABINETSCliente8</v>
      </c>
      <c r="B889" s="103" t="s">
        <v>385</v>
      </c>
      <c r="C889" s="37" t="s">
        <v>124</v>
      </c>
      <c r="D889" s="37">
        <v>8</v>
      </c>
      <c r="E889" s="104" t="s">
        <v>1326</v>
      </c>
      <c r="F889" s="38">
        <v>0.1</v>
      </c>
      <c r="G889" s="39">
        <f>IF(OR(B889="FIXO",B889="XFIXO"),IF(F889="","ERRO",10*F889)*'BD Campos'!$W$2,IF(F889="","ERRO",10*F889)*'BD Campos'!$W$3)</f>
        <v>1</v>
      </c>
      <c r="H889" s="40">
        <v>0.05</v>
      </c>
      <c r="I889" s="41">
        <f t="shared" si="42"/>
        <v>-0.05</v>
      </c>
    </row>
    <row r="890" spans="1:9" hidden="1" x14ac:dyDescent="0.35">
      <c r="A890" s="37" t="str">
        <f t="shared" si="41"/>
        <v>CABINETSCliente9</v>
      </c>
      <c r="B890" s="103" t="s">
        <v>385</v>
      </c>
      <c r="C890" s="37" t="s">
        <v>124</v>
      </c>
      <c r="D890" s="37">
        <v>9</v>
      </c>
      <c r="E890" s="104" t="s">
        <v>1262</v>
      </c>
      <c r="F890" s="38">
        <v>0.1</v>
      </c>
      <c r="G890" s="39">
        <f>IF(OR(B890="FIXO",B890="XFIXO"),IF(F890="","ERRO",10*F890)*'BD Campos'!$W$2,IF(F890="","ERRO",10*F890)*'BD Campos'!$W$3)</f>
        <v>1</v>
      </c>
      <c r="H890" s="40">
        <v>0.05</v>
      </c>
      <c r="I890" s="41">
        <f t="shared" si="42"/>
        <v>-0.05</v>
      </c>
    </row>
    <row r="891" spans="1:9" hidden="1" x14ac:dyDescent="0.35">
      <c r="A891" s="37" t="str">
        <f t="shared" si="41"/>
        <v>CABINETSCliente10</v>
      </c>
      <c r="B891" s="103" t="s">
        <v>385</v>
      </c>
      <c r="C891" s="37" t="s">
        <v>124</v>
      </c>
      <c r="D891" s="37">
        <v>10</v>
      </c>
      <c r="E891" s="104" t="s">
        <v>1217</v>
      </c>
      <c r="F891" s="38">
        <v>0.1</v>
      </c>
      <c r="G891" s="39">
        <f>IF(OR(B891="FIXO",B891="XFIXO"),IF(F891="","ERRO",10*F891)*'BD Campos'!$W$2,IF(F891="","ERRO",10*F891)*'BD Campos'!$W$3)</f>
        <v>1</v>
      </c>
      <c r="H891" s="40">
        <v>0.05</v>
      </c>
      <c r="I891" s="41">
        <f t="shared" si="42"/>
        <v>-0.05</v>
      </c>
    </row>
    <row r="892" spans="1:9" hidden="1" x14ac:dyDescent="0.35">
      <c r="A892" s="37" t="str">
        <f t="shared" si="41"/>
        <v>CABINETSCliente11</v>
      </c>
      <c r="B892" s="103" t="s">
        <v>385</v>
      </c>
      <c r="C892" s="37" t="s">
        <v>124</v>
      </c>
      <c r="D892" s="37">
        <v>11</v>
      </c>
      <c r="E892" s="104" t="s">
        <v>1264</v>
      </c>
      <c r="F892" s="38">
        <v>0.1</v>
      </c>
      <c r="G892" s="39">
        <f>IF(OR(B892="FIXO",B892="XFIXO"),IF(F892="","ERRO",10*F892)*'BD Campos'!$W$2,IF(F892="","ERRO",10*F892)*'BD Campos'!$W$3)</f>
        <v>1</v>
      </c>
      <c r="H892" s="40">
        <v>0.05</v>
      </c>
      <c r="I892" s="41">
        <f t="shared" si="42"/>
        <v>-0.05</v>
      </c>
    </row>
    <row r="893" spans="1:9" hidden="1" x14ac:dyDescent="0.35">
      <c r="A893" s="37" t="str">
        <f t="shared" ref="A893:A903" si="43">B893&amp;C893&amp;D893</f>
        <v>CABINETSCliente 21</v>
      </c>
      <c r="B893" s="103" t="s">
        <v>385</v>
      </c>
      <c r="C893" s="37" t="s">
        <v>185</v>
      </c>
      <c r="D893" s="37">
        <v>1</v>
      </c>
      <c r="E893" s="37" t="s">
        <v>1212</v>
      </c>
      <c r="F893" s="38">
        <v>0.08</v>
      </c>
      <c r="G893" s="39">
        <f>IF(OR(B893="FIXO",B893="XFIXO"),IF(F893="","ERRO",10*F893)*'BD Campos'!$W$2,IF(F893="","ERRO",10*F893)*'BD Campos'!$W$3)</f>
        <v>0.8</v>
      </c>
      <c r="H893" s="40">
        <v>0.05</v>
      </c>
      <c r="I893" s="41">
        <f t="shared" ref="I893:I903" si="44">H893*G893*-1</f>
        <v>-4.0000000000000008E-2</v>
      </c>
    </row>
    <row r="894" spans="1:9" hidden="1" x14ac:dyDescent="0.35">
      <c r="A894" s="37" t="str">
        <f t="shared" si="43"/>
        <v>CABINETSCliente 22</v>
      </c>
      <c r="B894" s="103" t="s">
        <v>385</v>
      </c>
      <c r="C894" s="37" t="s">
        <v>185</v>
      </c>
      <c r="D894" s="37">
        <v>2</v>
      </c>
      <c r="E894" s="104" t="s">
        <v>1257</v>
      </c>
      <c r="F894" s="38">
        <v>0.08</v>
      </c>
      <c r="G894" s="39">
        <f>IF(OR(B894="FIXO",B894="XFIXO"),IF(F894="","ERRO",10*F894)*'BD Campos'!$W$2,IF(F894="","ERRO",10*F894)*'BD Campos'!$W$3)</f>
        <v>0.8</v>
      </c>
      <c r="H894" s="40">
        <v>0.05</v>
      </c>
      <c r="I894" s="41">
        <f t="shared" si="44"/>
        <v>-4.0000000000000008E-2</v>
      </c>
    </row>
    <row r="895" spans="1:9" hidden="1" x14ac:dyDescent="0.35">
      <c r="A895" s="37" t="str">
        <f t="shared" si="43"/>
        <v>CABINETSCliente 23</v>
      </c>
      <c r="B895" s="103" t="s">
        <v>385</v>
      </c>
      <c r="C895" s="37" t="s">
        <v>185</v>
      </c>
      <c r="D895" s="37">
        <v>3</v>
      </c>
      <c r="E895" s="104" t="s">
        <v>1327</v>
      </c>
      <c r="F895" s="38">
        <v>0.11</v>
      </c>
      <c r="G895" s="39">
        <f>IF(OR(B895="FIXO",B895="XFIXO"),IF(F895="","ERRO",10*F895)*'BD Campos'!$W$2,IF(F895="","ERRO",10*F895)*'BD Campos'!$W$3)</f>
        <v>1.1000000000000001</v>
      </c>
      <c r="H895" s="40">
        <v>0.05</v>
      </c>
      <c r="I895" s="41">
        <f t="shared" si="44"/>
        <v>-5.5000000000000007E-2</v>
      </c>
    </row>
    <row r="896" spans="1:9" hidden="1" x14ac:dyDescent="0.35">
      <c r="A896" s="37" t="str">
        <f t="shared" si="43"/>
        <v>CABINETSCliente 24</v>
      </c>
      <c r="B896" s="103" t="s">
        <v>385</v>
      </c>
      <c r="C896" s="37" t="s">
        <v>185</v>
      </c>
      <c r="D896" s="37">
        <v>4</v>
      </c>
      <c r="E896" s="104" t="s">
        <v>1259</v>
      </c>
      <c r="F896" s="38">
        <v>0.08</v>
      </c>
      <c r="G896" s="39">
        <f>IF(OR(B896="FIXO",B896="XFIXO"),IF(F896="","ERRO",10*F896)*'BD Campos'!$W$2,IF(F896="","ERRO",10*F896)*'BD Campos'!$W$3)</f>
        <v>0.8</v>
      </c>
      <c r="H896" s="40">
        <v>0.05</v>
      </c>
      <c r="I896" s="41">
        <f t="shared" si="44"/>
        <v>-4.0000000000000008E-2</v>
      </c>
    </row>
    <row r="897" spans="1:9" hidden="1" x14ac:dyDescent="0.35">
      <c r="A897" s="37" t="str">
        <f t="shared" si="43"/>
        <v>CABINETSCliente 25</v>
      </c>
      <c r="B897" s="103" t="s">
        <v>385</v>
      </c>
      <c r="C897" s="37" t="s">
        <v>185</v>
      </c>
      <c r="D897" s="37">
        <v>5</v>
      </c>
      <c r="E897" s="37" t="s">
        <v>1215</v>
      </c>
      <c r="F897" s="38">
        <v>0.08</v>
      </c>
      <c r="G897" s="39">
        <f>IF(OR(B897="FIXO",B897="XFIXO"),IF(F897="","ERRO",10*F897)*'BD Campos'!$W$2,IF(F897="","ERRO",10*F897)*'BD Campos'!$W$3)</f>
        <v>0.8</v>
      </c>
      <c r="H897" s="40">
        <v>0.05</v>
      </c>
      <c r="I897" s="41">
        <f t="shared" si="44"/>
        <v>-4.0000000000000008E-2</v>
      </c>
    </row>
    <row r="898" spans="1:9" hidden="1" x14ac:dyDescent="0.35">
      <c r="A898" s="37" t="str">
        <f t="shared" si="43"/>
        <v>CABINETSCliente 26</v>
      </c>
      <c r="B898" s="103" t="s">
        <v>385</v>
      </c>
      <c r="C898" s="37" t="s">
        <v>185</v>
      </c>
      <c r="D898" s="37">
        <v>6</v>
      </c>
      <c r="E898" s="37" t="s">
        <v>1216</v>
      </c>
      <c r="F898" s="38">
        <v>0.08</v>
      </c>
      <c r="G898" s="39">
        <f>IF(OR(B898="FIXO",B898="XFIXO"),IF(F898="","ERRO",10*F898)*'BD Campos'!$W$2,IF(F898="","ERRO",10*F898)*'BD Campos'!$W$3)</f>
        <v>0.8</v>
      </c>
      <c r="H898" s="40">
        <v>0.05</v>
      </c>
      <c r="I898" s="41">
        <f t="shared" si="44"/>
        <v>-4.0000000000000008E-2</v>
      </c>
    </row>
    <row r="899" spans="1:9" hidden="1" x14ac:dyDescent="0.35">
      <c r="A899" s="37" t="str">
        <f t="shared" si="43"/>
        <v>CABINETSCliente 27</v>
      </c>
      <c r="B899" s="103" t="s">
        <v>385</v>
      </c>
      <c r="C899" s="37" t="s">
        <v>185</v>
      </c>
      <c r="D899" s="37">
        <v>7</v>
      </c>
      <c r="E899" s="104" t="s">
        <v>1260</v>
      </c>
      <c r="F899" s="38">
        <v>0.09</v>
      </c>
      <c r="G899" s="39">
        <f>IF(OR(B899="FIXO",B899="XFIXO"),IF(F899="","ERRO",10*F899)*'BD Campos'!$W$2,IF(F899="","ERRO",10*F899)*'BD Campos'!$W$3)</f>
        <v>0.89999999999999991</v>
      </c>
      <c r="H899" s="40">
        <v>0.05</v>
      </c>
      <c r="I899" s="41">
        <f t="shared" si="44"/>
        <v>-4.4999999999999998E-2</v>
      </c>
    </row>
    <row r="900" spans="1:9" hidden="1" x14ac:dyDescent="0.35">
      <c r="A900" s="37" t="str">
        <f t="shared" si="43"/>
        <v>CABINETSCliente 28</v>
      </c>
      <c r="B900" s="103" t="s">
        <v>385</v>
      </c>
      <c r="C900" s="37" t="s">
        <v>185</v>
      </c>
      <c r="D900" s="37">
        <v>8</v>
      </c>
      <c r="E900" s="104" t="s">
        <v>1326</v>
      </c>
      <c r="F900" s="38">
        <v>0.1</v>
      </c>
      <c r="G900" s="39">
        <f>IF(OR(B900="FIXO",B900="XFIXO"),IF(F900="","ERRO",10*F900)*'BD Campos'!$W$2,IF(F900="","ERRO",10*F900)*'BD Campos'!$W$3)</f>
        <v>1</v>
      </c>
      <c r="H900" s="40">
        <v>0.05</v>
      </c>
      <c r="I900" s="41">
        <f t="shared" si="44"/>
        <v>-0.05</v>
      </c>
    </row>
    <row r="901" spans="1:9" hidden="1" x14ac:dyDescent="0.35">
      <c r="A901" s="37" t="str">
        <f t="shared" si="43"/>
        <v>CABINETSCliente 29</v>
      </c>
      <c r="B901" s="103" t="s">
        <v>385</v>
      </c>
      <c r="C901" s="37" t="s">
        <v>185</v>
      </c>
      <c r="D901" s="37">
        <v>9</v>
      </c>
      <c r="E901" s="104" t="s">
        <v>1262</v>
      </c>
      <c r="F901" s="38">
        <v>0.1</v>
      </c>
      <c r="G901" s="39">
        <f>IF(OR(B901="FIXO",B901="XFIXO"),IF(F901="","ERRO",10*F901)*'BD Campos'!$W$2,IF(F901="","ERRO",10*F901)*'BD Campos'!$W$3)</f>
        <v>1</v>
      </c>
      <c r="H901" s="40">
        <v>0.05</v>
      </c>
      <c r="I901" s="41">
        <f t="shared" si="44"/>
        <v>-0.05</v>
      </c>
    </row>
    <row r="902" spans="1:9" hidden="1" x14ac:dyDescent="0.35">
      <c r="A902" s="37" t="str">
        <f t="shared" si="43"/>
        <v>CABINETSCliente 210</v>
      </c>
      <c r="B902" s="103" t="s">
        <v>385</v>
      </c>
      <c r="C902" s="37" t="s">
        <v>185</v>
      </c>
      <c r="D902" s="37">
        <v>10</v>
      </c>
      <c r="E902" s="104" t="s">
        <v>1217</v>
      </c>
      <c r="F902" s="38">
        <v>0.1</v>
      </c>
      <c r="G902" s="39">
        <f>IF(OR(B902="FIXO",B902="XFIXO"),IF(F902="","ERRO",10*F902)*'BD Campos'!$W$2,IF(F902="","ERRO",10*F902)*'BD Campos'!$W$3)</f>
        <v>1</v>
      </c>
      <c r="H902" s="40">
        <v>0.05</v>
      </c>
      <c r="I902" s="41">
        <f t="shared" si="44"/>
        <v>-0.05</v>
      </c>
    </row>
    <row r="903" spans="1:9" hidden="1" x14ac:dyDescent="0.35">
      <c r="A903" s="37" t="str">
        <f t="shared" si="43"/>
        <v>CABINETSCliente 211</v>
      </c>
      <c r="B903" s="103" t="s">
        <v>385</v>
      </c>
      <c r="C903" s="37" t="s">
        <v>185</v>
      </c>
      <c r="D903" s="37">
        <v>11</v>
      </c>
      <c r="E903" s="104" t="s">
        <v>1264</v>
      </c>
      <c r="F903" s="38">
        <v>0.1</v>
      </c>
      <c r="G903" s="39">
        <f>IF(OR(B903="FIXO",B903="XFIXO"),IF(F903="","ERRO",10*F903)*'BD Campos'!$W$2,IF(F903="","ERRO",10*F903)*'BD Campos'!$W$3)</f>
        <v>1</v>
      </c>
      <c r="H903" s="40">
        <v>0.05</v>
      </c>
      <c r="I903" s="41">
        <f t="shared" si="44"/>
        <v>-0.05</v>
      </c>
    </row>
    <row r="904" spans="1:9" hidden="1" x14ac:dyDescent="0.35">
      <c r="A904" s="37" t="str">
        <f t="shared" ref="A904:A915" si="45">B904&amp;C904&amp;D904</f>
        <v>ATUAÇÃO TRATATIVACliente1</v>
      </c>
      <c r="B904" s="104" t="s">
        <v>183</v>
      </c>
      <c r="C904" s="37" t="s">
        <v>124</v>
      </c>
      <c r="D904" s="37">
        <v>1</v>
      </c>
      <c r="E904" s="37" t="s">
        <v>1212</v>
      </c>
      <c r="F904" s="38">
        <v>0.08</v>
      </c>
      <c r="G904" s="39">
        <f>IF(OR(B904="FIXO",B904="XFIXO"),IF(F904="","ERRO",10*F904)*'BD Campos'!$W$2,IF(F904="","ERRO",10*F904)*'BD Campos'!$W$3)</f>
        <v>0.8</v>
      </c>
      <c r="H904" s="40">
        <v>0.05</v>
      </c>
      <c r="I904" s="41">
        <f t="shared" ref="I904:I915" si="46">H904*G904*-1</f>
        <v>-4.0000000000000008E-2</v>
      </c>
    </row>
    <row r="905" spans="1:9" hidden="1" x14ac:dyDescent="0.35">
      <c r="A905" s="37" t="str">
        <f t="shared" si="45"/>
        <v>ATUAÇÃO TRATATIVACliente2</v>
      </c>
      <c r="B905" s="104" t="s">
        <v>183</v>
      </c>
      <c r="C905" s="37" t="s">
        <v>124</v>
      </c>
      <c r="D905" s="37">
        <v>2</v>
      </c>
      <c r="E905" s="104" t="s">
        <v>1213</v>
      </c>
      <c r="F905" s="38">
        <v>0.08</v>
      </c>
      <c r="G905" s="39">
        <f>IF(OR(B905="FIXO",B905="XFIXO"),IF(F905="","ERRO",10*F905)*'BD Campos'!$W$2,IF(F905="","ERRO",10*F905)*'BD Campos'!$W$3)</f>
        <v>0.8</v>
      </c>
      <c r="H905" s="40">
        <v>0.05</v>
      </c>
      <c r="I905" s="41">
        <f t="shared" si="46"/>
        <v>-4.0000000000000008E-2</v>
      </c>
    </row>
    <row r="906" spans="1:9" hidden="1" x14ac:dyDescent="0.35">
      <c r="A906" s="37" t="str">
        <f t="shared" si="45"/>
        <v>ATUAÇÃO TRATATIVACliente3</v>
      </c>
      <c r="B906" s="104" t="s">
        <v>183</v>
      </c>
      <c r="C906" s="37" t="s">
        <v>124</v>
      </c>
      <c r="D906" s="37">
        <v>3</v>
      </c>
      <c r="E906" s="104" t="s">
        <v>1328</v>
      </c>
      <c r="F906" s="38">
        <v>0.08</v>
      </c>
      <c r="G906" s="39">
        <f>IF(OR(B906="FIXO",B906="XFIXO"),IF(F906="","ERRO",10*F906)*'BD Campos'!$W$2,IF(F906="","ERRO",10*F906)*'BD Campos'!$W$3)</f>
        <v>0.8</v>
      </c>
      <c r="H906" s="40">
        <v>0.05</v>
      </c>
      <c r="I906" s="41">
        <f t="shared" si="46"/>
        <v>-4.0000000000000008E-2</v>
      </c>
    </row>
    <row r="907" spans="1:9" hidden="1" x14ac:dyDescent="0.35">
      <c r="A907" s="37" t="str">
        <f t="shared" si="45"/>
        <v>ATUAÇÃO TRATATIVACliente4</v>
      </c>
      <c r="B907" s="104" t="s">
        <v>183</v>
      </c>
      <c r="C907" s="37" t="s">
        <v>124</v>
      </c>
      <c r="D907" s="37">
        <v>4</v>
      </c>
      <c r="E907" s="104" t="s">
        <v>1259</v>
      </c>
      <c r="F907" s="38">
        <v>0.08</v>
      </c>
      <c r="G907" s="39">
        <f>IF(OR(B907="FIXO",B907="XFIXO"),IF(F907="","ERRO",10*F907)*'BD Campos'!$W$2,IF(F907="","ERRO",10*F907)*'BD Campos'!$W$3)</f>
        <v>0.8</v>
      </c>
      <c r="H907" s="40">
        <v>0.05</v>
      </c>
      <c r="I907" s="41">
        <f t="shared" si="46"/>
        <v>-4.0000000000000008E-2</v>
      </c>
    </row>
    <row r="908" spans="1:9" hidden="1" x14ac:dyDescent="0.35">
      <c r="A908" s="37" t="str">
        <f t="shared" si="45"/>
        <v>ATUAÇÃO TRATATIVACliente5</v>
      </c>
      <c r="B908" s="104" t="s">
        <v>183</v>
      </c>
      <c r="C908" s="37" t="s">
        <v>124</v>
      </c>
      <c r="D908" s="37">
        <v>5</v>
      </c>
      <c r="E908" s="104" t="s">
        <v>1215</v>
      </c>
      <c r="F908" s="38">
        <v>0.08</v>
      </c>
      <c r="G908" s="39">
        <f>IF(OR(B908="FIXO",B908="XFIXO"),IF(F908="","ERRO",10*F908)*'BD Campos'!$W$2,IF(F908="","ERRO",10*F908)*'BD Campos'!$W$3)</f>
        <v>0.8</v>
      </c>
      <c r="H908" s="40">
        <v>0.05</v>
      </c>
      <c r="I908" s="41">
        <f t="shared" si="46"/>
        <v>-4.0000000000000008E-2</v>
      </c>
    </row>
    <row r="909" spans="1:9" hidden="1" x14ac:dyDescent="0.35">
      <c r="A909" s="37" t="str">
        <f t="shared" si="45"/>
        <v>ATUAÇÃO TRATATIVACliente6</v>
      </c>
      <c r="B909" s="104" t="s">
        <v>183</v>
      </c>
      <c r="C909" s="37" t="s">
        <v>124</v>
      </c>
      <c r="D909" s="37">
        <v>6</v>
      </c>
      <c r="E909" s="37" t="s">
        <v>1216</v>
      </c>
      <c r="F909" s="38">
        <v>0.05</v>
      </c>
      <c r="G909" s="39">
        <f>IF(OR(B909="FIXO",B909="XFIXO"),IF(F909="","ERRO",10*F909)*'BD Campos'!$W$2,IF(F909="","ERRO",10*F909)*'BD Campos'!$W$3)</f>
        <v>0.5</v>
      </c>
      <c r="H909" s="40">
        <v>0.05</v>
      </c>
      <c r="I909" s="41">
        <f t="shared" si="46"/>
        <v>-2.5000000000000001E-2</v>
      </c>
    </row>
    <row r="910" spans="1:9" hidden="1" x14ac:dyDescent="0.35">
      <c r="A910" s="37" t="str">
        <f t="shared" si="45"/>
        <v>ATUAÇÃO TRATATIVACliente7</v>
      </c>
      <c r="B910" s="104" t="s">
        <v>183</v>
      </c>
      <c r="C910" s="37" t="s">
        <v>124</v>
      </c>
      <c r="D910" s="37">
        <v>7</v>
      </c>
      <c r="E910" s="104" t="s">
        <v>1217</v>
      </c>
      <c r="F910" s="38">
        <v>0.05</v>
      </c>
      <c r="G910" s="39">
        <f>IF(OR(B910="FIXO",B910="XFIXO"),IF(F910="","ERRO",10*F910)*'BD Campos'!$W$2,IF(F910="","ERRO",10*F910)*'BD Campos'!$W$3)</f>
        <v>0.5</v>
      </c>
      <c r="H910" s="40">
        <v>0.05</v>
      </c>
      <c r="I910" s="41">
        <f t="shared" si="46"/>
        <v>-2.5000000000000001E-2</v>
      </c>
    </row>
    <row r="911" spans="1:9" hidden="1" x14ac:dyDescent="0.35">
      <c r="A911" s="37" t="str">
        <f t="shared" si="45"/>
        <v>ATUAÇÃO TRATATIVACliente8</v>
      </c>
      <c r="B911" s="104" t="s">
        <v>183</v>
      </c>
      <c r="C911" s="37" t="s">
        <v>124</v>
      </c>
      <c r="D911" s="37">
        <v>8</v>
      </c>
      <c r="E911" s="104" t="s">
        <v>1257</v>
      </c>
      <c r="F911" s="38">
        <v>0.1</v>
      </c>
      <c r="G911" s="39">
        <f>IF(OR(B911="FIXO",B911="XFIXO"),IF(F911="","ERRO",10*F911)*'BD Campos'!$W$2,IF(F911="","ERRO",10*F911)*'BD Campos'!$W$3)</f>
        <v>1</v>
      </c>
      <c r="H911" s="40">
        <v>0.05</v>
      </c>
      <c r="I911" s="41">
        <f t="shared" si="46"/>
        <v>-0.05</v>
      </c>
    </row>
    <row r="912" spans="1:9" hidden="1" x14ac:dyDescent="0.35">
      <c r="A912" s="37" t="str">
        <f t="shared" si="45"/>
        <v>ATUAÇÃO TRATATIVACliente9</v>
      </c>
      <c r="B912" s="104" t="s">
        <v>183</v>
      </c>
      <c r="C912" s="37" t="s">
        <v>124</v>
      </c>
      <c r="D912" s="37">
        <v>9</v>
      </c>
      <c r="E912" s="104" t="s">
        <v>1329</v>
      </c>
      <c r="F912" s="38">
        <v>0.1</v>
      </c>
      <c r="G912" s="39">
        <f>IF(OR(B912="FIXO",B912="XFIXO"),IF(F912="","ERRO",10*F912)*'BD Campos'!$W$2,IF(F912="","ERRO",10*F912)*'BD Campos'!$W$3)</f>
        <v>1</v>
      </c>
      <c r="H912" s="40">
        <v>0.05</v>
      </c>
      <c r="I912" s="41">
        <f t="shared" si="46"/>
        <v>-0.05</v>
      </c>
    </row>
    <row r="913" spans="1:9" hidden="1" x14ac:dyDescent="0.35">
      <c r="A913" s="37" t="str">
        <f t="shared" si="45"/>
        <v>ATUAÇÃO TRATATIVACliente10</v>
      </c>
      <c r="B913" s="104" t="s">
        <v>183</v>
      </c>
      <c r="C913" s="37" t="s">
        <v>124</v>
      </c>
      <c r="D913" s="37">
        <v>10</v>
      </c>
      <c r="E913" s="104" t="s">
        <v>1330</v>
      </c>
      <c r="F913" s="38">
        <v>0.1</v>
      </c>
      <c r="G913" s="39">
        <f>IF(OR(B913="FIXO",B913="XFIXO"),IF(F913="","ERRO",10*F913)*'BD Campos'!$W$2,IF(F913="","ERRO",10*F913)*'BD Campos'!$W$3)</f>
        <v>1</v>
      </c>
      <c r="H913" s="40">
        <v>0.05</v>
      </c>
      <c r="I913" s="41">
        <f t="shared" si="46"/>
        <v>-0.05</v>
      </c>
    </row>
    <row r="914" spans="1:9" hidden="1" x14ac:dyDescent="0.35">
      <c r="A914" s="37" t="str">
        <f t="shared" si="45"/>
        <v>ATUAÇÃO TRATATIVACliente11</v>
      </c>
      <c r="B914" s="104" t="s">
        <v>183</v>
      </c>
      <c r="C914" s="37" t="s">
        <v>124</v>
      </c>
      <c r="D914" s="37">
        <v>11</v>
      </c>
      <c r="E914" s="104" t="s">
        <v>1263</v>
      </c>
      <c r="F914" s="38">
        <v>0.1</v>
      </c>
      <c r="G914" s="39">
        <f>IF(OR(B914="FIXO",B914="XFIXO"),IF(F914="","ERRO",10*F914)*'BD Campos'!$W$2,IF(F914="","ERRO",10*F914)*'BD Campos'!$W$3)</f>
        <v>1</v>
      </c>
      <c r="H914" s="40">
        <v>0.05</v>
      </c>
      <c r="I914" s="41">
        <f t="shared" si="46"/>
        <v>-0.05</v>
      </c>
    </row>
    <row r="915" spans="1:9" hidden="1" x14ac:dyDescent="0.35">
      <c r="A915" s="37" t="str">
        <f t="shared" si="45"/>
        <v>ATUAÇÃO TRATATIVACliente12</v>
      </c>
      <c r="B915" s="104" t="s">
        <v>183</v>
      </c>
      <c r="C915" s="37" t="s">
        <v>124</v>
      </c>
      <c r="D915" s="37">
        <v>12</v>
      </c>
      <c r="E915" s="104" t="s">
        <v>1264</v>
      </c>
      <c r="F915" s="38">
        <v>0.1</v>
      </c>
      <c r="G915" s="39">
        <f>IF(OR(B915="FIXO",B915="XFIXO"),IF(F915="","ERRO",10*F915)*'BD Campos'!$W$2,IF(F915="","ERRO",10*F915)*'BD Campos'!$W$3)</f>
        <v>1</v>
      </c>
      <c r="H915" s="40">
        <v>0.05</v>
      </c>
      <c r="I915" s="41">
        <f t="shared" si="46"/>
        <v>-0.05</v>
      </c>
    </row>
    <row r="916" spans="1:9" hidden="1" x14ac:dyDescent="0.35">
      <c r="A916" s="37" t="str">
        <f t="shared" ref="A916:A927" si="47">B916&amp;C916&amp;D916</f>
        <v>ATUAÇÃO TRATATIVACliente 21</v>
      </c>
      <c r="B916" s="104" t="s">
        <v>183</v>
      </c>
      <c r="C916" s="37" t="s">
        <v>185</v>
      </c>
      <c r="D916" s="37">
        <v>1</v>
      </c>
      <c r="E916" s="37" t="s">
        <v>1212</v>
      </c>
      <c r="F916" s="38">
        <v>0.08</v>
      </c>
      <c r="G916" s="39">
        <f>IF(OR(B916="FIXO",B916="XFIXO"),IF(F916="","ERRO",10*F916)*'BD Campos'!$W$2,IF(F916="","ERRO",10*F916)*'BD Campos'!$W$3)</f>
        <v>0.8</v>
      </c>
      <c r="H916" s="40">
        <v>0.05</v>
      </c>
      <c r="I916" s="41">
        <f t="shared" ref="I916:I927" si="48">H916*G916*-1</f>
        <v>-4.0000000000000008E-2</v>
      </c>
    </row>
    <row r="917" spans="1:9" hidden="1" x14ac:dyDescent="0.35">
      <c r="A917" s="37" t="str">
        <f t="shared" si="47"/>
        <v>ATUAÇÃO TRATATIVACliente 22</v>
      </c>
      <c r="B917" s="104" t="s">
        <v>183</v>
      </c>
      <c r="C917" s="37" t="s">
        <v>185</v>
      </c>
      <c r="D917" s="37">
        <v>2</v>
      </c>
      <c r="E917" s="104" t="s">
        <v>1213</v>
      </c>
      <c r="F917" s="38">
        <v>0.08</v>
      </c>
      <c r="G917" s="39">
        <f>IF(OR(B917="FIXO",B917="XFIXO"),IF(F917="","ERRO",10*F917)*'BD Campos'!$W$2,IF(F917="","ERRO",10*F917)*'BD Campos'!$W$3)</f>
        <v>0.8</v>
      </c>
      <c r="H917" s="40">
        <v>0.05</v>
      </c>
      <c r="I917" s="41">
        <f t="shared" si="48"/>
        <v>-4.0000000000000008E-2</v>
      </c>
    </row>
    <row r="918" spans="1:9" hidden="1" x14ac:dyDescent="0.35">
      <c r="A918" s="37" t="str">
        <f t="shared" si="47"/>
        <v>ATUAÇÃO TRATATIVACliente 23</v>
      </c>
      <c r="B918" s="104" t="s">
        <v>183</v>
      </c>
      <c r="C918" s="37" t="s">
        <v>185</v>
      </c>
      <c r="D918" s="37">
        <v>3</v>
      </c>
      <c r="E918" s="104" t="s">
        <v>1328</v>
      </c>
      <c r="F918" s="38">
        <v>0.08</v>
      </c>
      <c r="G918" s="39">
        <f>IF(OR(B918="FIXO",B918="XFIXO"),IF(F918="","ERRO",10*F918)*'BD Campos'!$W$2,IF(F918="","ERRO",10*F918)*'BD Campos'!$W$3)</f>
        <v>0.8</v>
      </c>
      <c r="H918" s="40">
        <v>0.05</v>
      </c>
      <c r="I918" s="41">
        <f t="shared" si="48"/>
        <v>-4.0000000000000008E-2</v>
      </c>
    </row>
    <row r="919" spans="1:9" hidden="1" x14ac:dyDescent="0.35">
      <c r="A919" s="37" t="str">
        <f t="shared" si="47"/>
        <v>ATUAÇÃO TRATATIVACliente 24</v>
      </c>
      <c r="B919" s="104" t="s">
        <v>183</v>
      </c>
      <c r="C919" s="37" t="s">
        <v>185</v>
      </c>
      <c r="D919" s="37">
        <v>4</v>
      </c>
      <c r="E919" s="104" t="s">
        <v>1259</v>
      </c>
      <c r="F919" s="38">
        <v>0.08</v>
      </c>
      <c r="G919" s="39">
        <f>IF(OR(B919="FIXO",B919="XFIXO"),IF(F919="","ERRO",10*F919)*'BD Campos'!$W$2,IF(F919="","ERRO",10*F919)*'BD Campos'!$W$3)</f>
        <v>0.8</v>
      </c>
      <c r="H919" s="40">
        <v>0.05</v>
      </c>
      <c r="I919" s="41">
        <f t="shared" si="48"/>
        <v>-4.0000000000000008E-2</v>
      </c>
    </row>
    <row r="920" spans="1:9" hidden="1" x14ac:dyDescent="0.35">
      <c r="A920" s="37" t="str">
        <f t="shared" si="47"/>
        <v>ATUAÇÃO TRATATIVACliente 25</v>
      </c>
      <c r="B920" s="104" t="s">
        <v>183</v>
      </c>
      <c r="C920" s="37" t="s">
        <v>185</v>
      </c>
      <c r="D920" s="37">
        <v>5</v>
      </c>
      <c r="E920" s="104" t="s">
        <v>1215</v>
      </c>
      <c r="F920" s="38">
        <v>0.08</v>
      </c>
      <c r="G920" s="39">
        <f>IF(OR(B920="FIXO",B920="XFIXO"),IF(F920="","ERRO",10*F920)*'BD Campos'!$W$2,IF(F920="","ERRO",10*F920)*'BD Campos'!$W$3)</f>
        <v>0.8</v>
      </c>
      <c r="H920" s="40">
        <v>0.05</v>
      </c>
      <c r="I920" s="41">
        <f t="shared" si="48"/>
        <v>-4.0000000000000008E-2</v>
      </c>
    </row>
    <row r="921" spans="1:9" hidden="1" x14ac:dyDescent="0.35">
      <c r="A921" s="37" t="str">
        <f t="shared" si="47"/>
        <v>ATUAÇÃO TRATATIVACliente 26</v>
      </c>
      <c r="B921" s="104" t="s">
        <v>183</v>
      </c>
      <c r="C921" s="37" t="s">
        <v>185</v>
      </c>
      <c r="D921" s="37">
        <v>6</v>
      </c>
      <c r="E921" s="37" t="s">
        <v>1216</v>
      </c>
      <c r="F921" s="38">
        <v>0.05</v>
      </c>
      <c r="G921" s="39">
        <f>IF(OR(B921="FIXO",B921="XFIXO"),IF(F921="","ERRO",10*F921)*'BD Campos'!$W$2,IF(F921="","ERRO",10*F921)*'BD Campos'!$W$3)</f>
        <v>0.5</v>
      </c>
      <c r="H921" s="40">
        <v>0.05</v>
      </c>
      <c r="I921" s="41">
        <f t="shared" si="48"/>
        <v>-2.5000000000000001E-2</v>
      </c>
    </row>
    <row r="922" spans="1:9" hidden="1" x14ac:dyDescent="0.35">
      <c r="A922" s="37" t="str">
        <f t="shared" si="47"/>
        <v>ATUAÇÃO TRATATIVACliente 27</v>
      </c>
      <c r="B922" s="104" t="s">
        <v>183</v>
      </c>
      <c r="C922" s="37" t="s">
        <v>185</v>
      </c>
      <c r="D922" s="37">
        <v>7</v>
      </c>
      <c r="E922" s="104" t="s">
        <v>1217</v>
      </c>
      <c r="F922" s="38">
        <v>0.05</v>
      </c>
      <c r="G922" s="39">
        <f>IF(OR(B922="FIXO",B922="XFIXO"),IF(F922="","ERRO",10*F922)*'BD Campos'!$W$2,IF(F922="","ERRO",10*F922)*'BD Campos'!$W$3)</f>
        <v>0.5</v>
      </c>
      <c r="H922" s="40">
        <v>0.05</v>
      </c>
      <c r="I922" s="41">
        <f t="shared" si="48"/>
        <v>-2.5000000000000001E-2</v>
      </c>
    </row>
    <row r="923" spans="1:9" hidden="1" x14ac:dyDescent="0.35">
      <c r="A923" s="37" t="str">
        <f t="shared" si="47"/>
        <v>ATUAÇÃO TRATATIVACliente 28</v>
      </c>
      <c r="B923" s="104" t="s">
        <v>183</v>
      </c>
      <c r="C923" s="37" t="s">
        <v>185</v>
      </c>
      <c r="D923" s="37">
        <v>8</v>
      </c>
      <c r="E923" s="104" t="s">
        <v>1257</v>
      </c>
      <c r="F923" s="38">
        <v>0.1</v>
      </c>
      <c r="G923" s="39">
        <f>IF(OR(B923="FIXO",B923="XFIXO"),IF(F923="","ERRO",10*F923)*'BD Campos'!$W$2,IF(F923="","ERRO",10*F923)*'BD Campos'!$W$3)</f>
        <v>1</v>
      </c>
      <c r="H923" s="40">
        <v>0.05</v>
      </c>
      <c r="I923" s="41">
        <f t="shared" si="48"/>
        <v>-0.05</v>
      </c>
    </row>
    <row r="924" spans="1:9" hidden="1" x14ac:dyDescent="0.35">
      <c r="A924" s="37" t="str">
        <f t="shared" si="47"/>
        <v>ATUAÇÃO TRATATIVACliente 29</v>
      </c>
      <c r="B924" s="104" t="s">
        <v>183</v>
      </c>
      <c r="C924" s="37" t="s">
        <v>185</v>
      </c>
      <c r="D924" s="37">
        <v>9</v>
      </c>
      <c r="E924" s="104" t="s">
        <v>1329</v>
      </c>
      <c r="F924" s="38">
        <v>0.1</v>
      </c>
      <c r="G924" s="39">
        <f>IF(OR(B924="FIXO",B924="XFIXO"),IF(F924="","ERRO",10*F924)*'BD Campos'!$W$2,IF(F924="","ERRO",10*F924)*'BD Campos'!$W$3)</f>
        <v>1</v>
      </c>
      <c r="H924" s="40">
        <v>0.05</v>
      </c>
      <c r="I924" s="41">
        <f t="shared" si="48"/>
        <v>-0.05</v>
      </c>
    </row>
    <row r="925" spans="1:9" hidden="1" x14ac:dyDescent="0.35">
      <c r="A925" s="37" t="str">
        <f t="shared" si="47"/>
        <v>ATUAÇÃO TRATATIVACliente 210</v>
      </c>
      <c r="B925" s="104" t="s">
        <v>183</v>
      </c>
      <c r="C925" s="37" t="s">
        <v>185</v>
      </c>
      <c r="D925" s="37">
        <v>10</v>
      </c>
      <c r="E925" s="104" t="s">
        <v>1330</v>
      </c>
      <c r="F925" s="38">
        <v>0.1</v>
      </c>
      <c r="G925" s="39">
        <f>IF(OR(B925="FIXO",B925="XFIXO"),IF(F925="","ERRO",10*F925)*'BD Campos'!$W$2,IF(F925="","ERRO",10*F925)*'BD Campos'!$W$3)</f>
        <v>1</v>
      </c>
      <c r="H925" s="40">
        <v>0.05</v>
      </c>
      <c r="I925" s="41">
        <f t="shared" si="48"/>
        <v>-0.05</v>
      </c>
    </row>
    <row r="926" spans="1:9" hidden="1" x14ac:dyDescent="0.35">
      <c r="A926" s="37" t="str">
        <f t="shared" si="47"/>
        <v>ATUAÇÃO TRATATIVACliente 211</v>
      </c>
      <c r="B926" s="104" t="s">
        <v>183</v>
      </c>
      <c r="C926" s="37" t="s">
        <v>185</v>
      </c>
      <c r="D926" s="37">
        <v>11</v>
      </c>
      <c r="E926" s="104" t="s">
        <v>1263</v>
      </c>
      <c r="F926" s="38">
        <v>0.1</v>
      </c>
      <c r="G926" s="39">
        <f>IF(OR(B926="FIXO",B926="XFIXO"),IF(F926="","ERRO",10*F926)*'BD Campos'!$W$2,IF(F926="","ERRO",10*F926)*'BD Campos'!$W$3)</f>
        <v>1</v>
      </c>
      <c r="H926" s="40">
        <v>0.05</v>
      </c>
      <c r="I926" s="41">
        <f t="shared" si="48"/>
        <v>-0.05</v>
      </c>
    </row>
    <row r="927" spans="1:9" hidden="1" x14ac:dyDescent="0.35">
      <c r="A927" s="37" t="str">
        <f t="shared" si="47"/>
        <v>ATUAÇÃO TRATATIVACliente 212</v>
      </c>
      <c r="B927" s="104" t="s">
        <v>183</v>
      </c>
      <c r="C927" s="37" t="s">
        <v>185</v>
      </c>
      <c r="D927" s="37">
        <v>12</v>
      </c>
      <c r="E927" s="104" t="s">
        <v>1264</v>
      </c>
      <c r="F927" s="38">
        <v>0.1</v>
      </c>
      <c r="G927" s="39">
        <f>IF(OR(B927="FIXO",B927="XFIXO"),IF(F927="","ERRO",10*F927)*'BD Campos'!$W$2,IF(F927="","ERRO",10*F927)*'BD Campos'!$W$3)</f>
        <v>1</v>
      </c>
      <c r="H927" s="40">
        <v>0.05</v>
      </c>
      <c r="I927" s="41">
        <f t="shared" si="48"/>
        <v>-0.05</v>
      </c>
    </row>
    <row r="928" spans="1:9" hidden="1" x14ac:dyDescent="0.35">
      <c r="A928" s="37" t="str">
        <f t="shared" ref="A928:A949" si="49">B928&amp;C928&amp;D928</f>
        <v>DISTRIBUIÇÃO CD/Transportadora1</v>
      </c>
      <c r="B928" s="104" t="s">
        <v>352</v>
      </c>
      <c r="C928" s="37" t="s">
        <v>353</v>
      </c>
      <c r="D928" s="37">
        <v>1</v>
      </c>
      <c r="E928" s="37" t="s">
        <v>1212</v>
      </c>
      <c r="F928" s="38">
        <v>0.09</v>
      </c>
      <c r="G928" s="39">
        <f>IF(OR(B928="FIXO",B928="XFIXO"),IF(F928="","ERRO",10*F928)*'BD Campos'!$W$2,IF(F928="","ERRO",10*F928)*'BD Campos'!$W$3)</f>
        <v>0.89999999999999991</v>
      </c>
      <c r="H928" s="40">
        <v>0.05</v>
      </c>
      <c r="I928" s="41">
        <f t="shared" ref="I928:I949" si="50">H928*G928*-1</f>
        <v>-4.4999999999999998E-2</v>
      </c>
    </row>
    <row r="929" spans="1:9" hidden="1" x14ac:dyDescent="0.35">
      <c r="A929" s="37" t="str">
        <f t="shared" si="49"/>
        <v>DISTRIBUIÇÃO CD/Transportadora2</v>
      </c>
      <c r="B929" s="104" t="s">
        <v>352</v>
      </c>
      <c r="C929" s="37" t="s">
        <v>353</v>
      </c>
      <c r="D929" s="37">
        <v>2</v>
      </c>
      <c r="E929" s="104" t="s">
        <v>1257</v>
      </c>
      <c r="F929" s="38">
        <v>0.09</v>
      </c>
      <c r="G929" s="39">
        <f>IF(OR(B929="FIXO",B929="XFIXO"),IF(F929="","ERRO",10*F929)*'BD Campos'!$W$2,IF(F929="","ERRO",10*F929)*'BD Campos'!$W$3)</f>
        <v>0.89999999999999991</v>
      </c>
      <c r="H929" s="40">
        <v>0.05</v>
      </c>
      <c r="I929" s="41">
        <f t="shared" si="50"/>
        <v>-4.4999999999999998E-2</v>
      </c>
    </row>
    <row r="930" spans="1:9" hidden="1" x14ac:dyDescent="0.35">
      <c r="A930" s="37" t="str">
        <f t="shared" si="49"/>
        <v>DISTRIBUIÇÃO CD/Transportadora3</v>
      </c>
      <c r="B930" s="104" t="s">
        <v>352</v>
      </c>
      <c r="C930" s="37" t="s">
        <v>353</v>
      </c>
      <c r="D930" s="37">
        <v>3</v>
      </c>
      <c r="E930" s="104" t="s">
        <v>1213</v>
      </c>
      <c r="F930" s="38">
        <v>0.09</v>
      </c>
      <c r="G930" s="39">
        <f>IF(OR(B930="FIXO",B930="XFIXO"),IF(F930="","ERRO",10*F930)*'BD Campos'!$W$2,IF(F930="","ERRO",10*F930)*'BD Campos'!$W$3)</f>
        <v>0.89999999999999991</v>
      </c>
      <c r="H930" s="40">
        <v>0.05</v>
      </c>
      <c r="I930" s="41">
        <f t="shared" si="50"/>
        <v>-4.4999999999999998E-2</v>
      </c>
    </row>
    <row r="931" spans="1:9" hidden="1" x14ac:dyDescent="0.35">
      <c r="A931" s="37" t="str">
        <f t="shared" si="49"/>
        <v>DISTRIBUIÇÃO CD/Transportadora4</v>
      </c>
      <c r="B931" s="104" t="s">
        <v>352</v>
      </c>
      <c r="C931" s="37" t="s">
        <v>353</v>
      </c>
      <c r="D931" s="37">
        <v>4</v>
      </c>
      <c r="E931" s="104" t="s">
        <v>1259</v>
      </c>
      <c r="F931" s="38">
        <v>0.09</v>
      </c>
      <c r="G931" s="39">
        <f>IF(OR(B931="FIXO",B931="XFIXO"),IF(F931="","ERRO",10*F931)*'BD Campos'!$W$2,IF(F931="","ERRO",10*F931)*'BD Campos'!$W$3)</f>
        <v>0.89999999999999991</v>
      </c>
      <c r="H931" s="40">
        <v>0.05</v>
      </c>
      <c r="I931" s="41">
        <f t="shared" si="50"/>
        <v>-4.4999999999999998E-2</v>
      </c>
    </row>
    <row r="932" spans="1:9" hidden="1" x14ac:dyDescent="0.35">
      <c r="A932" s="37" t="str">
        <f t="shared" si="49"/>
        <v>DISTRIBUIÇÃO CD/Transportadora5</v>
      </c>
      <c r="B932" s="104" t="s">
        <v>352</v>
      </c>
      <c r="C932" s="37" t="s">
        <v>353</v>
      </c>
      <c r="D932" s="37">
        <v>5</v>
      </c>
      <c r="E932" s="104" t="s">
        <v>1215</v>
      </c>
      <c r="F932" s="38">
        <v>0.09</v>
      </c>
      <c r="G932" s="39">
        <f>IF(OR(B932="FIXO",B932="XFIXO"),IF(F932="","ERRO",10*F932)*'BD Campos'!$W$2,IF(F932="","ERRO",10*F932)*'BD Campos'!$W$3)</f>
        <v>0.89999999999999991</v>
      </c>
      <c r="H932" s="40">
        <v>0.05</v>
      </c>
      <c r="I932" s="41">
        <f t="shared" si="50"/>
        <v>-4.4999999999999998E-2</v>
      </c>
    </row>
    <row r="933" spans="1:9" hidden="1" x14ac:dyDescent="0.35">
      <c r="A933" s="37" t="str">
        <f t="shared" si="49"/>
        <v>DISTRIBUIÇÃO CD/Transportadora6</v>
      </c>
      <c r="B933" s="104" t="s">
        <v>352</v>
      </c>
      <c r="C933" s="37" t="s">
        <v>353</v>
      </c>
      <c r="D933" s="37">
        <v>6</v>
      </c>
      <c r="E933" s="37" t="s">
        <v>1216</v>
      </c>
      <c r="F933" s="38">
        <v>0.05</v>
      </c>
      <c r="G933" s="39">
        <f>IF(OR(B933="FIXO",B933="XFIXO"),IF(F933="","ERRO",10*F933)*'BD Campos'!$W$2,IF(F933="","ERRO",10*F933)*'BD Campos'!$W$3)</f>
        <v>0.5</v>
      </c>
      <c r="H933" s="40">
        <v>0.05</v>
      </c>
      <c r="I933" s="41">
        <f t="shared" si="50"/>
        <v>-2.5000000000000001E-2</v>
      </c>
    </row>
    <row r="934" spans="1:9" hidden="1" x14ac:dyDescent="0.35">
      <c r="A934" s="37" t="str">
        <f t="shared" si="49"/>
        <v>DISTRIBUIÇÃO CD/Transportadora7</v>
      </c>
      <c r="B934" s="104" t="s">
        <v>352</v>
      </c>
      <c r="C934" s="37" t="s">
        <v>353</v>
      </c>
      <c r="D934" s="37">
        <v>7</v>
      </c>
      <c r="E934" s="104" t="s">
        <v>1331</v>
      </c>
      <c r="F934" s="38">
        <v>0.05</v>
      </c>
      <c r="G934" s="39">
        <f>IF(OR(B934="FIXO",B934="XFIXO"),IF(F934="","ERRO",10*F934)*'BD Campos'!$W$2,IF(F934="","ERRO",10*F934)*'BD Campos'!$W$3)</f>
        <v>0.5</v>
      </c>
      <c r="H934" s="40">
        <v>0.05</v>
      </c>
      <c r="I934" s="41">
        <f t="shared" si="50"/>
        <v>-2.5000000000000001E-2</v>
      </c>
    </row>
    <row r="935" spans="1:9" hidden="1" x14ac:dyDescent="0.35">
      <c r="A935" s="37" t="str">
        <f t="shared" si="49"/>
        <v>DISTRIBUIÇÃO CD/Transportadora8</v>
      </c>
      <c r="B935" s="104" t="s">
        <v>352</v>
      </c>
      <c r="C935" s="37" t="s">
        <v>353</v>
      </c>
      <c r="D935" s="37">
        <v>8</v>
      </c>
      <c r="E935" s="104" t="s">
        <v>1260</v>
      </c>
      <c r="F935" s="38">
        <v>0.11</v>
      </c>
      <c r="G935" s="39">
        <f>IF(OR(B935="FIXO",B935="XFIXO"),IF(F935="","ERRO",10*F935)*'BD Campos'!$W$2,IF(F935="","ERRO",10*F935)*'BD Campos'!$W$3)</f>
        <v>1.1000000000000001</v>
      </c>
      <c r="H935" s="40">
        <v>0.05</v>
      </c>
      <c r="I935" s="41">
        <f t="shared" si="50"/>
        <v>-5.5000000000000007E-2</v>
      </c>
    </row>
    <row r="936" spans="1:9" hidden="1" x14ac:dyDescent="0.35">
      <c r="A936" s="37" t="str">
        <f t="shared" si="49"/>
        <v>DISTRIBUIÇÃO CD/Transportadora9</v>
      </c>
      <c r="B936" s="104" t="s">
        <v>352</v>
      </c>
      <c r="C936" s="37" t="s">
        <v>353</v>
      </c>
      <c r="D936" s="37">
        <v>9</v>
      </c>
      <c r="E936" s="104" t="s">
        <v>1329</v>
      </c>
      <c r="F936" s="38">
        <v>0.11</v>
      </c>
      <c r="G936" s="39">
        <f>IF(OR(B936="FIXO",B936="XFIXO"),IF(F936="","ERRO",10*F936)*'BD Campos'!$W$2,IF(F936="","ERRO",10*F936)*'BD Campos'!$W$3)</f>
        <v>1.1000000000000001</v>
      </c>
      <c r="H936" s="40">
        <v>0.05</v>
      </c>
      <c r="I936" s="41">
        <f t="shared" si="50"/>
        <v>-5.5000000000000007E-2</v>
      </c>
    </row>
    <row r="937" spans="1:9" hidden="1" x14ac:dyDescent="0.35">
      <c r="A937" s="37" t="str">
        <f t="shared" si="49"/>
        <v>DISTRIBUIÇÃO CD/Transportadora10</v>
      </c>
      <c r="B937" s="104" t="s">
        <v>352</v>
      </c>
      <c r="C937" s="37" t="s">
        <v>353</v>
      </c>
      <c r="D937" s="37">
        <v>10</v>
      </c>
      <c r="E937" s="104" t="s">
        <v>1263</v>
      </c>
      <c r="F937" s="38">
        <v>0.11</v>
      </c>
      <c r="G937" s="39">
        <f>IF(OR(B937="FIXO",B937="XFIXO"),IF(F937="","ERRO",10*F937)*'BD Campos'!$W$2,IF(F937="","ERRO",10*F937)*'BD Campos'!$W$3)</f>
        <v>1.1000000000000001</v>
      </c>
      <c r="H937" s="40">
        <v>0.05</v>
      </c>
      <c r="I937" s="41">
        <f t="shared" si="50"/>
        <v>-5.5000000000000007E-2</v>
      </c>
    </row>
    <row r="938" spans="1:9" hidden="1" x14ac:dyDescent="0.35">
      <c r="A938" s="37" t="str">
        <f t="shared" si="49"/>
        <v>DISTRIBUIÇÃO CD/Transportadora11</v>
      </c>
      <c r="B938" s="104" t="s">
        <v>352</v>
      </c>
      <c r="C938" s="37" t="s">
        <v>353</v>
      </c>
      <c r="D938" s="37">
        <v>11</v>
      </c>
      <c r="E938" s="104" t="s">
        <v>1264</v>
      </c>
      <c r="F938" s="38">
        <v>0.12</v>
      </c>
      <c r="G938" s="39">
        <f>IF(OR(B938="FIXO",B938="XFIXO"),IF(F938="","ERRO",10*F938)*'BD Campos'!$W$2,IF(F938="","ERRO",10*F938)*'BD Campos'!$W$3)</f>
        <v>1.2</v>
      </c>
      <c r="H938" s="40">
        <v>0.05</v>
      </c>
      <c r="I938" s="41">
        <f t="shared" si="50"/>
        <v>-0.06</v>
      </c>
    </row>
    <row r="939" spans="1:9" hidden="1" x14ac:dyDescent="0.35">
      <c r="A939" s="37" t="str">
        <f t="shared" si="49"/>
        <v>DISTRIBUIÇÃO CD/Transportadora 21</v>
      </c>
      <c r="B939" s="104" t="s">
        <v>352</v>
      </c>
      <c r="C939" s="37" t="s">
        <v>530</v>
      </c>
      <c r="D939" s="37">
        <v>1</v>
      </c>
      <c r="E939" s="37" t="s">
        <v>1212</v>
      </c>
      <c r="F939" s="38">
        <v>0.09</v>
      </c>
      <c r="G939" s="39">
        <f>IF(OR(B939="FIXO",B939="XFIXO"),IF(F939="","ERRO",10*F939)*'BD Campos'!$W$2,IF(F939="","ERRO",10*F939)*'BD Campos'!$W$3)</f>
        <v>0.89999999999999991</v>
      </c>
      <c r="H939" s="40">
        <v>0.05</v>
      </c>
      <c r="I939" s="41">
        <f t="shared" si="50"/>
        <v>-4.4999999999999998E-2</v>
      </c>
    </row>
    <row r="940" spans="1:9" hidden="1" x14ac:dyDescent="0.35">
      <c r="A940" s="37" t="str">
        <f t="shared" si="49"/>
        <v>DISTRIBUIÇÃO CD/Transportadora 22</v>
      </c>
      <c r="B940" s="104" t="s">
        <v>352</v>
      </c>
      <c r="C940" s="37" t="s">
        <v>530</v>
      </c>
      <c r="D940" s="37">
        <v>2</v>
      </c>
      <c r="E940" s="104" t="s">
        <v>1257</v>
      </c>
      <c r="F940" s="38">
        <v>0.09</v>
      </c>
      <c r="G940" s="39">
        <f>IF(OR(B940="FIXO",B940="XFIXO"),IF(F940="","ERRO",10*F940)*'BD Campos'!$W$2,IF(F940="","ERRO",10*F940)*'BD Campos'!$W$3)</f>
        <v>0.89999999999999991</v>
      </c>
      <c r="H940" s="40">
        <v>0.05</v>
      </c>
      <c r="I940" s="41">
        <f t="shared" si="50"/>
        <v>-4.4999999999999998E-2</v>
      </c>
    </row>
    <row r="941" spans="1:9" hidden="1" x14ac:dyDescent="0.35">
      <c r="A941" s="37" t="str">
        <f t="shared" si="49"/>
        <v>DISTRIBUIÇÃO CD/Transportadora 23</v>
      </c>
      <c r="B941" s="104" t="s">
        <v>352</v>
      </c>
      <c r="C941" s="37" t="s">
        <v>530</v>
      </c>
      <c r="D941" s="37">
        <v>3</v>
      </c>
      <c r="E941" s="104" t="s">
        <v>1213</v>
      </c>
      <c r="F941" s="38">
        <v>0.09</v>
      </c>
      <c r="G941" s="39">
        <f>IF(OR(B941="FIXO",B941="XFIXO"),IF(F941="","ERRO",10*F941)*'BD Campos'!$W$2,IF(F941="","ERRO",10*F941)*'BD Campos'!$W$3)</f>
        <v>0.89999999999999991</v>
      </c>
      <c r="H941" s="40">
        <v>0.05</v>
      </c>
      <c r="I941" s="41">
        <f t="shared" si="50"/>
        <v>-4.4999999999999998E-2</v>
      </c>
    </row>
    <row r="942" spans="1:9" hidden="1" x14ac:dyDescent="0.35">
      <c r="A942" s="37" t="str">
        <f t="shared" si="49"/>
        <v>DISTRIBUIÇÃO CD/Transportadora 24</v>
      </c>
      <c r="B942" s="104" t="s">
        <v>352</v>
      </c>
      <c r="C942" s="37" t="s">
        <v>530</v>
      </c>
      <c r="D942" s="37">
        <v>4</v>
      </c>
      <c r="E942" s="104" t="s">
        <v>1259</v>
      </c>
      <c r="F942" s="38">
        <v>0.09</v>
      </c>
      <c r="G942" s="39">
        <f>IF(OR(B942="FIXO",B942="XFIXO"),IF(F942="","ERRO",10*F942)*'BD Campos'!$W$2,IF(F942="","ERRO",10*F942)*'BD Campos'!$W$3)</f>
        <v>0.89999999999999991</v>
      </c>
      <c r="H942" s="40">
        <v>0.05</v>
      </c>
      <c r="I942" s="41">
        <f t="shared" si="50"/>
        <v>-4.4999999999999998E-2</v>
      </c>
    </row>
    <row r="943" spans="1:9" hidden="1" x14ac:dyDescent="0.35">
      <c r="A943" s="37" t="str">
        <f t="shared" si="49"/>
        <v>DISTRIBUIÇÃO CD/Transportadora 25</v>
      </c>
      <c r="B943" s="104" t="s">
        <v>352</v>
      </c>
      <c r="C943" s="37" t="s">
        <v>530</v>
      </c>
      <c r="D943" s="37">
        <v>5</v>
      </c>
      <c r="E943" s="104" t="s">
        <v>1215</v>
      </c>
      <c r="F943" s="38">
        <v>0.09</v>
      </c>
      <c r="G943" s="39">
        <f>IF(OR(B943="FIXO",B943="XFIXO"),IF(F943="","ERRO",10*F943)*'BD Campos'!$W$2,IF(F943="","ERRO",10*F943)*'BD Campos'!$W$3)</f>
        <v>0.89999999999999991</v>
      </c>
      <c r="H943" s="40">
        <v>0.05</v>
      </c>
      <c r="I943" s="41">
        <f t="shared" si="50"/>
        <v>-4.4999999999999998E-2</v>
      </c>
    </row>
    <row r="944" spans="1:9" hidden="1" x14ac:dyDescent="0.35">
      <c r="A944" s="37" t="str">
        <f t="shared" si="49"/>
        <v>DISTRIBUIÇÃO CD/Transportadora 26</v>
      </c>
      <c r="B944" s="104" t="s">
        <v>352</v>
      </c>
      <c r="C944" s="37" t="s">
        <v>530</v>
      </c>
      <c r="D944" s="37">
        <v>6</v>
      </c>
      <c r="E944" s="37" t="s">
        <v>1216</v>
      </c>
      <c r="F944" s="38">
        <v>0.05</v>
      </c>
      <c r="G944" s="39">
        <f>IF(OR(B944="FIXO",B944="XFIXO"),IF(F944="","ERRO",10*F944)*'BD Campos'!$W$2,IF(F944="","ERRO",10*F944)*'BD Campos'!$W$3)</f>
        <v>0.5</v>
      </c>
      <c r="H944" s="40">
        <v>0.05</v>
      </c>
      <c r="I944" s="41">
        <f t="shared" si="50"/>
        <v>-2.5000000000000001E-2</v>
      </c>
    </row>
    <row r="945" spans="1:9" hidden="1" x14ac:dyDescent="0.35">
      <c r="A945" s="37" t="str">
        <f t="shared" si="49"/>
        <v>DISTRIBUIÇÃO CD/Transportadora 27</v>
      </c>
      <c r="B945" s="104" t="s">
        <v>352</v>
      </c>
      <c r="C945" s="37" t="s">
        <v>530</v>
      </c>
      <c r="D945" s="37">
        <v>7</v>
      </c>
      <c r="E945" s="104" t="s">
        <v>1331</v>
      </c>
      <c r="F945" s="38">
        <v>0.05</v>
      </c>
      <c r="G945" s="39">
        <f>IF(OR(B945="FIXO",B945="XFIXO"),IF(F945="","ERRO",10*F945)*'BD Campos'!$W$2,IF(F945="","ERRO",10*F945)*'BD Campos'!$W$3)</f>
        <v>0.5</v>
      </c>
      <c r="H945" s="40">
        <v>0.05</v>
      </c>
      <c r="I945" s="41">
        <f t="shared" si="50"/>
        <v>-2.5000000000000001E-2</v>
      </c>
    </row>
    <row r="946" spans="1:9" hidden="1" x14ac:dyDescent="0.35">
      <c r="A946" s="37" t="str">
        <f t="shared" si="49"/>
        <v>DISTRIBUIÇÃO CD/Transportadora 28</v>
      </c>
      <c r="B946" s="104" t="s">
        <v>352</v>
      </c>
      <c r="C946" s="37" t="s">
        <v>530</v>
      </c>
      <c r="D946" s="37">
        <v>8</v>
      </c>
      <c r="E946" s="104" t="s">
        <v>1260</v>
      </c>
      <c r="F946" s="38">
        <v>0.11</v>
      </c>
      <c r="G946" s="39">
        <f>IF(OR(B946="FIXO",B946="XFIXO"),IF(F946="","ERRO",10*F946)*'BD Campos'!$W$2,IF(F946="","ERRO",10*F946)*'BD Campos'!$W$3)</f>
        <v>1.1000000000000001</v>
      </c>
      <c r="H946" s="40">
        <v>0.05</v>
      </c>
      <c r="I946" s="41">
        <f t="shared" si="50"/>
        <v>-5.5000000000000007E-2</v>
      </c>
    </row>
    <row r="947" spans="1:9" hidden="1" x14ac:dyDescent="0.35">
      <c r="A947" s="37" t="str">
        <f t="shared" si="49"/>
        <v>DISTRIBUIÇÃO CD/Transportadora 29</v>
      </c>
      <c r="B947" s="104" t="s">
        <v>352</v>
      </c>
      <c r="C947" s="37" t="s">
        <v>530</v>
      </c>
      <c r="D947" s="37">
        <v>9</v>
      </c>
      <c r="E947" s="104" t="s">
        <v>1329</v>
      </c>
      <c r="F947" s="38">
        <v>0.11</v>
      </c>
      <c r="G947" s="39">
        <f>IF(OR(B947="FIXO",B947="XFIXO"),IF(F947="","ERRO",10*F947)*'BD Campos'!$W$2,IF(F947="","ERRO",10*F947)*'BD Campos'!$W$3)</f>
        <v>1.1000000000000001</v>
      </c>
      <c r="H947" s="40">
        <v>0.05</v>
      </c>
      <c r="I947" s="41">
        <f t="shared" si="50"/>
        <v>-5.5000000000000007E-2</v>
      </c>
    </row>
    <row r="948" spans="1:9" hidden="1" x14ac:dyDescent="0.35">
      <c r="A948" s="37" t="str">
        <f t="shared" si="49"/>
        <v>DISTRIBUIÇÃO CD/Transportadora 210</v>
      </c>
      <c r="B948" s="104" t="s">
        <v>352</v>
      </c>
      <c r="C948" s="37" t="s">
        <v>530</v>
      </c>
      <c r="D948" s="37">
        <v>10</v>
      </c>
      <c r="E948" s="104" t="s">
        <v>1263</v>
      </c>
      <c r="F948" s="38">
        <v>0.11</v>
      </c>
      <c r="G948" s="39">
        <f>IF(OR(B948="FIXO",B948="XFIXO"),IF(F948="","ERRO",10*F948)*'BD Campos'!$W$2,IF(F948="","ERRO",10*F948)*'BD Campos'!$W$3)</f>
        <v>1.1000000000000001</v>
      </c>
      <c r="H948" s="40">
        <v>0.05</v>
      </c>
      <c r="I948" s="41">
        <f t="shared" si="50"/>
        <v>-5.5000000000000007E-2</v>
      </c>
    </row>
    <row r="949" spans="1:9" hidden="1" x14ac:dyDescent="0.35">
      <c r="A949" s="37" t="str">
        <f t="shared" si="49"/>
        <v>DISTRIBUIÇÃO CD/Transportadora 211</v>
      </c>
      <c r="B949" s="104" t="s">
        <v>352</v>
      </c>
      <c r="C949" s="37" t="s">
        <v>530</v>
      </c>
      <c r="D949" s="37">
        <v>11</v>
      </c>
      <c r="E949" s="104" t="s">
        <v>1264</v>
      </c>
      <c r="F949" s="38">
        <v>0.12</v>
      </c>
      <c r="G949" s="39">
        <f>IF(OR(B949="FIXO",B949="XFIXO"),IF(F949="","ERRO",10*F949)*'BD Campos'!$W$2,IF(F949="","ERRO",10*F949)*'BD Campos'!$W$3)</f>
        <v>1.2</v>
      </c>
      <c r="H949" s="40">
        <v>0.05</v>
      </c>
      <c r="I949" s="41">
        <f t="shared" si="50"/>
        <v>-0.06</v>
      </c>
    </row>
    <row r="950" spans="1:9" hidden="1" x14ac:dyDescent="0.35">
      <c r="A950" s="37" t="str">
        <f t="shared" ref="A950:A959" si="51">B950&amp;C950&amp;D950</f>
        <v>LOSS TREECliente1</v>
      </c>
      <c r="B950" s="103" t="s">
        <v>187</v>
      </c>
      <c r="C950" s="37" t="s">
        <v>124</v>
      </c>
      <c r="D950" s="37">
        <v>1</v>
      </c>
      <c r="E950" s="37" t="s">
        <v>1212</v>
      </c>
      <c r="F950" s="38">
        <v>0.1</v>
      </c>
      <c r="G950" s="39">
        <f>IF(OR(B950="FIXO",B950="XFIXO"),IF(F950="","ERRO",10*F950)*'BD Campos'!$W$2,IF(F950="","ERRO",10*F950)*'BD Campos'!$W$3)</f>
        <v>1</v>
      </c>
      <c r="H950" s="40">
        <v>0.05</v>
      </c>
      <c r="I950" s="41">
        <f t="shared" ref="I950:I959" si="52">H950*G950*-1</f>
        <v>-0.05</v>
      </c>
    </row>
    <row r="951" spans="1:9" hidden="1" x14ac:dyDescent="0.35">
      <c r="A951" s="37" t="str">
        <f t="shared" si="51"/>
        <v>LOSS TREECliente2</v>
      </c>
      <c r="B951" s="103" t="s">
        <v>187</v>
      </c>
      <c r="C951" s="37" t="s">
        <v>124</v>
      </c>
      <c r="D951" s="37">
        <v>2</v>
      </c>
      <c r="E951" s="104" t="s">
        <v>1257</v>
      </c>
      <c r="F951" s="38">
        <v>0.1</v>
      </c>
      <c r="G951" s="39">
        <f>IF(OR(B951="FIXO",B951="XFIXO"),IF(F951="","ERRO",10*F951)*'BD Campos'!$W$2,IF(F951="","ERRO",10*F951)*'BD Campos'!$W$3)</f>
        <v>1</v>
      </c>
      <c r="H951" s="40">
        <v>0.05</v>
      </c>
      <c r="I951" s="41">
        <f t="shared" si="52"/>
        <v>-0.05</v>
      </c>
    </row>
    <row r="952" spans="1:9" hidden="1" x14ac:dyDescent="0.35">
      <c r="A952" s="37" t="str">
        <f t="shared" si="51"/>
        <v>LOSS TREECliente3</v>
      </c>
      <c r="B952" s="103" t="s">
        <v>187</v>
      </c>
      <c r="C952" s="37" t="s">
        <v>124</v>
      </c>
      <c r="D952" s="37">
        <v>3</v>
      </c>
      <c r="E952" s="104" t="s">
        <v>1213</v>
      </c>
      <c r="F952" s="38">
        <v>0.1</v>
      </c>
      <c r="G952" s="39">
        <f>IF(OR(B952="FIXO",B952="XFIXO"),IF(F952="","ERRO",10*F952)*'BD Campos'!$W$2,IF(F952="","ERRO",10*F952)*'BD Campos'!$W$3)</f>
        <v>1</v>
      </c>
      <c r="H952" s="40">
        <v>0.05</v>
      </c>
      <c r="I952" s="41">
        <f t="shared" si="52"/>
        <v>-0.05</v>
      </c>
    </row>
    <row r="953" spans="1:9" hidden="1" x14ac:dyDescent="0.35">
      <c r="A953" s="37" t="str">
        <f t="shared" si="51"/>
        <v>LOSS TREECliente4</v>
      </c>
      <c r="B953" s="103" t="s">
        <v>187</v>
      </c>
      <c r="C953" s="37" t="s">
        <v>124</v>
      </c>
      <c r="D953" s="37">
        <v>4</v>
      </c>
      <c r="E953" s="37" t="s">
        <v>1259</v>
      </c>
      <c r="F953" s="38">
        <v>0.1</v>
      </c>
      <c r="G953" s="39">
        <f>IF(OR(B953="FIXO",B953="XFIXO"),IF(F953="","ERRO",10*F953)*'BD Campos'!$W$2,IF(F953="","ERRO",10*F953)*'BD Campos'!$W$3)</f>
        <v>1</v>
      </c>
      <c r="H953" s="40">
        <v>0.05</v>
      </c>
      <c r="I953" s="41">
        <f t="shared" si="52"/>
        <v>-0.05</v>
      </c>
    </row>
    <row r="954" spans="1:9" hidden="1" x14ac:dyDescent="0.35">
      <c r="A954" s="37" t="str">
        <f t="shared" si="51"/>
        <v>LOSS TREECliente5</v>
      </c>
      <c r="B954" s="103" t="s">
        <v>187</v>
      </c>
      <c r="C954" s="37" t="s">
        <v>124</v>
      </c>
      <c r="D954" s="37">
        <v>5</v>
      </c>
      <c r="E954" s="104" t="s">
        <v>1215</v>
      </c>
      <c r="F954" s="38">
        <v>0.1</v>
      </c>
      <c r="G954" s="39">
        <f>IF(OR(B954="FIXO",B954="XFIXO"),IF(F954="","ERRO",10*F954)*'BD Campos'!$W$2,IF(F954="","ERRO",10*F954)*'BD Campos'!$W$3)</f>
        <v>1</v>
      </c>
      <c r="H954" s="40">
        <v>0.05</v>
      </c>
      <c r="I954" s="41">
        <f t="shared" si="52"/>
        <v>-0.05</v>
      </c>
    </row>
    <row r="955" spans="1:9" hidden="1" x14ac:dyDescent="0.35">
      <c r="A955" s="37" t="str">
        <f t="shared" si="51"/>
        <v>LOSS TREECliente6</v>
      </c>
      <c r="B955" s="103" t="s">
        <v>187</v>
      </c>
      <c r="C955" s="37" t="s">
        <v>124</v>
      </c>
      <c r="D955" s="37">
        <v>6</v>
      </c>
      <c r="E955" s="37" t="s">
        <v>1216</v>
      </c>
      <c r="F955" s="38">
        <v>0.1</v>
      </c>
      <c r="G955" s="39">
        <f>IF(OR(B955="FIXO",B955="XFIXO"),IF(F955="","ERRO",10*F955)*'BD Campos'!$W$2,IF(F955="","ERRO",10*F955)*'BD Campos'!$W$3)</f>
        <v>1</v>
      </c>
      <c r="H955" s="40">
        <v>0.05</v>
      </c>
      <c r="I955" s="41">
        <f t="shared" si="52"/>
        <v>-0.05</v>
      </c>
    </row>
    <row r="956" spans="1:9" hidden="1" x14ac:dyDescent="0.35">
      <c r="A956" s="37" t="str">
        <f t="shared" si="51"/>
        <v>LOSS TREECliente7</v>
      </c>
      <c r="B956" s="103" t="s">
        <v>187</v>
      </c>
      <c r="C956" s="37" t="s">
        <v>124</v>
      </c>
      <c r="D956" s="37">
        <v>7</v>
      </c>
      <c r="E956" s="104" t="s">
        <v>1332</v>
      </c>
      <c r="F956" s="38">
        <v>0.1</v>
      </c>
      <c r="G956" s="39">
        <f>IF(OR(B956="FIXO",B956="XFIXO"),IF(F956="","ERRO",10*F956)*'BD Campos'!$W$2,IF(F956="","ERRO",10*F956)*'BD Campos'!$W$3)</f>
        <v>1</v>
      </c>
      <c r="H956" s="40">
        <v>0.05</v>
      </c>
      <c r="I956" s="41">
        <f t="shared" si="52"/>
        <v>-0.05</v>
      </c>
    </row>
    <row r="957" spans="1:9" hidden="1" x14ac:dyDescent="0.35">
      <c r="A957" s="37" t="str">
        <f t="shared" si="51"/>
        <v>LOSS TREECliente8</v>
      </c>
      <c r="B957" s="103" t="s">
        <v>187</v>
      </c>
      <c r="C957" s="37" t="s">
        <v>124</v>
      </c>
      <c r="D957" s="37">
        <v>8</v>
      </c>
      <c r="E957" s="104" t="s">
        <v>1333</v>
      </c>
      <c r="F957" s="38">
        <v>0.1</v>
      </c>
      <c r="G957" s="39">
        <f>IF(OR(B957="FIXO",B957="XFIXO"),IF(F957="","ERRO",10*F957)*'BD Campos'!$W$2,IF(F957="","ERRO",10*F957)*'BD Campos'!$W$3)</f>
        <v>1</v>
      </c>
      <c r="H957" s="40">
        <v>0.05</v>
      </c>
      <c r="I957" s="41">
        <f t="shared" si="52"/>
        <v>-0.05</v>
      </c>
    </row>
    <row r="958" spans="1:9" hidden="1" x14ac:dyDescent="0.35">
      <c r="A958" s="37" t="str">
        <f t="shared" si="51"/>
        <v>LOSS TREECliente9</v>
      </c>
      <c r="B958" s="103" t="s">
        <v>187</v>
      </c>
      <c r="C958" s="37" t="s">
        <v>124</v>
      </c>
      <c r="D958" s="37">
        <v>9</v>
      </c>
      <c r="E958" s="104" t="s">
        <v>1334</v>
      </c>
      <c r="F958" s="38">
        <v>0.1</v>
      </c>
      <c r="G958" s="39">
        <f>IF(OR(B958="FIXO",B958="XFIXO"),IF(F958="","ERRO",10*F958)*'BD Campos'!$W$2,IF(F958="","ERRO",10*F958)*'BD Campos'!$W$3)</f>
        <v>1</v>
      </c>
      <c r="H958" s="40">
        <v>0.05</v>
      </c>
      <c r="I958" s="41">
        <f t="shared" si="52"/>
        <v>-0.05</v>
      </c>
    </row>
    <row r="959" spans="1:9" hidden="1" x14ac:dyDescent="0.35">
      <c r="A959" s="37" t="str">
        <f t="shared" si="51"/>
        <v>LOSS TREECliente10</v>
      </c>
      <c r="B959" s="103" t="s">
        <v>187</v>
      </c>
      <c r="C959" s="37" t="s">
        <v>124</v>
      </c>
      <c r="D959" s="37">
        <v>10</v>
      </c>
      <c r="E959" s="104" t="s">
        <v>1335</v>
      </c>
      <c r="F959" s="38">
        <v>0.1</v>
      </c>
      <c r="G959" s="39">
        <f>IF(OR(B959="FIXO",B959="XFIXO"),IF(F959="","ERRO",10*F959)*'BD Campos'!$W$2,IF(F959="","ERRO",10*F959)*'BD Campos'!$W$3)</f>
        <v>1</v>
      </c>
      <c r="H959" s="40">
        <v>0.05</v>
      </c>
      <c r="I959" s="41">
        <f t="shared" si="52"/>
        <v>-0.05</v>
      </c>
    </row>
    <row r="960" spans="1:9" hidden="1" x14ac:dyDescent="0.35">
      <c r="A960" s="37" t="str">
        <f t="shared" ref="A960:A969" si="53">B960&amp;C960&amp;D960</f>
        <v>LOSS TREECliente 21</v>
      </c>
      <c r="B960" s="103" t="s">
        <v>187</v>
      </c>
      <c r="C960" s="37" t="s">
        <v>185</v>
      </c>
      <c r="D960" s="37">
        <v>1</v>
      </c>
      <c r="E960" s="37" t="s">
        <v>1212</v>
      </c>
      <c r="F960" s="38">
        <v>0.1</v>
      </c>
      <c r="G960" s="39">
        <f>IF(OR(B960="FIXO",B960="XFIXO"),IF(F960="","ERRO",10*F960)*'BD Campos'!$W$2,IF(F960="","ERRO",10*F960)*'BD Campos'!$W$3)</f>
        <v>1</v>
      </c>
      <c r="H960" s="40">
        <v>0.05</v>
      </c>
      <c r="I960" s="41">
        <f t="shared" ref="I960:I969" si="54">H960*G960*-1</f>
        <v>-0.05</v>
      </c>
    </row>
    <row r="961" spans="1:9" hidden="1" x14ac:dyDescent="0.35">
      <c r="A961" s="37" t="str">
        <f t="shared" si="53"/>
        <v>LOSS TREECliente 22</v>
      </c>
      <c r="B961" s="103" t="s">
        <v>187</v>
      </c>
      <c r="C961" s="37" t="s">
        <v>185</v>
      </c>
      <c r="D961" s="37">
        <v>2</v>
      </c>
      <c r="E961" s="104" t="s">
        <v>1257</v>
      </c>
      <c r="F961" s="38">
        <v>0.1</v>
      </c>
      <c r="G961" s="39">
        <f>IF(OR(B961="FIXO",B961="XFIXO"),IF(F961="","ERRO",10*F961)*'BD Campos'!$W$2,IF(F961="","ERRO",10*F961)*'BD Campos'!$W$3)</f>
        <v>1</v>
      </c>
      <c r="H961" s="40">
        <v>0.05</v>
      </c>
      <c r="I961" s="41">
        <f t="shared" si="54"/>
        <v>-0.05</v>
      </c>
    </row>
    <row r="962" spans="1:9" hidden="1" x14ac:dyDescent="0.35">
      <c r="A962" s="37" t="str">
        <f t="shared" si="53"/>
        <v>LOSS TREECliente 23</v>
      </c>
      <c r="B962" s="103" t="s">
        <v>187</v>
      </c>
      <c r="C962" s="37" t="s">
        <v>185</v>
      </c>
      <c r="D962" s="37">
        <v>3</v>
      </c>
      <c r="E962" s="104" t="s">
        <v>1213</v>
      </c>
      <c r="F962" s="38">
        <v>0.1</v>
      </c>
      <c r="G962" s="39">
        <f>IF(OR(B962="FIXO",B962="XFIXO"),IF(F962="","ERRO",10*F962)*'BD Campos'!$W$2,IF(F962="","ERRO",10*F962)*'BD Campos'!$W$3)</f>
        <v>1</v>
      </c>
      <c r="H962" s="40">
        <v>0.05</v>
      </c>
      <c r="I962" s="41">
        <f t="shared" si="54"/>
        <v>-0.05</v>
      </c>
    </row>
    <row r="963" spans="1:9" hidden="1" x14ac:dyDescent="0.35">
      <c r="A963" s="37" t="str">
        <f t="shared" si="53"/>
        <v>LOSS TREECliente 24</v>
      </c>
      <c r="B963" s="103" t="s">
        <v>187</v>
      </c>
      <c r="C963" s="37" t="s">
        <v>185</v>
      </c>
      <c r="D963" s="37">
        <v>4</v>
      </c>
      <c r="E963" s="37" t="s">
        <v>1259</v>
      </c>
      <c r="F963" s="38">
        <v>0.1</v>
      </c>
      <c r="G963" s="39">
        <f>IF(OR(B963="FIXO",B963="XFIXO"),IF(F963="","ERRO",10*F963)*'BD Campos'!$W$2,IF(F963="","ERRO",10*F963)*'BD Campos'!$W$3)</f>
        <v>1</v>
      </c>
      <c r="H963" s="40">
        <v>0.05</v>
      </c>
      <c r="I963" s="41">
        <f t="shared" si="54"/>
        <v>-0.05</v>
      </c>
    </row>
    <row r="964" spans="1:9" hidden="1" x14ac:dyDescent="0.35">
      <c r="A964" s="37" t="str">
        <f t="shared" si="53"/>
        <v>LOSS TREECliente 25</v>
      </c>
      <c r="B964" s="103" t="s">
        <v>187</v>
      </c>
      <c r="C964" s="37" t="s">
        <v>185</v>
      </c>
      <c r="D964" s="37">
        <v>5</v>
      </c>
      <c r="E964" s="104" t="s">
        <v>1215</v>
      </c>
      <c r="F964" s="38">
        <v>0.1</v>
      </c>
      <c r="G964" s="39">
        <f>IF(OR(B964="FIXO",B964="XFIXO"),IF(F964="","ERRO",10*F964)*'BD Campos'!$W$2,IF(F964="","ERRO",10*F964)*'BD Campos'!$W$3)</f>
        <v>1</v>
      </c>
      <c r="H964" s="40">
        <v>0.05</v>
      </c>
      <c r="I964" s="41">
        <f t="shared" si="54"/>
        <v>-0.05</v>
      </c>
    </row>
    <row r="965" spans="1:9" hidden="1" x14ac:dyDescent="0.35">
      <c r="A965" s="37" t="str">
        <f t="shared" si="53"/>
        <v>LOSS TREECliente 26</v>
      </c>
      <c r="B965" s="103" t="s">
        <v>187</v>
      </c>
      <c r="C965" s="37" t="s">
        <v>185</v>
      </c>
      <c r="D965" s="37">
        <v>6</v>
      </c>
      <c r="E965" s="37" t="s">
        <v>1216</v>
      </c>
      <c r="F965" s="38">
        <v>0.1</v>
      </c>
      <c r="G965" s="39">
        <f>IF(OR(B965="FIXO",B965="XFIXO"),IF(F965="","ERRO",10*F965)*'BD Campos'!$W$2,IF(F965="","ERRO",10*F965)*'BD Campos'!$W$3)</f>
        <v>1</v>
      </c>
      <c r="H965" s="40">
        <v>0.05</v>
      </c>
      <c r="I965" s="41">
        <f t="shared" si="54"/>
        <v>-0.05</v>
      </c>
    </row>
    <row r="966" spans="1:9" hidden="1" x14ac:dyDescent="0.35">
      <c r="A966" s="37" t="str">
        <f t="shared" si="53"/>
        <v>LOSS TREECliente 27</v>
      </c>
      <c r="B966" s="103" t="s">
        <v>187</v>
      </c>
      <c r="C966" s="37" t="s">
        <v>185</v>
      </c>
      <c r="D966" s="37">
        <v>7</v>
      </c>
      <c r="E966" s="104" t="s">
        <v>1332</v>
      </c>
      <c r="F966" s="38">
        <v>0.1</v>
      </c>
      <c r="G966" s="39">
        <f>IF(OR(B966="FIXO",B966="XFIXO"),IF(F966="","ERRO",10*F966)*'BD Campos'!$W$2,IF(F966="","ERRO",10*F966)*'BD Campos'!$W$3)</f>
        <v>1</v>
      </c>
      <c r="H966" s="40">
        <v>0.05</v>
      </c>
      <c r="I966" s="41">
        <f t="shared" si="54"/>
        <v>-0.05</v>
      </c>
    </row>
    <row r="967" spans="1:9" hidden="1" x14ac:dyDescent="0.35">
      <c r="A967" s="37" t="str">
        <f t="shared" si="53"/>
        <v>LOSS TREECliente 28</v>
      </c>
      <c r="B967" s="103" t="s">
        <v>187</v>
      </c>
      <c r="C967" s="37" t="s">
        <v>185</v>
      </c>
      <c r="D967" s="37">
        <v>8</v>
      </c>
      <c r="E967" s="104" t="s">
        <v>1333</v>
      </c>
      <c r="F967" s="38">
        <v>0.1</v>
      </c>
      <c r="G967" s="39">
        <f>IF(OR(B967="FIXO",B967="XFIXO"),IF(F967="","ERRO",10*F967)*'BD Campos'!$W$2,IF(F967="","ERRO",10*F967)*'BD Campos'!$W$3)</f>
        <v>1</v>
      </c>
      <c r="H967" s="40">
        <v>0.05</v>
      </c>
      <c r="I967" s="41">
        <f t="shared" si="54"/>
        <v>-0.05</v>
      </c>
    </row>
    <row r="968" spans="1:9" hidden="1" x14ac:dyDescent="0.35">
      <c r="A968" s="37" t="str">
        <f t="shared" si="53"/>
        <v>LOSS TREECliente 29</v>
      </c>
      <c r="B968" s="103" t="s">
        <v>187</v>
      </c>
      <c r="C968" s="37" t="s">
        <v>185</v>
      </c>
      <c r="D968" s="37">
        <v>9</v>
      </c>
      <c r="E968" s="104" t="s">
        <v>1334</v>
      </c>
      <c r="F968" s="38">
        <v>0.1</v>
      </c>
      <c r="G968" s="39">
        <f>IF(OR(B968="FIXO",B968="XFIXO"),IF(F968="","ERRO",10*F968)*'BD Campos'!$W$2,IF(F968="","ERRO",10*F968)*'BD Campos'!$W$3)</f>
        <v>1</v>
      </c>
      <c r="H968" s="40">
        <v>0.05</v>
      </c>
      <c r="I968" s="41">
        <f t="shared" si="54"/>
        <v>-0.05</v>
      </c>
    </row>
    <row r="969" spans="1:9" hidden="1" x14ac:dyDescent="0.35">
      <c r="A969" s="37" t="str">
        <f t="shared" si="53"/>
        <v>LOSS TREECliente 210</v>
      </c>
      <c r="B969" s="103" t="s">
        <v>187</v>
      </c>
      <c r="C969" s="37" t="s">
        <v>185</v>
      </c>
      <c r="D969" s="37">
        <v>10</v>
      </c>
      <c r="E969" s="104" t="s">
        <v>1335</v>
      </c>
      <c r="F969" s="38">
        <v>0.1</v>
      </c>
      <c r="G969" s="39">
        <f>IF(OR(B969="FIXO",B969="XFIXO"),IF(F969="","ERRO",10*F969)*'BD Campos'!$W$2,IF(F969="","ERRO",10*F969)*'BD Campos'!$W$3)</f>
        <v>1</v>
      </c>
      <c r="H969" s="40">
        <v>0.05</v>
      </c>
      <c r="I969" s="41">
        <f t="shared" si="54"/>
        <v>-0.05</v>
      </c>
    </row>
    <row r="970" spans="1:9" hidden="1" x14ac:dyDescent="0.35">
      <c r="A970" s="37" t="str">
        <f t="shared" ref="A970:A977" si="55">B970&amp;C970&amp;D970</f>
        <v>RECOLHA 60DCliente1</v>
      </c>
      <c r="B970" s="103" t="s">
        <v>551</v>
      </c>
      <c r="C970" s="37" t="s">
        <v>124</v>
      </c>
      <c r="D970" s="37">
        <v>1</v>
      </c>
      <c r="E970" s="37" t="s">
        <v>1212</v>
      </c>
      <c r="F970" s="38">
        <v>0.08</v>
      </c>
      <c r="G970" s="39">
        <f>IF(OR(B970="FIXO",B970="XFIXO"),IF(F970="","ERRO",10*F970)*'BD Campos'!$W$2,IF(F970="","ERRO",10*F970)*'BD Campos'!$W$3)</f>
        <v>0.8</v>
      </c>
      <c r="H970" s="40">
        <v>0.05</v>
      </c>
      <c r="I970" s="41">
        <f t="shared" ref="I970:I977" si="56">H970*G970*-1</f>
        <v>-4.0000000000000008E-2</v>
      </c>
    </row>
    <row r="971" spans="1:9" hidden="1" x14ac:dyDescent="0.35">
      <c r="A971" s="37" t="str">
        <f t="shared" si="55"/>
        <v>RECOLHA 60DCliente2</v>
      </c>
      <c r="B971" s="103" t="s">
        <v>551</v>
      </c>
      <c r="C971" s="37" t="s">
        <v>124</v>
      </c>
      <c r="D971" s="37">
        <v>2</v>
      </c>
      <c r="E971" s="104" t="s">
        <v>1257</v>
      </c>
      <c r="F971" s="38">
        <v>0.08</v>
      </c>
      <c r="G971" s="39">
        <f>IF(OR(B971="FIXO",B971="XFIXO"),IF(F971="","ERRO",10*F971)*'BD Campos'!$W$2,IF(F971="","ERRO",10*F971)*'BD Campos'!$W$3)</f>
        <v>0.8</v>
      </c>
      <c r="H971" s="40">
        <v>0.05</v>
      </c>
      <c r="I971" s="41">
        <f t="shared" si="56"/>
        <v>-4.0000000000000008E-2</v>
      </c>
    </row>
    <row r="972" spans="1:9" hidden="1" x14ac:dyDescent="0.35">
      <c r="A972" s="37" t="str">
        <f t="shared" si="55"/>
        <v>RECOLHA 60DCliente3</v>
      </c>
      <c r="B972" s="103" t="s">
        <v>551</v>
      </c>
      <c r="C972" s="37" t="s">
        <v>124</v>
      </c>
      <c r="D972" s="37">
        <v>3</v>
      </c>
      <c r="E972" s="104" t="s">
        <v>1259</v>
      </c>
      <c r="F972" s="38">
        <v>0.08</v>
      </c>
      <c r="G972" s="39">
        <f>IF(OR(B972="FIXO",B972="XFIXO"),IF(F972="","ERRO",10*F972)*'BD Campos'!$W$2,IF(F972="","ERRO",10*F972)*'BD Campos'!$W$3)</f>
        <v>0.8</v>
      </c>
      <c r="H972" s="40">
        <v>0.05</v>
      </c>
      <c r="I972" s="41">
        <f t="shared" si="56"/>
        <v>-4.0000000000000008E-2</v>
      </c>
    </row>
    <row r="973" spans="1:9" hidden="1" x14ac:dyDescent="0.35">
      <c r="A973" s="37" t="str">
        <f t="shared" si="55"/>
        <v>RECOLHA 60DCliente4</v>
      </c>
      <c r="B973" s="103" t="s">
        <v>551</v>
      </c>
      <c r="C973" s="37" t="s">
        <v>124</v>
      </c>
      <c r="D973" s="37">
        <v>4</v>
      </c>
      <c r="E973" s="104" t="s">
        <v>1215</v>
      </c>
      <c r="F973" s="38">
        <v>0.08</v>
      </c>
      <c r="G973" s="39">
        <f>IF(OR(B973="FIXO",B973="XFIXO"),IF(F973="","ERRO",10*F973)*'BD Campos'!$W$2,IF(F973="","ERRO",10*F973)*'BD Campos'!$W$3)</f>
        <v>0.8</v>
      </c>
      <c r="H973" s="40">
        <v>0.05</v>
      </c>
      <c r="I973" s="41">
        <f t="shared" si="56"/>
        <v>-4.0000000000000008E-2</v>
      </c>
    </row>
    <row r="974" spans="1:9" hidden="1" x14ac:dyDescent="0.35">
      <c r="A974" s="37" t="str">
        <f t="shared" si="55"/>
        <v>RECOLHA 60DCliente5</v>
      </c>
      <c r="B974" s="103" t="s">
        <v>551</v>
      </c>
      <c r="C974" s="37" t="s">
        <v>124</v>
      </c>
      <c r="D974" s="37">
        <v>5</v>
      </c>
      <c r="E974" s="37" t="s">
        <v>1216</v>
      </c>
      <c r="F974" s="38">
        <v>0.08</v>
      </c>
      <c r="G974" s="39">
        <f>IF(OR(B974="FIXO",B974="XFIXO"),IF(F974="","ERRO",10*F974)*'BD Campos'!$W$2,IF(F974="","ERRO",10*F974)*'BD Campos'!$W$3)</f>
        <v>0.8</v>
      </c>
      <c r="H974" s="40">
        <v>0.05</v>
      </c>
      <c r="I974" s="41">
        <f t="shared" si="56"/>
        <v>-4.0000000000000008E-2</v>
      </c>
    </row>
    <row r="975" spans="1:9" hidden="1" x14ac:dyDescent="0.35">
      <c r="A975" s="37" t="str">
        <f t="shared" si="55"/>
        <v>RECOLHA 60DCliente6</v>
      </c>
      <c r="B975" s="103" t="s">
        <v>551</v>
      </c>
      <c r="C975" s="37" t="s">
        <v>124</v>
      </c>
      <c r="D975" s="37">
        <v>6</v>
      </c>
      <c r="E975" s="104" t="s">
        <v>1336</v>
      </c>
      <c r="F975" s="38">
        <v>0.2</v>
      </c>
      <c r="G975" s="39">
        <f>IF(OR(B975="FIXO",B975="XFIXO"),IF(F975="","ERRO",10*F975)*'BD Campos'!$W$2,IF(F975="","ERRO",10*F975)*'BD Campos'!$W$3)</f>
        <v>2</v>
      </c>
      <c r="H975" s="40">
        <v>0.05</v>
      </c>
      <c r="I975" s="41">
        <f t="shared" si="56"/>
        <v>-0.1</v>
      </c>
    </row>
    <row r="976" spans="1:9" hidden="1" x14ac:dyDescent="0.35">
      <c r="A976" s="37" t="str">
        <f t="shared" si="55"/>
        <v>RECOLHA 60DCliente7</v>
      </c>
      <c r="B976" s="103" t="s">
        <v>551</v>
      </c>
      <c r="C976" s="37" t="s">
        <v>124</v>
      </c>
      <c r="D976" s="37">
        <v>7</v>
      </c>
      <c r="E976" s="104" t="s">
        <v>1337</v>
      </c>
      <c r="F976" s="38">
        <v>0.2</v>
      </c>
      <c r="G976" s="39">
        <f>IF(OR(B976="FIXO",B976="XFIXO"),IF(F976="","ERRO",10*F976)*'BD Campos'!$W$2,IF(F976="","ERRO",10*F976)*'BD Campos'!$W$3)</f>
        <v>2</v>
      </c>
      <c r="H976" s="40">
        <v>0.05</v>
      </c>
      <c r="I976" s="41">
        <f t="shared" si="56"/>
        <v>-0.1</v>
      </c>
    </row>
    <row r="977" spans="1:9" hidden="1" x14ac:dyDescent="0.35">
      <c r="A977" s="37" t="str">
        <f t="shared" si="55"/>
        <v>RECOLHA 60DCliente8</v>
      </c>
      <c r="B977" s="103" t="s">
        <v>551</v>
      </c>
      <c r="C977" s="37" t="s">
        <v>124</v>
      </c>
      <c r="D977" s="37">
        <v>8</v>
      </c>
      <c r="E977" s="104" t="s">
        <v>1264</v>
      </c>
      <c r="F977" s="38">
        <v>0.2</v>
      </c>
      <c r="G977" s="39">
        <f>IF(OR(B977="FIXO",B977="XFIXO"),IF(F977="","ERRO",10*F977)*'BD Campos'!$W$2,IF(F977="","ERRO",10*F977)*'BD Campos'!$W$3)</f>
        <v>2</v>
      </c>
      <c r="H977" s="40">
        <v>0.05</v>
      </c>
      <c r="I977" s="41">
        <f t="shared" si="56"/>
        <v>-0.1</v>
      </c>
    </row>
    <row r="978" spans="1:9" hidden="1" x14ac:dyDescent="0.35">
      <c r="A978" s="37" t="str">
        <f t="shared" ref="A978:A985" si="57">B978&amp;C978&amp;D978</f>
        <v>RECOLHA 60DCliente 21</v>
      </c>
      <c r="B978" s="103" t="s">
        <v>551</v>
      </c>
      <c r="C978" s="37" t="s">
        <v>185</v>
      </c>
      <c r="D978" s="37">
        <v>1</v>
      </c>
      <c r="E978" s="37" t="s">
        <v>1212</v>
      </c>
      <c r="F978" s="38">
        <v>0.08</v>
      </c>
      <c r="G978" s="39">
        <f>IF(OR(B978="FIXO",B978="XFIXO"),IF(F978="","ERRO",10*F978)*'BD Campos'!$W$2,IF(F978="","ERRO",10*F978)*'BD Campos'!$W$3)</f>
        <v>0.8</v>
      </c>
      <c r="H978" s="40">
        <v>0.05</v>
      </c>
      <c r="I978" s="41">
        <f t="shared" ref="I978:I985" si="58">H978*G978*-1</f>
        <v>-4.0000000000000008E-2</v>
      </c>
    </row>
    <row r="979" spans="1:9" hidden="1" x14ac:dyDescent="0.35">
      <c r="A979" s="37" t="str">
        <f t="shared" si="57"/>
        <v>RECOLHA 60DCliente 22</v>
      </c>
      <c r="B979" s="103" t="s">
        <v>551</v>
      </c>
      <c r="C979" s="37" t="s">
        <v>185</v>
      </c>
      <c r="D979" s="37">
        <v>2</v>
      </c>
      <c r="E979" s="104" t="s">
        <v>1257</v>
      </c>
      <c r="F979" s="38">
        <v>0.08</v>
      </c>
      <c r="G979" s="39">
        <f>IF(OR(B979="FIXO",B979="XFIXO"),IF(F979="","ERRO",10*F979)*'BD Campos'!$W$2,IF(F979="","ERRO",10*F979)*'BD Campos'!$W$3)</f>
        <v>0.8</v>
      </c>
      <c r="H979" s="40">
        <v>0.05</v>
      </c>
      <c r="I979" s="41">
        <f t="shared" si="58"/>
        <v>-4.0000000000000008E-2</v>
      </c>
    </row>
    <row r="980" spans="1:9" hidden="1" x14ac:dyDescent="0.35">
      <c r="A980" s="37" t="str">
        <f t="shared" si="57"/>
        <v>RECOLHA 60DCliente 23</v>
      </c>
      <c r="B980" s="103" t="s">
        <v>551</v>
      </c>
      <c r="C980" s="37" t="s">
        <v>185</v>
      </c>
      <c r="D980" s="37">
        <v>3</v>
      </c>
      <c r="E980" s="104" t="s">
        <v>1259</v>
      </c>
      <c r="F980" s="38">
        <v>0.08</v>
      </c>
      <c r="G980" s="39">
        <f>IF(OR(B980="FIXO",B980="XFIXO"),IF(F980="","ERRO",10*F980)*'BD Campos'!$W$2,IF(F980="","ERRO",10*F980)*'BD Campos'!$W$3)</f>
        <v>0.8</v>
      </c>
      <c r="H980" s="40">
        <v>0.05</v>
      </c>
      <c r="I980" s="41">
        <f t="shared" si="58"/>
        <v>-4.0000000000000008E-2</v>
      </c>
    </row>
    <row r="981" spans="1:9" hidden="1" x14ac:dyDescent="0.35">
      <c r="A981" s="37" t="str">
        <f t="shared" si="57"/>
        <v>RECOLHA 60DCliente 24</v>
      </c>
      <c r="B981" s="103" t="s">
        <v>551</v>
      </c>
      <c r="C981" s="37" t="s">
        <v>185</v>
      </c>
      <c r="D981" s="37">
        <v>4</v>
      </c>
      <c r="E981" s="104" t="s">
        <v>1215</v>
      </c>
      <c r="F981" s="38">
        <v>0.08</v>
      </c>
      <c r="G981" s="39">
        <f>IF(OR(B981="FIXO",B981="XFIXO"),IF(F981="","ERRO",10*F981)*'BD Campos'!$W$2,IF(F981="","ERRO",10*F981)*'BD Campos'!$W$3)</f>
        <v>0.8</v>
      </c>
      <c r="H981" s="40">
        <v>0.05</v>
      </c>
      <c r="I981" s="41">
        <f t="shared" si="58"/>
        <v>-4.0000000000000008E-2</v>
      </c>
    </row>
    <row r="982" spans="1:9" hidden="1" x14ac:dyDescent="0.35">
      <c r="A982" s="37" t="str">
        <f t="shared" si="57"/>
        <v>RECOLHA 60DCliente 25</v>
      </c>
      <c r="B982" s="103" t="s">
        <v>551</v>
      </c>
      <c r="C982" s="37" t="s">
        <v>185</v>
      </c>
      <c r="D982" s="37">
        <v>5</v>
      </c>
      <c r="E982" s="37" t="s">
        <v>1216</v>
      </c>
      <c r="F982" s="38">
        <v>0.08</v>
      </c>
      <c r="G982" s="39">
        <f>IF(OR(B982="FIXO",B982="XFIXO"),IF(F982="","ERRO",10*F982)*'BD Campos'!$W$2,IF(F982="","ERRO",10*F982)*'BD Campos'!$W$3)</f>
        <v>0.8</v>
      </c>
      <c r="H982" s="40">
        <v>0.05</v>
      </c>
      <c r="I982" s="41">
        <f t="shared" si="58"/>
        <v>-4.0000000000000008E-2</v>
      </c>
    </row>
    <row r="983" spans="1:9" hidden="1" x14ac:dyDescent="0.35">
      <c r="A983" s="37" t="str">
        <f t="shared" si="57"/>
        <v>RECOLHA 60DCliente 26</v>
      </c>
      <c r="B983" s="103" t="s">
        <v>551</v>
      </c>
      <c r="C983" s="37" t="s">
        <v>185</v>
      </c>
      <c r="D983" s="37">
        <v>6</v>
      </c>
      <c r="E983" s="104" t="s">
        <v>1336</v>
      </c>
      <c r="F983" s="38">
        <v>0.2</v>
      </c>
      <c r="G983" s="39">
        <f>IF(OR(B983="FIXO",B983="XFIXO"),IF(F983="","ERRO",10*F983)*'BD Campos'!$W$2,IF(F983="","ERRO",10*F983)*'BD Campos'!$W$3)</f>
        <v>2</v>
      </c>
      <c r="H983" s="40">
        <v>0.05</v>
      </c>
      <c r="I983" s="41">
        <f t="shared" si="58"/>
        <v>-0.1</v>
      </c>
    </row>
    <row r="984" spans="1:9" hidden="1" x14ac:dyDescent="0.35">
      <c r="A984" s="37" t="str">
        <f t="shared" si="57"/>
        <v>RECOLHA 60DCliente 27</v>
      </c>
      <c r="B984" s="103" t="s">
        <v>551</v>
      </c>
      <c r="C984" s="37" t="s">
        <v>185</v>
      </c>
      <c r="D984" s="37">
        <v>7</v>
      </c>
      <c r="E984" s="104" t="s">
        <v>1337</v>
      </c>
      <c r="F984" s="38">
        <v>0.2</v>
      </c>
      <c r="G984" s="39">
        <f>IF(OR(B984="FIXO",B984="XFIXO"),IF(F984="","ERRO",10*F984)*'BD Campos'!$W$2,IF(F984="","ERRO",10*F984)*'BD Campos'!$W$3)</f>
        <v>2</v>
      </c>
      <c r="H984" s="40">
        <v>0.05</v>
      </c>
      <c r="I984" s="41">
        <f t="shared" si="58"/>
        <v>-0.1</v>
      </c>
    </row>
    <row r="985" spans="1:9" hidden="1" x14ac:dyDescent="0.35">
      <c r="A985" s="37" t="str">
        <f t="shared" si="57"/>
        <v>RECOLHA 60DCliente 28</v>
      </c>
      <c r="B985" s="103" t="s">
        <v>551</v>
      </c>
      <c r="C985" s="37" t="s">
        <v>185</v>
      </c>
      <c r="D985" s="37">
        <v>8</v>
      </c>
      <c r="E985" s="104" t="s">
        <v>1264</v>
      </c>
      <c r="F985" s="38">
        <v>0.2</v>
      </c>
      <c r="G985" s="39">
        <f>IF(OR(B985="FIXO",B985="XFIXO"),IF(F985="","ERRO",10*F985)*'BD Campos'!$W$2,IF(F985="","ERRO",10*F985)*'BD Campos'!$W$3)</f>
        <v>2</v>
      </c>
      <c r="H985" s="40">
        <v>0.05</v>
      </c>
      <c r="I985" s="41">
        <f t="shared" si="58"/>
        <v>-0.1</v>
      </c>
    </row>
    <row r="986" spans="1:9" hidden="1" x14ac:dyDescent="0.35">
      <c r="A986" s="37" t="str">
        <f t="shared" ref="A986:A1009" si="59">B986&amp;C986&amp;D986</f>
        <v>ANTECEDENTESReceptiva 21</v>
      </c>
      <c r="B986" s="37" t="s">
        <v>76</v>
      </c>
      <c r="C986" s="37" t="s">
        <v>100</v>
      </c>
      <c r="D986" s="37">
        <v>1</v>
      </c>
      <c r="E986" s="37" t="s">
        <v>1304</v>
      </c>
      <c r="F986" s="38">
        <v>0.08</v>
      </c>
      <c r="G986" s="39">
        <f>IF(OR(B986="FIXO",B986="XFIXO"),IF(F986="","ERRO",10*F986)*'BD Campos'!$W$2,IF(F986="","ERRO",10*F986)*'BD Campos'!$W$3)</f>
        <v>0.8</v>
      </c>
      <c r="H986" s="40">
        <v>0.05</v>
      </c>
      <c r="I986" s="41">
        <f t="shared" ref="I986:I1009" si="60">H986*G986*-1</f>
        <v>-4.0000000000000008E-2</v>
      </c>
    </row>
    <row r="987" spans="1:9" hidden="1" x14ac:dyDescent="0.35">
      <c r="A987" s="37" t="str">
        <f t="shared" si="59"/>
        <v>ANTECEDENTESReceptiva 22</v>
      </c>
      <c r="B987" s="37" t="s">
        <v>76</v>
      </c>
      <c r="C987" s="37" t="s">
        <v>100</v>
      </c>
      <c r="D987" s="37">
        <v>2</v>
      </c>
      <c r="E987" s="37" t="s">
        <v>1305</v>
      </c>
      <c r="F987" s="38">
        <v>0.08</v>
      </c>
      <c r="G987" s="39">
        <f>IF(OR(B987="FIXO",B987="XFIXO"),IF(F987="","ERRO",10*F987)*'BD Campos'!$W$2,IF(F987="","ERRO",10*F987)*'BD Campos'!$W$3)</f>
        <v>0.8</v>
      </c>
      <c r="H987" s="40">
        <v>0.05</v>
      </c>
      <c r="I987" s="41">
        <f t="shared" si="60"/>
        <v>-4.0000000000000008E-2</v>
      </c>
    </row>
    <row r="988" spans="1:9" hidden="1" x14ac:dyDescent="0.35">
      <c r="A988" s="37" t="str">
        <f t="shared" si="59"/>
        <v>ANTECEDENTESReceptiva 23</v>
      </c>
      <c r="B988" s="37" t="s">
        <v>76</v>
      </c>
      <c r="C988" s="37" t="s">
        <v>100</v>
      </c>
      <c r="D988" s="37">
        <v>3</v>
      </c>
      <c r="E988" s="37" t="s">
        <v>1306</v>
      </c>
      <c r="F988" s="38">
        <v>0.12</v>
      </c>
      <c r="G988" s="39">
        <f>IF(OR(B988="FIXO",B988="XFIXO"),IF(F988="","ERRO",10*F988)*'BD Campos'!$W$2,IF(F988="","ERRO",10*F988)*'BD Campos'!$W$3)</f>
        <v>1.2</v>
      </c>
      <c r="H988" s="40">
        <v>0.05</v>
      </c>
      <c r="I988" s="41">
        <f t="shared" si="60"/>
        <v>-0.06</v>
      </c>
    </row>
    <row r="989" spans="1:9" hidden="1" x14ac:dyDescent="0.35">
      <c r="A989" s="37" t="str">
        <f t="shared" si="59"/>
        <v>ANTECEDENTESReceptiva 24</v>
      </c>
      <c r="B989" s="37" t="s">
        <v>76</v>
      </c>
      <c r="C989" s="37" t="s">
        <v>100</v>
      </c>
      <c r="D989" s="37">
        <v>4</v>
      </c>
      <c r="E989" s="37" t="s">
        <v>1287</v>
      </c>
      <c r="F989" s="38">
        <v>0.08</v>
      </c>
      <c r="G989" s="39">
        <f>IF(OR(B989="FIXO",B989="XFIXO"),IF(F989="","ERRO",10*F989)*'BD Campos'!$W$2,IF(F989="","ERRO",10*F989)*'BD Campos'!$W$3)</f>
        <v>0.8</v>
      </c>
      <c r="H989" s="40">
        <v>0.05</v>
      </c>
      <c r="I989" s="41">
        <f t="shared" si="60"/>
        <v>-4.0000000000000008E-2</v>
      </c>
    </row>
    <row r="990" spans="1:9" hidden="1" x14ac:dyDescent="0.35">
      <c r="A990" s="37" t="str">
        <f t="shared" si="59"/>
        <v>ANTECEDENTESReceptiva 25</v>
      </c>
      <c r="B990" s="37" t="s">
        <v>76</v>
      </c>
      <c r="C990" s="37" t="s">
        <v>100</v>
      </c>
      <c r="D990" s="37">
        <v>5</v>
      </c>
      <c r="E990" s="37" t="s">
        <v>1307</v>
      </c>
      <c r="F990" s="38">
        <v>0.08</v>
      </c>
      <c r="G990" s="39">
        <f>IF(OR(B990="FIXO",B990="XFIXO"),IF(F990="","ERRO",10*F990)*'BD Campos'!$W$2,IF(F990="","ERRO",10*F990)*'BD Campos'!$W$3)</f>
        <v>0.8</v>
      </c>
      <c r="H990" s="40">
        <v>0.05</v>
      </c>
      <c r="I990" s="41">
        <f t="shared" si="60"/>
        <v>-4.0000000000000008E-2</v>
      </c>
    </row>
    <row r="991" spans="1:9" hidden="1" x14ac:dyDescent="0.35">
      <c r="A991" s="37" t="str">
        <f t="shared" si="59"/>
        <v>ANTECEDENTESReceptiva 26</v>
      </c>
      <c r="B991" s="37" t="s">
        <v>76</v>
      </c>
      <c r="C991" s="37" t="s">
        <v>100</v>
      </c>
      <c r="D991" s="37">
        <v>6</v>
      </c>
      <c r="E991" s="37" t="s">
        <v>1308</v>
      </c>
      <c r="F991" s="38">
        <v>0.08</v>
      </c>
      <c r="G991" s="39">
        <f>IF(OR(B991="FIXO",B991="XFIXO"),IF(F991="","ERRO",10*F991)*'BD Campos'!$W$2,IF(F991="","ERRO",10*F991)*'BD Campos'!$W$3)</f>
        <v>0.8</v>
      </c>
      <c r="H991" s="40">
        <v>0.05</v>
      </c>
      <c r="I991" s="41">
        <f t="shared" si="60"/>
        <v>-4.0000000000000008E-2</v>
      </c>
    </row>
    <row r="992" spans="1:9" hidden="1" x14ac:dyDescent="0.35">
      <c r="A992" s="37" t="str">
        <f t="shared" si="59"/>
        <v>ANTECEDENTESReceptiva 27</v>
      </c>
      <c r="B992" s="37" t="s">
        <v>76</v>
      </c>
      <c r="C992" s="37" t="s">
        <v>100</v>
      </c>
      <c r="D992" s="37">
        <v>7</v>
      </c>
      <c r="E992" s="37" t="s">
        <v>1309</v>
      </c>
      <c r="F992" s="38">
        <v>0.08</v>
      </c>
      <c r="G992" s="39">
        <f>IF(OR(B992="FIXO",B992="XFIXO"),IF(F992="","ERRO",10*F992)*'BD Campos'!$W$2,IF(F992="","ERRO",10*F992)*'BD Campos'!$W$3)</f>
        <v>0.8</v>
      </c>
      <c r="H992" s="40">
        <v>0.05</v>
      </c>
      <c r="I992" s="41">
        <f t="shared" si="60"/>
        <v>-4.0000000000000008E-2</v>
      </c>
    </row>
    <row r="993" spans="1:9" hidden="1" x14ac:dyDescent="0.35">
      <c r="A993" s="37" t="str">
        <f t="shared" si="59"/>
        <v>ANTECEDENTESReceptiva 28</v>
      </c>
      <c r="B993" s="37" t="s">
        <v>76</v>
      </c>
      <c r="C993" s="37" t="s">
        <v>100</v>
      </c>
      <c r="D993" s="37">
        <v>8</v>
      </c>
      <c r="E993" s="37" t="s">
        <v>1216</v>
      </c>
      <c r="F993" s="38">
        <v>0.08</v>
      </c>
      <c r="G993" s="39">
        <f>IF(OR(B993="FIXO",B993="XFIXO"),IF(F993="","ERRO",10*F993)*'BD Campos'!$W$2,IF(F993="","ERRO",10*F993)*'BD Campos'!$W$3)</f>
        <v>0.8</v>
      </c>
      <c r="H993" s="40">
        <v>0.05</v>
      </c>
      <c r="I993" s="41">
        <f t="shared" si="60"/>
        <v>-4.0000000000000008E-2</v>
      </c>
    </row>
    <row r="994" spans="1:9" hidden="1" x14ac:dyDescent="0.35">
      <c r="A994" s="37" t="str">
        <f t="shared" si="59"/>
        <v>ANTECEDENTESReceptiva 29</v>
      </c>
      <c r="B994" s="37" t="s">
        <v>76</v>
      </c>
      <c r="C994" s="37" t="s">
        <v>100</v>
      </c>
      <c r="D994" s="37">
        <v>9</v>
      </c>
      <c r="E994" s="37" t="s">
        <v>1290</v>
      </c>
      <c r="F994" s="38">
        <v>0.08</v>
      </c>
      <c r="G994" s="39">
        <f>IF(OR(B994="FIXO",B994="XFIXO"),IF(F994="","ERRO",10*F994)*'BD Campos'!$W$2,IF(F994="","ERRO",10*F994)*'BD Campos'!$W$3)</f>
        <v>0.8</v>
      </c>
      <c r="H994" s="40">
        <v>0.05</v>
      </c>
      <c r="I994" s="41">
        <f t="shared" si="60"/>
        <v>-4.0000000000000008E-2</v>
      </c>
    </row>
    <row r="995" spans="1:9" hidden="1" x14ac:dyDescent="0.35">
      <c r="A995" s="37" t="str">
        <f t="shared" si="59"/>
        <v>ANTECEDENTESReceptiva 210</v>
      </c>
      <c r="B995" s="37" t="s">
        <v>76</v>
      </c>
      <c r="C995" s="37" t="s">
        <v>100</v>
      </c>
      <c r="D995" s="37">
        <v>10</v>
      </c>
      <c r="E995" s="37" t="s">
        <v>1310</v>
      </c>
      <c r="F995" s="38">
        <v>0.08</v>
      </c>
      <c r="G995" s="39">
        <f>IF(OR(B995="FIXO",B995="XFIXO"),IF(F995="","ERRO",10*F995)*'BD Campos'!$W$2,IF(F995="","ERRO",10*F995)*'BD Campos'!$W$3)</f>
        <v>0.8</v>
      </c>
      <c r="H995" s="40">
        <v>0.05</v>
      </c>
      <c r="I995" s="41">
        <f t="shared" si="60"/>
        <v>-4.0000000000000008E-2</v>
      </c>
    </row>
    <row r="996" spans="1:9" hidden="1" x14ac:dyDescent="0.35">
      <c r="A996" s="37" t="str">
        <f t="shared" si="59"/>
        <v>ANTECEDENTESReceptiva 211</v>
      </c>
      <c r="B996" s="37" t="s">
        <v>76</v>
      </c>
      <c r="C996" s="37" t="s">
        <v>100</v>
      </c>
      <c r="D996" s="37">
        <v>11</v>
      </c>
      <c r="E996" s="37" t="s">
        <v>1292</v>
      </c>
      <c r="F996" s="38">
        <v>0.08</v>
      </c>
      <c r="G996" s="39">
        <f>IF(OR(B996="FIXO",B996="XFIXO"),IF(F996="","ERRO",10*F996)*'BD Campos'!$W$2,IF(F996="","ERRO",10*F996)*'BD Campos'!$W$3)</f>
        <v>0.8</v>
      </c>
      <c r="H996" s="40">
        <v>0.05</v>
      </c>
      <c r="I996" s="41">
        <f t="shared" si="60"/>
        <v>-4.0000000000000008E-2</v>
      </c>
    </row>
    <row r="997" spans="1:9" hidden="1" x14ac:dyDescent="0.35">
      <c r="A997" s="37" t="str">
        <f t="shared" si="59"/>
        <v>ANTECEDENTESReceptiva 212</v>
      </c>
      <c r="B997" s="37" t="s">
        <v>76</v>
      </c>
      <c r="C997" s="37" t="s">
        <v>100</v>
      </c>
      <c r="D997" s="37">
        <v>12</v>
      </c>
      <c r="E997" s="37" t="s">
        <v>1311</v>
      </c>
      <c r="F997" s="38">
        <v>0.08</v>
      </c>
      <c r="G997" s="39">
        <f>IF(OR(B997="FIXO",B997="XFIXO"),IF(F997="","ERRO",10*F997)*'BD Campos'!$W$2,IF(F997="","ERRO",10*F997)*'BD Campos'!$W$3)</f>
        <v>0.8</v>
      </c>
      <c r="H997" s="40">
        <v>0.05</v>
      </c>
      <c r="I997" s="41">
        <f t="shared" si="60"/>
        <v>-4.0000000000000008E-2</v>
      </c>
    </row>
    <row r="998" spans="1:9" hidden="1" x14ac:dyDescent="0.35">
      <c r="A998" s="37" t="str">
        <f t="shared" si="59"/>
        <v>IMPEDIMENTOSReceptiva 21</v>
      </c>
      <c r="B998" s="37" t="s">
        <v>80</v>
      </c>
      <c r="C998" s="37" t="s">
        <v>100</v>
      </c>
      <c r="D998" s="43">
        <v>1</v>
      </c>
      <c r="E998" s="37" t="s">
        <v>1304</v>
      </c>
      <c r="F998" s="38">
        <v>0.08</v>
      </c>
      <c r="G998" s="39">
        <f>IF(OR(B998="FIXO",B998="XFIXO"),IF(F998="","ERRO",10*F998)*'BD Campos'!$W$2,IF(F998="","ERRO",10*F998)*'BD Campos'!$W$3)</f>
        <v>0.8</v>
      </c>
      <c r="H998" s="40">
        <v>0.05</v>
      </c>
      <c r="I998" s="41">
        <f t="shared" si="60"/>
        <v>-4.0000000000000008E-2</v>
      </c>
    </row>
    <row r="999" spans="1:9" hidden="1" x14ac:dyDescent="0.35">
      <c r="A999" s="37" t="str">
        <f t="shared" si="59"/>
        <v>IMPEDIMENTOSReceptiva 22</v>
      </c>
      <c r="B999" s="37" t="s">
        <v>80</v>
      </c>
      <c r="C999" s="37" t="s">
        <v>100</v>
      </c>
      <c r="D999" s="43">
        <v>2</v>
      </c>
      <c r="E999" s="37" t="s">
        <v>1305</v>
      </c>
      <c r="F999" s="38">
        <v>0.08</v>
      </c>
      <c r="G999" s="39">
        <f>IF(OR(B999="FIXO",B999="XFIXO"),IF(F999="","ERRO",10*F999)*'BD Campos'!$W$2,IF(F999="","ERRO",10*F999)*'BD Campos'!$W$3)</f>
        <v>0.8</v>
      </c>
      <c r="H999" s="40">
        <v>0.05</v>
      </c>
      <c r="I999" s="41">
        <f t="shared" si="60"/>
        <v>-4.0000000000000008E-2</v>
      </c>
    </row>
    <row r="1000" spans="1:9" hidden="1" x14ac:dyDescent="0.35">
      <c r="A1000" s="37" t="str">
        <f t="shared" si="59"/>
        <v>IMPEDIMENTOSReceptiva 23</v>
      </c>
      <c r="B1000" s="37" t="s">
        <v>80</v>
      </c>
      <c r="C1000" s="37" t="s">
        <v>100</v>
      </c>
      <c r="D1000" s="43">
        <v>3</v>
      </c>
      <c r="E1000" s="37" t="s">
        <v>1306</v>
      </c>
      <c r="F1000" s="38">
        <v>0.12</v>
      </c>
      <c r="G1000" s="39">
        <f>IF(OR(B1000="FIXO",B1000="XFIXO"),IF(F1000="","ERRO",10*F1000)*'BD Campos'!$W$2,IF(F1000="","ERRO",10*F1000)*'BD Campos'!$W$3)</f>
        <v>1.2</v>
      </c>
      <c r="H1000" s="40">
        <v>0.05</v>
      </c>
      <c r="I1000" s="41">
        <f t="shared" si="60"/>
        <v>-0.06</v>
      </c>
    </row>
    <row r="1001" spans="1:9" hidden="1" x14ac:dyDescent="0.35">
      <c r="A1001" s="37" t="str">
        <f t="shared" si="59"/>
        <v>IMPEDIMENTOSReceptiva 24</v>
      </c>
      <c r="B1001" s="37" t="s">
        <v>80</v>
      </c>
      <c r="C1001" s="37" t="s">
        <v>100</v>
      </c>
      <c r="D1001" s="43">
        <v>4</v>
      </c>
      <c r="E1001" s="37" t="s">
        <v>1287</v>
      </c>
      <c r="F1001" s="38">
        <v>0.08</v>
      </c>
      <c r="G1001" s="39">
        <f>IF(OR(B1001="FIXO",B1001="XFIXO"),IF(F1001="","ERRO",10*F1001)*'BD Campos'!$W$2,IF(F1001="","ERRO",10*F1001)*'BD Campos'!$W$3)</f>
        <v>0.8</v>
      </c>
      <c r="H1001" s="40">
        <v>0.05</v>
      </c>
      <c r="I1001" s="41">
        <f t="shared" si="60"/>
        <v>-4.0000000000000008E-2</v>
      </c>
    </row>
    <row r="1002" spans="1:9" hidden="1" x14ac:dyDescent="0.35">
      <c r="A1002" s="37" t="str">
        <f t="shared" si="59"/>
        <v>IMPEDIMENTOSReceptiva 25</v>
      </c>
      <c r="B1002" s="37" t="s">
        <v>80</v>
      </c>
      <c r="C1002" s="37" t="s">
        <v>100</v>
      </c>
      <c r="D1002" s="43">
        <v>5</v>
      </c>
      <c r="E1002" s="37" t="s">
        <v>1307</v>
      </c>
      <c r="F1002" s="38">
        <v>0.08</v>
      </c>
      <c r="G1002" s="39">
        <f>IF(OR(B1002="FIXO",B1002="XFIXO"),IF(F1002="","ERRO",10*F1002)*'BD Campos'!$W$2,IF(F1002="","ERRO",10*F1002)*'BD Campos'!$W$3)</f>
        <v>0.8</v>
      </c>
      <c r="H1002" s="40">
        <v>0.05</v>
      </c>
      <c r="I1002" s="41">
        <f t="shared" si="60"/>
        <v>-4.0000000000000008E-2</v>
      </c>
    </row>
    <row r="1003" spans="1:9" hidden="1" x14ac:dyDescent="0.35">
      <c r="A1003" s="37" t="str">
        <f t="shared" si="59"/>
        <v>IMPEDIMENTOSReceptiva 26</v>
      </c>
      <c r="B1003" s="37" t="s">
        <v>80</v>
      </c>
      <c r="C1003" s="37" t="s">
        <v>100</v>
      </c>
      <c r="D1003" s="43">
        <v>6</v>
      </c>
      <c r="E1003" s="37" t="s">
        <v>1312</v>
      </c>
      <c r="F1003" s="38">
        <v>0.08</v>
      </c>
      <c r="G1003" s="39">
        <f>IF(OR(B1003="FIXO",B1003="XFIXO"),IF(F1003="","ERRO",10*F1003)*'BD Campos'!$W$2,IF(F1003="","ERRO",10*F1003)*'BD Campos'!$W$3)</f>
        <v>0.8</v>
      </c>
      <c r="H1003" s="40">
        <v>0.05</v>
      </c>
      <c r="I1003" s="41">
        <f t="shared" si="60"/>
        <v>-4.0000000000000008E-2</v>
      </c>
    </row>
    <row r="1004" spans="1:9" hidden="1" x14ac:dyDescent="0.35">
      <c r="A1004" s="37" t="str">
        <f t="shared" si="59"/>
        <v>IMPEDIMENTOSReceptiva 27</v>
      </c>
      <c r="B1004" s="37" t="s">
        <v>80</v>
      </c>
      <c r="C1004" s="37" t="s">
        <v>100</v>
      </c>
      <c r="D1004" s="43">
        <v>7</v>
      </c>
      <c r="E1004" s="37" t="s">
        <v>1309</v>
      </c>
      <c r="F1004" s="38">
        <v>0.08</v>
      </c>
      <c r="G1004" s="39">
        <f>IF(OR(B1004="FIXO",B1004="XFIXO"),IF(F1004="","ERRO",10*F1004)*'BD Campos'!$W$2,IF(F1004="","ERRO",10*F1004)*'BD Campos'!$W$3)</f>
        <v>0.8</v>
      </c>
      <c r="H1004" s="40">
        <v>0.05</v>
      </c>
      <c r="I1004" s="41">
        <f t="shared" si="60"/>
        <v>-4.0000000000000008E-2</v>
      </c>
    </row>
    <row r="1005" spans="1:9" hidden="1" x14ac:dyDescent="0.35">
      <c r="A1005" s="37" t="str">
        <f t="shared" si="59"/>
        <v>IMPEDIMENTOSReceptiva 28</v>
      </c>
      <c r="B1005" s="37" t="s">
        <v>80</v>
      </c>
      <c r="C1005" s="37" t="s">
        <v>100</v>
      </c>
      <c r="D1005" s="43">
        <v>8</v>
      </c>
      <c r="E1005" s="37" t="s">
        <v>1216</v>
      </c>
      <c r="F1005" s="38">
        <v>0.08</v>
      </c>
      <c r="G1005" s="39">
        <f>IF(OR(B1005="FIXO",B1005="XFIXO"),IF(F1005="","ERRO",10*F1005)*'BD Campos'!$W$2,IF(F1005="","ERRO",10*F1005)*'BD Campos'!$W$3)</f>
        <v>0.8</v>
      </c>
      <c r="H1005" s="40">
        <v>0.05</v>
      </c>
      <c r="I1005" s="41">
        <f t="shared" si="60"/>
        <v>-4.0000000000000008E-2</v>
      </c>
    </row>
    <row r="1006" spans="1:9" hidden="1" x14ac:dyDescent="0.35">
      <c r="A1006" s="37" t="str">
        <f t="shared" si="59"/>
        <v>IMPEDIMENTOSReceptiva 29</v>
      </c>
      <c r="B1006" s="37" t="s">
        <v>80</v>
      </c>
      <c r="C1006" s="37" t="s">
        <v>100</v>
      </c>
      <c r="D1006" s="43">
        <v>9</v>
      </c>
      <c r="E1006" s="37" t="s">
        <v>1290</v>
      </c>
      <c r="F1006" s="38">
        <v>0.08</v>
      </c>
      <c r="G1006" s="39">
        <f>IF(OR(B1006="FIXO",B1006="XFIXO"),IF(F1006="","ERRO",10*F1006)*'BD Campos'!$W$2,IF(F1006="","ERRO",10*F1006)*'BD Campos'!$W$3)</f>
        <v>0.8</v>
      </c>
      <c r="H1006" s="40">
        <v>0.05</v>
      </c>
      <c r="I1006" s="41">
        <f t="shared" si="60"/>
        <v>-4.0000000000000008E-2</v>
      </c>
    </row>
    <row r="1007" spans="1:9" hidden="1" x14ac:dyDescent="0.35">
      <c r="A1007" s="37" t="str">
        <f t="shared" si="59"/>
        <v>IMPEDIMENTOSReceptiva 210</v>
      </c>
      <c r="B1007" s="37" t="s">
        <v>80</v>
      </c>
      <c r="C1007" s="37" t="s">
        <v>100</v>
      </c>
      <c r="D1007" s="43">
        <v>10</v>
      </c>
      <c r="E1007" s="37" t="s">
        <v>1310</v>
      </c>
      <c r="F1007" s="38">
        <v>0.08</v>
      </c>
      <c r="G1007" s="39">
        <f>IF(OR(B1007="FIXO",B1007="XFIXO"),IF(F1007="","ERRO",10*F1007)*'BD Campos'!$W$2,IF(F1007="","ERRO",10*F1007)*'BD Campos'!$W$3)</f>
        <v>0.8</v>
      </c>
      <c r="H1007" s="40">
        <v>0.05</v>
      </c>
      <c r="I1007" s="41">
        <f t="shared" si="60"/>
        <v>-4.0000000000000008E-2</v>
      </c>
    </row>
    <row r="1008" spans="1:9" hidden="1" x14ac:dyDescent="0.35">
      <c r="A1008" s="37" t="str">
        <f t="shared" si="59"/>
        <v>IMPEDIMENTOSReceptiva 211</v>
      </c>
      <c r="B1008" s="37" t="s">
        <v>80</v>
      </c>
      <c r="C1008" s="37" t="s">
        <v>100</v>
      </c>
      <c r="D1008" s="43">
        <v>11</v>
      </c>
      <c r="E1008" s="37" t="s">
        <v>1292</v>
      </c>
      <c r="F1008" s="38">
        <v>0.08</v>
      </c>
      <c r="G1008" s="39">
        <f>IF(OR(B1008="FIXO",B1008="XFIXO"),IF(F1008="","ERRO",10*F1008)*'BD Campos'!$W$2,IF(F1008="","ERRO",10*F1008)*'BD Campos'!$W$3)</f>
        <v>0.8</v>
      </c>
      <c r="H1008" s="40">
        <v>0.05</v>
      </c>
      <c r="I1008" s="41">
        <f t="shared" si="60"/>
        <v>-4.0000000000000008E-2</v>
      </c>
    </row>
    <row r="1009" spans="1:9" hidden="1" x14ac:dyDescent="0.35">
      <c r="A1009" s="37" t="str">
        <f t="shared" si="59"/>
        <v>IMPEDIMENTOSReceptiva 212</v>
      </c>
      <c r="B1009" s="37" t="s">
        <v>80</v>
      </c>
      <c r="C1009" s="37" t="s">
        <v>100</v>
      </c>
      <c r="D1009" s="43">
        <v>12</v>
      </c>
      <c r="E1009" s="37" t="s">
        <v>1311</v>
      </c>
      <c r="F1009" s="38">
        <v>0.08</v>
      </c>
      <c r="G1009" s="39">
        <f>IF(OR(B1009="FIXO",B1009="XFIXO"),IF(F1009="","ERRO",10*F1009)*'BD Campos'!$W$2,IF(F1009="","ERRO",10*F1009)*'BD Campos'!$W$3)</f>
        <v>0.8</v>
      </c>
      <c r="H1009" s="40">
        <v>0.05</v>
      </c>
      <c r="I1009" s="41">
        <f t="shared" si="60"/>
        <v>-4.0000000000000008E-2</v>
      </c>
    </row>
    <row r="1010" spans="1:9" hidden="1" x14ac:dyDescent="0.35">
      <c r="A1010" s="37" t="str">
        <f>B1010&amp;C1010&amp;D1010</f>
        <v>ATRASO NA EMISSÃOCliente1</v>
      </c>
      <c r="B1010" s="37" t="s">
        <v>386</v>
      </c>
      <c r="C1010" s="37" t="s">
        <v>124</v>
      </c>
      <c r="D1010" s="37">
        <v>1</v>
      </c>
      <c r="E1010" s="37" t="s">
        <v>1338</v>
      </c>
      <c r="F1010" s="38">
        <v>0.09</v>
      </c>
      <c r="G1010" s="39">
        <f>IF(OR(B1010="FIXO",B1010="XFIXO"),IF(F1010="","ERRO",10*F1010)*'BD Campos'!$W$2,IF(F1010="","ERRO",10*F1010)*'BD Campos'!$W$3)</f>
        <v>0.89999999999999991</v>
      </c>
      <c r="H1010" s="40">
        <v>0.05</v>
      </c>
      <c r="I1010" s="41">
        <f>H1010*G1010*-1</f>
        <v>-4.4999999999999998E-2</v>
      </c>
    </row>
    <row r="1011" spans="1:9" hidden="1" x14ac:dyDescent="0.35">
      <c r="A1011" s="37" t="str">
        <f t="shared" ref="A1011:A1019" si="61">B1011&amp;C1011&amp;D1011</f>
        <v>ATRASO NA EMISSÃOCliente2</v>
      </c>
      <c r="B1011" s="37" t="s">
        <v>386</v>
      </c>
      <c r="C1011" s="37" t="s">
        <v>124</v>
      </c>
      <c r="D1011" s="37">
        <v>2</v>
      </c>
      <c r="E1011" s="37" t="s">
        <v>1213</v>
      </c>
      <c r="F1011" s="38">
        <v>0.09</v>
      </c>
      <c r="G1011" s="39">
        <f>IF(OR(B1011="FIXO",B1011="XFIXO"),IF(F1011="","ERRO",10*F1011)*'BD Campos'!$W$2,IF(F1011="","ERRO",10*F1011)*'BD Campos'!$W$3)</f>
        <v>0.89999999999999991</v>
      </c>
      <c r="H1011" s="40">
        <v>0.05</v>
      </c>
      <c r="I1011" s="41">
        <f t="shared" ref="I1011:I1019" si="62">H1011*G1011*-1</f>
        <v>-4.4999999999999998E-2</v>
      </c>
    </row>
    <row r="1012" spans="1:9" hidden="1" x14ac:dyDescent="0.35">
      <c r="A1012" s="37" t="str">
        <f t="shared" si="61"/>
        <v>ATRASO NA EMISSÃOCliente3</v>
      </c>
      <c r="B1012" s="37" t="s">
        <v>386</v>
      </c>
      <c r="C1012" s="37" t="s">
        <v>124</v>
      </c>
      <c r="D1012" s="37">
        <v>3</v>
      </c>
      <c r="E1012" s="37" t="s">
        <v>1214</v>
      </c>
      <c r="F1012" s="38">
        <v>0.09</v>
      </c>
      <c r="G1012" s="39">
        <f>IF(OR(B1012="FIXO",B1012="XFIXO"),IF(F1012="","ERRO",10*F1012)*'BD Campos'!$W$2,IF(F1012="","ERRO",10*F1012)*'BD Campos'!$W$3)</f>
        <v>0.89999999999999991</v>
      </c>
      <c r="H1012" s="40">
        <v>0.05</v>
      </c>
      <c r="I1012" s="41">
        <f t="shared" si="62"/>
        <v>-4.4999999999999998E-2</v>
      </c>
    </row>
    <row r="1013" spans="1:9" hidden="1" x14ac:dyDescent="0.35">
      <c r="A1013" s="37" t="str">
        <f t="shared" si="61"/>
        <v>ATRASO NA EMISSÃOCliente4</v>
      </c>
      <c r="B1013" s="37" t="s">
        <v>386</v>
      </c>
      <c r="C1013" s="37" t="s">
        <v>124</v>
      </c>
      <c r="D1013" s="37">
        <v>4</v>
      </c>
      <c r="E1013" s="37" t="s">
        <v>1339</v>
      </c>
      <c r="F1013" s="38">
        <v>0.09</v>
      </c>
      <c r="G1013" s="39">
        <f>IF(OR(B1013="FIXO",B1013="XFIXO"),IF(F1013="","ERRO",10*F1013)*'BD Campos'!$W$2,IF(F1013="","ERRO",10*F1013)*'BD Campos'!$W$3)</f>
        <v>0.89999999999999991</v>
      </c>
      <c r="H1013" s="40">
        <v>0.05</v>
      </c>
      <c r="I1013" s="41">
        <f t="shared" si="62"/>
        <v>-4.4999999999999998E-2</v>
      </c>
    </row>
    <row r="1014" spans="1:9" hidden="1" x14ac:dyDescent="0.35">
      <c r="A1014" s="37" t="str">
        <f t="shared" si="61"/>
        <v>ATRASO NA EMISSÃOCliente5</v>
      </c>
      <c r="B1014" s="37" t="s">
        <v>386</v>
      </c>
      <c r="C1014" s="37" t="s">
        <v>124</v>
      </c>
      <c r="D1014" s="37">
        <v>5</v>
      </c>
      <c r="E1014" s="37" t="s">
        <v>1216</v>
      </c>
      <c r="F1014" s="38">
        <v>0.1</v>
      </c>
      <c r="G1014" s="39">
        <f>IF(OR(B1014="FIXO",B1014="XFIXO"),IF(F1014="","ERRO",10*F1014)*'BD Campos'!$W$2,IF(F1014="","ERRO",10*F1014)*'BD Campos'!$W$3)</f>
        <v>1</v>
      </c>
      <c r="H1014" s="40">
        <v>0.05</v>
      </c>
      <c r="I1014" s="41">
        <f t="shared" si="62"/>
        <v>-0.05</v>
      </c>
    </row>
    <row r="1015" spans="1:9" hidden="1" x14ac:dyDescent="0.35">
      <c r="A1015" s="37" t="str">
        <f t="shared" si="61"/>
        <v>ATRASO NA EMISSÃOCliente6</v>
      </c>
      <c r="B1015" s="37" t="s">
        <v>386</v>
      </c>
      <c r="C1015" s="37" t="s">
        <v>124</v>
      </c>
      <c r="D1015" s="37">
        <v>6</v>
      </c>
      <c r="E1015" s="37" t="s">
        <v>1217</v>
      </c>
      <c r="F1015" s="38">
        <v>0.1</v>
      </c>
      <c r="G1015" s="39">
        <f>IF(OR(B1015="FIXO",B1015="XFIXO"),IF(F1015="","ERRO",10*F1015)*'BD Campos'!$W$2,IF(F1015="","ERRO",10*F1015)*'BD Campos'!$W$3)</f>
        <v>1</v>
      </c>
      <c r="H1015" s="40">
        <v>0.05</v>
      </c>
      <c r="I1015" s="41">
        <f t="shared" si="62"/>
        <v>-0.05</v>
      </c>
    </row>
    <row r="1016" spans="1:9" hidden="1" x14ac:dyDescent="0.35">
      <c r="A1016" s="37" t="str">
        <f t="shared" si="61"/>
        <v>ATRASO NA EMISSÃOCliente7</v>
      </c>
      <c r="B1016" s="37" t="s">
        <v>386</v>
      </c>
      <c r="C1016" s="37" t="s">
        <v>124</v>
      </c>
      <c r="D1016" s="37">
        <v>7</v>
      </c>
      <c r="E1016" s="37" t="s">
        <v>1257</v>
      </c>
      <c r="F1016" s="38">
        <v>0.1</v>
      </c>
      <c r="G1016" s="39">
        <f>IF(OR(B1016="FIXO",B1016="XFIXO"),IF(F1016="","ERRO",10*F1016)*'BD Campos'!$W$2,IF(F1016="","ERRO",10*F1016)*'BD Campos'!$W$3)</f>
        <v>1</v>
      </c>
      <c r="H1016" s="40">
        <v>0.05</v>
      </c>
      <c r="I1016" s="41">
        <f t="shared" si="62"/>
        <v>-0.05</v>
      </c>
    </row>
    <row r="1017" spans="1:9" hidden="1" x14ac:dyDescent="0.35">
      <c r="A1017" s="37" t="str">
        <f t="shared" si="61"/>
        <v>ATRASO NA EMISSÃOCliente8</v>
      </c>
      <c r="B1017" s="37" t="s">
        <v>386</v>
      </c>
      <c r="C1017" s="37" t="s">
        <v>124</v>
      </c>
      <c r="D1017" s="37">
        <v>8</v>
      </c>
      <c r="E1017" s="37" t="s">
        <v>1340</v>
      </c>
      <c r="F1017" s="38">
        <v>0.11</v>
      </c>
      <c r="G1017" s="39">
        <f>IF(OR(B1017="FIXO",B1017="XFIXO"),IF(F1017="","ERRO",10*F1017)*'BD Campos'!$W$2,IF(F1017="","ERRO",10*F1017)*'BD Campos'!$W$3)</f>
        <v>1.1000000000000001</v>
      </c>
      <c r="H1017" s="40">
        <v>0.05</v>
      </c>
      <c r="I1017" s="41">
        <f t="shared" si="62"/>
        <v>-5.5000000000000007E-2</v>
      </c>
    </row>
    <row r="1018" spans="1:9" hidden="1" x14ac:dyDescent="0.35">
      <c r="A1018" s="37" t="str">
        <f t="shared" si="61"/>
        <v>ATRASO NA EMISSÃOCliente9</v>
      </c>
      <c r="B1018" s="37" t="s">
        <v>386</v>
      </c>
      <c r="C1018" s="37" t="s">
        <v>124</v>
      </c>
      <c r="D1018" s="37">
        <v>9</v>
      </c>
      <c r="E1018" s="37" t="s">
        <v>1341</v>
      </c>
      <c r="F1018" s="38">
        <v>0.12</v>
      </c>
      <c r="G1018" s="39">
        <f>IF(OR(B1018="FIXO",B1018="XFIXO"),IF(F1018="","ERRO",10*F1018)*'BD Campos'!$W$2,IF(F1018="","ERRO",10*F1018)*'BD Campos'!$W$3)</f>
        <v>1.2</v>
      </c>
      <c r="H1018" s="40">
        <v>0.05</v>
      </c>
      <c r="I1018" s="41">
        <f t="shared" si="62"/>
        <v>-0.06</v>
      </c>
    </row>
    <row r="1019" spans="1:9" hidden="1" x14ac:dyDescent="0.35">
      <c r="A1019" s="37" t="str">
        <f t="shared" si="61"/>
        <v>ATRASO NA EMISSÃOCliente10</v>
      </c>
      <c r="B1019" s="37" t="s">
        <v>386</v>
      </c>
      <c r="C1019" s="37" t="s">
        <v>124</v>
      </c>
      <c r="D1019" s="37">
        <v>10</v>
      </c>
      <c r="E1019" s="37" t="s">
        <v>1342</v>
      </c>
      <c r="F1019" s="38">
        <v>0.11</v>
      </c>
      <c r="G1019" s="39">
        <f>IF(OR(B1019="FIXO",B1019="XFIXO"),IF(F1019="","ERRO",10*F1019)*'BD Campos'!$W$2,IF(F1019="","ERRO",10*F1019)*'BD Campos'!$W$3)</f>
        <v>1.1000000000000001</v>
      </c>
      <c r="H1019" s="40">
        <v>0.05</v>
      </c>
      <c r="I1019" s="41">
        <f t="shared" si="62"/>
        <v>-5.5000000000000007E-2</v>
      </c>
    </row>
    <row r="1020" spans="1:9" hidden="1" x14ac:dyDescent="0.35">
      <c r="A1020" s="37" t="str">
        <f>B1020&amp;C1020&amp;D1020</f>
        <v>ATRASO NA EMISSÃOCliente 21</v>
      </c>
      <c r="B1020" s="37" t="s">
        <v>386</v>
      </c>
      <c r="C1020" s="37" t="s">
        <v>185</v>
      </c>
      <c r="D1020" s="37">
        <v>1</v>
      </c>
      <c r="E1020" s="37" t="s">
        <v>1338</v>
      </c>
      <c r="F1020" s="38">
        <v>0.09</v>
      </c>
      <c r="G1020" s="39">
        <f>IF(OR(B1020="FIXO",B1020="XFIXO"),IF(F1020="","ERRO",10*F1020)*'BD Campos'!$W$2,IF(F1020="","ERRO",10*F1020)*'BD Campos'!$W$3)</f>
        <v>0.89999999999999991</v>
      </c>
      <c r="H1020" s="40">
        <v>0.05</v>
      </c>
      <c r="I1020" s="41">
        <f t="shared" ref="I1020:I1029" si="63">H1020*G1020*-1</f>
        <v>-4.4999999999999998E-2</v>
      </c>
    </row>
    <row r="1021" spans="1:9" hidden="1" x14ac:dyDescent="0.35">
      <c r="A1021" s="37" t="str">
        <f t="shared" ref="A1021:A1065" si="64">B1021&amp;C1021&amp;D1021</f>
        <v>ATRASO NA EMISSÃOCliente 22</v>
      </c>
      <c r="B1021" s="37" t="s">
        <v>386</v>
      </c>
      <c r="C1021" s="37" t="s">
        <v>185</v>
      </c>
      <c r="D1021" s="37">
        <v>2</v>
      </c>
      <c r="E1021" s="37" t="s">
        <v>1213</v>
      </c>
      <c r="F1021" s="38">
        <v>0.09</v>
      </c>
      <c r="G1021" s="39">
        <f>IF(OR(B1021="FIXO",B1021="XFIXO"),IF(F1021="","ERRO",10*F1021)*'BD Campos'!$W$2,IF(F1021="","ERRO",10*F1021)*'BD Campos'!$W$3)</f>
        <v>0.89999999999999991</v>
      </c>
      <c r="H1021" s="40">
        <v>0.05</v>
      </c>
      <c r="I1021" s="41">
        <f t="shared" si="63"/>
        <v>-4.4999999999999998E-2</v>
      </c>
    </row>
    <row r="1022" spans="1:9" hidden="1" x14ac:dyDescent="0.35">
      <c r="A1022" s="37" t="str">
        <f t="shared" si="64"/>
        <v>ATRASO NA EMISSÃOCliente 23</v>
      </c>
      <c r="B1022" s="37" t="s">
        <v>386</v>
      </c>
      <c r="C1022" s="37" t="s">
        <v>185</v>
      </c>
      <c r="D1022" s="37">
        <v>3</v>
      </c>
      <c r="E1022" s="37" t="s">
        <v>1214</v>
      </c>
      <c r="F1022" s="38">
        <v>0.09</v>
      </c>
      <c r="G1022" s="39">
        <f>IF(OR(B1022="FIXO",B1022="XFIXO"),IF(F1022="","ERRO",10*F1022)*'BD Campos'!$W$2,IF(F1022="","ERRO",10*F1022)*'BD Campos'!$W$3)</f>
        <v>0.89999999999999991</v>
      </c>
      <c r="H1022" s="40">
        <v>0.05</v>
      </c>
      <c r="I1022" s="41">
        <f t="shared" si="63"/>
        <v>-4.4999999999999998E-2</v>
      </c>
    </row>
    <row r="1023" spans="1:9" hidden="1" x14ac:dyDescent="0.35">
      <c r="A1023" s="37" t="str">
        <f t="shared" si="64"/>
        <v>ATRASO NA EMISSÃOCliente 24</v>
      </c>
      <c r="B1023" s="37" t="s">
        <v>386</v>
      </c>
      <c r="C1023" s="37" t="s">
        <v>185</v>
      </c>
      <c r="D1023" s="37">
        <v>4</v>
      </c>
      <c r="E1023" s="37" t="s">
        <v>1339</v>
      </c>
      <c r="F1023" s="38">
        <v>0.09</v>
      </c>
      <c r="G1023" s="39">
        <f>IF(OR(B1023="FIXO",B1023="XFIXO"),IF(F1023="","ERRO",10*F1023)*'BD Campos'!$W$2,IF(F1023="","ERRO",10*F1023)*'BD Campos'!$W$3)</f>
        <v>0.89999999999999991</v>
      </c>
      <c r="H1023" s="40">
        <v>0.05</v>
      </c>
      <c r="I1023" s="41">
        <f t="shared" si="63"/>
        <v>-4.4999999999999998E-2</v>
      </c>
    </row>
    <row r="1024" spans="1:9" hidden="1" x14ac:dyDescent="0.35">
      <c r="A1024" s="37" t="str">
        <f t="shared" si="64"/>
        <v>ATRASO NA EMISSÃOCliente 25</v>
      </c>
      <c r="B1024" s="37" t="s">
        <v>386</v>
      </c>
      <c r="C1024" s="37" t="s">
        <v>185</v>
      </c>
      <c r="D1024" s="37">
        <v>5</v>
      </c>
      <c r="E1024" s="37" t="s">
        <v>1216</v>
      </c>
      <c r="F1024" s="38">
        <v>0.1</v>
      </c>
      <c r="G1024" s="39">
        <f>IF(OR(B1024="FIXO",B1024="XFIXO"),IF(F1024="","ERRO",10*F1024)*'BD Campos'!$W$2,IF(F1024="","ERRO",10*F1024)*'BD Campos'!$W$3)</f>
        <v>1</v>
      </c>
      <c r="H1024" s="40">
        <v>0.05</v>
      </c>
      <c r="I1024" s="41">
        <f t="shared" si="63"/>
        <v>-0.05</v>
      </c>
    </row>
    <row r="1025" spans="1:9" hidden="1" x14ac:dyDescent="0.35">
      <c r="A1025" s="37" t="str">
        <f t="shared" si="64"/>
        <v>ATRASO NA EMISSÃOCliente 26</v>
      </c>
      <c r="B1025" s="37" t="s">
        <v>386</v>
      </c>
      <c r="C1025" s="37" t="s">
        <v>185</v>
      </c>
      <c r="D1025" s="37">
        <v>6</v>
      </c>
      <c r="E1025" s="37" t="s">
        <v>1217</v>
      </c>
      <c r="F1025" s="38">
        <v>0.1</v>
      </c>
      <c r="G1025" s="39">
        <f>IF(OR(B1025="FIXO",B1025="XFIXO"),IF(F1025="","ERRO",10*F1025)*'BD Campos'!$W$2,IF(F1025="","ERRO",10*F1025)*'BD Campos'!$W$3)</f>
        <v>1</v>
      </c>
      <c r="H1025" s="40">
        <v>0.05</v>
      </c>
      <c r="I1025" s="41">
        <f t="shared" si="63"/>
        <v>-0.05</v>
      </c>
    </row>
    <row r="1026" spans="1:9" hidden="1" x14ac:dyDescent="0.35">
      <c r="A1026" s="37" t="str">
        <f t="shared" si="64"/>
        <v>ATRASO NA EMISSÃOCliente 27</v>
      </c>
      <c r="B1026" s="37" t="s">
        <v>386</v>
      </c>
      <c r="C1026" s="37" t="s">
        <v>185</v>
      </c>
      <c r="D1026" s="37">
        <v>7</v>
      </c>
      <c r="E1026" s="37" t="s">
        <v>1257</v>
      </c>
      <c r="F1026" s="38">
        <v>0.1</v>
      </c>
      <c r="G1026" s="39">
        <f>IF(OR(B1026="FIXO",B1026="XFIXO"),IF(F1026="","ERRO",10*F1026)*'BD Campos'!$W$2,IF(F1026="","ERRO",10*F1026)*'BD Campos'!$W$3)</f>
        <v>1</v>
      </c>
      <c r="H1026" s="40">
        <v>0.05</v>
      </c>
      <c r="I1026" s="41">
        <f t="shared" si="63"/>
        <v>-0.05</v>
      </c>
    </row>
    <row r="1027" spans="1:9" hidden="1" x14ac:dyDescent="0.35">
      <c r="A1027" s="37" t="str">
        <f t="shared" si="64"/>
        <v>ATRASO NA EMISSÃOCliente 28</v>
      </c>
      <c r="B1027" s="37" t="s">
        <v>386</v>
      </c>
      <c r="C1027" s="37" t="s">
        <v>185</v>
      </c>
      <c r="D1027" s="37">
        <v>8</v>
      </c>
      <c r="E1027" s="37" t="s">
        <v>1340</v>
      </c>
      <c r="F1027" s="38">
        <v>0.11</v>
      </c>
      <c r="G1027" s="39">
        <f>IF(OR(B1027="FIXO",B1027="XFIXO"),IF(F1027="","ERRO",10*F1027)*'BD Campos'!$W$2,IF(F1027="","ERRO",10*F1027)*'BD Campos'!$W$3)</f>
        <v>1.1000000000000001</v>
      </c>
      <c r="H1027" s="40">
        <v>0.05</v>
      </c>
      <c r="I1027" s="41">
        <f t="shared" si="63"/>
        <v>-5.5000000000000007E-2</v>
      </c>
    </row>
    <row r="1028" spans="1:9" hidden="1" x14ac:dyDescent="0.35">
      <c r="A1028" s="37" t="str">
        <f t="shared" si="64"/>
        <v>ATRASO NA EMISSÃOCliente 29</v>
      </c>
      <c r="B1028" s="37" t="s">
        <v>386</v>
      </c>
      <c r="C1028" s="37" t="s">
        <v>185</v>
      </c>
      <c r="D1028" s="37">
        <v>9</v>
      </c>
      <c r="E1028" s="37" t="s">
        <v>1341</v>
      </c>
      <c r="F1028" s="38">
        <v>0.12</v>
      </c>
      <c r="G1028" s="39">
        <f>IF(OR(B1028="FIXO",B1028="XFIXO"),IF(F1028="","ERRO",10*F1028)*'BD Campos'!$W$2,IF(F1028="","ERRO",10*F1028)*'BD Campos'!$W$3)</f>
        <v>1.2</v>
      </c>
      <c r="H1028" s="40">
        <v>0.05</v>
      </c>
      <c r="I1028" s="41">
        <f t="shared" si="63"/>
        <v>-0.06</v>
      </c>
    </row>
    <row r="1029" spans="1:9" hidden="1" x14ac:dyDescent="0.35">
      <c r="A1029" s="37" t="str">
        <f t="shared" si="64"/>
        <v>ATRASO NA EMISSÃOCliente 210</v>
      </c>
      <c r="B1029" s="37" t="s">
        <v>386</v>
      </c>
      <c r="C1029" s="37" t="s">
        <v>185</v>
      </c>
      <c r="D1029" s="37">
        <v>10</v>
      </c>
      <c r="E1029" s="37" t="s">
        <v>1342</v>
      </c>
      <c r="F1029" s="38">
        <v>0.11</v>
      </c>
      <c r="G1029" s="39">
        <f>IF(OR(B1029="FIXO",B1029="XFIXO"),IF(F1029="","ERRO",10*F1029)*'BD Campos'!$W$2,IF(F1029="","ERRO",10*F1029)*'BD Campos'!$W$3)</f>
        <v>1.1000000000000001</v>
      </c>
      <c r="H1029" s="40">
        <v>0.05</v>
      </c>
      <c r="I1029" s="41">
        <f t="shared" si="63"/>
        <v>-5.5000000000000007E-2</v>
      </c>
    </row>
    <row r="1030" spans="1:9" hidden="1" x14ac:dyDescent="0.35">
      <c r="A1030" s="37" t="str">
        <f t="shared" si="64"/>
        <v>EXCESSO DE VELOCIDADEMotorista1</v>
      </c>
      <c r="B1030" s="37" t="s">
        <v>543</v>
      </c>
      <c r="C1030" s="37" t="s">
        <v>122</v>
      </c>
      <c r="D1030" s="37">
        <v>1</v>
      </c>
      <c r="E1030" s="37" t="s">
        <v>1343</v>
      </c>
      <c r="F1030" s="38">
        <v>0.08</v>
      </c>
      <c r="G1030" s="39">
        <f>IF(OR(B1030="FIXO",B1030="XFIXO"),IF(F1030="","ERRO",10*F1030)*'BD Campos'!$W$2,IF(F1030="","ERRO",10*F1030)*'BD Campos'!$W$3)</f>
        <v>0.8</v>
      </c>
      <c r="H1030" s="40">
        <v>0.05</v>
      </c>
      <c r="I1030" s="41">
        <f t="shared" ref="I1030:I1037" si="65">H1030*G1030*-1</f>
        <v>-4.0000000000000008E-2</v>
      </c>
    </row>
    <row r="1031" spans="1:9" hidden="1" x14ac:dyDescent="0.35">
      <c r="A1031" s="37" t="str">
        <f t="shared" si="64"/>
        <v>EXCESSO DE VELOCIDADEMotorista2</v>
      </c>
      <c r="B1031" s="37" t="s">
        <v>543</v>
      </c>
      <c r="C1031" s="37" t="s">
        <v>122</v>
      </c>
      <c r="D1031" s="37">
        <v>2</v>
      </c>
      <c r="E1031" s="37" t="s">
        <v>1213</v>
      </c>
      <c r="F1031" s="38">
        <v>0.08</v>
      </c>
      <c r="G1031" s="39">
        <f>IF(OR(B1031="FIXO",B1031="XFIXO"),IF(F1031="","ERRO",10*F1031)*'BD Campos'!$W$2,IF(F1031="","ERRO",10*F1031)*'BD Campos'!$W$3)</f>
        <v>0.8</v>
      </c>
      <c r="H1031" s="40">
        <v>0.05</v>
      </c>
      <c r="I1031" s="41">
        <f t="shared" si="65"/>
        <v>-4.0000000000000008E-2</v>
      </c>
    </row>
    <row r="1032" spans="1:9" hidden="1" x14ac:dyDescent="0.35">
      <c r="A1032" s="37" t="str">
        <f t="shared" si="64"/>
        <v>EXCESSO DE VELOCIDADEMotorista3</v>
      </c>
      <c r="B1032" s="37" t="s">
        <v>543</v>
      </c>
      <c r="C1032" s="37" t="s">
        <v>122</v>
      </c>
      <c r="D1032" s="37">
        <v>3</v>
      </c>
      <c r="E1032" s="37" t="s">
        <v>1344</v>
      </c>
      <c r="F1032" s="38">
        <v>0.08</v>
      </c>
      <c r="G1032" s="39">
        <f>IF(OR(B1032="FIXO",B1032="XFIXO"),IF(F1032="","ERRO",10*F1032)*'BD Campos'!$W$2,IF(F1032="","ERRO",10*F1032)*'BD Campos'!$W$3)</f>
        <v>0.8</v>
      </c>
      <c r="H1032" s="40">
        <v>0.05</v>
      </c>
      <c r="I1032" s="41">
        <f t="shared" si="65"/>
        <v>-4.0000000000000008E-2</v>
      </c>
    </row>
    <row r="1033" spans="1:9" hidden="1" x14ac:dyDescent="0.35">
      <c r="A1033" s="37" t="str">
        <f t="shared" si="64"/>
        <v>EXCESSO DE VELOCIDADEMotorista4</v>
      </c>
      <c r="B1033" s="37" t="s">
        <v>543</v>
      </c>
      <c r="C1033" s="37" t="s">
        <v>122</v>
      </c>
      <c r="D1033" s="37">
        <v>4</v>
      </c>
      <c r="E1033" s="37" t="s">
        <v>1215</v>
      </c>
      <c r="F1033" s="38">
        <v>0.08</v>
      </c>
      <c r="G1033" s="39">
        <f>IF(OR(B1033="FIXO",B1033="XFIXO"),IF(F1033="","ERRO",10*F1033)*'BD Campos'!$W$2,IF(F1033="","ERRO",10*F1033)*'BD Campos'!$W$3)</f>
        <v>0.8</v>
      </c>
      <c r="H1033" s="40">
        <v>0.05</v>
      </c>
      <c r="I1033" s="41">
        <f t="shared" si="65"/>
        <v>-4.0000000000000008E-2</v>
      </c>
    </row>
    <row r="1034" spans="1:9" hidden="1" x14ac:dyDescent="0.35">
      <c r="A1034" s="37" t="str">
        <f t="shared" si="64"/>
        <v>EXCESSO DE VELOCIDADEMotorista5</v>
      </c>
      <c r="B1034" s="37" t="s">
        <v>543</v>
      </c>
      <c r="C1034" s="37" t="s">
        <v>122</v>
      </c>
      <c r="D1034" s="37">
        <v>5</v>
      </c>
      <c r="E1034" s="37" t="s">
        <v>1216</v>
      </c>
      <c r="F1034" s="38">
        <v>0.08</v>
      </c>
      <c r="G1034" s="39">
        <f>IF(OR(B1034="FIXO",B1034="XFIXO"),IF(F1034="","ERRO",10*F1034)*'BD Campos'!$W$2,IF(F1034="","ERRO",10*F1034)*'BD Campos'!$W$3)</f>
        <v>0.8</v>
      </c>
      <c r="H1034" s="40">
        <v>0.05</v>
      </c>
      <c r="I1034" s="41">
        <f t="shared" si="65"/>
        <v>-4.0000000000000008E-2</v>
      </c>
    </row>
    <row r="1035" spans="1:9" hidden="1" x14ac:dyDescent="0.35">
      <c r="A1035" s="37" t="str">
        <f t="shared" si="64"/>
        <v>EXCESSO DE VELOCIDADEMotorista6</v>
      </c>
      <c r="B1035" s="37" t="s">
        <v>543</v>
      </c>
      <c r="C1035" s="37" t="s">
        <v>122</v>
      </c>
      <c r="D1035" s="37">
        <v>6</v>
      </c>
      <c r="E1035" s="37" t="s">
        <v>1257</v>
      </c>
      <c r="F1035" s="38">
        <v>0.2</v>
      </c>
      <c r="G1035" s="39">
        <f>IF(OR(B1035="FIXO",B1035="XFIXO"),IF(F1035="","ERRO",10*F1035)*'BD Campos'!$W$2,IF(F1035="","ERRO",10*F1035)*'BD Campos'!$W$3)</f>
        <v>2</v>
      </c>
      <c r="H1035" s="40">
        <v>0.05</v>
      </c>
      <c r="I1035" s="41">
        <f t="shared" si="65"/>
        <v>-0.1</v>
      </c>
    </row>
    <row r="1036" spans="1:9" hidden="1" x14ac:dyDescent="0.35">
      <c r="A1036" s="37" t="str">
        <f t="shared" si="64"/>
        <v>EXCESSO DE VELOCIDADEMotorista7</v>
      </c>
      <c r="B1036" s="37" t="s">
        <v>543</v>
      </c>
      <c r="C1036" s="37" t="s">
        <v>122</v>
      </c>
      <c r="D1036" s="37">
        <v>7</v>
      </c>
      <c r="E1036" s="37" t="s">
        <v>1345</v>
      </c>
      <c r="F1036" s="38">
        <v>0.2</v>
      </c>
      <c r="G1036" s="39">
        <f>IF(OR(B1036="FIXO",B1036="XFIXO"),IF(F1036="","ERRO",10*F1036)*'BD Campos'!$W$2,IF(F1036="","ERRO",10*F1036)*'BD Campos'!$W$3)</f>
        <v>2</v>
      </c>
      <c r="H1036" s="40">
        <v>0.05</v>
      </c>
      <c r="I1036" s="41">
        <f t="shared" si="65"/>
        <v>-0.1</v>
      </c>
    </row>
    <row r="1037" spans="1:9" hidden="1" x14ac:dyDescent="0.35">
      <c r="A1037" s="37" t="str">
        <f t="shared" si="64"/>
        <v>EXCESSO DE VELOCIDADEMotorista8</v>
      </c>
      <c r="B1037" s="37" t="s">
        <v>543</v>
      </c>
      <c r="C1037" s="37" t="s">
        <v>122</v>
      </c>
      <c r="D1037" s="37">
        <v>8</v>
      </c>
      <c r="E1037" s="37" t="s">
        <v>1346</v>
      </c>
      <c r="F1037" s="38">
        <v>0.2</v>
      </c>
      <c r="G1037" s="39">
        <f>IF(OR(B1037="FIXO",B1037="XFIXO"),IF(F1037="","ERRO",10*F1037)*'BD Campos'!$W$2,IF(F1037="","ERRO",10*F1037)*'BD Campos'!$W$3)</f>
        <v>2</v>
      </c>
      <c r="H1037" s="40">
        <v>0.05</v>
      </c>
      <c r="I1037" s="41">
        <f t="shared" si="65"/>
        <v>-0.1</v>
      </c>
    </row>
    <row r="1038" spans="1:9" hidden="1" x14ac:dyDescent="0.35">
      <c r="A1038" s="37" t="str">
        <f t="shared" si="64"/>
        <v>EXCESSO DE VELOCIDADEMotorista 21</v>
      </c>
      <c r="B1038" s="37" t="s">
        <v>543</v>
      </c>
      <c r="C1038" s="37" t="s">
        <v>204</v>
      </c>
      <c r="D1038" s="37">
        <v>1</v>
      </c>
      <c r="E1038" s="37" t="s">
        <v>1343</v>
      </c>
      <c r="F1038" s="38">
        <v>0.08</v>
      </c>
      <c r="G1038" s="39">
        <f>IF(OR(B1038="FIXO",B1038="XFIXO"),IF(F1038="","ERRO",10*F1038)*'BD Campos'!$W$2,IF(F1038="","ERRO",10*F1038)*'BD Campos'!$W$3)</f>
        <v>0.8</v>
      </c>
      <c r="H1038" s="40">
        <v>0.05</v>
      </c>
      <c r="I1038" s="41">
        <f t="shared" ref="I1038:I1045" si="66">H1038*G1038*-1</f>
        <v>-4.0000000000000008E-2</v>
      </c>
    </row>
    <row r="1039" spans="1:9" hidden="1" x14ac:dyDescent="0.35">
      <c r="A1039" s="37" t="str">
        <f t="shared" si="64"/>
        <v>EXCESSO DE VELOCIDADEMotorista 22</v>
      </c>
      <c r="B1039" s="37" t="s">
        <v>543</v>
      </c>
      <c r="C1039" s="37" t="s">
        <v>204</v>
      </c>
      <c r="D1039" s="37">
        <v>2</v>
      </c>
      <c r="E1039" s="37" t="s">
        <v>1213</v>
      </c>
      <c r="F1039" s="38">
        <v>0.08</v>
      </c>
      <c r="G1039" s="39">
        <f>IF(OR(B1039="FIXO",B1039="XFIXO"),IF(F1039="","ERRO",10*F1039)*'BD Campos'!$W$2,IF(F1039="","ERRO",10*F1039)*'BD Campos'!$W$3)</f>
        <v>0.8</v>
      </c>
      <c r="H1039" s="40">
        <v>0.05</v>
      </c>
      <c r="I1039" s="41">
        <f t="shared" si="66"/>
        <v>-4.0000000000000008E-2</v>
      </c>
    </row>
    <row r="1040" spans="1:9" hidden="1" x14ac:dyDescent="0.35">
      <c r="A1040" s="37" t="str">
        <f t="shared" si="64"/>
        <v>EXCESSO DE VELOCIDADEMotorista 23</v>
      </c>
      <c r="B1040" s="37" t="s">
        <v>543</v>
      </c>
      <c r="C1040" s="37" t="s">
        <v>204</v>
      </c>
      <c r="D1040" s="37">
        <v>3</v>
      </c>
      <c r="E1040" s="37" t="s">
        <v>1344</v>
      </c>
      <c r="F1040" s="38">
        <v>0.08</v>
      </c>
      <c r="G1040" s="39">
        <f>IF(OR(B1040="FIXO",B1040="XFIXO"),IF(F1040="","ERRO",10*F1040)*'BD Campos'!$W$2,IF(F1040="","ERRO",10*F1040)*'BD Campos'!$W$3)</f>
        <v>0.8</v>
      </c>
      <c r="H1040" s="40">
        <v>0.05</v>
      </c>
      <c r="I1040" s="41">
        <f t="shared" si="66"/>
        <v>-4.0000000000000008E-2</v>
      </c>
    </row>
    <row r="1041" spans="1:9" hidden="1" x14ac:dyDescent="0.35">
      <c r="A1041" s="37" t="str">
        <f t="shared" si="64"/>
        <v>EXCESSO DE VELOCIDADEMotorista 24</v>
      </c>
      <c r="B1041" s="37" t="s">
        <v>543</v>
      </c>
      <c r="C1041" s="37" t="s">
        <v>204</v>
      </c>
      <c r="D1041" s="37">
        <v>4</v>
      </c>
      <c r="E1041" s="37" t="s">
        <v>1215</v>
      </c>
      <c r="F1041" s="38">
        <v>0.08</v>
      </c>
      <c r="G1041" s="39">
        <f>IF(OR(B1041="FIXO",B1041="XFIXO"),IF(F1041="","ERRO",10*F1041)*'BD Campos'!$W$2,IF(F1041="","ERRO",10*F1041)*'BD Campos'!$W$3)</f>
        <v>0.8</v>
      </c>
      <c r="H1041" s="40">
        <v>0.05</v>
      </c>
      <c r="I1041" s="41">
        <f t="shared" si="66"/>
        <v>-4.0000000000000008E-2</v>
      </c>
    </row>
    <row r="1042" spans="1:9" hidden="1" x14ac:dyDescent="0.35">
      <c r="A1042" s="37" t="str">
        <f t="shared" si="64"/>
        <v>EXCESSO DE VELOCIDADEMotorista 25</v>
      </c>
      <c r="B1042" s="37" t="s">
        <v>543</v>
      </c>
      <c r="C1042" s="37" t="s">
        <v>204</v>
      </c>
      <c r="D1042" s="37">
        <v>5</v>
      </c>
      <c r="E1042" s="37" t="s">
        <v>1216</v>
      </c>
      <c r="F1042" s="38">
        <v>0.08</v>
      </c>
      <c r="G1042" s="39">
        <f>IF(OR(B1042="FIXO",B1042="XFIXO"),IF(F1042="","ERRO",10*F1042)*'BD Campos'!$W$2,IF(F1042="","ERRO",10*F1042)*'BD Campos'!$W$3)</f>
        <v>0.8</v>
      </c>
      <c r="H1042" s="40">
        <v>0.05</v>
      </c>
      <c r="I1042" s="41">
        <f t="shared" si="66"/>
        <v>-4.0000000000000008E-2</v>
      </c>
    </row>
    <row r="1043" spans="1:9" hidden="1" x14ac:dyDescent="0.35">
      <c r="A1043" s="37" t="str">
        <f t="shared" si="64"/>
        <v>EXCESSO DE VELOCIDADEMotorista 26</v>
      </c>
      <c r="B1043" s="37" t="s">
        <v>543</v>
      </c>
      <c r="C1043" s="37" t="s">
        <v>204</v>
      </c>
      <c r="D1043" s="37">
        <v>6</v>
      </c>
      <c r="E1043" s="37" t="s">
        <v>1257</v>
      </c>
      <c r="F1043" s="38">
        <v>0.2</v>
      </c>
      <c r="G1043" s="39">
        <f>IF(OR(B1043="FIXO",B1043="XFIXO"),IF(F1043="","ERRO",10*F1043)*'BD Campos'!$W$2,IF(F1043="","ERRO",10*F1043)*'BD Campos'!$W$3)</f>
        <v>2</v>
      </c>
      <c r="H1043" s="40">
        <v>0.05</v>
      </c>
      <c r="I1043" s="41">
        <f t="shared" si="66"/>
        <v>-0.1</v>
      </c>
    </row>
    <row r="1044" spans="1:9" hidden="1" x14ac:dyDescent="0.35">
      <c r="A1044" s="37" t="str">
        <f t="shared" si="64"/>
        <v>EXCESSO DE VELOCIDADEMotorista 27</v>
      </c>
      <c r="B1044" s="37" t="s">
        <v>543</v>
      </c>
      <c r="C1044" s="37" t="s">
        <v>204</v>
      </c>
      <c r="D1044" s="37">
        <v>7</v>
      </c>
      <c r="E1044" s="37" t="s">
        <v>1345</v>
      </c>
      <c r="F1044" s="38">
        <v>0.2</v>
      </c>
      <c r="G1044" s="39">
        <f>IF(OR(B1044="FIXO",B1044="XFIXO"),IF(F1044="","ERRO",10*F1044)*'BD Campos'!$W$2,IF(F1044="","ERRO",10*F1044)*'BD Campos'!$W$3)</f>
        <v>2</v>
      </c>
      <c r="H1044" s="40">
        <v>0.05</v>
      </c>
      <c r="I1044" s="41">
        <f t="shared" si="66"/>
        <v>-0.1</v>
      </c>
    </row>
    <row r="1045" spans="1:9" hidden="1" x14ac:dyDescent="0.35">
      <c r="A1045" s="37" t="str">
        <f t="shared" si="64"/>
        <v>EXCESSO DE VELOCIDADEMotorista 28</v>
      </c>
      <c r="B1045" s="37" t="s">
        <v>543</v>
      </c>
      <c r="C1045" s="37" t="s">
        <v>204</v>
      </c>
      <c r="D1045" s="37">
        <v>8</v>
      </c>
      <c r="E1045" s="37" t="s">
        <v>1346</v>
      </c>
      <c r="F1045" s="38">
        <v>0.2</v>
      </c>
      <c r="G1045" s="39">
        <f>IF(OR(B1045="FIXO",B1045="XFIXO"),IF(F1045="","ERRO",10*F1045)*'BD Campos'!$W$2,IF(F1045="","ERRO",10*F1045)*'BD Campos'!$W$3)</f>
        <v>2</v>
      </c>
      <c r="H1045" s="40">
        <v>0.05</v>
      </c>
      <c r="I1045" s="41">
        <f t="shared" si="66"/>
        <v>-0.1</v>
      </c>
    </row>
    <row r="1046" spans="1:9" hidden="1" x14ac:dyDescent="0.35">
      <c r="A1046" s="37" t="str">
        <f t="shared" si="64"/>
        <v>INÍCIO DE VIAGEM DEEPMotorista1</v>
      </c>
      <c r="B1046" s="37" t="s">
        <v>219</v>
      </c>
      <c r="C1046" s="37" t="s">
        <v>122</v>
      </c>
      <c r="D1046" s="37">
        <v>1</v>
      </c>
      <c r="E1046" s="104" t="s">
        <v>1343</v>
      </c>
      <c r="F1046" s="38">
        <v>0.09</v>
      </c>
      <c r="G1046" s="39">
        <f>IF(OR(B1046="FIXO",B1046="XFIXO"),IF(F1046="","ERRO",10*F1046)*'BD Campos'!$W$2,IF(F1046="","ERRO",10*F1046)*'BD Campos'!$W$3)</f>
        <v>0.89999999999999991</v>
      </c>
      <c r="H1046" s="40">
        <v>0.05</v>
      </c>
      <c r="I1046" s="41">
        <f t="shared" ref="I1046:I1055" si="67">H1046*G1046*-1</f>
        <v>-4.4999999999999998E-2</v>
      </c>
    </row>
    <row r="1047" spans="1:9" hidden="1" x14ac:dyDescent="0.35">
      <c r="A1047" s="37" t="str">
        <f t="shared" si="64"/>
        <v>INÍCIO DE VIAGEM DEEPMotorista2</v>
      </c>
      <c r="B1047" s="37" t="s">
        <v>219</v>
      </c>
      <c r="C1047" s="37" t="s">
        <v>122</v>
      </c>
      <c r="D1047" s="37">
        <v>2</v>
      </c>
      <c r="E1047" s="104" t="s">
        <v>1213</v>
      </c>
      <c r="F1047" s="38">
        <v>0.09</v>
      </c>
      <c r="G1047" s="39">
        <f>IF(OR(B1047="FIXO",B1047="XFIXO"),IF(F1047="","ERRO",10*F1047)*'BD Campos'!$W$2,IF(F1047="","ERRO",10*F1047)*'BD Campos'!$W$3)</f>
        <v>0.89999999999999991</v>
      </c>
      <c r="H1047" s="40">
        <v>0.05</v>
      </c>
      <c r="I1047" s="41">
        <f t="shared" si="67"/>
        <v>-4.4999999999999998E-2</v>
      </c>
    </row>
    <row r="1048" spans="1:9" hidden="1" x14ac:dyDescent="0.35">
      <c r="A1048" s="37" t="str">
        <f t="shared" si="64"/>
        <v>INÍCIO DE VIAGEM DEEPMotorista3</v>
      </c>
      <c r="B1048" s="37" t="s">
        <v>219</v>
      </c>
      <c r="C1048" s="37" t="s">
        <v>122</v>
      </c>
      <c r="D1048" s="37">
        <v>3</v>
      </c>
      <c r="E1048" s="104" t="s">
        <v>1214</v>
      </c>
      <c r="F1048" s="38">
        <v>0.09</v>
      </c>
      <c r="G1048" s="39">
        <f>IF(OR(B1048="FIXO",B1048="XFIXO"),IF(F1048="","ERRO",10*F1048)*'BD Campos'!$W$2,IF(F1048="","ERRO",10*F1048)*'BD Campos'!$W$3)</f>
        <v>0.89999999999999991</v>
      </c>
      <c r="H1048" s="40">
        <v>0.05</v>
      </c>
      <c r="I1048" s="41">
        <f t="shared" si="67"/>
        <v>-4.4999999999999998E-2</v>
      </c>
    </row>
    <row r="1049" spans="1:9" hidden="1" x14ac:dyDescent="0.35">
      <c r="A1049" s="37" t="str">
        <f t="shared" si="64"/>
        <v>INÍCIO DE VIAGEM DEEPMotorista4</v>
      </c>
      <c r="B1049" s="37" t="s">
        <v>219</v>
      </c>
      <c r="C1049" s="37" t="s">
        <v>122</v>
      </c>
      <c r="D1049" s="37">
        <v>4</v>
      </c>
      <c r="E1049" s="104" t="s">
        <v>1215</v>
      </c>
      <c r="F1049" s="38">
        <v>0.09</v>
      </c>
      <c r="G1049" s="39">
        <f>IF(OR(B1049="FIXO",B1049="XFIXO"),IF(F1049="","ERRO",10*F1049)*'BD Campos'!$W$2,IF(F1049="","ERRO",10*F1049)*'BD Campos'!$W$3)</f>
        <v>0.89999999999999991</v>
      </c>
      <c r="H1049" s="40">
        <v>0.05</v>
      </c>
      <c r="I1049" s="41">
        <f t="shared" si="67"/>
        <v>-4.4999999999999998E-2</v>
      </c>
    </row>
    <row r="1050" spans="1:9" hidden="1" x14ac:dyDescent="0.35">
      <c r="A1050" s="37" t="str">
        <f t="shared" si="64"/>
        <v>INÍCIO DE VIAGEM DEEPMotorista5</v>
      </c>
      <c r="B1050" s="37" t="s">
        <v>219</v>
      </c>
      <c r="C1050" s="37" t="s">
        <v>122</v>
      </c>
      <c r="D1050" s="37">
        <v>5</v>
      </c>
      <c r="E1050" s="37" t="s">
        <v>1216</v>
      </c>
      <c r="F1050" s="38">
        <v>0.1</v>
      </c>
      <c r="G1050" s="39">
        <f>IF(OR(B1050="FIXO",B1050="XFIXO"),IF(F1050="","ERRO",10*F1050)*'BD Campos'!$W$2,IF(F1050="","ERRO",10*F1050)*'BD Campos'!$W$3)</f>
        <v>1</v>
      </c>
      <c r="H1050" s="40">
        <v>0.05</v>
      </c>
      <c r="I1050" s="41">
        <f t="shared" si="67"/>
        <v>-0.05</v>
      </c>
    </row>
    <row r="1051" spans="1:9" hidden="1" x14ac:dyDescent="0.35">
      <c r="A1051" s="37" t="str">
        <f t="shared" si="64"/>
        <v>INÍCIO DE VIAGEM DEEPMotorista6</v>
      </c>
      <c r="B1051" s="37" t="s">
        <v>219</v>
      </c>
      <c r="C1051" s="37" t="s">
        <v>122</v>
      </c>
      <c r="D1051" s="37">
        <v>6</v>
      </c>
      <c r="E1051" s="104" t="s">
        <v>1257</v>
      </c>
      <c r="F1051" s="38">
        <v>0.1</v>
      </c>
      <c r="G1051" s="39">
        <f>IF(OR(B1051="FIXO",B1051="XFIXO"),IF(F1051="","ERRO",10*F1051)*'BD Campos'!$W$2,IF(F1051="","ERRO",10*F1051)*'BD Campos'!$W$3)</f>
        <v>1</v>
      </c>
      <c r="H1051" s="40">
        <v>0.05</v>
      </c>
      <c r="I1051" s="41">
        <f t="shared" si="67"/>
        <v>-0.05</v>
      </c>
    </row>
    <row r="1052" spans="1:9" hidden="1" x14ac:dyDescent="0.35">
      <c r="A1052" s="37" t="str">
        <f t="shared" si="64"/>
        <v>INÍCIO DE VIAGEM DEEPMotorista7</v>
      </c>
      <c r="B1052" s="37" t="s">
        <v>219</v>
      </c>
      <c r="C1052" s="37" t="s">
        <v>122</v>
      </c>
      <c r="D1052" s="37">
        <v>7</v>
      </c>
      <c r="E1052" s="104" t="s">
        <v>1277</v>
      </c>
      <c r="F1052" s="38">
        <v>0.1</v>
      </c>
      <c r="G1052" s="39">
        <f>IF(OR(B1052="FIXO",B1052="XFIXO"),IF(F1052="","ERRO",10*F1052)*'BD Campos'!$W$2,IF(F1052="","ERRO",10*F1052)*'BD Campos'!$W$3)</f>
        <v>1</v>
      </c>
      <c r="H1052" s="40">
        <v>0.05</v>
      </c>
      <c r="I1052" s="41">
        <f t="shared" si="67"/>
        <v>-0.05</v>
      </c>
    </row>
    <row r="1053" spans="1:9" hidden="1" x14ac:dyDescent="0.35">
      <c r="A1053" s="37" t="str">
        <f t="shared" si="64"/>
        <v>INÍCIO DE VIAGEM DEEPMotorista8</v>
      </c>
      <c r="B1053" s="37" t="s">
        <v>219</v>
      </c>
      <c r="C1053" s="37" t="s">
        <v>122</v>
      </c>
      <c r="D1053" s="37">
        <v>8</v>
      </c>
      <c r="E1053" s="104" t="s">
        <v>1347</v>
      </c>
      <c r="F1053" s="38">
        <v>0.11</v>
      </c>
      <c r="G1053" s="39">
        <f>IF(OR(B1053="FIXO",B1053="XFIXO"),IF(F1053="","ERRO",10*F1053)*'BD Campos'!$W$2,IF(F1053="","ERRO",10*F1053)*'BD Campos'!$W$3)</f>
        <v>1.1000000000000001</v>
      </c>
      <c r="H1053" s="40">
        <v>0.05</v>
      </c>
      <c r="I1053" s="41">
        <f t="shared" si="67"/>
        <v>-5.5000000000000007E-2</v>
      </c>
    </row>
    <row r="1054" spans="1:9" hidden="1" x14ac:dyDescent="0.35">
      <c r="A1054" s="37" t="str">
        <f t="shared" si="64"/>
        <v>INÍCIO DE VIAGEM DEEPMotorista9</v>
      </c>
      <c r="B1054" s="37" t="s">
        <v>219</v>
      </c>
      <c r="C1054" s="37" t="s">
        <v>122</v>
      </c>
      <c r="D1054" s="37">
        <v>9</v>
      </c>
      <c r="E1054" s="104" t="s">
        <v>1348</v>
      </c>
      <c r="F1054" s="38">
        <v>0.12</v>
      </c>
      <c r="G1054" s="39">
        <f>IF(OR(B1054="FIXO",B1054="XFIXO"),IF(F1054="","ERRO",10*F1054)*'BD Campos'!$W$2,IF(F1054="","ERRO",10*F1054)*'BD Campos'!$W$3)</f>
        <v>1.2</v>
      </c>
      <c r="H1054" s="40">
        <v>0.05</v>
      </c>
      <c r="I1054" s="41">
        <f t="shared" si="67"/>
        <v>-0.06</v>
      </c>
    </row>
    <row r="1055" spans="1:9" hidden="1" x14ac:dyDescent="0.35">
      <c r="A1055" s="37" t="str">
        <f t="shared" si="64"/>
        <v>INÍCIO DE VIAGEM DEEPMotorista10</v>
      </c>
      <c r="B1055" s="37" t="s">
        <v>219</v>
      </c>
      <c r="C1055" s="37" t="s">
        <v>122</v>
      </c>
      <c r="D1055" s="37">
        <v>10</v>
      </c>
      <c r="E1055" s="104" t="s">
        <v>1349</v>
      </c>
      <c r="F1055" s="38">
        <v>0.11</v>
      </c>
      <c r="G1055" s="39">
        <f>IF(OR(B1055="FIXO",B1055="XFIXO"),IF(F1055="","ERRO",10*F1055)*'BD Campos'!$W$2,IF(F1055="","ERRO",10*F1055)*'BD Campos'!$W$3)</f>
        <v>1.1000000000000001</v>
      </c>
      <c r="H1055" s="40">
        <v>0.05</v>
      </c>
      <c r="I1055" s="41">
        <f t="shared" si="67"/>
        <v>-5.5000000000000007E-2</v>
      </c>
    </row>
    <row r="1056" spans="1:9" hidden="1" x14ac:dyDescent="0.35">
      <c r="A1056" s="37" t="str">
        <f t="shared" si="64"/>
        <v>INÍCIO DE VIAGEM DEEPMotorista 21</v>
      </c>
      <c r="B1056" s="37" t="s">
        <v>219</v>
      </c>
      <c r="C1056" s="37" t="s">
        <v>204</v>
      </c>
      <c r="D1056" s="37">
        <v>1</v>
      </c>
      <c r="E1056" s="104" t="s">
        <v>1343</v>
      </c>
      <c r="F1056" s="38">
        <v>0.09</v>
      </c>
      <c r="G1056" s="39">
        <f>IF(OR(B1056="FIXO",B1056="XFIXO"),IF(F1056="","ERRO",10*F1056)*'BD Campos'!$W$2,IF(F1056="","ERRO",10*F1056)*'BD Campos'!$W$3)</f>
        <v>0.89999999999999991</v>
      </c>
      <c r="H1056" s="40">
        <v>0.05</v>
      </c>
      <c r="I1056" s="41">
        <f t="shared" ref="I1056:I1065" si="68">H1056*G1056*-1</f>
        <v>-4.4999999999999998E-2</v>
      </c>
    </row>
    <row r="1057" spans="1:9" hidden="1" x14ac:dyDescent="0.35">
      <c r="A1057" s="37" t="str">
        <f t="shared" si="64"/>
        <v>INÍCIO DE VIAGEM DEEPMotorista 22</v>
      </c>
      <c r="B1057" s="37" t="s">
        <v>219</v>
      </c>
      <c r="C1057" s="37" t="s">
        <v>204</v>
      </c>
      <c r="D1057" s="37">
        <v>2</v>
      </c>
      <c r="E1057" s="104" t="s">
        <v>1213</v>
      </c>
      <c r="F1057" s="38">
        <v>0.09</v>
      </c>
      <c r="G1057" s="39">
        <f>IF(OR(B1057="FIXO",B1057="XFIXO"),IF(F1057="","ERRO",10*F1057)*'BD Campos'!$W$2,IF(F1057="","ERRO",10*F1057)*'BD Campos'!$W$3)</f>
        <v>0.89999999999999991</v>
      </c>
      <c r="H1057" s="40">
        <v>0.05</v>
      </c>
      <c r="I1057" s="41">
        <f t="shared" si="68"/>
        <v>-4.4999999999999998E-2</v>
      </c>
    </row>
    <row r="1058" spans="1:9" hidden="1" x14ac:dyDescent="0.35">
      <c r="A1058" s="37" t="str">
        <f t="shared" si="64"/>
        <v>INÍCIO DE VIAGEM DEEPMotorista 23</v>
      </c>
      <c r="B1058" s="37" t="s">
        <v>219</v>
      </c>
      <c r="C1058" s="37" t="s">
        <v>204</v>
      </c>
      <c r="D1058" s="37">
        <v>3</v>
      </c>
      <c r="E1058" s="104" t="s">
        <v>1214</v>
      </c>
      <c r="F1058" s="38">
        <v>0.09</v>
      </c>
      <c r="G1058" s="39">
        <f>IF(OR(B1058="FIXO",B1058="XFIXO"),IF(F1058="","ERRO",10*F1058)*'BD Campos'!$W$2,IF(F1058="","ERRO",10*F1058)*'BD Campos'!$W$3)</f>
        <v>0.89999999999999991</v>
      </c>
      <c r="H1058" s="40">
        <v>0.05</v>
      </c>
      <c r="I1058" s="41">
        <f t="shared" si="68"/>
        <v>-4.4999999999999998E-2</v>
      </c>
    </row>
    <row r="1059" spans="1:9" hidden="1" x14ac:dyDescent="0.35">
      <c r="A1059" s="37" t="str">
        <f t="shared" si="64"/>
        <v>INÍCIO DE VIAGEM DEEPMotorista 24</v>
      </c>
      <c r="B1059" s="37" t="s">
        <v>219</v>
      </c>
      <c r="C1059" s="37" t="s">
        <v>204</v>
      </c>
      <c r="D1059" s="37">
        <v>4</v>
      </c>
      <c r="E1059" s="104" t="s">
        <v>1215</v>
      </c>
      <c r="F1059" s="38">
        <v>0.09</v>
      </c>
      <c r="G1059" s="39">
        <f>IF(OR(B1059="FIXO",B1059="XFIXO"),IF(F1059="","ERRO",10*F1059)*'BD Campos'!$W$2,IF(F1059="","ERRO",10*F1059)*'BD Campos'!$W$3)</f>
        <v>0.89999999999999991</v>
      </c>
      <c r="H1059" s="40">
        <v>0.05</v>
      </c>
      <c r="I1059" s="41">
        <f t="shared" si="68"/>
        <v>-4.4999999999999998E-2</v>
      </c>
    </row>
    <row r="1060" spans="1:9" hidden="1" x14ac:dyDescent="0.35">
      <c r="A1060" s="37" t="str">
        <f t="shared" si="64"/>
        <v>INÍCIO DE VIAGEM DEEPMotorista 25</v>
      </c>
      <c r="B1060" s="37" t="s">
        <v>219</v>
      </c>
      <c r="C1060" s="37" t="s">
        <v>204</v>
      </c>
      <c r="D1060" s="37">
        <v>5</v>
      </c>
      <c r="E1060" s="37" t="s">
        <v>1216</v>
      </c>
      <c r="F1060" s="38">
        <v>0.1</v>
      </c>
      <c r="G1060" s="39">
        <f>IF(OR(B1060="FIXO",B1060="XFIXO"),IF(F1060="","ERRO",10*F1060)*'BD Campos'!$W$2,IF(F1060="","ERRO",10*F1060)*'BD Campos'!$W$3)</f>
        <v>1</v>
      </c>
      <c r="H1060" s="40">
        <v>0.05</v>
      </c>
      <c r="I1060" s="41">
        <f t="shared" si="68"/>
        <v>-0.05</v>
      </c>
    </row>
    <row r="1061" spans="1:9" hidden="1" x14ac:dyDescent="0.35">
      <c r="A1061" s="37" t="str">
        <f t="shared" si="64"/>
        <v>INÍCIO DE VIAGEM DEEPMotorista 26</v>
      </c>
      <c r="B1061" s="37" t="s">
        <v>219</v>
      </c>
      <c r="C1061" s="37" t="s">
        <v>204</v>
      </c>
      <c r="D1061" s="37">
        <v>6</v>
      </c>
      <c r="E1061" s="104" t="s">
        <v>1257</v>
      </c>
      <c r="F1061" s="38">
        <v>0.1</v>
      </c>
      <c r="G1061" s="39">
        <f>IF(OR(B1061="FIXO",B1061="XFIXO"),IF(F1061="","ERRO",10*F1061)*'BD Campos'!$W$2,IF(F1061="","ERRO",10*F1061)*'BD Campos'!$W$3)</f>
        <v>1</v>
      </c>
      <c r="H1061" s="40">
        <v>0.05</v>
      </c>
      <c r="I1061" s="41">
        <f t="shared" si="68"/>
        <v>-0.05</v>
      </c>
    </row>
    <row r="1062" spans="1:9" hidden="1" x14ac:dyDescent="0.35">
      <c r="A1062" s="37" t="str">
        <f t="shared" si="64"/>
        <v>INÍCIO DE VIAGEM DEEPMotorista 27</v>
      </c>
      <c r="B1062" s="37" t="s">
        <v>219</v>
      </c>
      <c r="C1062" s="37" t="s">
        <v>204</v>
      </c>
      <c r="D1062" s="37">
        <v>7</v>
      </c>
      <c r="E1062" s="104" t="s">
        <v>1277</v>
      </c>
      <c r="F1062" s="38">
        <v>0.1</v>
      </c>
      <c r="G1062" s="39">
        <f>IF(OR(B1062="FIXO",B1062="XFIXO"),IF(F1062="","ERRO",10*F1062)*'BD Campos'!$W$2,IF(F1062="","ERRO",10*F1062)*'BD Campos'!$W$3)</f>
        <v>1</v>
      </c>
      <c r="H1062" s="40">
        <v>0.05</v>
      </c>
      <c r="I1062" s="41">
        <f t="shared" si="68"/>
        <v>-0.05</v>
      </c>
    </row>
    <row r="1063" spans="1:9" hidden="1" x14ac:dyDescent="0.35">
      <c r="A1063" s="37" t="str">
        <f t="shared" si="64"/>
        <v>INÍCIO DE VIAGEM DEEPMotorista 28</v>
      </c>
      <c r="B1063" s="37" t="s">
        <v>219</v>
      </c>
      <c r="C1063" s="37" t="s">
        <v>204</v>
      </c>
      <c r="D1063" s="37">
        <v>8</v>
      </c>
      <c r="E1063" s="104" t="s">
        <v>1347</v>
      </c>
      <c r="F1063" s="38">
        <v>0.11</v>
      </c>
      <c r="G1063" s="39">
        <f>IF(OR(B1063="FIXO",B1063="XFIXO"),IF(F1063="","ERRO",10*F1063)*'BD Campos'!$W$2,IF(F1063="","ERRO",10*F1063)*'BD Campos'!$W$3)</f>
        <v>1.1000000000000001</v>
      </c>
      <c r="H1063" s="40">
        <v>0.05</v>
      </c>
      <c r="I1063" s="41">
        <f t="shared" si="68"/>
        <v>-5.5000000000000007E-2</v>
      </c>
    </row>
    <row r="1064" spans="1:9" hidden="1" x14ac:dyDescent="0.35">
      <c r="A1064" s="37" t="str">
        <f t="shared" si="64"/>
        <v>INÍCIO DE VIAGEM DEEPMotorista 29</v>
      </c>
      <c r="B1064" s="37" t="s">
        <v>219</v>
      </c>
      <c r="C1064" s="37" t="s">
        <v>204</v>
      </c>
      <c r="D1064" s="37">
        <v>9</v>
      </c>
      <c r="E1064" s="104" t="s">
        <v>1348</v>
      </c>
      <c r="F1064" s="38">
        <v>0.12</v>
      </c>
      <c r="G1064" s="39">
        <f>IF(OR(B1064="FIXO",B1064="XFIXO"),IF(F1064="","ERRO",10*F1064)*'BD Campos'!$W$2,IF(F1064="","ERRO",10*F1064)*'BD Campos'!$W$3)</f>
        <v>1.2</v>
      </c>
      <c r="H1064" s="40">
        <v>0.05</v>
      </c>
      <c r="I1064" s="41">
        <f t="shared" si="68"/>
        <v>-0.06</v>
      </c>
    </row>
    <row r="1065" spans="1:9" hidden="1" x14ac:dyDescent="0.35">
      <c r="A1065" s="37" t="str">
        <f t="shared" si="64"/>
        <v>INÍCIO DE VIAGEM DEEPMotorista 210</v>
      </c>
      <c r="B1065" s="37" t="s">
        <v>219</v>
      </c>
      <c r="C1065" s="37" t="s">
        <v>204</v>
      </c>
      <c r="D1065" s="37">
        <v>10</v>
      </c>
      <c r="E1065" s="104" t="s">
        <v>1349</v>
      </c>
      <c r="F1065" s="38">
        <v>0.11</v>
      </c>
      <c r="G1065" s="39">
        <f>IF(OR(B1065="FIXO",B1065="XFIXO"),IF(F1065="","ERRO",10*F1065)*'BD Campos'!$W$2,IF(F1065="","ERRO",10*F1065)*'BD Campos'!$W$3)</f>
        <v>1.1000000000000001</v>
      </c>
      <c r="H1065" s="40">
        <v>0.05</v>
      </c>
      <c r="I1065" s="41">
        <f t="shared" si="68"/>
        <v>-5.5000000000000007E-2</v>
      </c>
    </row>
    <row r="1066" spans="1:9" hidden="1" x14ac:dyDescent="0.35">
      <c r="A1066" s="37" t="str">
        <f>B1066&amp;C1066&amp;D1066</f>
        <v>CONFIRMAÇÃO DE ENTREGA - FUSIONCliente1</v>
      </c>
      <c r="B1066" s="37" t="s">
        <v>397</v>
      </c>
      <c r="C1066" s="37" t="s">
        <v>124</v>
      </c>
      <c r="D1066" s="37">
        <v>1</v>
      </c>
      <c r="E1066" s="104" t="s">
        <v>1343</v>
      </c>
      <c r="F1066" s="38">
        <v>0.08</v>
      </c>
      <c r="G1066" s="39">
        <f>IF(OR(B1066="FIXO",B1066="XFIXO"),IF(F1066="","ERRO",10*F1066)*'BD Campos'!$W$2,IF(F1066="","ERRO",10*F1066)*'BD Campos'!$W$3)</f>
        <v>0.8</v>
      </c>
      <c r="H1066" s="40">
        <v>0.05</v>
      </c>
      <c r="I1066" s="41">
        <f t="shared" ref="I1066:I1073" si="69">H1066*G1066*-1</f>
        <v>-4.0000000000000008E-2</v>
      </c>
    </row>
    <row r="1067" spans="1:9" hidden="1" x14ac:dyDescent="0.35">
      <c r="A1067" s="37" t="str">
        <f t="shared" ref="A1067:A1073" si="70">B1067&amp;C1067&amp;D1067</f>
        <v>CONFIRMAÇÃO DE ENTREGA - FUSIONCliente2</v>
      </c>
      <c r="B1067" s="37" t="s">
        <v>397</v>
      </c>
      <c r="C1067" s="37" t="s">
        <v>124</v>
      </c>
      <c r="D1067" s="37">
        <v>2</v>
      </c>
      <c r="E1067" s="104" t="s">
        <v>1213</v>
      </c>
      <c r="F1067" s="38">
        <v>0.08</v>
      </c>
      <c r="G1067" s="39">
        <f>IF(OR(B1067="FIXO",B1067="XFIXO"),IF(F1067="","ERRO",10*F1067)*'BD Campos'!$W$2,IF(F1067="","ERRO",10*F1067)*'BD Campos'!$W$3)</f>
        <v>0.8</v>
      </c>
      <c r="H1067" s="40">
        <v>0.05</v>
      </c>
      <c r="I1067" s="41">
        <f t="shared" si="69"/>
        <v>-4.0000000000000008E-2</v>
      </c>
    </row>
    <row r="1068" spans="1:9" hidden="1" x14ac:dyDescent="0.35">
      <c r="A1068" s="37" t="str">
        <f t="shared" si="70"/>
        <v>CONFIRMAÇÃO DE ENTREGA - FUSIONCliente3</v>
      </c>
      <c r="B1068" s="37" t="s">
        <v>397</v>
      </c>
      <c r="C1068" s="37" t="s">
        <v>124</v>
      </c>
      <c r="D1068" s="37">
        <v>3</v>
      </c>
      <c r="E1068" s="104" t="s">
        <v>1214</v>
      </c>
      <c r="F1068" s="38">
        <v>0.08</v>
      </c>
      <c r="G1068" s="39">
        <f>IF(OR(B1068="FIXO",B1068="XFIXO"),IF(F1068="","ERRO",10*F1068)*'BD Campos'!$W$2,IF(F1068="","ERRO",10*F1068)*'BD Campos'!$W$3)</f>
        <v>0.8</v>
      </c>
      <c r="H1068" s="40">
        <v>0.05</v>
      </c>
      <c r="I1068" s="41">
        <f t="shared" si="69"/>
        <v>-4.0000000000000008E-2</v>
      </c>
    </row>
    <row r="1069" spans="1:9" hidden="1" x14ac:dyDescent="0.35">
      <c r="A1069" s="37" t="str">
        <f t="shared" si="70"/>
        <v>CONFIRMAÇÃO DE ENTREGA - FUSIONCliente4</v>
      </c>
      <c r="B1069" s="37" t="s">
        <v>397</v>
      </c>
      <c r="C1069" s="37" t="s">
        <v>124</v>
      </c>
      <c r="D1069" s="37">
        <v>4</v>
      </c>
      <c r="E1069" s="104" t="s">
        <v>1215</v>
      </c>
      <c r="F1069" s="38">
        <v>0.08</v>
      </c>
      <c r="G1069" s="39">
        <f>IF(OR(B1069="FIXO",B1069="XFIXO"),IF(F1069="","ERRO",10*F1069)*'BD Campos'!$W$2,IF(F1069="","ERRO",10*F1069)*'BD Campos'!$W$3)</f>
        <v>0.8</v>
      </c>
      <c r="H1069" s="40">
        <v>0.05</v>
      </c>
      <c r="I1069" s="41">
        <f t="shared" si="69"/>
        <v>-4.0000000000000008E-2</v>
      </c>
    </row>
    <row r="1070" spans="1:9" hidden="1" x14ac:dyDescent="0.35">
      <c r="A1070" s="37" t="str">
        <f t="shared" si="70"/>
        <v>CONFIRMAÇÃO DE ENTREGA - FUSIONCliente5</v>
      </c>
      <c r="B1070" s="37" t="s">
        <v>397</v>
      </c>
      <c r="C1070" s="37" t="s">
        <v>124</v>
      </c>
      <c r="D1070" s="37">
        <v>5</v>
      </c>
      <c r="E1070" s="37" t="s">
        <v>1216</v>
      </c>
      <c r="F1070" s="38">
        <v>0.08</v>
      </c>
      <c r="G1070" s="39">
        <f>IF(OR(B1070="FIXO",B1070="XFIXO"),IF(F1070="","ERRO",10*F1070)*'BD Campos'!$W$2,IF(F1070="","ERRO",10*F1070)*'BD Campos'!$W$3)</f>
        <v>0.8</v>
      </c>
      <c r="H1070" s="40">
        <v>0.05</v>
      </c>
      <c r="I1070" s="41">
        <f t="shared" si="69"/>
        <v>-4.0000000000000008E-2</v>
      </c>
    </row>
    <row r="1071" spans="1:9" hidden="1" x14ac:dyDescent="0.35">
      <c r="A1071" s="37" t="str">
        <f t="shared" si="70"/>
        <v>CONFIRMAÇÃO DE ENTREGA - FUSIONCliente6</v>
      </c>
      <c r="B1071" s="37" t="s">
        <v>397</v>
      </c>
      <c r="C1071" s="37" t="s">
        <v>124</v>
      </c>
      <c r="D1071" s="37">
        <v>6</v>
      </c>
      <c r="E1071" s="104" t="s">
        <v>1350</v>
      </c>
      <c r="F1071" s="38">
        <v>0.2</v>
      </c>
      <c r="G1071" s="39">
        <f>IF(OR(B1071="FIXO",B1071="XFIXO"),IF(F1071="","ERRO",10*F1071)*'BD Campos'!$W$2,IF(F1071="","ERRO",10*F1071)*'BD Campos'!$W$3)</f>
        <v>2</v>
      </c>
      <c r="H1071" s="40">
        <v>0.05</v>
      </c>
      <c r="I1071" s="41">
        <f t="shared" si="69"/>
        <v>-0.1</v>
      </c>
    </row>
    <row r="1072" spans="1:9" hidden="1" x14ac:dyDescent="0.35">
      <c r="A1072" s="37" t="str">
        <f t="shared" si="70"/>
        <v>CONFIRMAÇÃO DE ENTREGA - FUSIONCliente7</v>
      </c>
      <c r="B1072" s="37" t="s">
        <v>397</v>
      </c>
      <c r="C1072" s="37" t="s">
        <v>124</v>
      </c>
      <c r="D1072" s="37">
        <v>7</v>
      </c>
      <c r="E1072" s="104" t="s">
        <v>1351</v>
      </c>
      <c r="F1072" s="38">
        <v>0.2</v>
      </c>
      <c r="G1072" s="39">
        <f>IF(OR(B1072="FIXO",B1072="XFIXO"),IF(F1072="","ERRO",10*F1072)*'BD Campos'!$W$2,IF(F1072="","ERRO",10*F1072)*'BD Campos'!$W$3)</f>
        <v>2</v>
      </c>
      <c r="H1072" s="40">
        <v>0.05</v>
      </c>
      <c r="I1072" s="41">
        <f t="shared" si="69"/>
        <v>-0.1</v>
      </c>
    </row>
    <row r="1073" spans="1:9" hidden="1" x14ac:dyDescent="0.35">
      <c r="A1073" s="37" t="str">
        <f t="shared" si="70"/>
        <v>CONFIRMAÇÃO DE ENTREGA - FUSIONCliente8</v>
      </c>
      <c r="B1073" s="37" t="s">
        <v>397</v>
      </c>
      <c r="C1073" s="37" t="s">
        <v>124</v>
      </c>
      <c r="D1073" s="37">
        <v>8</v>
      </c>
      <c r="E1073" s="104" t="s">
        <v>1352</v>
      </c>
      <c r="F1073" s="38">
        <v>0.2</v>
      </c>
      <c r="G1073" s="39">
        <f>IF(OR(B1073="FIXO",B1073="XFIXO"),IF(F1073="","ERRO",10*F1073)*'BD Campos'!$W$2,IF(F1073="","ERRO",10*F1073)*'BD Campos'!$W$3)</f>
        <v>2</v>
      </c>
      <c r="H1073" s="40">
        <v>0.05</v>
      </c>
      <c r="I1073" s="41">
        <f t="shared" si="69"/>
        <v>-0.1</v>
      </c>
    </row>
    <row r="1074" spans="1:9" hidden="1" x14ac:dyDescent="0.35">
      <c r="A1074" s="37" t="str">
        <f t="shared" ref="A1074:A1081" si="71">B1074&amp;C1074&amp;D1074</f>
        <v>CONFIRMAÇÃO DE ENTREGA - FUSIONCliente 21</v>
      </c>
      <c r="B1074" s="37" t="s">
        <v>397</v>
      </c>
      <c r="C1074" s="37" t="s">
        <v>185</v>
      </c>
      <c r="D1074" s="37">
        <v>1</v>
      </c>
      <c r="E1074" s="104" t="s">
        <v>1343</v>
      </c>
      <c r="F1074" s="38">
        <v>0.08</v>
      </c>
      <c r="G1074" s="39">
        <f>IF(OR(B1074="FIXO",B1074="XFIXO"),IF(F1074="","ERRO",10*F1074)*'BD Campos'!$W$2,IF(F1074="","ERRO",10*F1074)*'BD Campos'!$W$3)</f>
        <v>0.8</v>
      </c>
      <c r="H1074" s="40">
        <v>0.05</v>
      </c>
      <c r="I1074" s="41">
        <f t="shared" ref="I1074:I1081" si="72">H1074*G1074*-1</f>
        <v>-4.0000000000000008E-2</v>
      </c>
    </row>
    <row r="1075" spans="1:9" hidden="1" x14ac:dyDescent="0.35">
      <c r="A1075" s="37" t="str">
        <f t="shared" si="71"/>
        <v>CONFIRMAÇÃO DE ENTREGA - FUSIONCliente 22</v>
      </c>
      <c r="B1075" s="37" t="s">
        <v>397</v>
      </c>
      <c r="C1075" s="37" t="s">
        <v>185</v>
      </c>
      <c r="D1075" s="37">
        <v>2</v>
      </c>
      <c r="E1075" s="104" t="s">
        <v>1213</v>
      </c>
      <c r="F1075" s="38">
        <v>0.08</v>
      </c>
      <c r="G1075" s="39">
        <f>IF(OR(B1075="FIXO",B1075="XFIXO"),IF(F1075="","ERRO",10*F1075)*'BD Campos'!$W$2,IF(F1075="","ERRO",10*F1075)*'BD Campos'!$W$3)</f>
        <v>0.8</v>
      </c>
      <c r="H1075" s="40">
        <v>0.05</v>
      </c>
      <c r="I1075" s="41">
        <f t="shared" si="72"/>
        <v>-4.0000000000000008E-2</v>
      </c>
    </row>
    <row r="1076" spans="1:9" hidden="1" x14ac:dyDescent="0.35">
      <c r="A1076" s="37" t="str">
        <f t="shared" si="71"/>
        <v>CONFIRMAÇÃO DE ENTREGA - FUSIONCliente 23</v>
      </c>
      <c r="B1076" s="37" t="s">
        <v>397</v>
      </c>
      <c r="C1076" s="37" t="s">
        <v>185</v>
      </c>
      <c r="D1076" s="37">
        <v>3</v>
      </c>
      <c r="E1076" s="104" t="s">
        <v>1214</v>
      </c>
      <c r="F1076" s="38">
        <v>0.08</v>
      </c>
      <c r="G1076" s="39">
        <f>IF(OR(B1076="FIXO",B1076="XFIXO"),IF(F1076="","ERRO",10*F1076)*'BD Campos'!$W$2,IF(F1076="","ERRO",10*F1076)*'BD Campos'!$W$3)</f>
        <v>0.8</v>
      </c>
      <c r="H1076" s="40">
        <v>0.05</v>
      </c>
      <c r="I1076" s="41">
        <f t="shared" si="72"/>
        <v>-4.0000000000000008E-2</v>
      </c>
    </row>
    <row r="1077" spans="1:9" hidden="1" x14ac:dyDescent="0.35">
      <c r="A1077" s="37" t="str">
        <f t="shared" si="71"/>
        <v>CONFIRMAÇÃO DE ENTREGA - FUSIONCliente 24</v>
      </c>
      <c r="B1077" s="37" t="s">
        <v>397</v>
      </c>
      <c r="C1077" s="37" t="s">
        <v>185</v>
      </c>
      <c r="D1077" s="37">
        <v>4</v>
      </c>
      <c r="E1077" s="104" t="s">
        <v>1215</v>
      </c>
      <c r="F1077" s="38">
        <v>0.08</v>
      </c>
      <c r="G1077" s="39">
        <f>IF(OR(B1077="FIXO",B1077="XFIXO"),IF(F1077="","ERRO",10*F1077)*'BD Campos'!$W$2,IF(F1077="","ERRO",10*F1077)*'BD Campos'!$W$3)</f>
        <v>0.8</v>
      </c>
      <c r="H1077" s="40">
        <v>0.05</v>
      </c>
      <c r="I1077" s="41">
        <f t="shared" si="72"/>
        <v>-4.0000000000000008E-2</v>
      </c>
    </row>
    <row r="1078" spans="1:9" hidden="1" x14ac:dyDescent="0.35">
      <c r="A1078" s="37" t="str">
        <f t="shared" si="71"/>
        <v>CONFIRMAÇÃO DE ENTREGA - FUSIONCliente 25</v>
      </c>
      <c r="B1078" s="37" t="s">
        <v>397</v>
      </c>
      <c r="C1078" s="37" t="s">
        <v>185</v>
      </c>
      <c r="D1078" s="37">
        <v>5</v>
      </c>
      <c r="E1078" s="37" t="s">
        <v>1216</v>
      </c>
      <c r="F1078" s="38">
        <v>0.08</v>
      </c>
      <c r="G1078" s="39">
        <f>IF(OR(B1078="FIXO",B1078="XFIXO"),IF(F1078="","ERRO",10*F1078)*'BD Campos'!$W$2,IF(F1078="","ERRO",10*F1078)*'BD Campos'!$W$3)</f>
        <v>0.8</v>
      </c>
      <c r="H1078" s="40">
        <v>0.05</v>
      </c>
      <c r="I1078" s="41">
        <f t="shared" si="72"/>
        <v>-4.0000000000000008E-2</v>
      </c>
    </row>
    <row r="1079" spans="1:9" hidden="1" x14ac:dyDescent="0.35">
      <c r="A1079" s="37" t="str">
        <f t="shared" si="71"/>
        <v>CONFIRMAÇÃO DE ENTREGA - FUSIONCliente 26</v>
      </c>
      <c r="B1079" s="37" t="s">
        <v>397</v>
      </c>
      <c r="C1079" s="37" t="s">
        <v>185</v>
      </c>
      <c r="D1079" s="37">
        <v>6</v>
      </c>
      <c r="E1079" s="104" t="s">
        <v>1350</v>
      </c>
      <c r="F1079" s="38">
        <v>0.2</v>
      </c>
      <c r="G1079" s="39">
        <f>IF(OR(B1079="FIXO",B1079="XFIXO"),IF(F1079="","ERRO",10*F1079)*'BD Campos'!$W$2,IF(F1079="","ERRO",10*F1079)*'BD Campos'!$W$3)</f>
        <v>2</v>
      </c>
      <c r="H1079" s="40">
        <v>0.05</v>
      </c>
      <c r="I1079" s="41">
        <f t="shared" si="72"/>
        <v>-0.1</v>
      </c>
    </row>
    <row r="1080" spans="1:9" hidden="1" x14ac:dyDescent="0.35">
      <c r="A1080" s="37" t="str">
        <f t="shared" si="71"/>
        <v>CONFIRMAÇÃO DE ENTREGA - FUSIONCliente 27</v>
      </c>
      <c r="B1080" s="37" t="s">
        <v>397</v>
      </c>
      <c r="C1080" s="37" t="s">
        <v>185</v>
      </c>
      <c r="D1080" s="37">
        <v>7</v>
      </c>
      <c r="E1080" s="104" t="s">
        <v>1353</v>
      </c>
      <c r="F1080" s="38">
        <v>0.2</v>
      </c>
      <c r="G1080" s="39">
        <f>IF(OR(B1080="FIXO",B1080="XFIXO"),IF(F1080="","ERRO",10*F1080)*'BD Campos'!$W$2,IF(F1080="","ERRO",10*F1080)*'BD Campos'!$W$3)</f>
        <v>2</v>
      </c>
      <c r="H1080" s="40">
        <v>0.05</v>
      </c>
      <c r="I1080" s="41">
        <f t="shared" si="72"/>
        <v>-0.1</v>
      </c>
    </row>
    <row r="1081" spans="1:9" hidden="1" x14ac:dyDescent="0.35">
      <c r="A1081" s="37" t="str">
        <f t="shared" si="71"/>
        <v>CONFIRMAÇÃO DE ENTREGA - FUSIONCliente 28</v>
      </c>
      <c r="B1081" s="37" t="s">
        <v>397</v>
      </c>
      <c r="C1081" s="37" t="s">
        <v>185</v>
      </c>
      <c r="D1081" s="37">
        <v>8</v>
      </c>
      <c r="E1081" s="104" t="s">
        <v>1352</v>
      </c>
      <c r="F1081" s="38">
        <v>0.2</v>
      </c>
      <c r="G1081" s="39">
        <f>IF(OR(B1081="FIXO",B1081="XFIXO"),IF(F1081="","ERRO",10*F1081)*'BD Campos'!$W$2,IF(F1081="","ERRO",10*F1081)*'BD Campos'!$W$3)</f>
        <v>2</v>
      </c>
      <c r="H1081" s="40">
        <v>0.05</v>
      </c>
      <c r="I1081" s="41">
        <f t="shared" si="72"/>
        <v>-0.1</v>
      </c>
    </row>
    <row r="1082" spans="1:9" hidden="1" x14ac:dyDescent="0.35">
      <c r="A1082" s="37" t="str">
        <f>B1082&amp;C1082&amp;D1082</f>
        <v>DEVOLUÇÃO - FUSIONCliente1</v>
      </c>
      <c r="B1082" s="104" t="s">
        <v>398</v>
      </c>
      <c r="C1082" s="37" t="s">
        <v>124</v>
      </c>
      <c r="D1082" s="37">
        <v>1</v>
      </c>
      <c r="E1082" s="104" t="s">
        <v>1343</v>
      </c>
      <c r="F1082" s="38">
        <v>0.08</v>
      </c>
      <c r="G1082" s="39">
        <f>IF(OR(B1082="FIXO",B1082="XFIXO"),IF(F1082="","ERRO",10*F1082)*'BD Campos'!$W$2,IF(F1082="","ERRO",10*F1082)*'BD Campos'!$W$3)</f>
        <v>0.8</v>
      </c>
      <c r="H1082" s="40">
        <v>0.05</v>
      </c>
      <c r="I1082" s="41">
        <f t="shared" ref="I1082:I1097" si="73">H1082*G1082*-1</f>
        <v>-4.0000000000000008E-2</v>
      </c>
    </row>
    <row r="1083" spans="1:9" hidden="1" x14ac:dyDescent="0.35">
      <c r="A1083" s="37" t="str">
        <f t="shared" ref="A1083:A1089" si="74">B1083&amp;C1083&amp;D1083</f>
        <v>DEVOLUÇÃO - FUSIONCliente2</v>
      </c>
      <c r="B1083" s="104" t="s">
        <v>398</v>
      </c>
      <c r="C1083" s="37" t="s">
        <v>124</v>
      </c>
      <c r="D1083" s="37">
        <v>2</v>
      </c>
      <c r="E1083" s="104" t="s">
        <v>1213</v>
      </c>
      <c r="F1083" s="38">
        <v>0.08</v>
      </c>
      <c r="G1083" s="39">
        <f>IF(OR(B1083="FIXO",B1083="XFIXO"),IF(F1083="","ERRO",10*F1083)*'BD Campos'!$W$2,IF(F1083="","ERRO",10*F1083)*'BD Campos'!$W$3)</f>
        <v>0.8</v>
      </c>
      <c r="H1083" s="40">
        <v>0.05</v>
      </c>
      <c r="I1083" s="41">
        <f t="shared" si="73"/>
        <v>-4.0000000000000008E-2</v>
      </c>
    </row>
    <row r="1084" spans="1:9" hidden="1" x14ac:dyDescent="0.35">
      <c r="A1084" s="37" t="str">
        <f t="shared" si="74"/>
        <v>DEVOLUÇÃO - FUSIONCliente3</v>
      </c>
      <c r="B1084" s="104" t="s">
        <v>398</v>
      </c>
      <c r="C1084" s="37" t="s">
        <v>124</v>
      </c>
      <c r="D1084" s="37">
        <v>3</v>
      </c>
      <c r="E1084" s="104" t="s">
        <v>1344</v>
      </c>
      <c r="F1084" s="38">
        <v>0.08</v>
      </c>
      <c r="G1084" s="39">
        <f>IF(OR(B1084="FIXO",B1084="XFIXO"),IF(F1084="","ERRO",10*F1084)*'BD Campos'!$W$2,IF(F1084="","ERRO",10*F1084)*'BD Campos'!$W$3)</f>
        <v>0.8</v>
      </c>
      <c r="H1084" s="40">
        <v>0.05</v>
      </c>
      <c r="I1084" s="41">
        <f t="shared" si="73"/>
        <v>-4.0000000000000008E-2</v>
      </c>
    </row>
    <row r="1085" spans="1:9" hidden="1" x14ac:dyDescent="0.35">
      <c r="A1085" s="37" t="str">
        <f t="shared" si="74"/>
        <v>DEVOLUÇÃO - FUSIONCliente4</v>
      </c>
      <c r="B1085" s="104" t="s">
        <v>398</v>
      </c>
      <c r="C1085" s="37" t="s">
        <v>124</v>
      </c>
      <c r="D1085" s="37">
        <v>4</v>
      </c>
      <c r="E1085" s="104" t="s">
        <v>1215</v>
      </c>
      <c r="F1085" s="38">
        <v>0.08</v>
      </c>
      <c r="G1085" s="39">
        <f>IF(OR(B1085="FIXO",B1085="XFIXO"),IF(F1085="","ERRO",10*F1085)*'BD Campos'!$W$2,IF(F1085="","ERRO",10*F1085)*'BD Campos'!$W$3)</f>
        <v>0.8</v>
      </c>
      <c r="H1085" s="40">
        <v>0.05</v>
      </c>
      <c r="I1085" s="41">
        <f t="shared" si="73"/>
        <v>-4.0000000000000008E-2</v>
      </c>
    </row>
    <row r="1086" spans="1:9" hidden="1" x14ac:dyDescent="0.35">
      <c r="A1086" s="37" t="str">
        <f t="shared" si="74"/>
        <v>DEVOLUÇÃO - FUSIONCliente5</v>
      </c>
      <c r="B1086" s="104" t="s">
        <v>398</v>
      </c>
      <c r="C1086" s="37" t="s">
        <v>124</v>
      </c>
      <c r="D1086" s="37">
        <v>5</v>
      </c>
      <c r="E1086" s="37" t="s">
        <v>1216</v>
      </c>
      <c r="F1086" s="38">
        <v>0.08</v>
      </c>
      <c r="G1086" s="39">
        <f>IF(OR(B1086="FIXO",B1086="XFIXO"),IF(F1086="","ERRO",10*F1086)*'BD Campos'!$W$2,IF(F1086="","ERRO",10*F1086)*'BD Campos'!$W$3)</f>
        <v>0.8</v>
      </c>
      <c r="H1086" s="40">
        <v>0.05</v>
      </c>
      <c r="I1086" s="41">
        <f t="shared" si="73"/>
        <v>-4.0000000000000008E-2</v>
      </c>
    </row>
    <row r="1087" spans="1:9" hidden="1" x14ac:dyDescent="0.35">
      <c r="A1087" s="37" t="str">
        <f t="shared" si="74"/>
        <v>DEVOLUÇÃO - FUSIONCliente6</v>
      </c>
      <c r="B1087" s="104" t="s">
        <v>398</v>
      </c>
      <c r="C1087" s="37" t="s">
        <v>124</v>
      </c>
      <c r="D1087" s="37">
        <v>6</v>
      </c>
      <c r="E1087" s="104" t="s">
        <v>1257</v>
      </c>
      <c r="F1087" s="38">
        <v>0.2</v>
      </c>
      <c r="G1087" s="39">
        <f>IF(OR(B1087="FIXO",B1087="XFIXO"),IF(F1087="","ERRO",10*F1087)*'BD Campos'!$W$2,IF(F1087="","ERRO",10*F1087)*'BD Campos'!$W$3)</f>
        <v>2</v>
      </c>
      <c r="H1087" s="40">
        <v>0.05</v>
      </c>
      <c r="I1087" s="41">
        <f t="shared" si="73"/>
        <v>-0.1</v>
      </c>
    </row>
    <row r="1088" spans="1:9" hidden="1" x14ac:dyDescent="0.35">
      <c r="A1088" s="37" t="str">
        <f>B1088&amp;C1088&amp;D1088</f>
        <v>DEVOLUÇÃO - FUSIONCliente7</v>
      </c>
      <c r="B1088" s="104" t="s">
        <v>398</v>
      </c>
      <c r="C1088" s="37" t="s">
        <v>124</v>
      </c>
      <c r="D1088" s="37">
        <v>7</v>
      </c>
      <c r="E1088" s="104" t="s">
        <v>1354</v>
      </c>
      <c r="F1088" s="38">
        <v>0.2</v>
      </c>
      <c r="G1088" s="39">
        <f>IF(OR(B1088="FIXO",B1088="XFIXO"),IF(F1088="","ERRO",10*F1088)*'BD Campos'!$W$2,IF(F1088="","ERRO",10*F1088)*'BD Campos'!$W$3)</f>
        <v>2</v>
      </c>
      <c r="H1088" s="40">
        <v>0.05</v>
      </c>
      <c r="I1088" s="41">
        <f t="shared" si="73"/>
        <v>-0.1</v>
      </c>
    </row>
    <row r="1089" spans="1:9" hidden="1" x14ac:dyDescent="0.35">
      <c r="A1089" s="37" t="str">
        <f t="shared" si="74"/>
        <v>DEVOLUÇÃO - FUSIONCliente8</v>
      </c>
      <c r="B1089" s="104" t="s">
        <v>398</v>
      </c>
      <c r="C1089" s="37" t="s">
        <v>124</v>
      </c>
      <c r="D1089" s="37">
        <v>8</v>
      </c>
      <c r="E1089" s="104" t="s">
        <v>1355</v>
      </c>
      <c r="F1089" s="38">
        <v>0.2</v>
      </c>
      <c r="G1089" s="39">
        <f>IF(OR(B1089="FIXO",B1089="XFIXO"),IF(F1089="","ERRO",10*F1089)*'BD Campos'!$W$2,IF(F1089="","ERRO",10*F1089)*'BD Campos'!$W$3)</f>
        <v>2</v>
      </c>
      <c r="H1089" s="40">
        <v>0.05</v>
      </c>
      <c r="I1089" s="41">
        <f t="shared" si="73"/>
        <v>-0.1</v>
      </c>
    </row>
    <row r="1090" spans="1:9" hidden="1" x14ac:dyDescent="0.35">
      <c r="A1090" s="37" t="str">
        <f t="shared" ref="A1090:A1097" si="75">B1090&amp;C1090&amp;D1090</f>
        <v>DEVOLUÇÃO - FUSIONCliente 21</v>
      </c>
      <c r="B1090" s="104" t="s">
        <v>398</v>
      </c>
      <c r="C1090" s="37" t="s">
        <v>185</v>
      </c>
      <c r="D1090" s="37">
        <v>1</v>
      </c>
      <c r="E1090" s="104" t="s">
        <v>1343</v>
      </c>
      <c r="F1090" s="38">
        <v>0.08</v>
      </c>
      <c r="G1090" s="39">
        <f>IF(OR(B1090="FIXO",B1090="XFIXO"),IF(F1090="","ERRO",10*F1090)*'BD Campos'!$W$2,IF(F1090="","ERRO",10*F1090)*'BD Campos'!$W$3)</f>
        <v>0.8</v>
      </c>
      <c r="H1090" s="40">
        <v>0.05</v>
      </c>
      <c r="I1090" s="41">
        <f t="shared" si="73"/>
        <v>-4.0000000000000008E-2</v>
      </c>
    </row>
    <row r="1091" spans="1:9" hidden="1" x14ac:dyDescent="0.35">
      <c r="A1091" s="37" t="str">
        <f t="shared" si="75"/>
        <v>DEVOLUÇÃO - FUSIONCliente 22</v>
      </c>
      <c r="B1091" s="104" t="s">
        <v>398</v>
      </c>
      <c r="C1091" s="37" t="s">
        <v>185</v>
      </c>
      <c r="D1091" s="37">
        <v>2</v>
      </c>
      <c r="E1091" s="104" t="s">
        <v>1213</v>
      </c>
      <c r="F1091" s="38">
        <v>0.08</v>
      </c>
      <c r="G1091" s="39">
        <f>IF(OR(B1091="FIXO",B1091="XFIXO"),IF(F1091="","ERRO",10*F1091)*'BD Campos'!$W$2,IF(F1091="","ERRO",10*F1091)*'BD Campos'!$W$3)</f>
        <v>0.8</v>
      </c>
      <c r="H1091" s="40">
        <v>0.05</v>
      </c>
      <c r="I1091" s="41">
        <f t="shared" si="73"/>
        <v>-4.0000000000000008E-2</v>
      </c>
    </row>
    <row r="1092" spans="1:9" hidden="1" x14ac:dyDescent="0.35">
      <c r="A1092" s="37" t="str">
        <f t="shared" si="75"/>
        <v>DEVOLUÇÃO - FUSIONCliente 23</v>
      </c>
      <c r="B1092" s="104" t="s">
        <v>398</v>
      </c>
      <c r="C1092" s="37" t="s">
        <v>185</v>
      </c>
      <c r="D1092" s="37">
        <v>3</v>
      </c>
      <c r="E1092" s="104" t="s">
        <v>1344</v>
      </c>
      <c r="F1092" s="38">
        <v>0.08</v>
      </c>
      <c r="G1092" s="39">
        <f>IF(OR(B1092="FIXO",B1092="XFIXO"),IF(F1092="","ERRO",10*F1092)*'BD Campos'!$W$2,IF(F1092="","ERRO",10*F1092)*'BD Campos'!$W$3)</f>
        <v>0.8</v>
      </c>
      <c r="H1092" s="40">
        <v>0.05</v>
      </c>
      <c r="I1092" s="41">
        <f t="shared" si="73"/>
        <v>-4.0000000000000008E-2</v>
      </c>
    </row>
    <row r="1093" spans="1:9" hidden="1" x14ac:dyDescent="0.35">
      <c r="A1093" s="37" t="str">
        <f t="shared" si="75"/>
        <v>DEVOLUÇÃO - FUSIONCliente 24</v>
      </c>
      <c r="B1093" s="104" t="s">
        <v>398</v>
      </c>
      <c r="C1093" s="37" t="s">
        <v>185</v>
      </c>
      <c r="D1093" s="37">
        <v>4</v>
      </c>
      <c r="E1093" s="104" t="s">
        <v>1215</v>
      </c>
      <c r="F1093" s="38">
        <v>0.08</v>
      </c>
      <c r="G1093" s="39">
        <f>IF(OR(B1093="FIXO",B1093="XFIXO"),IF(F1093="","ERRO",10*F1093)*'BD Campos'!$W$2,IF(F1093="","ERRO",10*F1093)*'BD Campos'!$W$3)</f>
        <v>0.8</v>
      </c>
      <c r="H1093" s="40">
        <v>0.05</v>
      </c>
      <c r="I1093" s="41">
        <f t="shared" si="73"/>
        <v>-4.0000000000000008E-2</v>
      </c>
    </row>
    <row r="1094" spans="1:9" hidden="1" x14ac:dyDescent="0.35">
      <c r="A1094" s="37" t="str">
        <f t="shared" si="75"/>
        <v>DEVOLUÇÃO - FUSIONCliente 25</v>
      </c>
      <c r="B1094" s="104" t="s">
        <v>398</v>
      </c>
      <c r="C1094" s="37" t="s">
        <v>185</v>
      </c>
      <c r="D1094" s="37">
        <v>5</v>
      </c>
      <c r="E1094" s="37" t="s">
        <v>1216</v>
      </c>
      <c r="F1094" s="38">
        <v>0.08</v>
      </c>
      <c r="G1094" s="39">
        <f>IF(OR(B1094="FIXO",B1094="XFIXO"),IF(F1094="","ERRO",10*F1094)*'BD Campos'!$W$2,IF(F1094="","ERRO",10*F1094)*'BD Campos'!$W$3)</f>
        <v>0.8</v>
      </c>
      <c r="H1094" s="40">
        <v>0.05</v>
      </c>
      <c r="I1094" s="41">
        <f t="shared" si="73"/>
        <v>-4.0000000000000008E-2</v>
      </c>
    </row>
    <row r="1095" spans="1:9" hidden="1" x14ac:dyDescent="0.35">
      <c r="A1095" s="37" t="str">
        <f t="shared" si="75"/>
        <v>DEVOLUÇÃO - FUSIONCliente 26</v>
      </c>
      <c r="B1095" s="104" t="s">
        <v>398</v>
      </c>
      <c r="C1095" s="37" t="s">
        <v>185</v>
      </c>
      <c r="D1095" s="37">
        <v>6</v>
      </c>
      <c r="E1095" s="104" t="s">
        <v>1257</v>
      </c>
      <c r="F1095" s="38">
        <v>0.2</v>
      </c>
      <c r="G1095" s="39">
        <f>IF(OR(B1095="FIXO",B1095="XFIXO"),IF(F1095="","ERRO",10*F1095)*'BD Campos'!$W$2,IF(F1095="","ERRO",10*F1095)*'BD Campos'!$W$3)</f>
        <v>2</v>
      </c>
      <c r="H1095" s="40">
        <v>0.05</v>
      </c>
      <c r="I1095" s="41">
        <f t="shared" si="73"/>
        <v>-0.1</v>
      </c>
    </row>
    <row r="1096" spans="1:9" hidden="1" x14ac:dyDescent="0.35">
      <c r="A1096" s="37" t="str">
        <f t="shared" si="75"/>
        <v>DEVOLUÇÃO - FUSIONCliente 27</v>
      </c>
      <c r="B1096" s="104" t="s">
        <v>398</v>
      </c>
      <c r="C1096" s="37" t="s">
        <v>185</v>
      </c>
      <c r="D1096" s="37">
        <v>7</v>
      </c>
      <c r="E1096" s="104" t="s">
        <v>1354</v>
      </c>
      <c r="F1096" s="38">
        <v>0.2</v>
      </c>
      <c r="G1096" s="39">
        <f>IF(OR(B1096="FIXO",B1096="XFIXO"),IF(F1096="","ERRO",10*F1096)*'BD Campos'!$W$2,IF(F1096="","ERRO",10*F1096)*'BD Campos'!$W$3)</f>
        <v>2</v>
      </c>
      <c r="H1096" s="40">
        <v>0.05</v>
      </c>
      <c r="I1096" s="41">
        <f t="shared" si="73"/>
        <v>-0.1</v>
      </c>
    </row>
    <row r="1097" spans="1:9" hidden="1" x14ac:dyDescent="0.35">
      <c r="A1097" s="37" t="str">
        <f t="shared" si="75"/>
        <v>DEVOLUÇÃO - FUSIONCliente 28</v>
      </c>
      <c r="B1097" s="104" t="s">
        <v>398</v>
      </c>
      <c r="C1097" s="37" t="s">
        <v>185</v>
      </c>
      <c r="D1097" s="37">
        <v>8</v>
      </c>
      <c r="E1097" s="104" t="s">
        <v>1355</v>
      </c>
      <c r="F1097" s="38">
        <v>0.2</v>
      </c>
      <c r="G1097" s="39">
        <f>IF(OR(B1097="FIXO",B1097="XFIXO"),IF(F1097="","ERRO",10*F1097)*'BD Campos'!$W$2,IF(F1097="","ERRO",10*F1097)*'BD Campos'!$W$3)</f>
        <v>2</v>
      </c>
      <c r="H1097" s="40">
        <v>0.05</v>
      </c>
      <c r="I1097" s="41">
        <f t="shared" si="73"/>
        <v>-0.1</v>
      </c>
    </row>
    <row r="1098" spans="1:9" hidden="1" x14ac:dyDescent="0.35">
      <c r="A1098" s="37" t="str">
        <f>B1098&amp;C1098&amp;D1098</f>
        <v>ENTREGA FORA DO LOCAL - FUSIONCliente1</v>
      </c>
      <c r="B1098" s="37" t="s">
        <v>411</v>
      </c>
      <c r="C1098" s="37" t="s">
        <v>124</v>
      </c>
      <c r="D1098" s="37">
        <v>1</v>
      </c>
      <c r="E1098" s="104" t="s">
        <v>1343</v>
      </c>
      <c r="F1098" s="38">
        <v>0.08</v>
      </c>
      <c r="G1098" s="39">
        <f>IF(OR(B1098="FIXO",B1098="XFIXO"),IF(F1098="","ERRO",10*F1098)*'BD Campos'!$W$2,IF(F1098="","ERRO",10*F1098)*'BD Campos'!$W$3)</f>
        <v>0.8</v>
      </c>
      <c r="H1098" s="40">
        <v>0.05</v>
      </c>
      <c r="I1098" s="41">
        <f t="shared" ref="I1098:I1113" si="76">H1098*G1098*-1</f>
        <v>-4.0000000000000008E-2</v>
      </c>
    </row>
    <row r="1099" spans="1:9" hidden="1" x14ac:dyDescent="0.35">
      <c r="A1099" s="37" t="str">
        <f t="shared" ref="A1099:A1105" si="77">B1099&amp;C1099&amp;D1099</f>
        <v>ENTREGA FORA DO LOCAL - FUSIONCliente2</v>
      </c>
      <c r="B1099" s="37" t="s">
        <v>411</v>
      </c>
      <c r="C1099" s="37" t="s">
        <v>124</v>
      </c>
      <c r="D1099" s="37">
        <v>2</v>
      </c>
      <c r="E1099" s="104" t="s">
        <v>1213</v>
      </c>
      <c r="F1099" s="38">
        <v>0.08</v>
      </c>
      <c r="G1099" s="39">
        <f>IF(OR(B1099="FIXO",B1099="XFIXO"),IF(F1099="","ERRO",10*F1099)*'BD Campos'!$W$2,IF(F1099="","ERRO",10*F1099)*'BD Campos'!$W$3)</f>
        <v>0.8</v>
      </c>
      <c r="H1099" s="40">
        <v>0.05</v>
      </c>
      <c r="I1099" s="41">
        <f t="shared" si="76"/>
        <v>-4.0000000000000008E-2</v>
      </c>
    </row>
    <row r="1100" spans="1:9" hidden="1" x14ac:dyDescent="0.35">
      <c r="A1100" s="37" t="str">
        <f t="shared" si="77"/>
        <v>ENTREGA FORA DO LOCAL - FUSIONCliente3</v>
      </c>
      <c r="B1100" s="37" t="s">
        <v>411</v>
      </c>
      <c r="C1100" s="37" t="s">
        <v>124</v>
      </c>
      <c r="D1100" s="37">
        <v>3</v>
      </c>
      <c r="E1100" s="104" t="s">
        <v>1344</v>
      </c>
      <c r="F1100" s="38">
        <v>0.08</v>
      </c>
      <c r="G1100" s="39">
        <f>IF(OR(B1100="FIXO",B1100="XFIXO"),IF(F1100="","ERRO",10*F1100)*'BD Campos'!$W$2,IF(F1100="","ERRO",10*F1100)*'BD Campos'!$W$3)</f>
        <v>0.8</v>
      </c>
      <c r="H1100" s="40">
        <v>0.05</v>
      </c>
      <c r="I1100" s="41">
        <f t="shared" si="76"/>
        <v>-4.0000000000000008E-2</v>
      </c>
    </row>
    <row r="1101" spans="1:9" hidden="1" x14ac:dyDescent="0.35">
      <c r="A1101" s="37" t="str">
        <f t="shared" si="77"/>
        <v>ENTREGA FORA DO LOCAL - FUSIONCliente4</v>
      </c>
      <c r="B1101" s="37" t="s">
        <v>411</v>
      </c>
      <c r="C1101" s="37" t="s">
        <v>124</v>
      </c>
      <c r="D1101" s="37">
        <v>4</v>
      </c>
      <c r="E1101" s="104" t="s">
        <v>1215</v>
      </c>
      <c r="F1101" s="38">
        <v>0.08</v>
      </c>
      <c r="G1101" s="39">
        <f>IF(OR(B1101="FIXO",B1101="XFIXO"),IF(F1101="","ERRO",10*F1101)*'BD Campos'!$W$2,IF(F1101="","ERRO",10*F1101)*'BD Campos'!$W$3)</f>
        <v>0.8</v>
      </c>
      <c r="H1101" s="40">
        <v>0.05</v>
      </c>
      <c r="I1101" s="41">
        <f t="shared" si="76"/>
        <v>-4.0000000000000008E-2</v>
      </c>
    </row>
    <row r="1102" spans="1:9" hidden="1" x14ac:dyDescent="0.35">
      <c r="A1102" s="37" t="str">
        <f t="shared" si="77"/>
        <v>ENTREGA FORA DO LOCAL - FUSIONCliente5</v>
      </c>
      <c r="B1102" s="37" t="s">
        <v>411</v>
      </c>
      <c r="C1102" s="37" t="s">
        <v>124</v>
      </c>
      <c r="D1102" s="37">
        <v>5</v>
      </c>
      <c r="E1102" s="37" t="s">
        <v>1216</v>
      </c>
      <c r="F1102" s="38">
        <v>0.08</v>
      </c>
      <c r="G1102" s="39">
        <f>IF(OR(B1102="FIXO",B1102="XFIXO"),IF(F1102="","ERRO",10*F1102)*'BD Campos'!$W$2,IF(F1102="","ERRO",10*F1102)*'BD Campos'!$W$3)</f>
        <v>0.8</v>
      </c>
      <c r="H1102" s="40">
        <v>0.05</v>
      </c>
      <c r="I1102" s="41">
        <f t="shared" si="76"/>
        <v>-4.0000000000000008E-2</v>
      </c>
    </row>
    <row r="1103" spans="1:9" hidden="1" x14ac:dyDescent="0.35">
      <c r="A1103" s="37" t="str">
        <f t="shared" si="77"/>
        <v>ENTREGA FORA DO LOCAL - FUSIONCliente6</v>
      </c>
      <c r="B1103" s="37" t="s">
        <v>411</v>
      </c>
      <c r="C1103" s="37" t="s">
        <v>124</v>
      </c>
      <c r="D1103" s="37">
        <v>6</v>
      </c>
      <c r="E1103" s="104" t="s">
        <v>1257</v>
      </c>
      <c r="F1103" s="38">
        <v>0.2</v>
      </c>
      <c r="G1103" s="39">
        <f>IF(OR(B1103="FIXO",B1103="XFIXO"),IF(F1103="","ERRO",10*F1103)*'BD Campos'!$W$2,IF(F1103="","ERRO",10*F1103)*'BD Campos'!$W$3)</f>
        <v>2</v>
      </c>
      <c r="H1103" s="40">
        <v>0.05</v>
      </c>
      <c r="I1103" s="41">
        <f t="shared" si="76"/>
        <v>-0.1</v>
      </c>
    </row>
    <row r="1104" spans="1:9" hidden="1" x14ac:dyDescent="0.35">
      <c r="A1104" s="37" t="str">
        <f t="shared" si="77"/>
        <v>ENTREGA FORA DO LOCAL - FUSIONCliente7</v>
      </c>
      <c r="B1104" s="37" t="s">
        <v>411</v>
      </c>
      <c r="C1104" s="37" t="s">
        <v>124</v>
      </c>
      <c r="D1104" s="37">
        <v>7</v>
      </c>
      <c r="E1104" s="104" t="s">
        <v>1356</v>
      </c>
      <c r="F1104" s="38">
        <v>0.2</v>
      </c>
      <c r="G1104" s="39">
        <f>IF(OR(B1104="FIXO",B1104="XFIXO"),IF(F1104="","ERRO",10*F1104)*'BD Campos'!$W$2,IF(F1104="","ERRO",10*F1104)*'BD Campos'!$W$3)</f>
        <v>2</v>
      </c>
      <c r="H1104" s="40">
        <v>0.05</v>
      </c>
      <c r="I1104" s="41">
        <f t="shared" si="76"/>
        <v>-0.1</v>
      </c>
    </row>
    <row r="1105" spans="1:9" hidden="1" x14ac:dyDescent="0.35">
      <c r="A1105" s="37" t="str">
        <f t="shared" si="77"/>
        <v>ENTREGA FORA DO LOCAL - FUSIONCliente8</v>
      </c>
      <c r="B1105" s="37" t="s">
        <v>411</v>
      </c>
      <c r="C1105" s="37" t="s">
        <v>124</v>
      </c>
      <c r="D1105" s="37">
        <v>8</v>
      </c>
      <c r="E1105" s="104" t="s">
        <v>1357</v>
      </c>
      <c r="F1105" s="38">
        <v>0.2</v>
      </c>
      <c r="G1105" s="39">
        <f>IF(OR(B1105="FIXO",B1105="XFIXO"),IF(F1105="","ERRO",10*F1105)*'BD Campos'!$W$2,IF(F1105="","ERRO",10*F1105)*'BD Campos'!$W$3)</f>
        <v>2</v>
      </c>
      <c r="H1105" s="40">
        <v>0.05</v>
      </c>
      <c r="I1105" s="41">
        <f t="shared" si="76"/>
        <v>-0.1</v>
      </c>
    </row>
    <row r="1106" spans="1:9" hidden="1" x14ac:dyDescent="0.35">
      <c r="A1106" s="37" t="str">
        <f t="shared" ref="A1106:A1113" si="78">B1106&amp;C1106&amp;D1106</f>
        <v>ENTREGA FORA DO LOCAL - FUSIONCliente 21</v>
      </c>
      <c r="B1106" s="37" t="s">
        <v>411</v>
      </c>
      <c r="C1106" s="37" t="s">
        <v>185</v>
      </c>
      <c r="D1106" s="37">
        <v>1</v>
      </c>
      <c r="E1106" s="104" t="s">
        <v>1343</v>
      </c>
      <c r="F1106" s="38">
        <v>0.08</v>
      </c>
      <c r="G1106" s="39">
        <f>IF(OR(B1106="FIXO",B1106="XFIXO"),IF(F1106="","ERRO",10*F1106)*'BD Campos'!$W$2,IF(F1106="","ERRO",10*F1106)*'BD Campos'!$W$3)</f>
        <v>0.8</v>
      </c>
      <c r="H1106" s="40">
        <v>0.05</v>
      </c>
      <c r="I1106" s="41">
        <f t="shared" si="76"/>
        <v>-4.0000000000000008E-2</v>
      </c>
    </row>
    <row r="1107" spans="1:9" hidden="1" x14ac:dyDescent="0.35">
      <c r="A1107" s="37" t="str">
        <f t="shared" si="78"/>
        <v>ENTREGA FORA DO LOCAL - FUSIONCliente 22</v>
      </c>
      <c r="B1107" s="37" t="s">
        <v>411</v>
      </c>
      <c r="C1107" s="37" t="s">
        <v>185</v>
      </c>
      <c r="D1107" s="37">
        <v>2</v>
      </c>
      <c r="E1107" s="104" t="s">
        <v>1213</v>
      </c>
      <c r="F1107" s="38">
        <v>0.08</v>
      </c>
      <c r="G1107" s="39">
        <f>IF(OR(B1107="FIXO",B1107="XFIXO"),IF(F1107="","ERRO",10*F1107)*'BD Campos'!$W$2,IF(F1107="","ERRO",10*F1107)*'BD Campos'!$W$3)</f>
        <v>0.8</v>
      </c>
      <c r="H1107" s="40">
        <v>0.05</v>
      </c>
      <c r="I1107" s="41">
        <f t="shared" si="76"/>
        <v>-4.0000000000000008E-2</v>
      </c>
    </row>
    <row r="1108" spans="1:9" hidden="1" x14ac:dyDescent="0.35">
      <c r="A1108" s="37" t="str">
        <f t="shared" si="78"/>
        <v>ENTREGA FORA DO LOCAL - FUSIONCliente 23</v>
      </c>
      <c r="B1108" s="37" t="s">
        <v>411</v>
      </c>
      <c r="C1108" s="37" t="s">
        <v>185</v>
      </c>
      <c r="D1108" s="37">
        <v>3</v>
      </c>
      <c r="E1108" s="104" t="s">
        <v>1344</v>
      </c>
      <c r="F1108" s="38">
        <v>0.08</v>
      </c>
      <c r="G1108" s="39">
        <f>IF(OR(B1108="FIXO",B1108="XFIXO"),IF(F1108="","ERRO",10*F1108)*'BD Campos'!$W$2,IF(F1108="","ERRO",10*F1108)*'BD Campos'!$W$3)</f>
        <v>0.8</v>
      </c>
      <c r="H1108" s="40">
        <v>0.05</v>
      </c>
      <c r="I1108" s="41">
        <f t="shared" si="76"/>
        <v>-4.0000000000000008E-2</v>
      </c>
    </row>
    <row r="1109" spans="1:9" hidden="1" x14ac:dyDescent="0.35">
      <c r="A1109" s="37" t="str">
        <f t="shared" si="78"/>
        <v>ENTREGA FORA DO LOCAL - FUSIONCliente 24</v>
      </c>
      <c r="B1109" s="37" t="s">
        <v>411</v>
      </c>
      <c r="C1109" s="37" t="s">
        <v>185</v>
      </c>
      <c r="D1109" s="37">
        <v>4</v>
      </c>
      <c r="E1109" s="104" t="s">
        <v>1215</v>
      </c>
      <c r="F1109" s="38">
        <v>0.08</v>
      </c>
      <c r="G1109" s="39">
        <f>IF(OR(B1109="FIXO",B1109="XFIXO"),IF(F1109="","ERRO",10*F1109)*'BD Campos'!$W$2,IF(F1109="","ERRO",10*F1109)*'BD Campos'!$W$3)</f>
        <v>0.8</v>
      </c>
      <c r="H1109" s="40">
        <v>0.05</v>
      </c>
      <c r="I1109" s="41">
        <f t="shared" si="76"/>
        <v>-4.0000000000000008E-2</v>
      </c>
    </row>
    <row r="1110" spans="1:9" hidden="1" x14ac:dyDescent="0.35">
      <c r="A1110" s="37" t="str">
        <f t="shared" si="78"/>
        <v>ENTREGA FORA DO LOCAL - FUSIONCliente 25</v>
      </c>
      <c r="B1110" s="37" t="s">
        <v>411</v>
      </c>
      <c r="C1110" s="37" t="s">
        <v>185</v>
      </c>
      <c r="D1110" s="37">
        <v>5</v>
      </c>
      <c r="E1110" s="37" t="s">
        <v>1216</v>
      </c>
      <c r="F1110" s="38">
        <v>0.08</v>
      </c>
      <c r="G1110" s="39">
        <f>IF(OR(B1110="FIXO",B1110="XFIXO"),IF(F1110="","ERRO",10*F1110)*'BD Campos'!$W$2,IF(F1110="","ERRO",10*F1110)*'BD Campos'!$W$3)</f>
        <v>0.8</v>
      </c>
      <c r="H1110" s="40">
        <v>0.05</v>
      </c>
      <c r="I1110" s="41">
        <f t="shared" si="76"/>
        <v>-4.0000000000000008E-2</v>
      </c>
    </row>
    <row r="1111" spans="1:9" hidden="1" x14ac:dyDescent="0.35">
      <c r="A1111" s="37" t="str">
        <f t="shared" si="78"/>
        <v>ENTREGA FORA DO LOCAL - FUSIONCliente 26</v>
      </c>
      <c r="B1111" s="37" t="s">
        <v>411</v>
      </c>
      <c r="C1111" s="37" t="s">
        <v>185</v>
      </c>
      <c r="D1111" s="37">
        <v>6</v>
      </c>
      <c r="E1111" s="104" t="s">
        <v>1257</v>
      </c>
      <c r="F1111" s="38">
        <v>0.2</v>
      </c>
      <c r="G1111" s="39">
        <f>IF(OR(B1111="FIXO",B1111="XFIXO"),IF(F1111="","ERRO",10*F1111)*'BD Campos'!$W$2,IF(F1111="","ERRO",10*F1111)*'BD Campos'!$W$3)</f>
        <v>2</v>
      </c>
      <c r="H1111" s="40">
        <v>0.05</v>
      </c>
      <c r="I1111" s="41">
        <f t="shared" si="76"/>
        <v>-0.1</v>
      </c>
    </row>
    <row r="1112" spans="1:9" hidden="1" x14ac:dyDescent="0.35">
      <c r="A1112" s="37" t="str">
        <f t="shared" si="78"/>
        <v>ENTREGA FORA DO LOCAL - FUSIONCliente 27</v>
      </c>
      <c r="B1112" s="37" t="s">
        <v>411</v>
      </c>
      <c r="C1112" s="37" t="s">
        <v>185</v>
      </c>
      <c r="D1112" s="37">
        <v>7</v>
      </c>
      <c r="E1112" s="104" t="s">
        <v>1356</v>
      </c>
      <c r="F1112" s="38">
        <v>0.2</v>
      </c>
      <c r="G1112" s="39">
        <f>IF(OR(B1112="FIXO",B1112="XFIXO"),IF(F1112="","ERRO",10*F1112)*'BD Campos'!$W$2,IF(F1112="","ERRO",10*F1112)*'BD Campos'!$W$3)</f>
        <v>2</v>
      </c>
      <c r="H1112" s="40">
        <v>0.05</v>
      </c>
      <c r="I1112" s="41">
        <f t="shared" si="76"/>
        <v>-0.1</v>
      </c>
    </row>
    <row r="1113" spans="1:9" hidden="1" x14ac:dyDescent="0.35">
      <c r="A1113" s="37" t="str">
        <f t="shared" si="78"/>
        <v>ENTREGA FORA DO LOCAL - FUSIONCliente 28</v>
      </c>
      <c r="B1113" s="37" t="s">
        <v>411</v>
      </c>
      <c r="C1113" s="37" t="s">
        <v>185</v>
      </c>
      <c r="D1113" s="37">
        <v>8</v>
      </c>
      <c r="E1113" s="104" t="s">
        <v>1357</v>
      </c>
      <c r="F1113" s="38">
        <v>0.2</v>
      </c>
      <c r="G1113" s="39">
        <f>IF(OR(B1113="FIXO",B1113="XFIXO"),IF(F1113="","ERRO",10*F1113)*'BD Campos'!$W$2,IF(F1113="","ERRO",10*F1113)*'BD Campos'!$W$3)</f>
        <v>2</v>
      </c>
      <c r="H1113" s="40">
        <v>0.05</v>
      </c>
      <c r="I1113" s="41">
        <f t="shared" si="76"/>
        <v>-0.1</v>
      </c>
    </row>
    <row r="1114" spans="1:9" hidden="1" x14ac:dyDescent="0.35">
      <c r="A1114" s="37" t="str">
        <f t="shared" ref="A1114:A1161" si="79">B1114&amp;C1114&amp;D1114</f>
        <v>CONFIRMAÇÃO DE ENTREGA - FUSIONMotorista1</v>
      </c>
      <c r="B1114" s="37" t="s">
        <v>397</v>
      </c>
      <c r="C1114" s="37" t="s">
        <v>122</v>
      </c>
      <c r="D1114" s="37">
        <v>1</v>
      </c>
      <c r="E1114" s="104" t="s">
        <v>1343</v>
      </c>
      <c r="F1114" s="38">
        <v>0.08</v>
      </c>
      <c r="G1114" s="39">
        <f>IF(OR(B1114="FIXO",B1114="XFIXO"),IF(F1114="","ERRO",10*F1114)*'BD Campos'!$W$2,IF(F1114="","ERRO",10*F1114)*'BD Campos'!$W$3)</f>
        <v>0.8</v>
      </c>
      <c r="H1114" s="40">
        <v>0.05</v>
      </c>
      <c r="I1114" s="41">
        <f t="shared" ref="I1114:I1161" si="80">H1114*G1114*-1</f>
        <v>-4.0000000000000008E-2</v>
      </c>
    </row>
    <row r="1115" spans="1:9" hidden="1" x14ac:dyDescent="0.35">
      <c r="A1115" s="37" t="str">
        <f t="shared" si="79"/>
        <v>CONFIRMAÇÃO DE ENTREGA - FUSIONMotorista2</v>
      </c>
      <c r="B1115" s="37" t="s">
        <v>397</v>
      </c>
      <c r="C1115" s="37" t="s">
        <v>122</v>
      </c>
      <c r="D1115" s="37">
        <v>2</v>
      </c>
      <c r="E1115" s="104" t="s">
        <v>1213</v>
      </c>
      <c r="F1115" s="38">
        <v>0.08</v>
      </c>
      <c r="G1115" s="39">
        <f>IF(OR(B1115="FIXO",B1115="XFIXO"),IF(F1115="","ERRO",10*F1115)*'BD Campos'!$W$2,IF(F1115="","ERRO",10*F1115)*'BD Campos'!$W$3)</f>
        <v>0.8</v>
      </c>
      <c r="H1115" s="40">
        <v>0.05</v>
      </c>
      <c r="I1115" s="41">
        <f t="shared" si="80"/>
        <v>-4.0000000000000008E-2</v>
      </c>
    </row>
    <row r="1116" spans="1:9" hidden="1" x14ac:dyDescent="0.35">
      <c r="A1116" s="37" t="str">
        <f t="shared" si="79"/>
        <v>CONFIRMAÇÃO DE ENTREGA - FUSIONMotorista3</v>
      </c>
      <c r="B1116" s="37" t="s">
        <v>397</v>
      </c>
      <c r="C1116" s="37" t="s">
        <v>122</v>
      </c>
      <c r="D1116" s="37">
        <v>3</v>
      </c>
      <c r="E1116" s="104" t="s">
        <v>1214</v>
      </c>
      <c r="F1116" s="38">
        <v>0.08</v>
      </c>
      <c r="G1116" s="39">
        <f>IF(OR(B1116="FIXO",B1116="XFIXO"),IF(F1116="","ERRO",10*F1116)*'BD Campos'!$W$2,IF(F1116="","ERRO",10*F1116)*'BD Campos'!$W$3)</f>
        <v>0.8</v>
      </c>
      <c r="H1116" s="40">
        <v>0.05</v>
      </c>
      <c r="I1116" s="41">
        <f t="shared" si="80"/>
        <v>-4.0000000000000008E-2</v>
      </c>
    </row>
    <row r="1117" spans="1:9" hidden="1" x14ac:dyDescent="0.35">
      <c r="A1117" s="37" t="str">
        <f t="shared" si="79"/>
        <v>CONFIRMAÇÃO DE ENTREGA - FUSIONMotorista4</v>
      </c>
      <c r="B1117" s="37" t="s">
        <v>397</v>
      </c>
      <c r="C1117" s="37" t="s">
        <v>122</v>
      </c>
      <c r="D1117" s="37">
        <v>4</v>
      </c>
      <c r="E1117" s="104" t="s">
        <v>1215</v>
      </c>
      <c r="F1117" s="38">
        <v>0.08</v>
      </c>
      <c r="G1117" s="39">
        <f>IF(OR(B1117="FIXO",B1117="XFIXO"),IF(F1117="","ERRO",10*F1117)*'BD Campos'!$W$2,IF(F1117="","ERRO",10*F1117)*'BD Campos'!$W$3)</f>
        <v>0.8</v>
      </c>
      <c r="H1117" s="40">
        <v>0.05</v>
      </c>
      <c r="I1117" s="41">
        <f t="shared" si="80"/>
        <v>-4.0000000000000008E-2</v>
      </c>
    </row>
    <row r="1118" spans="1:9" hidden="1" x14ac:dyDescent="0.35">
      <c r="A1118" s="37" t="str">
        <f t="shared" si="79"/>
        <v>CONFIRMAÇÃO DE ENTREGA - FUSIONMotorista5</v>
      </c>
      <c r="B1118" s="37" t="s">
        <v>397</v>
      </c>
      <c r="C1118" s="37" t="s">
        <v>122</v>
      </c>
      <c r="D1118" s="37">
        <v>5</v>
      </c>
      <c r="E1118" s="37" t="s">
        <v>1216</v>
      </c>
      <c r="F1118" s="38">
        <v>0.08</v>
      </c>
      <c r="G1118" s="39">
        <f>IF(OR(B1118="FIXO",B1118="XFIXO"),IF(F1118="","ERRO",10*F1118)*'BD Campos'!$W$2,IF(F1118="","ERRO",10*F1118)*'BD Campos'!$W$3)</f>
        <v>0.8</v>
      </c>
      <c r="H1118" s="40">
        <v>0.05</v>
      </c>
      <c r="I1118" s="41">
        <f t="shared" si="80"/>
        <v>-4.0000000000000008E-2</v>
      </c>
    </row>
    <row r="1119" spans="1:9" hidden="1" x14ac:dyDescent="0.35">
      <c r="A1119" s="37" t="str">
        <f t="shared" si="79"/>
        <v>CONFIRMAÇÃO DE ENTREGA - FUSIONMotorista6</v>
      </c>
      <c r="B1119" s="37" t="s">
        <v>397</v>
      </c>
      <c r="C1119" s="37" t="s">
        <v>122</v>
      </c>
      <c r="D1119" s="37">
        <v>6</v>
      </c>
      <c r="E1119" s="104" t="s">
        <v>1350</v>
      </c>
      <c r="F1119" s="38">
        <v>0.2</v>
      </c>
      <c r="G1119" s="39">
        <f>IF(OR(B1119="FIXO",B1119="XFIXO"),IF(F1119="","ERRO",10*F1119)*'BD Campos'!$W$2,IF(F1119="","ERRO",10*F1119)*'BD Campos'!$W$3)</f>
        <v>2</v>
      </c>
      <c r="H1119" s="40">
        <v>0.05</v>
      </c>
      <c r="I1119" s="41">
        <f t="shared" si="80"/>
        <v>-0.1</v>
      </c>
    </row>
    <row r="1120" spans="1:9" hidden="1" x14ac:dyDescent="0.35">
      <c r="A1120" s="37" t="str">
        <f t="shared" si="79"/>
        <v>CONFIRMAÇÃO DE ENTREGA - FUSIONMotorista7</v>
      </c>
      <c r="B1120" s="37" t="s">
        <v>397</v>
      </c>
      <c r="C1120" s="37" t="s">
        <v>122</v>
      </c>
      <c r="D1120" s="37">
        <v>7</v>
      </c>
      <c r="E1120" s="104" t="s">
        <v>1353</v>
      </c>
      <c r="F1120" s="38">
        <v>0.2</v>
      </c>
      <c r="G1120" s="39">
        <f>IF(OR(B1120="FIXO",B1120="XFIXO"),IF(F1120="","ERRO",10*F1120)*'BD Campos'!$W$2,IF(F1120="","ERRO",10*F1120)*'BD Campos'!$W$3)</f>
        <v>2</v>
      </c>
      <c r="H1120" s="40">
        <v>0.05</v>
      </c>
      <c r="I1120" s="41">
        <f t="shared" si="80"/>
        <v>-0.1</v>
      </c>
    </row>
    <row r="1121" spans="1:9" hidden="1" x14ac:dyDescent="0.35">
      <c r="A1121" s="37" t="str">
        <f t="shared" si="79"/>
        <v>CONFIRMAÇÃO DE ENTREGA - FUSIONMotorista8</v>
      </c>
      <c r="B1121" s="37" t="s">
        <v>397</v>
      </c>
      <c r="C1121" s="37" t="s">
        <v>122</v>
      </c>
      <c r="D1121" s="37">
        <v>8</v>
      </c>
      <c r="E1121" s="104" t="s">
        <v>1352</v>
      </c>
      <c r="F1121" s="38">
        <v>0.2</v>
      </c>
      <c r="G1121" s="39">
        <f>IF(OR(B1121="FIXO",B1121="XFIXO"),IF(F1121="","ERRO",10*F1121)*'BD Campos'!$W$2,IF(F1121="","ERRO",10*F1121)*'BD Campos'!$W$3)</f>
        <v>2</v>
      </c>
      <c r="H1121" s="40">
        <v>0.05</v>
      </c>
      <c r="I1121" s="41">
        <f t="shared" si="80"/>
        <v>-0.1</v>
      </c>
    </row>
    <row r="1122" spans="1:9" hidden="1" x14ac:dyDescent="0.35">
      <c r="A1122" s="37" t="str">
        <f t="shared" si="79"/>
        <v>CONFIRMAÇÃO DE ENTREGA - FUSIONMotorista 21</v>
      </c>
      <c r="B1122" s="37" t="s">
        <v>397</v>
      </c>
      <c r="C1122" s="37" t="s">
        <v>204</v>
      </c>
      <c r="D1122" s="37">
        <v>1</v>
      </c>
      <c r="E1122" s="104" t="s">
        <v>1343</v>
      </c>
      <c r="F1122" s="38">
        <v>0.08</v>
      </c>
      <c r="G1122" s="39">
        <f>IF(OR(B1122="FIXO",B1122="XFIXO"),IF(F1122="","ERRO",10*F1122)*'BD Campos'!$W$2,IF(F1122="","ERRO",10*F1122)*'BD Campos'!$W$3)</f>
        <v>0.8</v>
      </c>
      <c r="H1122" s="40">
        <v>0.05</v>
      </c>
      <c r="I1122" s="41">
        <f t="shared" si="80"/>
        <v>-4.0000000000000008E-2</v>
      </c>
    </row>
    <row r="1123" spans="1:9" hidden="1" x14ac:dyDescent="0.35">
      <c r="A1123" s="37" t="str">
        <f t="shared" si="79"/>
        <v>CONFIRMAÇÃO DE ENTREGA - FUSIONMotorista 22</v>
      </c>
      <c r="B1123" s="37" t="s">
        <v>397</v>
      </c>
      <c r="C1123" s="37" t="s">
        <v>204</v>
      </c>
      <c r="D1123" s="37">
        <v>2</v>
      </c>
      <c r="E1123" s="104" t="s">
        <v>1213</v>
      </c>
      <c r="F1123" s="38">
        <v>0.08</v>
      </c>
      <c r="G1123" s="39">
        <f>IF(OR(B1123="FIXO",B1123="XFIXO"),IF(F1123="","ERRO",10*F1123)*'BD Campos'!$W$2,IF(F1123="","ERRO",10*F1123)*'BD Campos'!$W$3)</f>
        <v>0.8</v>
      </c>
      <c r="H1123" s="40">
        <v>0.05</v>
      </c>
      <c r="I1123" s="41">
        <f t="shared" si="80"/>
        <v>-4.0000000000000008E-2</v>
      </c>
    </row>
    <row r="1124" spans="1:9" hidden="1" x14ac:dyDescent="0.35">
      <c r="A1124" s="37" t="str">
        <f t="shared" si="79"/>
        <v>CONFIRMAÇÃO DE ENTREGA - FUSIONMotorista 23</v>
      </c>
      <c r="B1124" s="37" t="s">
        <v>397</v>
      </c>
      <c r="C1124" s="37" t="s">
        <v>204</v>
      </c>
      <c r="D1124" s="37">
        <v>3</v>
      </c>
      <c r="E1124" s="104" t="s">
        <v>1214</v>
      </c>
      <c r="F1124" s="38">
        <v>0.08</v>
      </c>
      <c r="G1124" s="39">
        <f>IF(OR(B1124="FIXO",B1124="XFIXO"),IF(F1124="","ERRO",10*F1124)*'BD Campos'!$W$2,IF(F1124="","ERRO",10*F1124)*'BD Campos'!$W$3)</f>
        <v>0.8</v>
      </c>
      <c r="H1124" s="40">
        <v>0.05</v>
      </c>
      <c r="I1124" s="41">
        <f t="shared" si="80"/>
        <v>-4.0000000000000008E-2</v>
      </c>
    </row>
    <row r="1125" spans="1:9" hidden="1" x14ac:dyDescent="0.35">
      <c r="A1125" s="37" t="str">
        <f t="shared" si="79"/>
        <v>CONFIRMAÇÃO DE ENTREGA - FUSIONMotorista 24</v>
      </c>
      <c r="B1125" s="37" t="s">
        <v>397</v>
      </c>
      <c r="C1125" s="37" t="s">
        <v>204</v>
      </c>
      <c r="D1125" s="37">
        <v>4</v>
      </c>
      <c r="E1125" s="104" t="s">
        <v>1215</v>
      </c>
      <c r="F1125" s="38">
        <v>0.08</v>
      </c>
      <c r="G1125" s="39">
        <f>IF(OR(B1125="FIXO",B1125="XFIXO"),IF(F1125="","ERRO",10*F1125)*'BD Campos'!$W$2,IF(F1125="","ERRO",10*F1125)*'BD Campos'!$W$3)</f>
        <v>0.8</v>
      </c>
      <c r="H1125" s="40">
        <v>0.05</v>
      </c>
      <c r="I1125" s="41">
        <f t="shared" si="80"/>
        <v>-4.0000000000000008E-2</v>
      </c>
    </row>
    <row r="1126" spans="1:9" hidden="1" x14ac:dyDescent="0.35">
      <c r="A1126" s="37" t="str">
        <f t="shared" si="79"/>
        <v>CONFIRMAÇÃO DE ENTREGA - FUSIONMotorista 25</v>
      </c>
      <c r="B1126" s="37" t="s">
        <v>397</v>
      </c>
      <c r="C1126" s="37" t="s">
        <v>204</v>
      </c>
      <c r="D1126" s="37">
        <v>5</v>
      </c>
      <c r="E1126" s="37" t="s">
        <v>1216</v>
      </c>
      <c r="F1126" s="38">
        <v>0.08</v>
      </c>
      <c r="G1126" s="39">
        <f>IF(OR(B1126="FIXO",B1126="XFIXO"),IF(F1126="","ERRO",10*F1126)*'BD Campos'!$W$2,IF(F1126="","ERRO",10*F1126)*'BD Campos'!$W$3)</f>
        <v>0.8</v>
      </c>
      <c r="H1126" s="40">
        <v>0.05</v>
      </c>
      <c r="I1126" s="41">
        <f t="shared" si="80"/>
        <v>-4.0000000000000008E-2</v>
      </c>
    </row>
    <row r="1127" spans="1:9" hidden="1" x14ac:dyDescent="0.35">
      <c r="A1127" s="37" t="str">
        <f t="shared" si="79"/>
        <v>CONFIRMAÇÃO DE ENTREGA - FUSIONMotorista 26</v>
      </c>
      <c r="B1127" s="37" t="s">
        <v>397</v>
      </c>
      <c r="C1127" s="37" t="s">
        <v>204</v>
      </c>
      <c r="D1127" s="37">
        <v>6</v>
      </c>
      <c r="E1127" s="104" t="s">
        <v>1350</v>
      </c>
      <c r="F1127" s="38">
        <v>0.2</v>
      </c>
      <c r="G1127" s="39">
        <f>IF(OR(B1127="FIXO",B1127="XFIXO"),IF(F1127="","ERRO",10*F1127)*'BD Campos'!$W$2,IF(F1127="","ERRO",10*F1127)*'BD Campos'!$W$3)</f>
        <v>2</v>
      </c>
      <c r="H1127" s="40">
        <v>0.05</v>
      </c>
      <c r="I1127" s="41">
        <f t="shared" si="80"/>
        <v>-0.1</v>
      </c>
    </row>
    <row r="1128" spans="1:9" hidden="1" x14ac:dyDescent="0.35">
      <c r="A1128" s="37" t="str">
        <f t="shared" si="79"/>
        <v>CONFIRMAÇÃO DE ENTREGA - FUSIONMotorista 27</v>
      </c>
      <c r="B1128" s="37" t="s">
        <v>397</v>
      </c>
      <c r="C1128" s="37" t="s">
        <v>204</v>
      </c>
      <c r="D1128" s="37">
        <v>7</v>
      </c>
      <c r="E1128" s="104" t="s">
        <v>1351</v>
      </c>
      <c r="F1128" s="38">
        <v>0.2</v>
      </c>
      <c r="G1128" s="39">
        <f>IF(OR(B1128="FIXO",B1128="XFIXO"),IF(F1128="","ERRO",10*F1128)*'BD Campos'!$W$2,IF(F1128="","ERRO",10*F1128)*'BD Campos'!$W$3)</f>
        <v>2</v>
      </c>
      <c r="H1128" s="40">
        <v>0.05</v>
      </c>
      <c r="I1128" s="41">
        <f t="shared" si="80"/>
        <v>-0.1</v>
      </c>
    </row>
    <row r="1129" spans="1:9" hidden="1" x14ac:dyDescent="0.35">
      <c r="A1129" s="37" t="str">
        <f t="shared" si="79"/>
        <v>CONFIRMAÇÃO DE ENTREGA - FUSIONMotorista 28</v>
      </c>
      <c r="B1129" s="37" t="s">
        <v>397</v>
      </c>
      <c r="C1129" s="37" t="s">
        <v>204</v>
      </c>
      <c r="D1129" s="37">
        <v>8</v>
      </c>
      <c r="E1129" s="104" t="s">
        <v>1352</v>
      </c>
      <c r="F1129" s="38">
        <v>0.2</v>
      </c>
      <c r="G1129" s="39">
        <f>IF(OR(B1129="FIXO",B1129="XFIXO"),IF(F1129="","ERRO",10*F1129)*'BD Campos'!$W$2,IF(F1129="","ERRO",10*F1129)*'BD Campos'!$W$3)</f>
        <v>2</v>
      </c>
      <c r="H1129" s="40">
        <v>0.05</v>
      </c>
      <c r="I1129" s="41">
        <f t="shared" si="80"/>
        <v>-0.1</v>
      </c>
    </row>
    <row r="1130" spans="1:9" hidden="1" x14ac:dyDescent="0.35">
      <c r="A1130" s="37" t="str">
        <f t="shared" si="79"/>
        <v>DEVOLUÇÃO - FUSIONMotorista1</v>
      </c>
      <c r="B1130" s="104" t="s">
        <v>398</v>
      </c>
      <c r="C1130" s="37" t="s">
        <v>122</v>
      </c>
      <c r="D1130" s="37">
        <v>1</v>
      </c>
      <c r="E1130" s="104" t="s">
        <v>1343</v>
      </c>
      <c r="F1130" s="38">
        <v>0.08</v>
      </c>
      <c r="G1130" s="39">
        <f>IF(OR(B1130="FIXO",B1130="XFIXO"),IF(F1130="","ERRO",10*F1130)*'BD Campos'!$W$2,IF(F1130="","ERRO",10*F1130)*'BD Campos'!$W$3)</f>
        <v>0.8</v>
      </c>
      <c r="H1130" s="40">
        <v>0.05</v>
      </c>
      <c r="I1130" s="41">
        <f t="shared" si="80"/>
        <v>-4.0000000000000008E-2</v>
      </c>
    </row>
    <row r="1131" spans="1:9" hidden="1" x14ac:dyDescent="0.35">
      <c r="A1131" s="37" t="str">
        <f t="shared" si="79"/>
        <v>DEVOLUÇÃO - FUSIONMotorista2</v>
      </c>
      <c r="B1131" s="104" t="s">
        <v>398</v>
      </c>
      <c r="C1131" s="37" t="s">
        <v>122</v>
      </c>
      <c r="D1131" s="37">
        <v>2</v>
      </c>
      <c r="E1131" s="104" t="s">
        <v>1213</v>
      </c>
      <c r="F1131" s="38">
        <v>0.08</v>
      </c>
      <c r="G1131" s="39">
        <f>IF(OR(B1131="FIXO",B1131="XFIXO"),IF(F1131="","ERRO",10*F1131)*'BD Campos'!$W$2,IF(F1131="","ERRO",10*F1131)*'BD Campos'!$W$3)</f>
        <v>0.8</v>
      </c>
      <c r="H1131" s="40">
        <v>0.05</v>
      </c>
      <c r="I1131" s="41">
        <f t="shared" si="80"/>
        <v>-4.0000000000000008E-2</v>
      </c>
    </row>
    <row r="1132" spans="1:9" hidden="1" x14ac:dyDescent="0.35">
      <c r="A1132" s="37" t="str">
        <f t="shared" si="79"/>
        <v>DEVOLUÇÃO - FUSIONMotorista3</v>
      </c>
      <c r="B1132" s="104" t="s">
        <v>398</v>
      </c>
      <c r="C1132" s="37" t="s">
        <v>122</v>
      </c>
      <c r="D1132" s="37">
        <v>3</v>
      </c>
      <c r="E1132" s="104" t="s">
        <v>1344</v>
      </c>
      <c r="F1132" s="38">
        <v>0.08</v>
      </c>
      <c r="G1132" s="39">
        <f>IF(OR(B1132="FIXO",B1132="XFIXO"),IF(F1132="","ERRO",10*F1132)*'BD Campos'!$W$2,IF(F1132="","ERRO",10*F1132)*'BD Campos'!$W$3)</f>
        <v>0.8</v>
      </c>
      <c r="H1132" s="40">
        <v>0.05</v>
      </c>
      <c r="I1132" s="41">
        <f t="shared" si="80"/>
        <v>-4.0000000000000008E-2</v>
      </c>
    </row>
    <row r="1133" spans="1:9" hidden="1" x14ac:dyDescent="0.35">
      <c r="A1133" s="37" t="str">
        <f t="shared" si="79"/>
        <v>DEVOLUÇÃO - FUSIONMotorista4</v>
      </c>
      <c r="B1133" s="104" t="s">
        <v>398</v>
      </c>
      <c r="C1133" s="37" t="s">
        <v>122</v>
      </c>
      <c r="D1133" s="37">
        <v>4</v>
      </c>
      <c r="E1133" s="104" t="s">
        <v>1215</v>
      </c>
      <c r="F1133" s="38">
        <v>0.08</v>
      </c>
      <c r="G1133" s="39">
        <f>IF(OR(B1133="FIXO",B1133="XFIXO"),IF(F1133="","ERRO",10*F1133)*'BD Campos'!$W$2,IF(F1133="","ERRO",10*F1133)*'BD Campos'!$W$3)</f>
        <v>0.8</v>
      </c>
      <c r="H1133" s="40">
        <v>0.05</v>
      </c>
      <c r="I1133" s="41">
        <f t="shared" si="80"/>
        <v>-4.0000000000000008E-2</v>
      </c>
    </row>
    <row r="1134" spans="1:9" hidden="1" x14ac:dyDescent="0.35">
      <c r="A1134" s="37" t="str">
        <f t="shared" si="79"/>
        <v>DEVOLUÇÃO - FUSIONMotorista5</v>
      </c>
      <c r="B1134" s="104" t="s">
        <v>398</v>
      </c>
      <c r="C1134" s="37" t="s">
        <v>122</v>
      </c>
      <c r="D1134" s="37">
        <v>5</v>
      </c>
      <c r="E1134" s="37" t="s">
        <v>1216</v>
      </c>
      <c r="F1134" s="38">
        <v>0.08</v>
      </c>
      <c r="G1134" s="39">
        <f>IF(OR(B1134="FIXO",B1134="XFIXO"),IF(F1134="","ERRO",10*F1134)*'BD Campos'!$W$2,IF(F1134="","ERRO",10*F1134)*'BD Campos'!$W$3)</f>
        <v>0.8</v>
      </c>
      <c r="H1134" s="40">
        <v>0.05</v>
      </c>
      <c r="I1134" s="41">
        <f t="shared" si="80"/>
        <v>-4.0000000000000008E-2</v>
      </c>
    </row>
    <row r="1135" spans="1:9" hidden="1" x14ac:dyDescent="0.35">
      <c r="A1135" s="37" t="str">
        <f t="shared" si="79"/>
        <v>DEVOLUÇÃO - FUSIONMotorista6</v>
      </c>
      <c r="B1135" s="104" t="s">
        <v>398</v>
      </c>
      <c r="C1135" s="37" t="s">
        <v>122</v>
      </c>
      <c r="D1135" s="37">
        <v>6</v>
      </c>
      <c r="E1135" s="104" t="s">
        <v>1257</v>
      </c>
      <c r="F1135" s="38">
        <v>0.2</v>
      </c>
      <c r="G1135" s="39">
        <f>IF(OR(B1135="FIXO",B1135="XFIXO"),IF(F1135="","ERRO",10*F1135)*'BD Campos'!$W$2,IF(F1135="","ERRO",10*F1135)*'BD Campos'!$W$3)</f>
        <v>2</v>
      </c>
      <c r="H1135" s="40">
        <v>0.05</v>
      </c>
      <c r="I1135" s="41">
        <f t="shared" si="80"/>
        <v>-0.1</v>
      </c>
    </row>
    <row r="1136" spans="1:9" hidden="1" x14ac:dyDescent="0.35">
      <c r="A1136" s="37" t="str">
        <f t="shared" si="79"/>
        <v>DEVOLUÇÃO - FUSIONMotorista7</v>
      </c>
      <c r="B1136" s="104" t="s">
        <v>398</v>
      </c>
      <c r="C1136" s="37" t="s">
        <v>122</v>
      </c>
      <c r="D1136" s="37">
        <v>7</v>
      </c>
      <c r="E1136" s="104" t="s">
        <v>1354</v>
      </c>
      <c r="F1136" s="38">
        <v>0.2</v>
      </c>
      <c r="G1136" s="39">
        <f>IF(OR(B1136="FIXO",B1136="XFIXO"),IF(F1136="","ERRO",10*F1136)*'BD Campos'!$W$2,IF(F1136="","ERRO",10*F1136)*'BD Campos'!$W$3)</f>
        <v>2</v>
      </c>
      <c r="H1136" s="40">
        <v>0.05</v>
      </c>
      <c r="I1136" s="41">
        <f t="shared" si="80"/>
        <v>-0.1</v>
      </c>
    </row>
    <row r="1137" spans="1:9" hidden="1" x14ac:dyDescent="0.35">
      <c r="A1137" s="37" t="str">
        <f t="shared" si="79"/>
        <v>DEVOLUÇÃO - FUSIONMotorista8</v>
      </c>
      <c r="B1137" s="104" t="s">
        <v>398</v>
      </c>
      <c r="C1137" s="37" t="s">
        <v>122</v>
      </c>
      <c r="D1137" s="37">
        <v>8</v>
      </c>
      <c r="E1137" s="104" t="s">
        <v>1355</v>
      </c>
      <c r="F1137" s="38">
        <v>0.2</v>
      </c>
      <c r="G1137" s="39">
        <f>IF(OR(B1137="FIXO",B1137="XFIXO"),IF(F1137="","ERRO",10*F1137)*'BD Campos'!$W$2,IF(F1137="","ERRO",10*F1137)*'BD Campos'!$W$3)</f>
        <v>2</v>
      </c>
      <c r="H1137" s="40">
        <v>0.05</v>
      </c>
      <c r="I1137" s="41">
        <f t="shared" si="80"/>
        <v>-0.1</v>
      </c>
    </row>
    <row r="1138" spans="1:9" hidden="1" x14ac:dyDescent="0.35">
      <c r="A1138" s="37" t="str">
        <f t="shared" si="79"/>
        <v>DEVOLUÇÃO - FUSIONMotorista 21</v>
      </c>
      <c r="B1138" s="104" t="s">
        <v>398</v>
      </c>
      <c r="C1138" s="37" t="s">
        <v>204</v>
      </c>
      <c r="D1138" s="37">
        <v>1</v>
      </c>
      <c r="E1138" s="104" t="s">
        <v>1343</v>
      </c>
      <c r="F1138" s="38">
        <v>0.08</v>
      </c>
      <c r="G1138" s="39">
        <f>IF(OR(B1138="FIXO",B1138="XFIXO"),IF(F1138="","ERRO",10*F1138)*'BD Campos'!$W$2,IF(F1138="","ERRO",10*F1138)*'BD Campos'!$W$3)</f>
        <v>0.8</v>
      </c>
      <c r="H1138" s="40">
        <v>0.05</v>
      </c>
      <c r="I1138" s="41">
        <f t="shared" si="80"/>
        <v>-4.0000000000000008E-2</v>
      </c>
    </row>
    <row r="1139" spans="1:9" hidden="1" x14ac:dyDescent="0.35">
      <c r="A1139" s="37" t="str">
        <f t="shared" si="79"/>
        <v>DEVOLUÇÃO - FUSIONMotorista 22</v>
      </c>
      <c r="B1139" s="104" t="s">
        <v>398</v>
      </c>
      <c r="C1139" s="37" t="s">
        <v>204</v>
      </c>
      <c r="D1139" s="37">
        <v>2</v>
      </c>
      <c r="E1139" s="104" t="s">
        <v>1213</v>
      </c>
      <c r="F1139" s="38">
        <v>0.08</v>
      </c>
      <c r="G1139" s="39">
        <f>IF(OR(B1139="FIXO",B1139="XFIXO"),IF(F1139="","ERRO",10*F1139)*'BD Campos'!$W$2,IF(F1139="","ERRO",10*F1139)*'BD Campos'!$W$3)</f>
        <v>0.8</v>
      </c>
      <c r="H1139" s="40">
        <v>0.05</v>
      </c>
      <c r="I1139" s="41">
        <f t="shared" si="80"/>
        <v>-4.0000000000000008E-2</v>
      </c>
    </row>
    <row r="1140" spans="1:9" hidden="1" x14ac:dyDescent="0.35">
      <c r="A1140" s="37" t="str">
        <f t="shared" si="79"/>
        <v>DEVOLUÇÃO - FUSIONMotorista 23</v>
      </c>
      <c r="B1140" s="104" t="s">
        <v>398</v>
      </c>
      <c r="C1140" s="37" t="s">
        <v>204</v>
      </c>
      <c r="D1140" s="37">
        <v>3</v>
      </c>
      <c r="E1140" s="104" t="s">
        <v>1344</v>
      </c>
      <c r="F1140" s="38">
        <v>0.08</v>
      </c>
      <c r="G1140" s="39">
        <f>IF(OR(B1140="FIXO",B1140="XFIXO"),IF(F1140="","ERRO",10*F1140)*'BD Campos'!$W$2,IF(F1140="","ERRO",10*F1140)*'BD Campos'!$W$3)</f>
        <v>0.8</v>
      </c>
      <c r="H1140" s="40">
        <v>0.05</v>
      </c>
      <c r="I1140" s="41">
        <f t="shared" si="80"/>
        <v>-4.0000000000000008E-2</v>
      </c>
    </row>
    <row r="1141" spans="1:9" hidden="1" x14ac:dyDescent="0.35">
      <c r="A1141" s="37" t="str">
        <f t="shared" si="79"/>
        <v>DEVOLUÇÃO - FUSIONMotorista 24</v>
      </c>
      <c r="B1141" s="104" t="s">
        <v>398</v>
      </c>
      <c r="C1141" s="37" t="s">
        <v>204</v>
      </c>
      <c r="D1141" s="37">
        <v>4</v>
      </c>
      <c r="E1141" s="104" t="s">
        <v>1215</v>
      </c>
      <c r="F1141" s="38">
        <v>0.08</v>
      </c>
      <c r="G1141" s="39">
        <f>IF(OR(B1141="FIXO",B1141="XFIXO"),IF(F1141="","ERRO",10*F1141)*'BD Campos'!$W$2,IF(F1141="","ERRO",10*F1141)*'BD Campos'!$W$3)</f>
        <v>0.8</v>
      </c>
      <c r="H1141" s="40">
        <v>0.05</v>
      </c>
      <c r="I1141" s="41">
        <f t="shared" si="80"/>
        <v>-4.0000000000000008E-2</v>
      </c>
    </row>
    <row r="1142" spans="1:9" hidden="1" x14ac:dyDescent="0.35">
      <c r="A1142" s="37" t="str">
        <f t="shared" si="79"/>
        <v>DEVOLUÇÃO - FUSIONMotorista 25</v>
      </c>
      <c r="B1142" s="104" t="s">
        <v>398</v>
      </c>
      <c r="C1142" s="37" t="s">
        <v>204</v>
      </c>
      <c r="D1142" s="37">
        <v>5</v>
      </c>
      <c r="E1142" s="37" t="s">
        <v>1216</v>
      </c>
      <c r="F1142" s="38">
        <v>0.08</v>
      </c>
      <c r="G1142" s="39">
        <f>IF(OR(B1142="FIXO",B1142="XFIXO"),IF(F1142="","ERRO",10*F1142)*'BD Campos'!$W$2,IF(F1142="","ERRO",10*F1142)*'BD Campos'!$W$3)</f>
        <v>0.8</v>
      </c>
      <c r="H1142" s="40">
        <v>0.05</v>
      </c>
      <c r="I1142" s="41">
        <f t="shared" si="80"/>
        <v>-4.0000000000000008E-2</v>
      </c>
    </row>
    <row r="1143" spans="1:9" hidden="1" x14ac:dyDescent="0.35">
      <c r="A1143" s="37" t="str">
        <f t="shared" si="79"/>
        <v>DEVOLUÇÃO - FUSIONMotorista 26</v>
      </c>
      <c r="B1143" s="104" t="s">
        <v>398</v>
      </c>
      <c r="C1143" s="37" t="s">
        <v>204</v>
      </c>
      <c r="D1143" s="37">
        <v>6</v>
      </c>
      <c r="E1143" s="104" t="s">
        <v>1257</v>
      </c>
      <c r="F1143" s="38">
        <v>0.2</v>
      </c>
      <c r="G1143" s="39">
        <f>IF(OR(B1143="FIXO",B1143="XFIXO"),IF(F1143="","ERRO",10*F1143)*'BD Campos'!$W$2,IF(F1143="","ERRO",10*F1143)*'BD Campos'!$W$3)</f>
        <v>2</v>
      </c>
      <c r="H1143" s="40">
        <v>0.05</v>
      </c>
      <c r="I1143" s="41">
        <f t="shared" si="80"/>
        <v>-0.1</v>
      </c>
    </row>
    <row r="1144" spans="1:9" hidden="1" x14ac:dyDescent="0.35">
      <c r="A1144" s="37" t="str">
        <f t="shared" si="79"/>
        <v>DEVOLUÇÃO - FUSIONMotorista 27</v>
      </c>
      <c r="B1144" s="104" t="s">
        <v>398</v>
      </c>
      <c r="C1144" s="37" t="s">
        <v>204</v>
      </c>
      <c r="D1144" s="37">
        <v>7</v>
      </c>
      <c r="E1144" s="104" t="s">
        <v>1354</v>
      </c>
      <c r="F1144" s="38">
        <v>0.2</v>
      </c>
      <c r="G1144" s="39">
        <f>IF(OR(B1144="FIXO",B1144="XFIXO"),IF(F1144="","ERRO",10*F1144)*'BD Campos'!$W$2,IF(F1144="","ERRO",10*F1144)*'BD Campos'!$W$3)</f>
        <v>2</v>
      </c>
      <c r="H1144" s="40">
        <v>0.05</v>
      </c>
      <c r="I1144" s="41">
        <f t="shared" si="80"/>
        <v>-0.1</v>
      </c>
    </row>
    <row r="1145" spans="1:9" hidden="1" x14ac:dyDescent="0.35">
      <c r="A1145" s="37" t="str">
        <f t="shared" si="79"/>
        <v>DEVOLUÇÃO - FUSIONMotorista 28</v>
      </c>
      <c r="B1145" s="104" t="s">
        <v>398</v>
      </c>
      <c r="C1145" s="37" t="s">
        <v>204</v>
      </c>
      <c r="D1145" s="37">
        <v>8</v>
      </c>
      <c r="E1145" s="104" t="s">
        <v>1355</v>
      </c>
      <c r="F1145" s="38">
        <v>0.2</v>
      </c>
      <c r="G1145" s="39">
        <f>IF(OR(B1145="FIXO",B1145="XFIXO"),IF(F1145="","ERRO",10*F1145)*'BD Campos'!$W$2,IF(F1145="","ERRO",10*F1145)*'BD Campos'!$W$3)</f>
        <v>2</v>
      </c>
      <c r="H1145" s="40">
        <v>0.05</v>
      </c>
      <c r="I1145" s="41">
        <f t="shared" si="80"/>
        <v>-0.1</v>
      </c>
    </row>
    <row r="1146" spans="1:9" hidden="1" x14ac:dyDescent="0.35">
      <c r="A1146" s="37" t="str">
        <f t="shared" si="79"/>
        <v>ENTREGA FORA DO LOCAL - FUSIONMotorista1</v>
      </c>
      <c r="B1146" s="37" t="s">
        <v>411</v>
      </c>
      <c r="C1146" s="37" t="s">
        <v>122</v>
      </c>
      <c r="D1146" s="37">
        <v>1</v>
      </c>
      <c r="E1146" s="104" t="s">
        <v>1343</v>
      </c>
      <c r="F1146" s="38">
        <v>0.08</v>
      </c>
      <c r="G1146" s="39">
        <f>IF(OR(B1146="FIXO",B1146="XFIXO"),IF(F1146="","ERRO",10*F1146)*'BD Campos'!$W$2,IF(F1146="","ERRO",10*F1146)*'BD Campos'!$W$3)</f>
        <v>0.8</v>
      </c>
      <c r="H1146" s="40">
        <v>0.05</v>
      </c>
      <c r="I1146" s="41">
        <f t="shared" si="80"/>
        <v>-4.0000000000000008E-2</v>
      </c>
    </row>
    <row r="1147" spans="1:9" hidden="1" x14ac:dyDescent="0.35">
      <c r="A1147" s="37" t="str">
        <f t="shared" si="79"/>
        <v>ENTREGA FORA DO LOCAL - FUSIONMotorista2</v>
      </c>
      <c r="B1147" s="37" t="s">
        <v>411</v>
      </c>
      <c r="C1147" s="37" t="s">
        <v>122</v>
      </c>
      <c r="D1147" s="37">
        <v>2</v>
      </c>
      <c r="E1147" s="104" t="s">
        <v>1213</v>
      </c>
      <c r="F1147" s="38">
        <v>0.08</v>
      </c>
      <c r="G1147" s="39">
        <f>IF(OR(B1147="FIXO",B1147="XFIXO"),IF(F1147="","ERRO",10*F1147)*'BD Campos'!$W$2,IF(F1147="","ERRO",10*F1147)*'BD Campos'!$W$3)</f>
        <v>0.8</v>
      </c>
      <c r="H1147" s="40">
        <v>0.05</v>
      </c>
      <c r="I1147" s="41">
        <f t="shared" si="80"/>
        <v>-4.0000000000000008E-2</v>
      </c>
    </row>
    <row r="1148" spans="1:9" hidden="1" x14ac:dyDescent="0.35">
      <c r="A1148" s="37" t="str">
        <f t="shared" si="79"/>
        <v>ENTREGA FORA DO LOCAL - FUSIONMotorista3</v>
      </c>
      <c r="B1148" s="37" t="s">
        <v>411</v>
      </c>
      <c r="C1148" s="37" t="s">
        <v>122</v>
      </c>
      <c r="D1148" s="37">
        <v>3</v>
      </c>
      <c r="E1148" s="104" t="s">
        <v>1344</v>
      </c>
      <c r="F1148" s="38">
        <v>0.08</v>
      </c>
      <c r="G1148" s="39">
        <f>IF(OR(B1148="FIXO",B1148="XFIXO"),IF(F1148="","ERRO",10*F1148)*'BD Campos'!$W$2,IF(F1148="","ERRO",10*F1148)*'BD Campos'!$W$3)</f>
        <v>0.8</v>
      </c>
      <c r="H1148" s="40">
        <v>0.05</v>
      </c>
      <c r="I1148" s="41">
        <f t="shared" si="80"/>
        <v>-4.0000000000000008E-2</v>
      </c>
    </row>
    <row r="1149" spans="1:9" hidden="1" x14ac:dyDescent="0.35">
      <c r="A1149" s="37" t="str">
        <f t="shared" si="79"/>
        <v>ENTREGA FORA DO LOCAL - FUSIONMotorista4</v>
      </c>
      <c r="B1149" s="37" t="s">
        <v>411</v>
      </c>
      <c r="C1149" s="37" t="s">
        <v>122</v>
      </c>
      <c r="D1149" s="37">
        <v>4</v>
      </c>
      <c r="E1149" s="104" t="s">
        <v>1215</v>
      </c>
      <c r="F1149" s="38">
        <v>0.08</v>
      </c>
      <c r="G1149" s="39">
        <f>IF(OR(B1149="FIXO",B1149="XFIXO"),IF(F1149="","ERRO",10*F1149)*'BD Campos'!$W$2,IF(F1149="","ERRO",10*F1149)*'BD Campos'!$W$3)</f>
        <v>0.8</v>
      </c>
      <c r="H1149" s="40">
        <v>0.05</v>
      </c>
      <c r="I1149" s="41">
        <f t="shared" si="80"/>
        <v>-4.0000000000000008E-2</v>
      </c>
    </row>
    <row r="1150" spans="1:9" hidden="1" x14ac:dyDescent="0.35">
      <c r="A1150" s="37" t="str">
        <f t="shared" si="79"/>
        <v>ENTREGA FORA DO LOCAL - FUSIONMotorista5</v>
      </c>
      <c r="B1150" s="37" t="s">
        <v>411</v>
      </c>
      <c r="C1150" s="37" t="s">
        <v>122</v>
      </c>
      <c r="D1150" s="37">
        <v>5</v>
      </c>
      <c r="E1150" s="37" t="s">
        <v>1216</v>
      </c>
      <c r="F1150" s="38">
        <v>0.08</v>
      </c>
      <c r="G1150" s="39">
        <f>IF(OR(B1150="FIXO",B1150="XFIXO"),IF(F1150="","ERRO",10*F1150)*'BD Campos'!$W$2,IF(F1150="","ERRO",10*F1150)*'BD Campos'!$W$3)</f>
        <v>0.8</v>
      </c>
      <c r="H1150" s="40">
        <v>0.05</v>
      </c>
      <c r="I1150" s="41">
        <f t="shared" si="80"/>
        <v>-4.0000000000000008E-2</v>
      </c>
    </row>
    <row r="1151" spans="1:9" hidden="1" x14ac:dyDescent="0.35">
      <c r="A1151" s="37" t="str">
        <f t="shared" si="79"/>
        <v>ENTREGA FORA DO LOCAL - FUSIONMotorista6</v>
      </c>
      <c r="B1151" s="37" t="s">
        <v>411</v>
      </c>
      <c r="C1151" s="37" t="s">
        <v>122</v>
      </c>
      <c r="D1151" s="37">
        <v>6</v>
      </c>
      <c r="E1151" s="104" t="s">
        <v>1257</v>
      </c>
      <c r="F1151" s="38">
        <v>0.2</v>
      </c>
      <c r="G1151" s="39">
        <f>IF(OR(B1151="FIXO",B1151="XFIXO"),IF(F1151="","ERRO",10*F1151)*'BD Campos'!$W$2,IF(F1151="","ERRO",10*F1151)*'BD Campos'!$W$3)</f>
        <v>2</v>
      </c>
      <c r="H1151" s="40">
        <v>0.05</v>
      </c>
      <c r="I1151" s="41">
        <f t="shared" si="80"/>
        <v>-0.1</v>
      </c>
    </row>
    <row r="1152" spans="1:9" hidden="1" x14ac:dyDescent="0.35">
      <c r="A1152" s="37" t="str">
        <f t="shared" si="79"/>
        <v>ENTREGA FORA DO LOCAL - FUSIONMotorista7</v>
      </c>
      <c r="B1152" s="37" t="s">
        <v>411</v>
      </c>
      <c r="C1152" s="37" t="s">
        <v>122</v>
      </c>
      <c r="D1152" s="37">
        <v>7</v>
      </c>
      <c r="E1152" s="104" t="s">
        <v>1356</v>
      </c>
      <c r="F1152" s="38">
        <v>0.2</v>
      </c>
      <c r="G1152" s="39">
        <f>IF(OR(B1152="FIXO",B1152="XFIXO"),IF(F1152="","ERRO",10*F1152)*'BD Campos'!$W$2,IF(F1152="","ERRO",10*F1152)*'BD Campos'!$W$3)</f>
        <v>2</v>
      </c>
      <c r="H1152" s="40">
        <v>0.05</v>
      </c>
      <c r="I1152" s="41">
        <f t="shared" si="80"/>
        <v>-0.1</v>
      </c>
    </row>
    <row r="1153" spans="1:9" hidden="1" x14ac:dyDescent="0.35">
      <c r="A1153" s="37" t="str">
        <f t="shared" si="79"/>
        <v>ENTREGA FORA DO LOCAL - FUSIONMotorista8</v>
      </c>
      <c r="B1153" s="37" t="s">
        <v>411</v>
      </c>
      <c r="C1153" s="37" t="s">
        <v>122</v>
      </c>
      <c r="D1153" s="37">
        <v>8</v>
      </c>
      <c r="E1153" s="104" t="s">
        <v>1357</v>
      </c>
      <c r="F1153" s="38">
        <v>0.2</v>
      </c>
      <c r="G1153" s="39">
        <f>IF(OR(B1153="FIXO",B1153="XFIXO"),IF(F1153="","ERRO",10*F1153)*'BD Campos'!$W$2,IF(F1153="","ERRO",10*F1153)*'BD Campos'!$W$3)</f>
        <v>2</v>
      </c>
      <c r="H1153" s="40">
        <v>0.05</v>
      </c>
      <c r="I1153" s="41">
        <f t="shared" si="80"/>
        <v>-0.1</v>
      </c>
    </row>
    <row r="1154" spans="1:9" hidden="1" x14ac:dyDescent="0.35">
      <c r="A1154" s="37" t="str">
        <f t="shared" si="79"/>
        <v>ENTREGA FORA DO LOCAL - FUSIONMotorista 21</v>
      </c>
      <c r="B1154" s="37" t="s">
        <v>411</v>
      </c>
      <c r="C1154" s="37" t="s">
        <v>204</v>
      </c>
      <c r="D1154" s="37">
        <v>1</v>
      </c>
      <c r="E1154" s="104" t="s">
        <v>1343</v>
      </c>
      <c r="F1154" s="38">
        <v>0.08</v>
      </c>
      <c r="G1154" s="39">
        <f>IF(OR(B1154="FIXO",B1154="XFIXO"),IF(F1154="","ERRO",10*F1154)*'BD Campos'!$W$2,IF(F1154="","ERRO",10*F1154)*'BD Campos'!$W$3)</f>
        <v>0.8</v>
      </c>
      <c r="H1154" s="40">
        <v>0.05</v>
      </c>
      <c r="I1154" s="41">
        <f t="shared" si="80"/>
        <v>-4.0000000000000008E-2</v>
      </c>
    </row>
    <row r="1155" spans="1:9" hidden="1" x14ac:dyDescent="0.35">
      <c r="A1155" s="37" t="str">
        <f t="shared" si="79"/>
        <v>ENTREGA FORA DO LOCAL - FUSIONMotorista 22</v>
      </c>
      <c r="B1155" s="37" t="s">
        <v>411</v>
      </c>
      <c r="C1155" s="37" t="s">
        <v>204</v>
      </c>
      <c r="D1155" s="37">
        <v>2</v>
      </c>
      <c r="E1155" s="104" t="s">
        <v>1213</v>
      </c>
      <c r="F1155" s="38">
        <v>0.08</v>
      </c>
      <c r="G1155" s="39">
        <f>IF(OR(B1155="FIXO",B1155="XFIXO"),IF(F1155="","ERRO",10*F1155)*'BD Campos'!$W$2,IF(F1155="","ERRO",10*F1155)*'BD Campos'!$W$3)</f>
        <v>0.8</v>
      </c>
      <c r="H1155" s="40">
        <v>0.05</v>
      </c>
      <c r="I1155" s="41">
        <f t="shared" si="80"/>
        <v>-4.0000000000000008E-2</v>
      </c>
    </row>
    <row r="1156" spans="1:9" hidden="1" x14ac:dyDescent="0.35">
      <c r="A1156" s="37" t="str">
        <f t="shared" si="79"/>
        <v>ENTREGA FORA DO LOCAL - FUSIONMotorista 23</v>
      </c>
      <c r="B1156" s="37" t="s">
        <v>411</v>
      </c>
      <c r="C1156" s="37" t="s">
        <v>204</v>
      </c>
      <c r="D1156" s="37">
        <v>3</v>
      </c>
      <c r="E1156" s="104" t="s">
        <v>1344</v>
      </c>
      <c r="F1156" s="38">
        <v>0.08</v>
      </c>
      <c r="G1156" s="39">
        <f>IF(OR(B1156="FIXO",B1156="XFIXO"),IF(F1156="","ERRO",10*F1156)*'BD Campos'!$W$2,IF(F1156="","ERRO",10*F1156)*'BD Campos'!$W$3)</f>
        <v>0.8</v>
      </c>
      <c r="H1156" s="40">
        <v>0.05</v>
      </c>
      <c r="I1156" s="41">
        <f t="shared" si="80"/>
        <v>-4.0000000000000008E-2</v>
      </c>
    </row>
    <row r="1157" spans="1:9" hidden="1" x14ac:dyDescent="0.35">
      <c r="A1157" s="37" t="str">
        <f t="shared" si="79"/>
        <v>ENTREGA FORA DO LOCAL - FUSIONMotorista 24</v>
      </c>
      <c r="B1157" s="37" t="s">
        <v>411</v>
      </c>
      <c r="C1157" s="37" t="s">
        <v>204</v>
      </c>
      <c r="D1157" s="37">
        <v>4</v>
      </c>
      <c r="E1157" s="104" t="s">
        <v>1215</v>
      </c>
      <c r="F1157" s="38">
        <v>0.08</v>
      </c>
      <c r="G1157" s="39">
        <f>IF(OR(B1157="FIXO",B1157="XFIXO"),IF(F1157="","ERRO",10*F1157)*'BD Campos'!$W$2,IF(F1157="","ERRO",10*F1157)*'BD Campos'!$W$3)</f>
        <v>0.8</v>
      </c>
      <c r="H1157" s="40">
        <v>0.05</v>
      </c>
      <c r="I1157" s="41">
        <f t="shared" si="80"/>
        <v>-4.0000000000000008E-2</v>
      </c>
    </row>
    <row r="1158" spans="1:9" hidden="1" x14ac:dyDescent="0.35">
      <c r="A1158" s="37" t="str">
        <f t="shared" si="79"/>
        <v>ENTREGA FORA DO LOCAL - FUSIONMotorista 25</v>
      </c>
      <c r="B1158" s="37" t="s">
        <v>411</v>
      </c>
      <c r="C1158" s="37" t="s">
        <v>204</v>
      </c>
      <c r="D1158" s="37">
        <v>5</v>
      </c>
      <c r="E1158" s="37" t="s">
        <v>1216</v>
      </c>
      <c r="F1158" s="38">
        <v>0.08</v>
      </c>
      <c r="G1158" s="39">
        <f>IF(OR(B1158="FIXO",B1158="XFIXO"),IF(F1158="","ERRO",10*F1158)*'BD Campos'!$W$2,IF(F1158="","ERRO",10*F1158)*'BD Campos'!$W$3)</f>
        <v>0.8</v>
      </c>
      <c r="H1158" s="40">
        <v>0.05</v>
      </c>
      <c r="I1158" s="41">
        <f t="shared" si="80"/>
        <v>-4.0000000000000008E-2</v>
      </c>
    </row>
    <row r="1159" spans="1:9" hidden="1" x14ac:dyDescent="0.35">
      <c r="A1159" s="37" t="str">
        <f t="shared" si="79"/>
        <v>ENTREGA FORA DO LOCAL - FUSIONMotorista 26</v>
      </c>
      <c r="B1159" s="37" t="s">
        <v>411</v>
      </c>
      <c r="C1159" s="37" t="s">
        <v>204</v>
      </c>
      <c r="D1159" s="37">
        <v>6</v>
      </c>
      <c r="E1159" s="104" t="s">
        <v>1257</v>
      </c>
      <c r="F1159" s="38">
        <v>0.2</v>
      </c>
      <c r="G1159" s="39">
        <f>IF(OR(B1159="FIXO",B1159="XFIXO"),IF(F1159="","ERRO",10*F1159)*'BD Campos'!$W$2,IF(F1159="","ERRO",10*F1159)*'BD Campos'!$W$3)</f>
        <v>2</v>
      </c>
      <c r="H1159" s="40">
        <v>0.05</v>
      </c>
      <c r="I1159" s="41">
        <f t="shared" si="80"/>
        <v>-0.1</v>
      </c>
    </row>
    <row r="1160" spans="1:9" hidden="1" x14ac:dyDescent="0.35">
      <c r="A1160" s="37" t="str">
        <f t="shared" si="79"/>
        <v>ENTREGA FORA DO LOCAL - FUSIONMotorista 27</v>
      </c>
      <c r="B1160" s="37" t="s">
        <v>411</v>
      </c>
      <c r="C1160" s="37" t="s">
        <v>204</v>
      </c>
      <c r="D1160" s="37">
        <v>7</v>
      </c>
      <c r="E1160" s="104" t="s">
        <v>1356</v>
      </c>
      <c r="F1160" s="38">
        <v>0.2</v>
      </c>
      <c r="G1160" s="39">
        <f>IF(OR(B1160="FIXO",B1160="XFIXO"),IF(F1160="","ERRO",10*F1160)*'BD Campos'!$W$2,IF(F1160="","ERRO",10*F1160)*'BD Campos'!$W$3)</f>
        <v>2</v>
      </c>
      <c r="H1160" s="40">
        <v>0.05</v>
      </c>
      <c r="I1160" s="41">
        <f t="shared" si="80"/>
        <v>-0.1</v>
      </c>
    </row>
    <row r="1161" spans="1:9" hidden="1" x14ac:dyDescent="0.35">
      <c r="A1161" s="37" t="str">
        <f t="shared" si="79"/>
        <v>ENTREGA FORA DO LOCAL - FUSIONMotorista 28</v>
      </c>
      <c r="B1161" s="37" t="s">
        <v>411</v>
      </c>
      <c r="C1161" s="37" t="s">
        <v>204</v>
      </c>
      <c r="D1161" s="37">
        <v>8</v>
      </c>
      <c r="E1161" s="104" t="s">
        <v>1357</v>
      </c>
      <c r="F1161" s="38">
        <v>0.2</v>
      </c>
      <c r="G1161" s="39">
        <f>IF(OR(B1161="FIXO",B1161="XFIXO"),IF(F1161="","ERRO",10*F1161)*'BD Campos'!$W$2,IF(F1161="","ERRO",10*F1161)*'BD Campos'!$W$3)</f>
        <v>2</v>
      </c>
      <c r="H1161" s="40">
        <v>0.05</v>
      </c>
      <c r="I1161" s="41">
        <f t="shared" si="80"/>
        <v>-0.1</v>
      </c>
    </row>
    <row r="1162" spans="1:9" hidden="1" x14ac:dyDescent="0.35">
      <c r="A1162" s="37" t="str">
        <f t="shared" ref="A1162:A1169" si="81">B1162&amp;C1162&amp;D1162</f>
        <v>PARADA INDEVIDA LOGÍSTICAMotorista1</v>
      </c>
      <c r="B1162" s="37" t="s">
        <v>1369</v>
      </c>
      <c r="C1162" s="37" t="s">
        <v>122</v>
      </c>
      <c r="D1162" s="37">
        <v>1</v>
      </c>
      <c r="E1162" s="37" t="s">
        <v>1343</v>
      </c>
      <c r="F1162" s="38">
        <v>0.11</v>
      </c>
      <c r="G1162" s="39">
        <f>IF(OR(B1162="FIXO",B1162="XFIXO"),IF(F1162="","ERRO",10*F1162)*'BD Campos'!$W$2,IF(F1162="","ERRO",10*F1162)*'BD Campos'!$W$3)</f>
        <v>1.1000000000000001</v>
      </c>
      <c r="H1162" s="40">
        <v>0.05</v>
      </c>
      <c r="I1162" s="41">
        <f t="shared" ref="I1162:I1169" si="82">H1162*G1162*-1</f>
        <v>-5.5000000000000007E-2</v>
      </c>
    </row>
    <row r="1163" spans="1:9" hidden="1" x14ac:dyDescent="0.35">
      <c r="A1163" s="37" t="str">
        <f t="shared" si="81"/>
        <v>PARADA INDEVIDA LOGÍSTICAMotorista2</v>
      </c>
      <c r="B1163" s="37" t="s">
        <v>1369</v>
      </c>
      <c r="C1163" s="37" t="s">
        <v>122</v>
      </c>
      <c r="D1163" s="37">
        <v>2</v>
      </c>
      <c r="E1163" s="37" t="s">
        <v>1213</v>
      </c>
      <c r="F1163" s="38">
        <v>0.11</v>
      </c>
      <c r="G1163" s="39">
        <f>IF(OR(B1163="FIXO",B1163="XFIXO"),IF(F1163="","ERRO",10*F1163)*'BD Campos'!$W$2,IF(F1163="","ERRO",10*F1163)*'BD Campos'!$W$3)</f>
        <v>1.1000000000000001</v>
      </c>
      <c r="H1163" s="40">
        <v>0.05</v>
      </c>
      <c r="I1163" s="41">
        <f t="shared" si="82"/>
        <v>-5.5000000000000007E-2</v>
      </c>
    </row>
    <row r="1164" spans="1:9" hidden="1" x14ac:dyDescent="0.35">
      <c r="A1164" s="37" t="str">
        <f t="shared" si="81"/>
        <v>PARADA INDEVIDA LOGÍSTICAMotorista3</v>
      </c>
      <c r="B1164" s="37" t="s">
        <v>1369</v>
      </c>
      <c r="C1164" s="37" t="s">
        <v>122</v>
      </c>
      <c r="D1164" s="37">
        <v>3</v>
      </c>
      <c r="E1164" s="37" t="s">
        <v>1344</v>
      </c>
      <c r="F1164" s="38">
        <v>0.11</v>
      </c>
      <c r="G1164" s="39">
        <f>IF(OR(B1164="FIXO",B1164="XFIXO"),IF(F1164="","ERRO",10*F1164)*'BD Campos'!$W$2,IF(F1164="","ERRO",10*F1164)*'BD Campos'!$W$3)</f>
        <v>1.1000000000000001</v>
      </c>
      <c r="H1164" s="40">
        <v>0.05</v>
      </c>
      <c r="I1164" s="41">
        <f t="shared" si="82"/>
        <v>-5.5000000000000007E-2</v>
      </c>
    </row>
    <row r="1165" spans="1:9" hidden="1" x14ac:dyDescent="0.35">
      <c r="A1165" s="37" t="str">
        <f t="shared" si="81"/>
        <v>PARADA INDEVIDA LOGÍSTICAMotorista4</v>
      </c>
      <c r="B1165" s="37" t="s">
        <v>1369</v>
      </c>
      <c r="C1165" s="37" t="s">
        <v>122</v>
      </c>
      <c r="D1165" s="37">
        <v>4</v>
      </c>
      <c r="E1165" s="37" t="s">
        <v>1339</v>
      </c>
      <c r="F1165" s="38">
        <v>0.11</v>
      </c>
      <c r="G1165" s="39">
        <f>IF(OR(B1165="FIXO",B1165="XFIXO"),IF(F1165="","ERRO",10*F1165)*'BD Campos'!$W$2,IF(F1165="","ERRO",10*F1165)*'BD Campos'!$W$3)</f>
        <v>1.1000000000000001</v>
      </c>
      <c r="H1165" s="40">
        <v>0.05</v>
      </c>
      <c r="I1165" s="41">
        <f t="shared" si="82"/>
        <v>-5.5000000000000007E-2</v>
      </c>
    </row>
    <row r="1166" spans="1:9" hidden="1" x14ac:dyDescent="0.35">
      <c r="A1166" s="37" t="str">
        <f t="shared" si="81"/>
        <v>PARADA INDEVIDA LOGÍSTICAMotorista5</v>
      </c>
      <c r="B1166" s="37" t="s">
        <v>1369</v>
      </c>
      <c r="C1166" s="37" t="s">
        <v>122</v>
      </c>
      <c r="D1166" s="37">
        <v>5</v>
      </c>
      <c r="E1166" s="37" t="s">
        <v>1370</v>
      </c>
      <c r="F1166" s="38">
        <v>0.11</v>
      </c>
      <c r="G1166" s="39">
        <f>IF(OR(B1166="FIXO",B1166="XFIXO"),IF(F1166="","ERRO",10*F1166)*'BD Campos'!$W$2,IF(F1166="","ERRO",10*F1166)*'BD Campos'!$W$3)</f>
        <v>1.1000000000000001</v>
      </c>
      <c r="H1166" s="40">
        <v>0.05</v>
      </c>
      <c r="I1166" s="41">
        <f t="shared" si="82"/>
        <v>-5.5000000000000007E-2</v>
      </c>
    </row>
    <row r="1167" spans="1:9" hidden="1" x14ac:dyDescent="0.35">
      <c r="A1167" s="37" t="str">
        <f t="shared" si="81"/>
        <v>PARADA INDEVIDA LOGÍSTICAMotorista6</v>
      </c>
      <c r="B1167" s="37" t="s">
        <v>1369</v>
      </c>
      <c r="C1167" s="37" t="s">
        <v>122</v>
      </c>
      <c r="D1167" s="37">
        <v>6</v>
      </c>
      <c r="E1167" s="37" t="s">
        <v>1257</v>
      </c>
      <c r="F1167" s="38">
        <v>0.15</v>
      </c>
      <c r="G1167" s="39">
        <f>IF(OR(B1167="FIXO",B1167="XFIXO"),IF(F1167="","ERRO",10*F1167)*'BD Campos'!$W$2,IF(F1167="","ERRO",10*F1167)*'BD Campos'!$W$3)</f>
        <v>1.5</v>
      </c>
      <c r="H1167" s="40">
        <v>0.05</v>
      </c>
      <c r="I1167" s="41">
        <f t="shared" si="82"/>
        <v>-7.5000000000000011E-2</v>
      </c>
    </row>
    <row r="1168" spans="1:9" hidden="1" x14ac:dyDescent="0.35">
      <c r="A1168" s="37" t="str">
        <f t="shared" si="81"/>
        <v>PARADA INDEVIDA LOGÍSTICAMotorista7</v>
      </c>
      <c r="B1168" s="37" t="s">
        <v>1369</v>
      </c>
      <c r="C1168" s="37" t="s">
        <v>122</v>
      </c>
      <c r="D1168" s="37">
        <v>7</v>
      </c>
      <c r="E1168" s="37" t="s">
        <v>1371</v>
      </c>
      <c r="F1168" s="38">
        <v>0.15</v>
      </c>
      <c r="G1168" s="39">
        <f>IF(OR(B1168="FIXO",B1168="XFIXO"),IF(F1168="","ERRO",10*F1168)*'BD Campos'!$W$2,IF(F1168="","ERRO",10*F1168)*'BD Campos'!$W$3)</f>
        <v>1.5</v>
      </c>
      <c r="H1168" s="40">
        <v>0.05</v>
      </c>
      <c r="I1168" s="41">
        <f t="shared" si="82"/>
        <v>-7.5000000000000011E-2</v>
      </c>
    </row>
    <row r="1169" spans="1:9" hidden="1" x14ac:dyDescent="0.35">
      <c r="A1169" s="37" t="str">
        <f t="shared" si="81"/>
        <v>PARADA INDEVIDA LOGÍSTICAMotorista8</v>
      </c>
      <c r="B1169" s="37" t="s">
        <v>1369</v>
      </c>
      <c r="C1169" s="37" t="s">
        <v>122</v>
      </c>
      <c r="D1169" s="37">
        <v>8</v>
      </c>
      <c r="E1169" s="37" t="s">
        <v>1372</v>
      </c>
      <c r="F1169" s="38">
        <v>0.15</v>
      </c>
      <c r="G1169" s="39">
        <f>IF(OR(B1169="FIXO",B1169="XFIXO"),IF(F1169="","ERRO",10*F1169)*'BD Campos'!$W$2,IF(F1169="","ERRO",10*F1169)*'BD Campos'!$W$3)</f>
        <v>1.5</v>
      </c>
      <c r="H1169" s="40">
        <v>0.05</v>
      </c>
      <c r="I1169" s="41">
        <f t="shared" si="82"/>
        <v>-7.5000000000000011E-2</v>
      </c>
    </row>
    <row r="1170" spans="1:9" hidden="1" x14ac:dyDescent="0.35">
      <c r="A1170" s="37" t="str">
        <f t="shared" ref="A1170:A1177" si="83">B1170&amp;C1170&amp;D1170</f>
        <v>PARADA INDEVIDA LOGÍSTICAMotorista 21</v>
      </c>
      <c r="B1170" s="37" t="s">
        <v>1369</v>
      </c>
      <c r="C1170" s="37" t="s">
        <v>204</v>
      </c>
      <c r="D1170" s="37">
        <v>1</v>
      </c>
      <c r="E1170" s="37" t="s">
        <v>1343</v>
      </c>
      <c r="F1170" s="38">
        <v>0.11</v>
      </c>
      <c r="G1170" s="39">
        <f>IF(OR(B1170="FIXO",B1170="XFIXO"),IF(F1170="","ERRO",10*F1170)*'BD Campos'!$W$2,IF(F1170="","ERRO",10*F1170)*'BD Campos'!$W$3)</f>
        <v>1.1000000000000001</v>
      </c>
      <c r="H1170" s="40">
        <v>0.05</v>
      </c>
      <c r="I1170" s="41">
        <f t="shared" ref="I1170:I1177" si="84">H1170*G1170*-1</f>
        <v>-5.5000000000000007E-2</v>
      </c>
    </row>
    <row r="1171" spans="1:9" hidden="1" x14ac:dyDescent="0.35">
      <c r="A1171" s="37" t="str">
        <f t="shared" si="83"/>
        <v>PARADA INDEVIDA LOGÍSTICAMotorista 22</v>
      </c>
      <c r="B1171" s="37" t="s">
        <v>1369</v>
      </c>
      <c r="C1171" s="37" t="s">
        <v>204</v>
      </c>
      <c r="D1171" s="37">
        <v>2</v>
      </c>
      <c r="E1171" s="37" t="s">
        <v>1213</v>
      </c>
      <c r="F1171" s="38">
        <v>0.11</v>
      </c>
      <c r="G1171" s="39">
        <f>IF(OR(B1171="FIXO",B1171="XFIXO"),IF(F1171="","ERRO",10*F1171)*'BD Campos'!$W$2,IF(F1171="","ERRO",10*F1171)*'BD Campos'!$W$3)</f>
        <v>1.1000000000000001</v>
      </c>
      <c r="H1171" s="40">
        <v>0.05</v>
      </c>
      <c r="I1171" s="41">
        <f t="shared" si="84"/>
        <v>-5.5000000000000007E-2</v>
      </c>
    </row>
    <row r="1172" spans="1:9" hidden="1" x14ac:dyDescent="0.35">
      <c r="A1172" s="37" t="str">
        <f t="shared" si="83"/>
        <v>PARADA INDEVIDA LOGÍSTICAMotorista 23</v>
      </c>
      <c r="B1172" s="37" t="s">
        <v>1369</v>
      </c>
      <c r="C1172" s="37" t="s">
        <v>204</v>
      </c>
      <c r="D1172" s="37">
        <v>3</v>
      </c>
      <c r="E1172" s="37" t="s">
        <v>1344</v>
      </c>
      <c r="F1172" s="38">
        <v>0.11</v>
      </c>
      <c r="G1172" s="39">
        <f>IF(OR(B1172="FIXO",B1172="XFIXO"),IF(F1172="","ERRO",10*F1172)*'BD Campos'!$W$2,IF(F1172="","ERRO",10*F1172)*'BD Campos'!$W$3)</f>
        <v>1.1000000000000001</v>
      </c>
      <c r="H1172" s="40">
        <v>0.05</v>
      </c>
      <c r="I1172" s="41">
        <f t="shared" si="84"/>
        <v>-5.5000000000000007E-2</v>
      </c>
    </row>
    <row r="1173" spans="1:9" hidden="1" x14ac:dyDescent="0.35">
      <c r="A1173" s="37" t="str">
        <f t="shared" si="83"/>
        <v>PARADA INDEVIDA LOGÍSTICAMotorista 24</v>
      </c>
      <c r="B1173" s="37" t="s">
        <v>1369</v>
      </c>
      <c r="C1173" s="37" t="s">
        <v>204</v>
      </c>
      <c r="D1173" s="37">
        <v>4</v>
      </c>
      <c r="E1173" s="37" t="s">
        <v>1339</v>
      </c>
      <c r="F1173" s="38">
        <v>0.11</v>
      </c>
      <c r="G1173" s="39">
        <f>IF(OR(B1173="FIXO",B1173="XFIXO"),IF(F1173="","ERRO",10*F1173)*'BD Campos'!$W$2,IF(F1173="","ERRO",10*F1173)*'BD Campos'!$W$3)</f>
        <v>1.1000000000000001</v>
      </c>
      <c r="H1173" s="40">
        <v>0.05</v>
      </c>
      <c r="I1173" s="41">
        <f t="shared" si="84"/>
        <v>-5.5000000000000007E-2</v>
      </c>
    </row>
    <row r="1174" spans="1:9" hidden="1" x14ac:dyDescent="0.35">
      <c r="A1174" s="37" t="str">
        <f t="shared" si="83"/>
        <v>PARADA INDEVIDA LOGÍSTICAMotorista 25</v>
      </c>
      <c r="B1174" s="37" t="s">
        <v>1369</v>
      </c>
      <c r="C1174" s="37" t="s">
        <v>204</v>
      </c>
      <c r="D1174" s="37">
        <v>5</v>
      </c>
      <c r="E1174" s="37" t="s">
        <v>1370</v>
      </c>
      <c r="F1174" s="38">
        <v>0.11</v>
      </c>
      <c r="G1174" s="39">
        <f>IF(OR(B1174="FIXO",B1174="XFIXO"),IF(F1174="","ERRO",10*F1174)*'BD Campos'!$W$2,IF(F1174="","ERRO",10*F1174)*'BD Campos'!$W$3)</f>
        <v>1.1000000000000001</v>
      </c>
      <c r="H1174" s="40">
        <v>0.05</v>
      </c>
      <c r="I1174" s="41">
        <f t="shared" si="84"/>
        <v>-5.5000000000000007E-2</v>
      </c>
    </row>
    <row r="1175" spans="1:9" hidden="1" x14ac:dyDescent="0.35">
      <c r="A1175" s="37" t="str">
        <f t="shared" si="83"/>
        <v>PARADA INDEVIDA LOGÍSTICAMotorista 26</v>
      </c>
      <c r="B1175" s="37" t="s">
        <v>1369</v>
      </c>
      <c r="C1175" s="37" t="s">
        <v>204</v>
      </c>
      <c r="D1175" s="37">
        <v>6</v>
      </c>
      <c r="E1175" s="37" t="s">
        <v>1257</v>
      </c>
      <c r="F1175" s="38">
        <v>0.15</v>
      </c>
      <c r="G1175" s="39">
        <f>IF(OR(B1175="FIXO",B1175="XFIXO"),IF(F1175="","ERRO",10*F1175)*'BD Campos'!$W$2,IF(F1175="","ERRO",10*F1175)*'BD Campos'!$W$3)</f>
        <v>1.5</v>
      </c>
      <c r="H1175" s="40">
        <v>0.05</v>
      </c>
      <c r="I1175" s="41">
        <f t="shared" si="84"/>
        <v>-7.5000000000000011E-2</v>
      </c>
    </row>
    <row r="1176" spans="1:9" hidden="1" x14ac:dyDescent="0.35">
      <c r="A1176" s="37" t="str">
        <f t="shared" si="83"/>
        <v>PARADA INDEVIDA LOGÍSTICAMotorista 27</v>
      </c>
      <c r="B1176" s="37" t="s">
        <v>1369</v>
      </c>
      <c r="C1176" s="37" t="s">
        <v>204</v>
      </c>
      <c r="D1176" s="37">
        <v>7</v>
      </c>
      <c r="E1176" s="37" t="s">
        <v>1371</v>
      </c>
      <c r="F1176" s="38">
        <v>0.15</v>
      </c>
      <c r="G1176" s="39">
        <f>IF(OR(B1176="FIXO",B1176="XFIXO"),IF(F1176="","ERRO",10*F1176)*'BD Campos'!$W$2,IF(F1176="","ERRO",10*F1176)*'BD Campos'!$W$3)</f>
        <v>1.5</v>
      </c>
      <c r="H1176" s="40">
        <v>0.05</v>
      </c>
      <c r="I1176" s="41">
        <f t="shared" si="84"/>
        <v>-7.5000000000000011E-2</v>
      </c>
    </row>
    <row r="1177" spans="1:9" hidden="1" x14ac:dyDescent="0.35">
      <c r="A1177" s="37" t="str">
        <f t="shared" si="83"/>
        <v>PARADA INDEVIDA LOGÍSTICAMotorista 28</v>
      </c>
      <c r="B1177" s="37" t="s">
        <v>1369</v>
      </c>
      <c r="C1177" s="37" t="s">
        <v>204</v>
      </c>
      <c r="D1177" s="37">
        <v>8</v>
      </c>
      <c r="E1177" s="37" t="s">
        <v>1372</v>
      </c>
      <c r="F1177" s="38">
        <v>0.15</v>
      </c>
      <c r="G1177" s="39">
        <f>IF(OR(B1177="FIXO",B1177="XFIXO"),IF(F1177="","ERRO",10*F1177)*'BD Campos'!$W$2,IF(F1177="","ERRO",10*F1177)*'BD Campos'!$W$3)</f>
        <v>1.5</v>
      </c>
      <c r="H1177" s="40">
        <v>0.05</v>
      </c>
      <c r="I1177" s="41">
        <f t="shared" si="84"/>
        <v>-7.5000000000000011E-2</v>
      </c>
    </row>
    <row r="1178" spans="1:9" hidden="1" x14ac:dyDescent="0.35">
      <c r="A1178" s="37" t="str">
        <f>B1178&amp;C1178&amp;D1178</f>
        <v>DESVIO DE ROTA  LOGÍSTICAMotorista1</v>
      </c>
      <c r="B1178" s="37" t="s">
        <v>1373</v>
      </c>
      <c r="C1178" s="37" t="s">
        <v>122</v>
      </c>
      <c r="D1178" s="37">
        <v>1</v>
      </c>
      <c r="E1178" s="37" t="s">
        <v>1343</v>
      </c>
      <c r="F1178" s="38">
        <v>0.11</v>
      </c>
      <c r="G1178" s="39">
        <f>IF(OR(B1178="FIXO",B1178="XFIXO"),IF(F1178="","ERRO",10*F1178)*'BD Campos'!$W$2,IF(F1178="","ERRO",10*F1178)*'BD Campos'!$W$3)</f>
        <v>1.1000000000000001</v>
      </c>
      <c r="H1178" s="40">
        <v>0.05</v>
      </c>
      <c r="I1178" s="41">
        <f>H1178*G1178*-1</f>
        <v>-5.5000000000000007E-2</v>
      </c>
    </row>
    <row r="1179" spans="1:9" hidden="1" x14ac:dyDescent="0.35">
      <c r="A1179" s="37" t="str">
        <f t="shared" ref="A1179:A1185" si="85">B1179&amp;C1179&amp;D1179</f>
        <v>DESVIO DE ROTA  LOGÍSTICAMotorista2</v>
      </c>
      <c r="B1179" s="37" t="s">
        <v>1373</v>
      </c>
      <c r="C1179" s="37" t="s">
        <v>122</v>
      </c>
      <c r="D1179" s="37">
        <v>2</v>
      </c>
      <c r="E1179" s="37" t="s">
        <v>1213</v>
      </c>
      <c r="F1179" s="38">
        <v>0.11</v>
      </c>
      <c r="G1179" s="39">
        <f>IF(OR(B1179="FIXO",B1179="XFIXO"),IF(F1179="","ERRO",10*F1179)*'BD Campos'!$W$2,IF(F1179="","ERRO",10*F1179)*'BD Campos'!$W$3)</f>
        <v>1.1000000000000001</v>
      </c>
      <c r="H1179" s="40">
        <v>0.05</v>
      </c>
      <c r="I1179" s="41">
        <f t="shared" ref="I1179:I1185" si="86">H1179*G1179*-1</f>
        <v>-5.5000000000000007E-2</v>
      </c>
    </row>
    <row r="1180" spans="1:9" hidden="1" x14ac:dyDescent="0.35">
      <c r="A1180" s="37" t="str">
        <f t="shared" si="85"/>
        <v>DESVIO DE ROTA  LOGÍSTICAMotorista3</v>
      </c>
      <c r="B1180" s="37" t="s">
        <v>1373</v>
      </c>
      <c r="C1180" s="37" t="s">
        <v>122</v>
      </c>
      <c r="D1180" s="37">
        <v>3</v>
      </c>
      <c r="E1180" s="37" t="s">
        <v>1344</v>
      </c>
      <c r="F1180" s="38">
        <v>0.11</v>
      </c>
      <c r="G1180" s="39">
        <f>IF(OR(B1180="FIXO",B1180="XFIXO"),IF(F1180="","ERRO",10*F1180)*'BD Campos'!$W$2,IF(F1180="","ERRO",10*F1180)*'BD Campos'!$W$3)</f>
        <v>1.1000000000000001</v>
      </c>
      <c r="H1180" s="40">
        <v>0.05</v>
      </c>
      <c r="I1180" s="41">
        <f t="shared" si="86"/>
        <v>-5.5000000000000007E-2</v>
      </c>
    </row>
    <row r="1181" spans="1:9" hidden="1" x14ac:dyDescent="0.35">
      <c r="A1181" s="37" t="str">
        <f t="shared" si="85"/>
        <v>DESVIO DE ROTA  LOGÍSTICAMotorista4</v>
      </c>
      <c r="B1181" s="37" t="s">
        <v>1373</v>
      </c>
      <c r="C1181" s="37" t="s">
        <v>122</v>
      </c>
      <c r="D1181" s="37">
        <v>4</v>
      </c>
      <c r="E1181" s="37" t="s">
        <v>1339</v>
      </c>
      <c r="F1181" s="38">
        <v>0.11</v>
      </c>
      <c r="G1181" s="39">
        <f>IF(OR(B1181="FIXO",B1181="XFIXO"),IF(F1181="","ERRO",10*F1181)*'BD Campos'!$W$2,IF(F1181="","ERRO",10*F1181)*'BD Campos'!$W$3)</f>
        <v>1.1000000000000001</v>
      </c>
      <c r="H1181" s="40">
        <v>0.05</v>
      </c>
      <c r="I1181" s="41">
        <f t="shared" si="86"/>
        <v>-5.5000000000000007E-2</v>
      </c>
    </row>
    <row r="1182" spans="1:9" hidden="1" x14ac:dyDescent="0.35">
      <c r="A1182" s="37" t="str">
        <f t="shared" si="85"/>
        <v>DESVIO DE ROTA  LOGÍSTICAMotorista5</v>
      </c>
      <c r="B1182" s="37" t="s">
        <v>1373</v>
      </c>
      <c r="C1182" s="37" t="s">
        <v>122</v>
      </c>
      <c r="D1182" s="37">
        <v>5</v>
      </c>
      <c r="E1182" s="37" t="s">
        <v>1370</v>
      </c>
      <c r="F1182" s="38">
        <v>0.11</v>
      </c>
      <c r="G1182" s="39">
        <f>IF(OR(B1182="FIXO",B1182="XFIXO"),IF(F1182="","ERRO",10*F1182)*'BD Campos'!$W$2,IF(F1182="","ERRO",10*F1182)*'BD Campos'!$W$3)</f>
        <v>1.1000000000000001</v>
      </c>
      <c r="H1182" s="40">
        <v>0.05</v>
      </c>
      <c r="I1182" s="41">
        <f t="shared" si="86"/>
        <v>-5.5000000000000007E-2</v>
      </c>
    </row>
    <row r="1183" spans="1:9" hidden="1" x14ac:dyDescent="0.35">
      <c r="A1183" s="37" t="str">
        <f t="shared" si="85"/>
        <v>DESVIO DE ROTA  LOGÍSTICAMotorista6</v>
      </c>
      <c r="B1183" s="37" t="s">
        <v>1373</v>
      </c>
      <c r="C1183" s="37" t="s">
        <v>122</v>
      </c>
      <c r="D1183" s="37">
        <v>6</v>
      </c>
      <c r="E1183" s="37" t="s">
        <v>1257</v>
      </c>
      <c r="F1183" s="38">
        <v>0.15</v>
      </c>
      <c r="G1183" s="39">
        <f>IF(OR(B1183="FIXO",B1183="XFIXO"),IF(F1183="","ERRO",10*F1183)*'BD Campos'!$W$2,IF(F1183="","ERRO",10*F1183)*'BD Campos'!$W$3)</f>
        <v>1.5</v>
      </c>
      <c r="H1183" s="40">
        <v>0.05</v>
      </c>
      <c r="I1183" s="41">
        <f t="shared" si="86"/>
        <v>-7.5000000000000011E-2</v>
      </c>
    </row>
    <row r="1184" spans="1:9" hidden="1" x14ac:dyDescent="0.35">
      <c r="A1184" s="37" t="str">
        <f t="shared" si="85"/>
        <v>DESVIO DE ROTA  LOGÍSTICAMotorista7</v>
      </c>
      <c r="B1184" s="37" t="s">
        <v>1373</v>
      </c>
      <c r="C1184" s="37" t="s">
        <v>122</v>
      </c>
      <c r="D1184" s="37">
        <v>7</v>
      </c>
      <c r="E1184" s="37" t="s">
        <v>1374</v>
      </c>
      <c r="F1184" s="38">
        <v>0.15</v>
      </c>
      <c r="G1184" s="39">
        <f>IF(OR(B1184="FIXO",B1184="XFIXO"),IF(F1184="","ERRO",10*F1184)*'BD Campos'!$W$2,IF(F1184="","ERRO",10*F1184)*'BD Campos'!$W$3)</f>
        <v>1.5</v>
      </c>
      <c r="H1184" s="40">
        <v>0.05</v>
      </c>
      <c r="I1184" s="41">
        <f t="shared" si="86"/>
        <v>-7.5000000000000011E-2</v>
      </c>
    </row>
    <row r="1185" spans="1:9" hidden="1" x14ac:dyDescent="0.35">
      <c r="A1185" s="37" t="str">
        <f t="shared" si="85"/>
        <v>DESVIO DE ROTA  LOGÍSTICAMotorista8</v>
      </c>
      <c r="B1185" s="37" t="s">
        <v>1373</v>
      </c>
      <c r="C1185" s="37" t="s">
        <v>122</v>
      </c>
      <c r="D1185" s="37">
        <v>8</v>
      </c>
      <c r="E1185" s="37" t="s">
        <v>1375</v>
      </c>
      <c r="F1185" s="38">
        <v>0.15</v>
      </c>
      <c r="G1185" s="39">
        <f>IF(OR(B1185="FIXO",B1185="XFIXO"),IF(F1185="","ERRO",10*F1185)*'BD Campos'!$W$2,IF(F1185="","ERRO",10*F1185)*'BD Campos'!$W$3)</f>
        <v>1.5</v>
      </c>
      <c r="H1185" s="40">
        <v>0.05</v>
      </c>
      <c r="I1185" s="41">
        <f t="shared" si="86"/>
        <v>-7.5000000000000011E-2</v>
      </c>
    </row>
    <row r="1186" spans="1:9" hidden="1" x14ac:dyDescent="0.35">
      <c r="A1186" s="37" t="str">
        <f>B1186&amp;C1186&amp;D1186</f>
        <v>DESVIO DE ROTA  LOGÍSTICAMotorista 21</v>
      </c>
      <c r="B1186" s="37" t="s">
        <v>1373</v>
      </c>
      <c r="C1186" s="37" t="s">
        <v>204</v>
      </c>
      <c r="D1186" s="37">
        <v>1</v>
      </c>
      <c r="E1186" s="37" t="s">
        <v>1343</v>
      </c>
      <c r="F1186" s="38">
        <v>0.11</v>
      </c>
      <c r="G1186" s="39">
        <f>IF(OR(B1186="FIXO",B1186="XFIXO"),IF(F1186="","ERRO",10*F1186)*'BD Campos'!$W$2,IF(F1186="","ERRO",10*F1186)*'BD Campos'!$W$3)</f>
        <v>1.1000000000000001</v>
      </c>
      <c r="H1186" s="40">
        <v>0.05</v>
      </c>
      <c r="I1186" s="41">
        <f>H1186*G1186*-1</f>
        <v>-5.5000000000000007E-2</v>
      </c>
    </row>
    <row r="1187" spans="1:9" hidden="1" x14ac:dyDescent="0.35">
      <c r="A1187" s="37" t="str">
        <f t="shared" ref="A1187:A1193" si="87">B1187&amp;C1187&amp;D1187</f>
        <v>DESVIO DE ROTA  LOGÍSTICAMotorista 22</v>
      </c>
      <c r="B1187" s="37" t="s">
        <v>1373</v>
      </c>
      <c r="C1187" s="37" t="s">
        <v>204</v>
      </c>
      <c r="D1187" s="37">
        <v>2</v>
      </c>
      <c r="E1187" s="37" t="s">
        <v>1213</v>
      </c>
      <c r="F1187" s="38">
        <v>0.11</v>
      </c>
      <c r="G1187" s="39">
        <f>IF(OR(B1187="FIXO",B1187="XFIXO"),IF(F1187="","ERRO",10*F1187)*'BD Campos'!$W$2,IF(F1187="","ERRO",10*F1187)*'BD Campos'!$W$3)</f>
        <v>1.1000000000000001</v>
      </c>
      <c r="H1187" s="40">
        <v>0.05</v>
      </c>
      <c r="I1187" s="41">
        <f t="shared" ref="I1187:I1193" si="88">H1187*G1187*-1</f>
        <v>-5.5000000000000007E-2</v>
      </c>
    </row>
    <row r="1188" spans="1:9" hidden="1" x14ac:dyDescent="0.35">
      <c r="A1188" s="37" t="str">
        <f t="shared" si="87"/>
        <v>DESVIO DE ROTA  LOGÍSTICAMotorista 23</v>
      </c>
      <c r="B1188" s="37" t="s">
        <v>1373</v>
      </c>
      <c r="C1188" s="37" t="s">
        <v>204</v>
      </c>
      <c r="D1188" s="37">
        <v>3</v>
      </c>
      <c r="E1188" s="37" t="s">
        <v>1344</v>
      </c>
      <c r="F1188" s="38">
        <v>0.11</v>
      </c>
      <c r="G1188" s="39">
        <f>IF(OR(B1188="FIXO",B1188="XFIXO"),IF(F1188="","ERRO",10*F1188)*'BD Campos'!$W$2,IF(F1188="","ERRO",10*F1188)*'BD Campos'!$W$3)</f>
        <v>1.1000000000000001</v>
      </c>
      <c r="H1188" s="40">
        <v>0.05</v>
      </c>
      <c r="I1188" s="41">
        <f t="shared" si="88"/>
        <v>-5.5000000000000007E-2</v>
      </c>
    </row>
    <row r="1189" spans="1:9" hidden="1" x14ac:dyDescent="0.35">
      <c r="A1189" s="37" t="str">
        <f t="shared" si="87"/>
        <v>DESVIO DE ROTA  LOGÍSTICAMotorista 24</v>
      </c>
      <c r="B1189" s="37" t="s">
        <v>1373</v>
      </c>
      <c r="C1189" s="37" t="s">
        <v>204</v>
      </c>
      <c r="D1189" s="37">
        <v>4</v>
      </c>
      <c r="E1189" s="37" t="s">
        <v>1339</v>
      </c>
      <c r="F1189" s="38">
        <v>0.11</v>
      </c>
      <c r="G1189" s="39">
        <f>IF(OR(B1189="FIXO",B1189="XFIXO"),IF(F1189="","ERRO",10*F1189)*'BD Campos'!$W$2,IF(F1189="","ERRO",10*F1189)*'BD Campos'!$W$3)</f>
        <v>1.1000000000000001</v>
      </c>
      <c r="H1189" s="40">
        <v>0.05</v>
      </c>
      <c r="I1189" s="41">
        <f t="shared" si="88"/>
        <v>-5.5000000000000007E-2</v>
      </c>
    </row>
    <row r="1190" spans="1:9" hidden="1" x14ac:dyDescent="0.35">
      <c r="A1190" s="37" t="str">
        <f t="shared" si="87"/>
        <v>DESVIO DE ROTA  LOGÍSTICAMotorista 25</v>
      </c>
      <c r="B1190" s="37" t="s">
        <v>1373</v>
      </c>
      <c r="C1190" s="37" t="s">
        <v>204</v>
      </c>
      <c r="D1190" s="37">
        <v>5</v>
      </c>
      <c r="E1190" s="37" t="s">
        <v>1370</v>
      </c>
      <c r="F1190" s="38">
        <v>0.11</v>
      </c>
      <c r="G1190" s="39">
        <f>IF(OR(B1190="FIXO",B1190="XFIXO"),IF(F1190="","ERRO",10*F1190)*'BD Campos'!$W$2,IF(F1190="","ERRO",10*F1190)*'BD Campos'!$W$3)</f>
        <v>1.1000000000000001</v>
      </c>
      <c r="H1190" s="40">
        <v>0.05</v>
      </c>
      <c r="I1190" s="41">
        <f t="shared" si="88"/>
        <v>-5.5000000000000007E-2</v>
      </c>
    </row>
    <row r="1191" spans="1:9" hidden="1" x14ac:dyDescent="0.35">
      <c r="A1191" s="37" t="str">
        <f t="shared" si="87"/>
        <v>DESVIO DE ROTA  LOGÍSTICAMotorista 26</v>
      </c>
      <c r="B1191" s="37" t="s">
        <v>1373</v>
      </c>
      <c r="C1191" s="37" t="s">
        <v>204</v>
      </c>
      <c r="D1191" s="37">
        <v>6</v>
      </c>
      <c r="E1191" s="37" t="s">
        <v>1257</v>
      </c>
      <c r="F1191" s="38">
        <v>0.15</v>
      </c>
      <c r="G1191" s="39">
        <f>IF(OR(B1191="FIXO",B1191="XFIXO"),IF(F1191="","ERRO",10*F1191)*'BD Campos'!$W$2,IF(F1191="","ERRO",10*F1191)*'BD Campos'!$W$3)</f>
        <v>1.5</v>
      </c>
      <c r="H1191" s="40">
        <v>0.05</v>
      </c>
      <c r="I1191" s="41">
        <f t="shared" si="88"/>
        <v>-7.5000000000000011E-2</v>
      </c>
    </row>
    <row r="1192" spans="1:9" hidden="1" x14ac:dyDescent="0.35">
      <c r="A1192" s="37" t="str">
        <f t="shared" si="87"/>
        <v>DESVIO DE ROTA  LOGÍSTICAMotorista 27</v>
      </c>
      <c r="B1192" s="37" t="s">
        <v>1373</v>
      </c>
      <c r="C1192" s="37" t="s">
        <v>204</v>
      </c>
      <c r="D1192" s="37">
        <v>7</v>
      </c>
      <c r="E1192" s="37" t="s">
        <v>1374</v>
      </c>
      <c r="F1192" s="38">
        <v>0.15</v>
      </c>
      <c r="G1192" s="39">
        <f>IF(OR(B1192="FIXO",B1192="XFIXO"),IF(F1192="","ERRO",10*F1192)*'BD Campos'!$W$2,IF(F1192="","ERRO",10*F1192)*'BD Campos'!$W$3)</f>
        <v>1.5</v>
      </c>
      <c r="H1192" s="40">
        <v>0.05</v>
      </c>
      <c r="I1192" s="41">
        <f t="shared" si="88"/>
        <v>-7.5000000000000011E-2</v>
      </c>
    </row>
    <row r="1193" spans="1:9" hidden="1" x14ac:dyDescent="0.35">
      <c r="A1193" s="37" t="str">
        <f t="shared" si="87"/>
        <v>DESVIO DE ROTA  LOGÍSTICAMotorista 28</v>
      </c>
      <c r="B1193" s="37" t="s">
        <v>1373</v>
      </c>
      <c r="C1193" s="37" t="s">
        <v>204</v>
      </c>
      <c r="D1193" s="37">
        <v>8</v>
      </c>
      <c r="E1193" s="37" t="s">
        <v>1375</v>
      </c>
      <c r="F1193" s="38">
        <v>0.15</v>
      </c>
      <c r="G1193" s="39">
        <f>IF(OR(B1193="FIXO",B1193="XFIXO"),IF(F1193="","ERRO",10*F1193)*'BD Campos'!$W$2,IF(F1193="","ERRO",10*F1193)*'BD Campos'!$W$3)</f>
        <v>1.5</v>
      </c>
      <c r="H1193" s="40">
        <v>0.05</v>
      </c>
      <c r="I1193" s="41">
        <f t="shared" si="88"/>
        <v>-7.5000000000000011E-2</v>
      </c>
    </row>
    <row r="1194" spans="1:9" hidden="1" x14ac:dyDescent="0.35">
      <c r="A1194" s="37" t="str">
        <f t="shared" ref="A1194:A1205" si="89">B1194&amp;C1194&amp;D1194</f>
        <v>PROCESSOReceptiva1</v>
      </c>
      <c r="B1194" s="37" t="s">
        <v>1769</v>
      </c>
      <c r="C1194" s="37" t="s">
        <v>98</v>
      </c>
      <c r="D1194" s="37">
        <v>1</v>
      </c>
      <c r="E1194" s="37" t="s">
        <v>1778</v>
      </c>
      <c r="F1194" s="38">
        <v>2.5000000000000001E-2</v>
      </c>
      <c r="G1194" s="39">
        <f>IF(OR(B1194="FIXO",B1194="XFIXO"),IF(F1194="","ERRO",10*F1194)*'BD Campos'!$W$2,IF(F1194="","ERRO",10*F1194)*'BD Campos'!$W$3)</f>
        <v>0.25</v>
      </c>
      <c r="H1194" s="40">
        <v>0.05</v>
      </c>
      <c r="I1194" s="41">
        <f t="shared" ref="I1194:I1205" si="90">H1194*G1194*-1</f>
        <v>-1.2500000000000001E-2</v>
      </c>
    </row>
    <row r="1195" spans="1:9" hidden="1" x14ac:dyDescent="0.35">
      <c r="A1195" s="37" t="str">
        <f t="shared" si="89"/>
        <v>PROCESSOReceptiva2</v>
      </c>
      <c r="B1195" s="37" t="s">
        <v>1769</v>
      </c>
      <c r="C1195" s="37" t="s">
        <v>98</v>
      </c>
      <c r="D1195" s="37">
        <v>2</v>
      </c>
      <c r="E1195" s="37" t="s">
        <v>1779</v>
      </c>
      <c r="F1195" s="38">
        <v>0.05</v>
      </c>
      <c r="G1195" s="39">
        <f>IF(OR(B1195="FIXO",B1195="XFIXO"),IF(F1195="","ERRO",10*F1195)*'BD Campos'!$W$2,IF(F1195="","ERRO",10*F1195)*'BD Campos'!$W$3)</f>
        <v>0.5</v>
      </c>
      <c r="H1195" s="40">
        <v>0.05</v>
      </c>
      <c r="I1195" s="41">
        <f t="shared" si="90"/>
        <v>-2.5000000000000001E-2</v>
      </c>
    </row>
    <row r="1196" spans="1:9" hidden="1" x14ac:dyDescent="0.35">
      <c r="A1196" s="37" t="str">
        <f t="shared" si="89"/>
        <v>PROCESSOReceptiva3</v>
      </c>
      <c r="B1196" s="37" t="s">
        <v>1769</v>
      </c>
      <c r="C1196" s="37" t="s">
        <v>98</v>
      </c>
      <c r="D1196" s="37">
        <v>3</v>
      </c>
      <c r="E1196" s="37" t="s">
        <v>1780</v>
      </c>
      <c r="F1196" s="38">
        <v>0.1</v>
      </c>
      <c r="G1196" s="39">
        <f>IF(OR(B1196="FIXO",B1196="XFIXO"),IF(F1196="","ERRO",10*F1196)*'BD Campos'!$W$2,IF(F1196="","ERRO",10*F1196)*'BD Campos'!$W$3)</f>
        <v>1</v>
      </c>
      <c r="H1196" s="40">
        <v>0.05</v>
      </c>
      <c r="I1196" s="41">
        <f t="shared" si="90"/>
        <v>-0.05</v>
      </c>
    </row>
    <row r="1197" spans="1:9" hidden="1" x14ac:dyDescent="0.35">
      <c r="A1197" s="37" t="str">
        <f t="shared" si="89"/>
        <v>PROCESSOReceptiva4</v>
      </c>
      <c r="B1197" s="37" t="s">
        <v>1769</v>
      </c>
      <c r="C1197" s="37" t="s">
        <v>98</v>
      </c>
      <c r="D1197" s="37">
        <v>4</v>
      </c>
      <c r="E1197" s="37" t="s">
        <v>1768</v>
      </c>
      <c r="F1197" s="38">
        <v>0.05</v>
      </c>
      <c r="G1197" s="39">
        <f>IF(OR(B1197="FIXO",B1197="XFIXO"),IF(F1197="","ERRO",10*F1197)*'BD Campos'!$W$2,IF(F1197="","ERRO",10*F1197)*'BD Campos'!$W$3)</f>
        <v>0.5</v>
      </c>
      <c r="H1197" s="40">
        <v>0.05</v>
      </c>
      <c r="I1197" s="41">
        <f t="shared" si="90"/>
        <v>-2.5000000000000001E-2</v>
      </c>
    </row>
    <row r="1198" spans="1:9" hidden="1" x14ac:dyDescent="0.35">
      <c r="A1198" s="37" t="str">
        <f t="shared" si="89"/>
        <v>PROCESSOReceptiva5</v>
      </c>
      <c r="B1198" s="37" t="s">
        <v>1769</v>
      </c>
      <c r="C1198" s="37" t="s">
        <v>98</v>
      </c>
      <c r="D1198" s="37">
        <v>5</v>
      </c>
      <c r="E1198" s="37" t="s">
        <v>1781</v>
      </c>
      <c r="F1198" s="38">
        <v>0.05</v>
      </c>
      <c r="G1198" s="39">
        <f>IF(OR(B1198="FIXO",B1198="XFIXO"),IF(F1198="","ERRO",10*F1198)*'BD Campos'!$W$2,IF(F1198="","ERRO",10*F1198)*'BD Campos'!$W$3)</f>
        <v>0.5</v>
      </c>
      <c r="H1198" s="40">
        <v>0.05</v>
      </c>
      <c r="I1198" s="41">
        <f t="shared" si="90"/>
        <v>-2.5000000000000001E-2</v>
      </c>
    </row>
    <row r="1199" spans="1:9" hidden="1" x14ac:dyDescent="0.35">
      <c r="A1199" s="37" t="str">
        <f t="shared" si="89"/>
        <v>PROCESSOReceptiva6</v>
      </c>
      <c r="B1199" s="37" t="s">
        <v>1769</v>
      </c>
      <c r="C1199" s="37" t="s">
        <v>98</v>
      </c>
      <c r="D1199" s="37">
        <v>6</v>
      </c>
      <c r="E1199" s="37" t="s">
        <v>1782</v>
      </c>
      <c r="F1199" s="38">
        <v>0.125</v>
      </c>
      <c r="G1199" s="39">
        <f>IF(OR(B1199="FIXO",B1199="XFIXO"),IF(F1199="","ERRO",10*F1199)*'BD Campos'!$W$2,IF(F1199="","ERRO",10*F1199)*'BD Campos'!$W$3)</f>
        <v>1.25</v>
      </c>
      <c r="H1199" s="40">
        <v>0.05</v>
      </c>
      <c r="I1199" s="41">
        <f t="shared" si="90"/>
        <v>-6.25E-2</v>
      </c>
    </row>
    <row r="1200" spans="1:9" hidden="1" x14ac:dyDescent="0.35">
      <c r="A1200" s="37" t="str">
        <f t="shared" si="89"/>
        <v>PROCESSOReceptiva7</v>
      </c>
      <c r="B1200" s="37" t="s">
        <v>1769</v>
      </c>
      <c r="C1200" s="37" t="s">
        <v>98</v>
      </c>
      <c r="D1200" s="37">
        <v>7</v>
      </c>
      <c r="E1200" s="37" t="s">
        <v>1783</v>
      </c>
      <c r="F1200" s="38">
        <v>0.15</v>
      </c>
      <c r="G1200" s="39">
        <f>IF(OR(B1200="FIXO",B1200="XFIXO"),IF(F1200="","ERRO",10*F1200)*'BD Campos'!$W$2,IF(F1200="","ERRO",10*F1200)*'BD Campos'!$W$3)</f>
        <v>1.5</v>
      </c>
      <c r="H1200" s="40">
        <v>0.05</v>
      </c>
      <c r="I1200" s="41">
        <f t="shared" si="90"/>
        <v>-7.5000000000000011E-2</v>
      </c>
    </row>
    <row r="1201" spans="1:9" hidden="1" x14ac:dyDescent="0.35">
      <c r="A1201" s="37" t="str">
        <f t="shared" si="89"/>
        <v>PROCESSOReceptiva8</v>
      </c>
      <c r="B1201" s="37" t="s">
        <v>1769</v>
      </c>
      <c r="C1201" s="37" t="s">
        <v>98</v>
      </c>
      <c r="D1201" s="37">
        <v>8</v>
      </c>
      <c r="E1201" s="37" t="s">
        <v>1784</v>
      </c>
      <c r="F1201" s="38">
        <v>0.125</v>
      </c>
      <c r="G1201" s="39">
        <f>IF(OR(B1201="FIXO",B1201="XFIXO"),IF(F1201="","ERRO",10*F1201)*'BD Campos'!$W$2,IF(F1201="","ERRO",10*F1201)*'BD Campos'!$W$3)</f>
        <v>1.25</v>
      </c>
      <c r="H1201" s="40">
        <v>0.05</v>
      </c>
      <c r="I1201" s="41">
        <f t="shared" si="90"/>
        <v>-6.25E-2</v>
      </c>
    </row>
    <row r="1202" spans="1:9" hidden="1" x14ac:dyDescent="0.35">
      <c r="A1202" s="37" t="str">
        <f t="shared" si="89"/>
        <v>PROCESSOReceptiva9</v>
      </c>
      <c r="B1202" s="37" t="s">
        <v>1769</v>
      </c>
      <c r="C1202" s="37" t="s">
        <v>98</v>
      </c>
      <c r="D1202" s="37">
        <v>9</v>
      </c>
      <c r="E1202" s="37" t="s">
        <v>1785</v>
      </c>
      <c r="F1202" s="38">
        <v>0.125</v>
      </c>
      <c r="G1202" s="39">
        <f>IF(OR(B1202="FIXO",B1202="XFIXO"),IF(F1202="","ERRO",10*F1202)*'BD Campos'!$W$2,IF(F1202="","ERRO",10*F1202)*'BD Campos'!$W$3)</f>
        <v>1.25</v>
      </c>
      <c r="H1202" s="40">
        <v>0.05</v>
      </c>
      <c r="I1202" s="41">
        <f t="shared" si="90"/>
        <v>-6.25E-2</v>
      </c>
    </row>
    <row r="1203" spans="1:9" hidden="1" x14ac:dyDescent="0.35">
      <c r="A1203" s="37" t="str">
        <f t="shared" si="89"/>
        <v>PROCESSOReceptiva10</v>
      </c>
      <c r="B1203" s="37" t="s">
        <v>1769</v>
      </c>
      <c r="C1203" s="37" t="s">
        <v>98</v>
      </c>
      <c r="D1203" s="37">
        <v>10</v>
      </c>
      <c r="E1203" s="37" t="s">
        <v>1786</v>
      </c>
      <c r="F1203" s="38">
        <v>2.5000000000000001E-2</v>
      </c>
      <c r="G1203" s="39">
        <f>IF(OR(B1203="FIXO",B1203="XFIXO"),IF(F1203="","ERRO",10*F1203)*'BD Campos'!$W$2,IF(F1203="","ERRO",10*F1203)*'BD Campos'!$W$3)</f>
        <v>0.25</v>
      </c>
      <c r="H1203" s="40">
        <v>0.05</v>
      </c>
      <c r="I1203" s="41">
        <f t="shared" si="90"/>
        <v>-1.2500000000000001E-2</v>
      </c>
    </row>
    <row r="1204" spans="1:9" hidden="1" x14ac:dyDescent="0.35">
      <c r="A1204" s="37" t="str">
        <f t="shared" si="89"/>
        <v>PROCESSOReceptiva11</v>
      </c>
      <c r="B1204" s="37" t="s">
        <v>1769</v>
      </c>
      <c r="C1204" s="37" t="s">
        <v>98</v>
      </c>
      <c r="D1204" s="37">
        <v>11</v>
      </c>
      <c r="E1204" s="37" t="s">
        <v>1787</v>
      </c>
      <c r="F1204" s="38">
        <v>0.15</v>
      </c>
      <c r="G1204" s="39">
        <f>IF(OR(B1204="FIXO",B1204="XFIXO"),IF(F1204="","ERRO",10*F1204)*'BD Campos'!$W$2,IF(F1204="","ERRO",10*F1204)*'BD Campos'!$W$3)</f>
        <v>1.5</v>
      </c>
      <c r="H1204" s="40">
        <v>0.05</v>
      </c>
      <c r="I1204" s="41">
        <f t="shared" si="90"/>
        <v>-7.5000000000000011E-2</v>
      </c>
    </row>
    <row r="1205" spans="1:9" hidden="1" x14ac:dyDescent="0.35">
      <c r="A1205" s="37" t="str">
        <f t="shared" si="89"/>
        <v>PROCESSOReceptiva12</v>
      </c>
      <c r="B1205" s="37" t="s">
        <v>1769</v>
      </c>
      <c r="C1205" s="37" t="s">
        <v>98</v>
      </c>
      <c r="D1205" s="37">
        <v>12</v>
      </c>
      <c r="E1205" s="37" t="s">
        <v>1788</v>
      </c>
      <c r="F1205" s="38">
        <v>2.5000000000000001E-2</v>
      </c>
      <c r="G1205" s="39">
        <f>IF(OR(B1205="FIXO",B1205="XFIXO"),IF(F1205="","ERRO",10*F1205)*'BD Campos'!$W$2,IF(F1205="","ERRO",10*F1205)*'BD Campos'!$W$3)</f>
        <v>0.25</v>
      </c>
      <c r="H1205" s="40">
        <v>0.05</v>
      </c>
      <c r="I1205" s="41">
        <f t="shared" si="90"/>
        <v>-1.2500000000000001E-2</v>
      </c>
    </row>
    <row r="1206" spans="1:9" hidden="1" x14ac:dyDescent="0.35">
      <c r="A1206" s="37" t="str">
        <f t="shared" ref="A1206:A1217" si="91">B1206&amp;C1206&amp;D1206</f>
        <v>PROCESSOReceptiva 21</v>
      </c>
      <c r="B1206" s="37" t="s">
        <v>1769</v>
      </c>
      <c r="C1206" s="37" t="s">
        <v>100</v>
      </c>
      <c r="D1206" s="37">
        <v>1</v>
      </c>
      <c r="E1206" s="37" t="s">
        <v>1778</v>
      </c>
      <c r="F1206" s="38">
        <v>2.5000000000000001E-2</v>
      </c>
      <c r="G1206" s="39">
        <f>IF(OR(B1206="FIXO",B1206="XFIXO"),IF(F1206="","ERRO",10*F1206)*'BD Campos'!$W$2,IF(F1206="","ERRO",10*F1206)*'BD Campos'!$W$3)</f>
        <v>0.25</v>
      </c>
      <c r="H1206" s="40">
        <v>0.05</v>
      </c>
      <c r="I1206" s="41">
        <f t="shared" ref="I1206:I1217" si="92">H1206*G1206*-1</f>
        <v>-1.2500000000000001E-2</v>
      </c>
    </row>
    <row r="1207" spans="1:9" hidden="1" x14ac:dyDescent="0.35">
      <c r="A1207" s="37" t="str">
        <f t="shared" si="91"/>
        <v>PROCESSOReceptiva 22</v>
      </c>
      <c r="B1207" s="37" t="s">
        <v>1769</v>
      </c>
      <c r="C1207" s="37" t="s">
        <v>100</v>
      </c>
      <c r="D1207" s="37">
        <v>2</v>
      </c>
      <c r="E1207" s="37" t="s">
        <v>1779</v>
      </c>
      <c r="F1207" s="38">
        <v>0.05</v>
      </c>
      <c r="G1207" s="39">
        <f>IF(OR(B1207="FIXO",B1207="XFIXO"),IF(F1207="","ERRO",10*F1207)*'BD Campos'!$W$2,IF(F1207="","ERRO",10*F1207)*'BD Campos'!$W$3)</f>
        <v>0.5</v>
      </c>
      <c r="H1207" s="40">
        <v>0.05</v>
      </c>
      <c r="I1207" s="41">
        <f t="shared" si="92"/>
        <v>-2.5000000000000001E-2</v>
      </c>
    </row>
    <row r="1208" spans="1:9" hidden="1" x14ac:dyDescent="0.35">
      <c r="A1208" s="37" t="str">
        <f t="shared" si="91"/>
        <v>PROCESSOReceptiva 23</v>
      </c>
      <c r="B1208" s="37" t="s">
        <v>1769</v>
      </c>
      <c r="C1208" s="37" t="s">
        <v>100</v>
      </c>
      <c r="D1208" s="37">
        <v>3</v>
      </c>
      <c r="E1208" s="37" t="s">
        <v>1780</v>
      </c>
      <c r="F1208" s="38">
        <v>0.1</v>
      </c>
      <c r="G1208" s="39">
        <f>IF(OR(B1208="FIXO",B1208="XFIXO"),IF(F1208="","ERRO",10*F1208)*'BD Campos'!$W$2,IF(F1208="","ERRO",10*F1208)*'BD Campos'!$W$3)</f>
        <v>1</v>
      </c>
      <c r="H1208" s="40">
        <v>0.05</v>
      </c>
      <c r="I1208" s="41">
        <f t="shared" si="92"/>
        <v>-0.05</v>
      </c>
    </row>
    <row r="1209" spans="1:9" hidden="1" x14ac:dyDescent="0.35">
      <c r="A1209" s="37" t="str">
        <f t="shared" si="91"/>
        <v>PROCESSOReceptiva 24</v>
      </c>
      <c r="B1209" s="37" t="s">
        <v>1769</v>
      </c>
      <c r="C1209" s="37" t="s">
        <v>100</v>
      </c>
      <c r="D1209" s="37">
        <v>4</v>
      </c>
      <c r="E1209" s="37" t="s">
        <v>1768</v>
      </c>
      <c r="F1209" s="38">
        <v>0.05</v>
      </c>
      <c r="G1209" s="39">
        <f>IF(OR(B1209="FIXO",B1209="XFIXO"),IF(F1209="","ERRO",10*F1209)*'BD Campos'!$W$2,IF(F1209="","ERRO",10*F1209)*'BD Campos'!$W$3)</f>
        <v>0.5</v>
      </c>
      <c r="H1209" s="40">
        <v>0.05</v>
      </c>
      <c r="I1209" s="41">
        <f t="shared" si="92"/>
        <v>-2.5000000000000001E-2</v>
      </c>
    </row>
    <row r="1210" spans="1:9" hidden="1" x14ac:dyDescent="0.35">
      <c r="A1210" s="37" t="str">
        <f t="shared" si="91"/>
        <v>PROCESSOReceptiva 25</v>
      </c>
      <c r="B1210" s="37" t="s">
        <v>1769</v>
      </c>
      <c r="C1210" s="37" t="s">
        <v>100</v>
      </c>
      <c r="D1210" s="37">
        <v>5</v>
      </c>
      <c r="E1210" s="37" t="s">
        <v>1781</v>
      </c>
      <c r="F1210" s="38">
        <v>0.05</v>
      </c>
      <c r="G1210" s="39">
        <f>IF(OR(B1210="FIXO",B1210="XFIXO"),IF(F1210="","ERRO",10*F1210)*'BD Campos'!$W$2,IF(F1210="","ERRO",10*F1210)*'BD Campos'!$W$3)</f>
        <v>0.5</v>
      </c>
      <c r="H1210" s="40">
        <v>0.05</v>
      </c>
      <c r="I1210" s="41">
        <f t="shared" si="92"/>
        <v>-2.5000000000000001E-2</v>
      </c>
    </row>
    <row r="1211" spans="1:9" hidden="1" x14ac:dyDescent="0.35">
      <c r="A1211" s="37" t="str">
        <f t="shared" si="91"/>
        <v>PROCESSOReceptiva 26</v>
      </c>
      <c r="B1211" s="37" t="s">
        <v>1769</v>
      </c>
      <c r="C1211" s="37" t="s">
        <v>100</v>
      </c>
      <c r="D1211" s="37">
        <v>6</v>
      </c>
      <c r="E1211" s="37" t="s">
        <v>1782</v>
      </c>
      <c r="F1211" s="38">
        <v>0.125</v>
      </c>
      <c r="G1211" s="39">
        <f>IF(OR(B1211="FIXO",B1211="XFIXO"),IF(F1211="","ERRO",10*F1211)*'BD Campos'!$W$2,IF(F1211="","ERRO",10*F1211)*'BD Campos'!$W$3)</f>
        <v>1.25</v>
      </c>
      <c r="H1211" s="40">
        <v>0.05</v>
      </c>
      <c r="I1211" s="41">
        <f t="shared" si="92"/>
        <v>-6.25E-2</v>
      </c>
    </row>
    <row r="1212" spans="1:9" hidden="1" x14ac:dyDescent="0.35">
      <c r="A1212" s="37" t="str">
        <f t="shared" si="91"/>
        <v>PROCESSOReceptiva 27</v>
      </c>
      <c r="B1212" s="37" t="s">
        <v>1769</v>
      </c>
      <c r="C1212" s="37" t="s">
        <v>100</v>
      </c>
      <c r="D1212" s="37">
        <v>7</v>
      </c>
      <c r="E1212" s="37" t="s">
        <v>1783</v>
      </c>
      <c r="F1212" s="38">
        <v>0.15</v>
      </c>
      <c r="G1212" s="39">
        <f>IF(OR(B1212="FIXO",B1212="XFIXO"),IF(F1212="","ERRO",10*F1212)*'BD Campos'!$W$2,IF(F1212="","ERRO",10*F1212)*'BD Campos'!$W$3)</f>
        <v>1.5</v>
      </c>
      <c r="H1212" s="40">
        <v>0.05</v>
      </c>
      <c r="I1212" s="41">
        <f t="shared" si="92"/>
        <v>-7.5000000000000011E-2</v>
      </c>
    </row>
    <row r="1213" spans="1:9" hidden="1" x14ac:dyDescent="0.35">
      <c r="A1213" s="37" t="str">
        <f t="shared" si="91"/>
        <v>PROCESSOReceptiva 28</v>
      </c>
      <c r="B1213" s="37" t="s">
        <v>1769</v>
      </c>
      <c r="C1213" s="37" t="s">
        <v>100</v>
      </c>
      <c r="D1213" s="37">
        <v>8</v>
      </c>
      <c r="E1213" s="37" t="s">
        <v>1784</v>
      </c>
      <c r="F1213" s="38">
        <v>0.125</v>
      </c>
      <c r="G1213" s="39">
        <f>IF(OR(B1213="FIXO",B1213="XFIXO"),IF(F1213="","ERRO",10*F1213)*'BD Campos'!$W$2,IF(F1213="","ERRO",10*F1213)*'BD Campos'!$W$3)</f>
        <v>1.25</v>
      </c>
      <c r="H1213" s="40">
        <v>0.05</v>
      </c>
      <c r="I1213" s="41">
        <f t="shared" si="92"/>
        <v>-6.25E-2</v>
      </c>
    </row>
    <row r="1214" spans="1:9" hidden="1" x14ac:dyDescent="0.35">
      <c r="A1214" s="37" t="str">
        <f t="shared" si="91"/>
        <v>PROCESSOReceptiva 29</v>
      </c>
      <c r="B1214" s="37" t="s">
        <v>1769</v>
      </c>
      <c r="C1214" s="37" t="s">
        <v>100</v>
      </c>
      <c r="D1214" s="37">
        <v>9</v>
      </c>
      <c r="E1214" s="37" t="s">
        <v>1785</v>
      </c>
      <c r="F1214" s="38">
        <v>0.125</v>
      </c>
      <c r="G1214" s="39">
        <f>IF(OR(B1214="FIXO",B1214="XFIXO"),IF(F1214="","ERRO",10*F1214)*'BD Campos'!$W$2,IF(F1214="","ERRO",10*F1214)*'BD Campos'!$W$3)</f>
        <v>1.25</v>
      </c>
      <c r="H1214" s="40">
        <v>0.05</v>
      </c>
      <c r="I1214" s="41">
        <f t="shared" si="92"/>
        <v>-6.25E-2</v>
      </c>
    </row>
    <row r="1215" spans="1:9" hidden="1" x14ac:dyDescent="0.35">
      <c r="A1215" s="37" t="str">
        <f t="shared" si="91"/>
        <v>PROCESSOReceptiva 210</v>
      </c>
      <c r="B1215" s="37" t="s">
        <v>1769</v>
      </c>
      <c r="C1215" s="37" t="s">
        <v>100</v>
      </c>
      <c r="D1215" s="37">
        <v>10</v>
      </c>
      <c r="E1215" s="37" t="s">
        <v>1786</v>
      </c>
      <c r="F1215" s="38">
        <v>2.5000000000000001E-2</v>
      </c>
      <c r="G1215" s="39">
        <f>IF(OR(B1215="FIXO",B1215="XFIXO"),IF(F1215="","ERRO",10*F1215)*'BD Campos'!$W$2,IF(F1215="","ERRO",10*F1215)*'BD Campos'!$W$3)</f>
        <v>0.25</v>
      </c>
      <c r="H1215" s="40">
        <v>0.05</v>
      </c>
      <c r="I1215" s="41">
        <f t="shared" si="92"/>
        <v>-1.2500000000000001E-2</v>
      </c>
    </row>
    <row r="1216" spans="1:9" hidden="1" x14ac:dyDescent="0.35">
      <c r="A1216" s="37" t="str">
        <f t="shared" si="91"/>
        <v>PROCESSOReceptiva 211</v>
      </c>
      <c r="B1216" s="37" t="s">
        <v>1769</v>
      </c>
      <c r="C1216" s="37" t="s">
        <v>100</v>
      </c>
      <c r="D1216" s="37">
        <v>11</v>
      </c>
      <c r="E1216" s="37" t="s">
        <v>1787</v>
      </c>
      <c r="F1216" s="38">
        <v>0.15</v>
      </c>
      <c r="G1216" s="39">
        <f>IF(OR(B1216="FIXO",B1216="XFIXO"),IF(F1216="","ERRO",10*F1216)*'BD Campos'!$W$2,IF(F1216="","ERRO",10*F1216)*'BD Campos'!$W$3)</f>
        <v>1.5</v>
      </c>
      <c r="H1216" s="40">
        <v>0.05</v>
      </c>
      <c r="I1216" s="41">
        <f t="shared" si="92"/>
        <v>-7.5000000000000011E-2</v>
      </c>
    </row>
    <row r="1217" spans="1:9" hidden="1" x14ac:dyDescent="0.35">
      <c r="A1217" s="37" t="str">
        <f t="shared" si="91"/>
        <v>PROCESSOReceptiva 212</v>
      </c>
      <c r="B1217" s="37" t="s">
        <v>1769</v>
      </c>
      <c r="C1217" s="37" t="s">
        <v>100</v>
      </c>
      <c r="D1217" s="37">
        <v>12</v>
      </c>
      <c r="E1217" s="37" t="s">
        <v>1788</v>
      </c>
      <c r="F1217" s="38">
        <v>2.5000000000000001E-2</v>
      </c>
      <c r="G1217" s="39">
        <f>IF(OR(B1217="FIXO",B1217="XFIXO"),IF(F1217="","ERRO",10*F1217)*'BD Campos'!$W$2,IF(F1217="","ERRO",10*F1217)*'BD Campos'!$W$3)</f>
        <v>0.25</v>
      </c>
      <c r="H1217" s="40">
        <v>0.05</v>
      </c>
      <c r="I1217" s="41">
        <f t="shared" si="92"/>
        <v>-1.2500000000000001E-2</v>
      </c>
    </row>
    <row r="1218" spans="1:9" hidden="1" x14ac:dyDescent="0.35">
      <c r="A1218" s="37" t="str">
        <f>B1218&amp;C1218&amp;D1218</f>
        <v>MONITORAMENTO 1Receptiva1</v>
      </c>
      <c r="B1218" s="37" t="s">
        <v>1789</v>
      </c>
      <c r="C1218" s="37" t="s">
        <v>98</v>
      </c>
      <c r="D1218" s="37">
        <v>1</v>
      </c>
      <c r="E1218" s="37" t="s">
        <v>1791</v>
      </c>
      <c r="F1218" s="38">
        <v>0.05</v>
      </c>
      <c r="G1218" s="39">
        <f>IF(OR(B1218="FIXO",B1218="XFIXO"),IF(F1218="","ERRO",10*F1218)*'BD Campos'!$W$2,IF(F1218="","ERRO",10*F1218)*'BD Campos'!$W$3)</f>
        <v>0.5</v>
      </c>
      <c r="H1218" s="40">
        <v>0.05</v>
      </c>
      <c r="I1218" s="41">
        <f>H1218*G1218*-1</f>
        <v>-2.5000000000000001E-2</v>
      </c>
    </row>
    <row r="1219" spans="1:9" hidden="1" x14ac:dyDescent="0.35">
      <c r="A1219" s="37" t="str">
        <f t="shared" ref="A1219:A1228" si="93">B1219&amp;C1219&amp;D1219</f>
        <v>MONITORAMENTO 1Receptiva2</v>
      </c>
      <c r="B1219" s="37" t="s">
        <v>1789</v>
      </c>
      <c r="C1219" s="37" t="s">
        <v>98</v>
      </c>
      <c r="D1219" s="37">
        <v>2</v>
      </c>
      <c r="E1219" s="37" t="s">
        <v>1285</v>
      </c>
      <c r="F1219" s="38">
        <v>0.05</v>
      </c>
      <c r="G1219" s="39">
        <f>IF(OR(B1219="FIXO",B1219="XFIXO"),IF(F1219="","ERRO",10*F1219)*'BD Campos'!$W$2,IF(F1219="","ERRO",10*F1219)*'BD Campos'!$W$3)</f>
        <v>0.5</v>
      </c>
      <c r="H1219" s="40">
        <v>0.05</v>
      </c>
      <c r="I1219" s="41">
        <f t="shared" ref="I1219:I1228" si="94">H1219*G1219*-1</f>
        <v>-2.5000000000000001E-2</v>
      </c>
    </row>
    <row r="1220" spans="1:9" hidden="1" x14ac:dyDescent="0.35">
      <c r="A1220" s="37" t="str">
        <f t="shared" si="93"/>
        <v>MONITORAMENTO 1Receptiva3</v>
      </c>
      <c r="B1220" s="37" t="s">
        <v>1789</v>
      </c>
      <c r="C1220" s="37" t="s">
        <v>98</v>
      </c>
      <c r="D1220" s="37">
        <v>3</v>
      </c>
      <c r="E1220" s="37" t="s">
        <v>1792</v>
      </c>
      <c r="F1220" s="38">
        <v>7.4999999999999997E-2</v>
      </c>
      <c r="G1220" s="39">
        <f>IF(OR(B1220="FIXO",B1220="XFIXO"),IF(F1220="","ERRO",10*F1220)*'BD Campos'!$W$2,IF(F1220="","ERRO",10*F1220)*'BD Campos'!$W$3)</f>
        <v>0.75</v>
      </c>
      <c r="H1220" s="40">
        <v>0.05</v>
      </c>
      <c r="I1220" s="41">
        <f t="shared" si="94"/>
        <v>-3.7500000000000006E-2</v>
      </c>
    </row>
    <row r="1221" spans="1:9" hidden="1" x14ac:dyDescent="0.35">
      <c r="A1221" s="37" t="str">
        <f t="shared" si="93"/>
        <v>MONITORAMENTO 1Receptiva4</v>
      </c>
      <c r="B1221" s="37" t="s">
        <v>1789</v>
      </c>
      <c r="C1221" s="37" t="s">
        <v>98</v>
      </c>
      <c r="D1221" s="37">
        <v>4</v>
      </c>
      <c r="E1221" s="37" t="s">
        <v>1793</v>
      </c>
      <c r="F1221" s="38">
        <v>7.4999999999999997E-2</v>
      </c>
      <c r="G1221" s="39">
        <f>IF(OR(B1221="FIXO",B1221="XFIXO"),IF(F1221="","ERRO",10*F1221)*'BD Campos'!$W$2,IF(F1221="","ERRO",10*F1221)*'BD Campos'!$W$3)</f>
        <v>0.75</v>
      </c>
      <c r="H1221" s="40">
        <v>0.05</v>
      </c>
      <c r="I1221" s="41">
        <f t="shared" si="94"/>
        <v>-3.7500000000000006E-2</v>
      </c>
    </row>
    <row r="1222" spans="1:9" hidden="1" x14ac:dyDescent="0.35">
      <c r="A1222" s="37" t="str">
        <f t="shared" si="93"/>
        <v>MONITORAMENTO 1Receptiva5</v>
      </c>
      <c r="B1222" s="37" t="s">
        <v>1789</v>
      </c>
      <c r="C1222" s="37" t="s">
        <v>98</v>
      </c>
      <c r="D1222" s="37">
        <v>5</v>
      </c>
      <c r="E1222" s="37" t="s">
        <v>1794</v>
      </c>
      <c r="F1222" s="38">
        <v>0.125</v>
      </c>
      <c r="G1222" s="39">
        <f>IF(OR(B1222="FIXO",B1222="XFIXO"),IF(F1222="","ERRO",10*F1222)*'BD Campos'!$W$2,IF(F1222="","ERRO",10*F1222)*'BD Campos'!$W$3)</f>
        <v>1.25</v>
      </c>
      <c r="H1222" s="40">
        <v>0.05</v>
      </c>
      <c r="I1222" s="41">
        <f t="shared" si="94"/>
        <v>-6.25E-2</v>
      </c>
    </row>
    <row r="1223" spans="1:9" hidden="1" x14ac:dyDescent="0.35">
      <c r="A1223" s="37" t="str">
        <f t="shared" si="93"/>
        <v>MONITORAMENTO 1Receptiva6</v>
      </c>
      <c r="B1223" s="37" t="s">
        <v>1789</v>
      </c>
      <c r="C1223" s="37" t="s">
        <v>98</v>
      </c>
      <c r="D1223" s="37">
        <v>6</v>
      </c>
      <c r="E1223" s="37" t="s">
        <v>1795</v>
      </c>
      <c r="F1223" s="38">
        <v>0.125</v>
      </c>
      <c r="G1223" s="39">
        <f>IF(OR(B1223="FIXO",B1223="XFIXO"),IF(F1223="","ERRO",10*F1223)*'BD Campos'!$W$2,IF(F1223="","ERRO",10*F1223)*'BD Campos'!$W$3)</f>
        <v>1.25</v>
      </c>
      <c r="H1223" s="40">
        <v>0.05</v>
      </c>
      <c r="I1223" s="41">
        <f t="shared" si="94"/>
        <v>-6.25E-2</v>
      </c>
    </row>
    <row r="1224" spans="1:9" hidden="1" x14ac:dyDescent="0.35">
      <c r="A1224" s="37" t="str">
        <f t="shared" si="93"/>
        <v>MONITORAMENTO 1Receptiva7</v>
      </c>
      <c r="B1224" s="37" t="s">
        <v>1789</v>
      </c>
      <c r="C1224" s="37" t="s">
        <v>98</v>
      </c>
      <c r="D1224" s="37">
        <v>7</v>
      </c>
      <c r="E1224" s="37" t="s">
        <v>1796</v>
      </c>
      <c r="F1224" s="38">
        <v>0.1</v>
      </c>
      <c r="G1224" s="39">
        <f>IF(OR(B1224="FIXO",B1224="XFIXO"),IF(F1224="","ERRO",10*F1224)*'BD Campos'!$W$2,IF(F1224="","ERRO",10*F1224)*'BD Campos'!$W$3)</f>
        <v>1</v>
      </c>
      <c r="H1224" s="40">
        <v>0.05</v>
      </c>
      <c r="I1224" s="41">
        <f t="shared" si="94"/>
        <v>-0.05</v>
      </c>
    </row>
    <row r="1225" spans="1:9" hidden="1" x14ac:dyDescent="0.35">
      <c r="A1225" s="37" t="str">
        <f t="shared" si="93"/>
        <v>MONITORAMENTO 1Receptiva8</v>
      </c>
      <c r="B1225" s="37" t="s">
        <v>1789</v>
      </c>
      <c r="C1225" s="37" t="s">
        <v>98</v>
      </c>
      <c r="D1225" s="37">
        <v>8</v>
      </c>
      <c r="E1225" s="37" t="s">
        <v>1797</v>
      </c>
      <c r="F1225" s="38">
        <v>0.05</v>
      </c>
      <c r="G1225" s="39">
        <f>IF(OR(B1225="FIXO",B1225="XFIXO"),IF(F1225="","ERRO",10*F1225)*'BD Campos'!$W$2,IF(F1225="","ERRO",10*F1225)*'BD Campos'!$W$3)</f>
        <v>0.5</v>
      </c>
      <c r="H1225" s="40">
        <v>0.05</v>
      </c>
      <c r="I1225" s="41">
        <f t="shared" si="94"/>
        <v>-2.5000000000000001E-2</v>
      </c>
    </row>
    <row r="1226" spans="1:9" hidden="1" x14ac:dyDescent="0.35">
      <c r="A1226" s="37" t="str">
        <f t="shared" si="93"/>
        <v>MONITORAMENTO 1Receptiva9</v>
      </c>
      <c r="B1226" s="37" t="s">
        <v>1789</v>
      </c>
      <c r="C1226" s="37" t="s">
        <v>98</v>
      </c>
      <c r="D1226" s="37">
        <v>9</v>
      </c>
      <c r="E1226" s="37" t="s">
        <v>1798</v>
      </c>
      <c r="F1226" s="38">
        <v>0.125</v>
      </c>
      <c r="G1226" s="39">
        <f>IF(OR(B1226="FIXO",B1226="XFIXO"),IF(F1226="","ERRO",10*F1226)*'BD Campos'!$W$2,IF(F1226="","ERRO",10*F1226)*'BD Campos'!$W$3)</f>
        <v>1.25</v>
      </c>
      <c r="H1226" s="40">
        <v>0.05</v>
      </c>
      <c r="I1226" s="41">
        <f t="shared" si="94"/>
        <v>-6.25E-2</v>
      </c>
    </row>
    <row r="1227" spans="1:9" hidden="1" x14ac:dyDescent="0.35">
      <c r="A1227" s="37" t="str">
        <f t="shared" si="93"/>
        <v>MONITORAMENTO 1Receptiva10</v>
      </c>
      <c r="B1227" s="37" t="s">
        <v>1789</v>
      </c>
      <c r="C1227" s="37" t="s">
        <v>98</v>
      </c>
      <c r="D1227" s="37">
        <v>10</v>
      </c>
      <c r="E1227" s="37" t="s">
        <v>1799</v>
      </c>
      <c r="F1227" s="38">
        <v>0.125</v>
      </c>
      <c r="G1227" s="39">
        <f>IF(OR(B1227="FIXO",B1227="XFIXO"),IF(F1227="","ERRO",10*F1227)*'BD Campos'!$W$2,IF(F1227="","ERRO",10*F1227)*'BD Campos'!$W$3)</f>
        <v>1.25</v>
      </c>
      <c r="H1227" s="40">
        <v>0.05</v>
      </c>
      <c r="I1227" s="41">
        <f t="shared" si="94"/>
        <v>-6.25E-2</v>
      </c>
    </row>
    <row r="1228" spans="1:9" hidden="1" x14ac:dyDescent="0.35">
      <c r="A1228" s="37" t="str">
        <f t="shared" si="93"/>
        <v>MONITORAMENTO 1Receptiva11</v>
      </c>
      <c r="B1228" s="37" t="s">
        <v>1789</v>
      </c>
      <c r="C1228" s="37" t="s">
        <v>98</v>
      </c>
      <c r="D1228" s="37">
        <v>11</v>
      </c>
      <c r="E1228" s="37" t="s">
        <v>1800</v>
      </c>
      <c r="F1228" s="38">
        <v>0.1</v>
      </c>
      <c r="G1228" s="39">
        <f>IF(OR(B1228="FIXO",B1228="XFIXO"),IF(F1228="","ERRO",10*F1228)*'BD Campos'!$W$2,IF(F1228="","ERRO",10*F1228)*'BD Campos'!$W$3)</f>
        <v>1</v>
      </c>
      <c r="H1228" s="40">
        <v>0.05</v>
      </c>
      <c r="I1228" s="41">
        <f t="shared" si="94"/>
        <v>-0.05</v>
      </c>
    </row>
    <row r="1229" spans="1:9" hidden="1" x14ac:dyDescent="0.35">
      <c r="A1229" s="37" t="str">
        <f t="shared" ref="A1229:A1239" si="95">B1229&amp;C1229&amp;D1229</f>
        <v>MONITORAMENTO 1Receptiva 21</v>
      </c>
      <c r="B1229" s="37" t="s">
        <v>1789</v>
      </c>
      <c r="C1229" s="37" t="s">
        <v>100</v>
      </c>
      <c r="D1229" s="37">
        <v>1</v>
      </c>
      <c r="E1229" s="37" t="s">
        <v>1791</v>
      </c>
      <c r="F1229" s="38">
        <v>0.05</v>
      </c>
      <c r="G1229" s="39">
        <f>IF(OR(B1229="FIXO",B1229="XFIXO"),IF(F1229="","ERRO",10*F1229)*'BD Campos'!$W$2,IF(F1229="","ERRO",10*F1229)*'BD Campos'!$W$3)</f>
        <v>0.5</v>
      </c>
      <c r="H1229" s="40">
        <v>0.05</v>
      </c>
      <c r="I1229" s="41">
        <f t="shared" ref="I1229:I1239" si="96">H1229*G1229*-1</f>
        <v>-2.5000000000000001E-2</v>
      </c>
    </row>
    <row r="1230" spans="1:9" hidden="1" x14ac:dyDescent="0.35">
      <c r="A1230" s="37" t="str">
        <f t="shared" si="95"/>
        <v>MONITORAMENTO 1Receptiva 22</v>
      </c>
      <c r="B1230" s="37" t="s">
        <v>1789</v>
      </c>
      <c r="C1230" s="37" t="s">
        <v>100</v>
      </c>
      <c r="D1230" s="37">
        <v>2</v>
      </c>
      <c r="E1230" s="37" t="s">
        <v>1285</v>
      </c>
      <c r="F1230" s="38">
        <v>0.05</v>
      </c>
      <c r="G1230" s="39">
        <f>IF(OR(B1230="FIXO",B1230="XFIXO"),IF(F1230="","ERRO",10*F1230)*'BD Campos'!$W$2,IF(F1230="","ERRO",10*F1230)*'BD Campos'!$W$3)</f>
        <v>0.5</v>
      </c>
      <c r="H1230" s="40">
        <v>0.05</v>
      </c>
      <c r="I1230" s="41">
        <f t="shared" si="96"/>
        <v>-2.5000000000000001E-2</v>
      </c>
    </row>
    <row r="1231" spans="1:9" hidden="1" x14ac:dyDescent="0.35">
      <c r="A1231" s="37" t="str">
        <f t="shared" si="95"/>
        <v>MONITORAMENTO 1Receptiva 23</v>
      </c>
      <c r="B1231" s="37" t="s">
        <v>1789</v>
      </c>
      <c r="C1231" s="37" t="s">
        <v>100</v>
      </c>
      <c r="D1231" s="37">
        <v>3</v>
      </c>
      <c r="E1231" s="37" t="s">
        <v>1792</v>
      </c>
      <c r="F1231" s="38">
        <v>7.4999999999999997E-2</v>
      </c>
      <c r="G1231" s="39">
        <f>IF(OR(B1231="FIXO",B1231="XFIXO"),IF(F1231="","ERRO",10*F1231)*'BD Campos'!$W$2,IF(F1231="","ERRO",10*F1231)*'BD Campos'!$W$3)</f>
        <v>0.75</v>
      </c>
      <c r="H1231" s="40">
        <v>0.05</v>
      </c>
      <c r="I1231" s="41">
        <f t="shared" si="96"/>
        <v>-3.7500000000000006E-2</v>
      </c>
    </row>
    <row r="1232" spans="1:9" hidden="1" x14ac:dyDescent="0.35">
      <c r="A1232" s="37" t="str">
        <f t="shared" si="95"/>
        <v>MONITORAMENTO 1Receptiva 24</v>
      </c>
      <c r="B1232" s="37" t="s">
        <v>1789</v>
      </c>
      <c r="C1232" s="37" t="s">
        <v>100</v>
      </c>
      <c r="D1232" s="37">
        <v>4</v>
      </c>
      <c r="E1232" s="37" t="s">
        <v>1793</v>
      </c>
      <c r="F1232" s="38">
        <v>7.4999999999999997E-2</v>
      </c>
      <c r="G1232" s="39">
        <f>IF(OR(B1232="FIXO",B1232="XFIXO"),IF(F1232="","ERRO",10*F1232)*'BD Campos'!$W$2,IF(F1232="","ERRO",10*F1232)*'BD Campos'!$W$3)</f>
        <v>0.75</v>
      </c>
      <c r="H1232" s="40">
        <v>0.05</v>
      </c>
      <c r="I1232" s="41">
        <f t="shared" si="96"/>
        <v>-3.7500000000000006E-2</v>
      </c>
    </row>
    <row r="1233" spans="1:9" hidden="1" x14ac:dyDescent="0.35">
      <c r="A1233" s="37" t="str">
        <f t="shared" si="95"/>
        <v>MONITORAMENTO 1Receptiva 25</v>
      </c>
      <c r="B1233" s="37" t="s">
        <v>1789</v>
      </c>
      <c r="C1233" s="37" t="s">
        <v>100</v>
      </c>
      <c r="D1233" s="37">
        <v>5</v>
      </c>
      <c r="E1233" s="37" t="s">
        <v>1794</v>
      </c>
      <c r="F1233" s="38">
        <v>0.125</v>
      </c>
      <c r="G1233" s="39">
        <f>IF(OR(B1233="FIXO",B1233="XFIXO"),IF(F1233="","ERRO",10*F1233)*'BD Campos'!$W$2,IF(F1233="","ERRO",10*F1233)*'BD Campos'!$W$3)</f>
        <v>1.25</v>
      </c>
      <c r="H1233" s="40">
        <v>0.05</v>
      </c>
      <c r="I1233" s="41">
        <f t="shared" si="96"/>
        <v>-6.25E-2</v>
      </c>
    </row>
    <row r="1234" spans="1:9" hidden="1" x14ac:dyDescent="0.35">
      <c r="A1234" s="37" t="str">
        <f t="shared" si="95"/>
        <v>MONITORAMENTO 1Receptiva 26</v>
      </c>
      <c r="B1234" s="37" t="s">
        <v>1789</v>
      </c>
      <c r="C1234" s="37" t="s">
        <v>100</v>
      </c>
      <c r="D1234" s="37">
        <v>6</v>
      </c>
      <c r="E1234" s="37" t="s">
        <v>1795</v>
      </c>
      <c r="F1234" s="38">
        <v>0.125</v>
      </c>
      <c r="G1234" s="39">
        <f>IF(OR(B1234="FIXO",B1234="XFIXO"),IF(F1234="","ERRO",10*F1234)*'BD Campos'!$W$2,IF(F1234="","ERRO",10*F1234)*'BD Campos'!$W$3)</f>
        <v>1.25</v>
      </c>
      <c r="H1234" s="40">
        <v>0.05</v>
      </c>
      <c r="I1234" s="41">
        <f t="shared" si="96"/>
        <v>-6.25E-2</v>
      </c>
    </row>
    <row r="1235" spans="1:9" hidden="1" x14ac:dyDescent="0.35">
      <c r="A1235" s="37" t="str">
        <f t="shared" si="95"/>
        <v>MONITORAMENTO 1Receptiva 27</v>
      </c>
      <c r="B1235" s="37" t="s">
        <v>1789</v>
      </c>
      <c r="C1235" s="37" t="s">
        <v>100</v>
      </c>
      <c r="D1235" s="37">
        <v>7</v>
      </c>
      <c r="E1235" s="37" t="s">
        <v>1796</v>
      </c>
      <c r="F1235" s="38">
        <v>0.1</v>
      </c>
      <c r="G1235" s="39">
        <f>IF(OR(B1235="FIXO",B1235="XFIXO"),IF(F1235="","ERRO",10*F1235)*'BD Campos'!$W$2,IF(F1235="","ERRO",10*F1235)*'BD Campos'!$W$3)</f>
        <v>1</v>
      </c>
      <c r="H1235" s="40">
        <v>0.05</v>
      </c>
      <c r="I1235" s="41">
        <f t="shared" si="96"/>
        <v>-0.05</v>
      </c>
    </row>
    <row r="1236" spans="1:9" hidden="1" x14ac:dyDescent="0.35">
      <c r="A1236" s="37" t="str">
        <f t="shared" si="95"/>
        <v>MONITORAMENTO 1Receptiva 28</v>
      </c>
      <c r="B1236" s="37" t="s">
        <v>1789</v>
      </c>
      <c r="C1236" s="37" t="s">
        <v>100</v>
      </c>
      <c r="D1236" s="37">
        <v>8</v>
      </c>
      <c r="E1236" s="37" t="s">
        <v>1797</v>
      </c>
      <c r="F1236" s="38">
        <v>0.05</v>
      </c>
      <c r="G1236" s="39">
        <f>IF(OR(B1236="FIXO",B1236="XFIXO"),IF(F1236="","ERRO",10*F1236)*'BD Campos'!$W$2,IF(F1236="","ERRO",10*F1236)*'BD Campos'!$W$3)</f>
        <v>0.5</v>
      </c>
      <c r="H1236" s="40">
        <v>0.05</v>
      </c>
      <c r="I1236" s="41">
        <f t="shared" si="96"/>
        <v>-2.5000000000000001E-2</v>
      </c>
    </row>
    <row r="1237" spans="1:9" hidden="1" x14ac:dyDescent="0.35">
      <c r="A1237" s="37" t="str">
        <f t="shared" si="95"/>
        <v>MONITORAMENTO 1Receptiva 29</v>
      </c>
      <c r="B1237" s="37" t="s">
        <v>1789</v>
      </c>
      <c r="C1237" s="37" t="s">
        <v>100</v>
      </c>
      <c r="D1237" s="37">
        <v>9</v>
      </c>
      <c r="E1237" s="37" t="s">
        <v>1798</v>
      </c>
      <c r="F1237" s="38">
        <v>0.125</v>
      </c>
      <c r="G1237" s="39">
        <f>IF(OR(B1237="FIXO",B1237="XFIXO"),IF(F1237="","ERRO",10*F1237)*'BD Campos'!$W$2,IF(F1237="","ERRO",10*F1237)*'BD Campos'!$W$3)</f>
        <v>1.25</v>
      </c>
      <c r="H1237" s="40">
        <v>0.05</v>
      </c>
      <c r="I1237" s="41">
        <f t="shared" si="96"/>
        <v>-6.25E-2</v>
      </c>
    </row>
    <row r="1238" spans="1:9" hidden="1" x14ac:dyDescent="0.35">
      <c r="A1238" s="37" t="str">
        <f t="shared" si="95"/>
        <v>MONITORAMENTO 1Receptiva 210</v>
      </c>
      <c r="B1238" s="37" t="s">
        <v>1789</v>
      </c>
      <c r="C1238" s="37" t="s">
        <v>100</v>
      </c>
      <c r="D1238" s="37">
        <v>10</v>
      </c>
      <c r="E1238" s="37" t="s">
        <v>1799</v>
      </c>
      <c r="F1238" s="38">
        <v>0.125</v>
      </c>
      <c r="G1238" s="39">
        <f>IF(OR(B1238="FIXO",B1238="XFIXO"),IF(F1238="","ERRO",10*F1238)*'BD Campos'!$W$2,IF(F1238="","ERRO",10*F1238)*'BD Campos'!$W$3)</f>
        <v>1.25</v>
      </c>
      <c r="H1238" s="40">
        <v>0.05</v>
      </c>
      <c r="I1238" s="41">
        <f t="shared" si="96"/>
        <v>-6.25E-2</v>
      </c>
    </row>
    <row r="1239" spans="1:9" hidden="1" x14ac:dyDescent="0.35">
      <c r="A1239" s="37" t="str">
        <f t="shared" si="95"/>
        <v>MONITORAMENTO 1Receptiva 211</v>
      </c>
      <c r="B1239" s="37" t="s">
        <v>1789</v>
      </c>
      <c r="C1239" s="37" t="s">
        <v>100</v>
      </c>
      <c r="D1239" s="37">
        <v>11</v>
      </c>
      <c r="E1239" s="37" t="s">
        <v>1800</v>
      </c>
      <c r="F1239" s="38">
        <v>0.1</v>
      </c>
      <c r="G1239" s="39">
        <f>IF(OR(B1239="FIXO",B1239="XFIXO"),IF(F1239="","ERRO",10*F1239)*'BD Campos'!$W$2,IF(F1239="","ERRO",10*F1239)*'BD Campos'!$W$3)</f>
        <v>1</v>
      </c>
      <c r="H1239" s="40">
        <v>0.05</v>
      </c>
      <c r="I1239" s="41">
        <f t="shared" si="96"/>
        <v>-0.05</v>
      </c>
    </row>
    <row r="1240" spans="1:9" hidden="1" x14ac:dyDescent="0.35">
      <c r="A1240" s="37" t="str">
        <f>B1240&amp;C1240&amp;D1240</f>
        <v>MONITORAMENTO 2Receptiva1</v>
      </c>
      <c r="B1240" s="37" t="s">
        <v>1790</v>
      </c>
      <c r="C1240" s="37" t="s">
        <v>98</v>
      </c>
      <c r="D1240" s="37">
        <v>1</v>
      </c>
      <c r="E1240" s="37" t="s">
        <v>1791</v>
      </c>
      <c r="F1240" s="38">
        <v>0.05</v>
      </c>
      <c r="G1240" s="39">
        <f>IF(OR(B1240="FIXO",B1240="XFIXO"),IF(F1240="","ERRO",10*F1240)*'BD Campos'!$W$2,IF(F1240="","ERRO",10*F1240)*'BD Campos'!$W$3)</f>
        <v>0.5</v>
      </c>
      <c r="H1240" s="40">
        <v>0.05</v>
      </c>
      <c r="I1240" s="41">
        <f>H1240*G1240*-1</f>
        <v>-2.5000000000000001E-2</v>
      </c>
    </row>
    <row r="1241" spans="1:9" hidden="1" x14ac:dyDescent="0.35">
      <c r="A1241" s="37" t="str">
        <f t="shared" ref="A1241:A1251" si="97">B1241&amp;C1241&amp;D1241</f>
        <v>MONITORAMENTO 2Receptiva2</v>
      </c>
      <c r="B1241" s="37" t="s">
        <v>1790</v>
      </c>
      <c r="C1241" s="37" t="s">
        <v>98</v>
      </c>
      <c r="D1241" s="37">
        <v>2</v>
      </c>
      <c r="E1241" s="37" t="s">
        <v>1285</v>
      </c>
      <c r="F1241" s="38">
        <v>0.05</v>
      </c>
      <c r="G1241" s="39">
        <f>IF(OR(B1241="FIXO",B1241="XFIXO"),IF(F1241="","ERRO",10*F1241)*'BD Campos'!$W$2,IF(F1241="","ERRO",10*F1241)*'BD Campos'!$W$3)</f>
        <v>0.5</v>
      </c>
      <c r="H1241" s="40">
        <v>0.05</v>
      </c>
      <c r="I1241" s="41">
        <f t="shared" ref="I1241:I1251" si="98">H1241*G1241*-1</f>
        <v>-2.5000000000000001E-2</v>
      </c>
    </row>
    <row r="1242" spans="1:9" hidden="1" x14ac:dyDescent="0.35">
      <c r="A1242" s="37" t="str">
        <f t="shared" si="97"/>
        <v>MONITORAMENTO 2Receptiva3</v>
      </c>
      <c r="B1242" s="37" t="s">
        <v>1790</v>
      </c>
      <c r="C1242" s="37" t="s">
        <v>98</v>
      </c>
      <c r="D1242" s="37">
        <v>3</v>
      </c>
      <c r="E1242" s="37" t="s">
        <v>1792</v>
      </c>
      <c r="F1242" s="38">
        <v>7.4999999999999997E-2</v>
      </c>
      <c r="G1242" s="39">
        <f>IF(OR(B1242="FIXO",B1242="XFIXO"),IF(F1242="","ERRO",10*F1242)*'BD Campos'!$W$2,IF(F1242="","ERRO",10*F1242)*'BD Campos'!$W$3)</f>
        <v>0.75</v>
      </c>
      <c r="H1242" s="40">
        <v>0.05</v>
      </c>
      <c r="I1242" s="41">
        <f t="shared" si="98"/>
        <v>-3.7500000000000006E-2</v>
      </c>
    </row>
    <row r="1243" spans="1:9" hidden="1" x14ac:dyDescent="0.35">
      <c r="A1243" s="37" t="str">
        <f t="shared" si="97"/>
        <v>MONITORAMENTO 2Receptiva4</v>
      </c>
      <c r="B1243" s="37" t="s">
        <v>1790</v>
      </c>
      <c r="C1243" s="37" t="s">
        <v>98</v>
      </c>
      <c r="D1243" s="37">
        <v>4</v>
      </c>
      <c r="E1243" s="37" t="s">
        <v>1793</v>
      </c>
      <c r="F1243" s="38">
        <v>7.4999999999999997E-2</v>
      </c>
      <c r="G1243" s="39">
        <f>IF(OR(B1243="FIXO",B1243="XFIXO"),IF(F1243="","ERRO",10*F1243)*'BD Campos'!$W$2,IF(F1243="","ERRO",10*F1243)*'BD Campos'!$W$3)</f>
        <v>0.75</v>
      </c>
      <c r="H1243" s="40">
        <v>0.05</v>
      </c>
      <c r="I1243" s="41">
        <f t="shared" si="98"/>
        <v>-3.7500000000000006E-2</v>
      </c>
    </row>
    <row r="1244" spans="1:9" hidden="1" x14ac:dyDescent="0.35">
      <c r="A1244" s="37" t="str">
        <f t="shared" si="97"/>
        <v>MONITORAMENTO 2Receptiva5</v>
      </c>
      <c r="B1244" s="37" t="s">
        <v>1790</v>
      </c>
      <c r="C1244" s="37" t="s">
        <v>98</v>
      </c>
      <c r="D1244" s="37">
        <v>5</v>
      </c>
      <c r="E1244" s="37" t="s">
        <v>1794</v>
      </c>
      <c r="F1244" s="38">
        <v>0.125</v>
      </c>
      <c r="G1244" s="39">
        <f>IF(OR(B1244="FIXO",B1244="XFIXO"),IF(F1244="","ERRO",10*F1244)*'BD Campos'!$W$2,IF(F1244="","ERRO",10*F1244)*'BD Campos'!$W$3)</f>
        <v>1.25</v>
      </c>
      <c r="H1244" s="40">
        <v>0.05</v>
      </c>
      <c r="I1244" s="41">
        <f t="shared" si="98"/>
        <v>-6.25E-2</v>
      </c>
    </row>
    <row r="1245" spans="1:9" hidden="1" x14ac:dyDescent="0.35">
      <c r="A1245" s="37" t="str">
        <f t="shared" si="97"/>
        <v>MONITORAMENTO 2Receptiva6</v>
      </c>
      <c r="B1245" s="37" t="s">
        <v>1790</v>
      </c>
      <c r="C1245" s="37" t="s">
        <v>98</v>
      </c>
      <c r="D1245" s="37">
        <v>6</v>
      </c>
      <c r="E1245" s="37" t="s">
        <v>1795</v>
      </c>
      <c r="F1245" s="38">
        <v>0.1</v>
      </c>
      <c r="G1245" s="39">
        <f>IF(OR(B1245="FIXO",B1245="XFIXO"),IF(F1245="","ERRO",10*F1245)*'BD Campos'!$W$2,IF(F1245="","ERRO",10*F1245)*'BD Campos'!$W$3)</f>
        <v>1</v>
      </c>
      <c r="H1245" s="40">
        <v>0.05</v>
      </c>
      <c r="I1245" s="41">
        <f t="shared" si="98"/>
        <v>-0.05</v>
      </c>
    </row>
    <row r="1246" spans="1:9" hidden="1" x14ac:dyDescent="0.35">
      <c r="A1246" s="37" t="str">
        <f t="shared" si="97"/>
        <v>MONITORAMENTO 2Receptiva7</v>
      </c>
      <c r="B1246" s="37" t="s">
        <v>1790</v>
      </c>
      <c r="C1246" s="37" t="s">
        <v>98</v>
      </c>
      <c r="D1246" s="37">
        <v>7</v>
      </c>
      <c r="E1246" s="37" t="s">
        <v>1796</v>
      </c>
      <c r="F1246" s="38">
        <v>0.05</v>
      </c>
      <c r="G1246" s="39">
        <f>IF(OR(B1246="FIXO",B1246="XFIXO"),IF(F1246="","ERRO",10*F1246)*'BD Campos'!$W$2,IF(F1246="","ERRO",10*F1246)*'BD Campos'!$W$3)</f>
        <v>0.5</v>
      </c>
      <c r="H1246" s="40">
        <v>0.05</v>
      </c>
      <c r="I1246" s="41">
        <f t="shared" si="98"/>
        <v>-2.5000000000000001E-2</v>
      </c>
    </row>
    <row r="1247" spans="1:9" hidden="1" x14ac:dyDescent="0.35">
      <c r="A1247" s="37" t="str">
        <f t="shared" si="97"/>
        <v>MONITORAMENTO 2Receptiva8</v>
      </c>
      <c r="B1247" s="37" t="s">
        <v>1790</v>
      </c>
      <c r="C1247" s="37" t="s">
        <v>98</v>
      </c>
      <c r="D1247" s="37">
        <v>8</v>
      </c>
      <c r="E1247" s="37" t="s">
        <v>1797</v>
      </c>
      <c r="F1247" s="38">
        <v>0.05</v>
      </c>
      <c r="G1247" s="39">
        <f>IF(OR(B1247="FIXO",B1247="XFIXO"),IF(F1247="","ERRO",10*F1247)*'BD Campos'!$W$2,IF(F1247="","ERRO",10*F1247)*'BD Campos'!$W$3)</f>
        <v>0.5</v>
      </c>
      <c r="H1247" s="40">
        <v>0.05</v>
      </c>
      <c r="I1247" s="41">
        <f t="shared" si="98"/>
        <v>-2.5000000000000001E-2</v>
      </c>
    </row>
    <row r="1248" spans="1:9" hidden="1" x14ac:dyDescent="0.35">
      <c r="A1248" s="37" t="str">
        <f t="shared" si="97"/>
        <v>MONITORAMENTO 2Receptiva9</v>
      </c>
      <c r="B1248" s="37" t="s">
        <v>1790</v>
      </c>
      <c r="C1248" s="37" t="s">
        <v>98</v>
      </c>
      <c r="D1248" s="37">
        <v>9</v>
      </c>
      <c r="E1248" s="37" t="s">
        <v>1802</v>
      </c>
      <c r="F1248" s="38">
        <v>0.1</v>
      </c>
      <c r="G1248" s="39">
        <f>IF(OR(B1248="FIXO",B1248="XFIXO"),IF(F1248="","ERRO",10*F1248)*'BD Campos'!$W$2,IF(F1248="","ERRO",10*F1248)*'BD Campos'!$W$3)</f>
        <v>1</v>
      </c>
      <c r="H1248" s="40">
        <v>0.05</v>
      </c>
      <c r="I1248" s="41">
        <f t="shared" si="98"/>
        <v>-0.05</v>
      </c>
    </row>
    <row r="1249" spans="1:9" hidden="1" x14ac:dyDescent="0.35">
      <c r="A1249" s="37" t="str">
        <f t="shared" si="97"/>
        <v>MONITORAMENTO 2Receptiva10</v>
      </c>
      <c r="B1249" s="37" t="s">
        <v>1790</v>
      </c>
      <c r="C1249" s="37" t="s">
        <v>98</v>
      </c>
      <c r="D1249" s="37">
        <v>10</v>
      </c>
      <c r="E1249" s="37" t="s">
        <v>1803</v>
      </c>
      <c r="F1249" s="38">
        <v>0.1</v>
      </c>
      <c r="G1249" s="39">
        <f>IF(OR(B1249="FIXO",B1249="XFIXO"),IF(F1249="","ERRO",10*F1249)*'BD Campos'!$W$2,IF(F1249="","ERRO",10*F1249)*'BD Campos'!$W$3)</f>
        <v>1</v>
      </c>
      <c r="H1249" s="40">
        <v>0.05</v>
      </c>
      <c r="I1249" s="41">
        <f t="shared" si="98"/>
        <v>-0.05</v>
      </c>
    </row>
    <row r="1250" spans="1:9" hidden="1" x14ac:dyDescent="0.35">
      <c r="A1250" s="37" t="str">
        <f t="shared" si="97"/>
        <v>MONITORAMENTO 2Receptiva11</v>
      </c>
      <c r="B1250" s="37" t="s">
        <v>1790</v>
      </c>
      <c r="C1250" s="37" t="s">
        <v>98</v>
      </c>
      <c r="D1250" s="37">
        <v>11</v>
      </c>
      <c r="E1250" s="37" t="s">
        <v>1799</v>
      </c>
      <c r="F1250" s="38">
        <v>0.125</v>
      </c>
      <c r="G1250" s="39">
        <f>IF(OR(B1250="FIXO",B1250="XFIXO"),IF(F1250="","ERRO",10*F1250)*'BD Campos'!$W$2,IF(F1250="","ERRO",10*F1250)*'BD Campos'!$W$3)</f>
        <v>1.25</v>
      </c>
      <c r="H1250" s="40">
        <v>0.05</v>
      </c>
      <c r="I1250" s="41">
        <f t="shared" si="98"/>
        <v>-6.25E-2</v>
      </c>
    </row>
    <row r="1251" spans="1:9" hidden="1" x14ac:dyDescent="0.35">
      <c r="A1251" s="37" t="str">
        <f t="shared" si="97"/>
        <v>MONITORAMENTO 2Receptiva12</v>
      </c>
      <c r="B1251" s="37" t="s">
        <v>1790</v>
      </c>
      <c r="C1251" s="37" t="s">
        <v>98</v>
      </c>
      <c r="D1251" s="37">
        <v>12</v>
      </c>
      <c r="E1251" s="37" t="s">
        <v>1800</v>
      </c>
      <c r="F1251" s="38">
        <v>0.1</v>
      </c>
      <c r="G1251" s="39">
        <f>IF(OR(B1251="FIXO",B1251="XFIXO"),IF(F1251="","ERRO",10*F1251)*'BD Campos'!$W$2,IF(F1251="","ERRO",10*F1251)*'BD Campos'!$W$3)</f>
        <v>1</v>
      </c>
      <c r="H1251" s="40">
        <v>0.05</v>
      </c>
      <c r="I1251" s="41">
        <f t="shared" si="98"/>
        <v>-0.05</v>
      </c>
    </row>
    <row r="1252" spans="1:9" hidden="1" x14ac:dyDescent="0.35">
      <c r="A1252" s="37" t="str">
        <f t="shared" ref="A1252:A1263" si="99">B1252&amp;C1252&amp;D1252</f>
        <v>MONITORAMENTO 2Receptiva 21</v>
      </c>
      <c r="B1252" s="37" t="s">
        <v>1790</v>
      </c>
      <c r="C1252" s="37" t="s">
        <v>100</v>
      </c>
      <c r="D1252" s="37">
        <v>1</v>
      </c>
      <c r="E1252" s="37" t="s">
        <v>1791</v>
      </c>
      <c r="F1252" s="38">
        <v>0.05</v>
      </c>
      <c r="G1252" s="39">
        <f>IF(OR(B1252="FIXO",B1252="XFIXO"),IF(F1252="","ERRO",10*F1252)*'BD Campos'!$W$2,IF(F1252="","ERRO",10*F1252)*'BD Campos'!$W$3)</f>
        <v>0.5</v>
      </c>
      <c r="H1252" s="40">
        <v>0.05</v>
      </c>
      <c r="I1252" s="41">
        <f t="shared" ref="I1252:I1263" si="100">H1252*G1252*-1</f>
        <v>-2.5000000000000001E-2</v>
      </c>
    </row>
    <row r="1253" spans="1:9" hidden="1" x14ac:dyDescent="0.35">
      <c r="A1253" s="37" t="str">
        <f t="shared" si="99"/>
        <v>MONITORAMENTO 2Receptiva 22</v>
      </c>
      <c r="B1253" s="37" t="s">
        <v>1790</v>
      </c>
      <c r="C1253" s="37" t="s">
        <v>100</v>
      </c>
      <c r="D1253" s="37">
        <v>2</v>
      </c>
      <c r="E1253" s="37" t="s">
        <v>1285</v>
      </c>
      <c r="F1253" s="38">
        <v>0.05</v>
      </c>
      <c r="G1253" s="39">
        <f>IF(OR(B1253="FIXO",B1253="XFIXO"),IF(F1253="","ERRO",10*F1253)*'BD Campos'!$W$2,IF(F1253="","ERRO",10*F1253)*'BD Campos'!$W$3)</f>
        <v>0.5</v>
      </c>
      <c r="H1253" s="40">
        <v>0.05</v>
      </c>
      <c r="I1253" s="41">
        <f t="shared" si="100"/>
        <v>-2.5000000000000001E-2</v>
      </c>
    </row>
    <row r="1254" spans="1:9" hidden="1" x14ac:dyDescent="0.35">
      <c r="A1254" s="37" t="str">
        <f t="shared" si="99"/>
        <v>MONITORAMENTO 2Receptiva 23</v>
      </c>
      <c r="B1254" s="37" t="s">
        <v>1790</v>
      </c>
      <c r="C1254" s="37" t="s">
        <v>100</v>
      </c>
      <c r="D1254" s="37">
        <v>3</v>
      </c>
      <c r="E1254" s="37" t="s">
        <v>1792</v>
      </c>
      <c r="F1254" s="38">
        <v>7.4999999999999997E-2</v>
      </c>
      <c r="G1254" s="39">
        <f>IF(OR(B1254="FIXO",B1254="XFIXO"),IF(F1254="","ERRO",10*F1254)*'BD Campos'!$W$2,IF(F1254="","ERRO",10*F1254)*'BD Campos'!$W$3)</f>
        <v>0.75</v>
      </c>
      <c r="H1254" s="40">
        <v>0.05</v>
      </c>
      <c r="I1254" s="41">
        <f t="shared" si="100"/>
        <v>-3.7500000000000006E-2</v>
      </c>
    </row>
    <row r="1255" spans="1:9" hidden="1" x14ac:dyDescent="0.35">
      <c r="A1255" s="37" t="str">
        <f t="shared" si="99"/>
        <v>MONITORAMENTO 2Receptiva 24</v>
      </c>
      <c r="B1255" s="37" t="s">
        <v>1790</v>
      </c>
      <c r="C1255" s="37" t="s">
        <v>100</v>
      </c>
      <c r="D1255" s="37">
        <v>4</v>
      </c>
      <c r="E1255" s="37" t="s">
        <v>1793</v>
      </c>
      <c r="F1255" s="38">
        <v>7.4999999999999997E-2</v>
      </c>
      <c r="G1255" s="39">
        <f>IF(OR(B1255="FIXO",B1255="XFIXO"),IF(F1255="","ERRO",10*F1255)*'BD Campos'!$W$2,IF(F1255="","ERRO",10*F1255)*'BD Campos'!$W$3)</f>
        <v>0.75</v>
      </c>
      <c r="H1255" s="40">
        <v>0.05</v>
      </c>
      <c r="I1255" s="41">
        <f t="shared" si="100"/>
        <v>-3.7500000000000006E-2</v>
      </c>
    </row>
    <row r="1256" spans="1:9" hidden="1" x14ac:dyDescent="0.35">
      <c r="A1256" s="37" t="str">
        <f t="shared" si="99"/>
        <v>MONITORAMENTO 2Receptiva 25</v>
      </c>
      <c r="B1256" s="37" t="s">
        <v>1790</v>
      </c>
      <c r="C1256" s="37" t="s">
        <v>100</v>
      </c>
      <c r="D1256" s="37">
        <v>5</v>
      </c>
      <c r="E1256" s="37" t="s">
        <v>1794</v>
      </c>
      <c r="F1256" s="38">
        <v>0.125</v>
      </c>
      <c r="G1256" s="39">
        <f>IF(OR(B1256="FIXO",B1256="XFIXO"),IF(F1256="","ERRO",10*F1256)*'BD Campos'!$W$2,IF(F1256="","ERRO",10*F1256)*'BD Campos'!$W$3)</f>
        <v>1.25</v>
      </c>
      <c r="H1256" s="40">
        <v>0.05</v>
      </c>
      <c r="I1256" s="41">
        <f t="shared" si="100"/>
        <v>-6.25E-2</v>
      </c>
    </row>
    <row r="1257" spans="1:9" hidden="1" x14ac:dyDescent="0.35">
      <c r="A1257" s="37" t="str">
        <f t="shared" si="99"/>
        <v>MONITORAMENTO 2Receptiva 26</v>
      </c>
      <c r="B1257" s="37" t="s">
        <v>1790</v>
      </c>
      <c r="C1257" s="37" t="s">
        <v>100</v>
      </c>
      <c r="D1257" s="37">
        <v>6</v>
      </c>
      <c r="E1257" s="37" t="s">
        <v>1795</v>
      </c>
      <c r="F1257" s="38">
        <v>0.1</v>
      </c>
      <c r="G1257" s="39">
        <f>IF(OR(B1257="FIXO",B1257="XFIXO"),IF(F1257="","ERRO",10*F1257)*'BD Campos'!$W$2,IF(F1257="","ERRO",10*F1257)*'BD Campos'!$W$3)</f>
        <v>1</v>
      </c>
      <c r="H1257" s="40">
        <v>0.05</v>
      </c>
      <c r="I1257" s="41">
        <f t="shared" si="100"/>
        <v>-0.05</v>
      </c>
    </row>
    <row r="1258" spans="1:9" hidden="1" x14ac:dyDescent="0.35">
      <c r="A1258" s="37" t="str">
        <f t="shared" si="99"/>
        <v>MONITORAMENTO 2Receptiva 27</v>
      </c>
      <c r="B1258" s="37" t="s">
        <v>1790</v>
      </c>
      <c r="C1258" s="37" t="s">
        <v>100</v>
      </c>
      <c r="D1258" s="37">
        <v>7</v>
      </c>
      <c r="E1258" s="37" t="s">
        <v>1796</v>
      </c>
      <c r="F1258" s="38">
        <v>0.05</v>
      </c>
      <c r="G1258" s="39">
        <f>IF(OR(B1258="FIXO",B1258="XFIXO"),IF(F1258="","ERRO",10*F1258)*'BD Campos'!$W$2,IF(F1258="","ERRO",10*F1258)*'BD Campos'!$W$3)</f>
        <v>0.5</v>
      </c>
      <c r="H1258" s="40">
        <v>0.05</v>
      </c>
      <c r="I1258" s="41">
        <f t="shared" si="100"/>
        <v>-2.5000000000000001E-2</v>
      </c>
    </row>
    <row r="1259" spans="1:9" hidden="1" x14ac:dyDescent="0.35">
      <c r="A1259" s="37" t="str">
        <f t="shared" si="99"/>
        <v>MONITORAMENTO 2Receptiva 28</v>
      </c>
      <c r="B1259" s="37" t="s">
        <v>1790</v>
      </c>
      <c r="C1259" s="37" t="s">
        <v>100</v>
      </c>
      <c r="D1259" s="37">
        <v>8</v>
      </c>
      <c r="E1259" s="37" t="s">
        <v>1797</v>
      </c>
      <c r="F1259" s="38">
        <v>0.05</v>
      </c>
      <c r="G1259" s="39">
        <f>IF(OR(B1259="FIXO",B1259="XFIXO"),IF(F1259="","ERRO",10*F1259)*'BD Campos'!$W$2,IF(F1259="","ERRO",10*F1259)*'BD Campos'!$W$3)</f>
        <v>0.5</v>
      </c>
      <c r="H1259" s="40">
        <v>0.05</v>
      </c>
      <c r="I1259" s="41">
        <f t="shared" si="100"/>
        <v>-2.5000000000000001E-2</v>
      </c>
    </row>
    <row r="1260" spans="1:9" hidden="1" x14ac:dyDescent="0.35">
      <c r="A1260" s="37" t="str">
        <f t="shared" si="99"/>
        <v>MONITORAMENTO 2Receptiva 29</v>
      </c>
      <c r="B1260" s="37" t="s">
        <v>1790</v>
      </c>
      <c r="C1260" s="37" t="s">
        <v>100</v>
      </c>
      <c r="D1260" s="37">
        <v>9</v>
      </c>
      <c r="E1260" s="37" t="s">
        <v>1802</v>
      </c>
      <c r="F1260" s="38">
        <v>0.1</v>
      </c>
      <c r="G1260" s="39">
        <f>IF(OR(B1260="FIXO",B1260="XFIXO"),IF(F1260="","ERRO",10*F1260)*'BD Campos'!$W$2,IF(F1260="","ERRO",10*F1260)*'BD Campos'!$W$3)</f>
        <v>1</v>
      </c>
      <c r="H1260" s="40">
        <v>0.05</v>
      </c>
      <c r="I1260" s="41">
        <f t="shared" si="100"/>
        <v>-0.05</v>
      </c>
    </row>
    <row r="1261" spans="1:9" hidden="1" x14ac:dyDescent="0.35">
      <c r="A1261" s="37" t="str">
        <f t="shared" si="99"/>
        <v>MONITORAMENTO 2Receptiva 210</v>
      </c>
      <c r="B1261" s="37" t="s">
        <v>1790</v>
      </c>
      <c r="C1261" s="37" t="s">
        <v>100</v>
      </c>
      <c r="D1261" s="37">
        <v>10</v>
      </c>
      <c r="E1261" s="37" t="s">
        <v>1803</v>
      </c>
      <c r="F1261" s="38">
        <v>0.1</v>
      </c>
      <c r="G1261" s="39">
        <f>IF(OR(B1261="FIXO",B1261="XFIXO"),IF(F1261="","ERRO",10*F1261)*'BD Campos'!$W$2,IF(F1261="","ERRO",10*F1261)*'BD Campos'!$W$3)</f>
        <v>1</v>
      </c>
      <c r="H1261" s="40">
        <v>0.05</v>
      </c>
      <c r="I1261" s="41">
        <f t="shared" si="100"/>
        <v>-0.05</v>
      </c>
    </row>
    <row r="1262" spans="1:9" hidden="1" x14ac:dyDescent="0.35">
      <c r="A1262" s="37" t="str">
        <f t="shared" si="99"/>
        <v>MONITORAMENTO 2Receptiva 211</v>
      </c>
      <c r="B1262" s="37" t="s">
        <v>1790</v>
      </c>
      <c r="C1262" s="37" t="s">
        <v>100</v>
      </c>
      <c r="D1262" s="37">
        <v>11</v>
      </c>
      <c r="E1262" s="37" t="s">
        <v>1799</v>
      </c>
      <c r="F1262" s="38">
        <v>0.125</v>
      </c>
      <c r="G1262" s="39">
        <f>IF(OR(B1262="FIXO",B1262="XFIXO"),IF(F1262="","ERRO",10*F1262)*'BD Campos'!$W$2,IF(F1262="","ERRO",10*F1262)*'BD Campos'!$W$3)</f>
        <v>1.25</v>
      </c>
      <c r="H1262" s="40">
        <v>0.05</v>
      </c>
      <c r="I1262" s="41">
        <f t="shared" si="100"/>
        <v>-6.25E-2</v>
      </c>
    </row>
    <row r="1263" spans="1:9" hidden="1" x14ac:dyDescent="0.35">
      <c r="A1263" s="37" t="str">
        <f t="shared" si="99"/>
        <v>MONITORAMENTO 2Receptiva 212</v>
      </c>
      <c r="B1263" s="37" t="s">
        <v>1790</v>
      </c>
      <c r="C1263" s="37" t="s">
        <v>100</v>
      </c>
      <c r="D1263" s="37">
        <v>12</v>
      </c>
      <c r="E1263" s="37" t="s">
        <v>1800</v>
      </c>
      <c r="F1263" s="38">
        <v>0.1</v>
      </c>
      <c r="G1263" s="39">
        <f>IF(OR(B1263="FIXO",B1263="XFIXO"),IF(F1263="","ERRO",10*F1263)*'BD Campos'!$W$2,IF(F1263="","ERRO",10*F1263)*'BD Campos'!$W$3)</f>
        <v>1</v>
      </c>
      <c r="H1263" s="40">
        <v>0.05</v>
      </c>
      <c r="I1263" s="41">
        <f t="shared" si="100"/>
        <v>-0.05</v>
      </c>
    </row>
    <row r="1264" spans="1:9" x14ac:dyDescent="0.35">
      <c r="A1264" s="37" t="str">
        <f>B1264&amp;C1264&amp;D1264</f>
        <v>LOGISTICA REVERSAReceptiva1</v>
      </c>
      <c r="B1264" s="37" t="s">
        <v>1801</v>
      </c>
      <c r="C1264" s="37" t="s">
        <v>98</v>
      </c>
      <c r="D1264" s="37">
        <v>1</v>
      </c>
      <c r="E1264" s="37" t="s">
        <v>1791</v>
      </c>
      <c r="F1264" s="38">
        <v>0.05</v>
      </c>
      <c r="G1264" s="39">
        <f>IF(OR(B1264="FIXO",B1264="XFIXO"),IF(F1264="","ERRO",10*F1264)*'BD Campos'!$W$2,IF(F1264="","ERRO",10*F1264)*'BD Campos'!$W$3)</f>
        <v>0.5</v>
      </c>
      <c r="H1264" s="40">
        <v>0.05</v>
      </c>
      <c r="I1264" s="41">
        <f>H1264*G1264*-1</f>
        <v>-2.5000000000000001E-2</v>
      </c>
    </row>
    <row r="1265" spans="1:9" x14ac:dyDescent="0.35">
      <c r="A1265" s="37" t="str">
        <f t="shared" ref="A1265:A1275" si="101">B1265&amp;C1265&amp;D1265</f>
        <v>LOGISTICA REVERSAReceptiva2</v>
      </c>
      <c r="B1265" s="37" t="s">
        <v>1801</v>
      </c>
      <c r="C1265" s="37" t="s">
        <v>98</v>
      </c>
      <c r="D1265" s="37">
        <v>2</v>
      </c>
      <c r="E1265" s="37" t="s">
        <v>1285</v>
      </c>
      <c r="F1265" s="38">
        <v>0.05</v>
      </c>
      <c r="G1265" s="39">
        <f>IF(OR(B1265="FIXO",B1265="XFIXO"),IF(F1265="","ERRO",10*F1265)*'BD Campos'!$W$2,IF(F1265="","ERRO",10*F1265)*'BD Campos'!$W$3)</f>
        <v>0.5</v>
      </c>
      <c r="H1265" s="40">
        <v>0.05</v>
      </c>
      <c r="I1265" s="41">
        <f t="shared" ref="I1265:I1275" si="102">H1265*G1265*-1</f>
        <v>-2.5000000000000001E-2</v>
      </c>
    </row>
    <row r="1266" spans="1:9" x14ac:dyDescent="0.35">
      <c r="A1266" s="37" t="str">
        <f t="shared" si="101"/>
        <v>LOGISTICA REVERSAReceptiva3</v>
      </c>
      <c r="B1266" s="37" t="s">
        <v>1801</v>
      </c>
      <c r="C1266" s="37" t="s">
        <v>98</v>
      </c>
      <c r="D1266" s="37">
        <v>3</v>
      </c>
      <c r="E1266" s="37" t="s">
        <v>1792</v>
      </c>
      <c r="F1266" s="38">
        <v>7.4999999999999997E-2</v>
      </c>
      <c r="G1266" s="39">
        <f>IF(OR(B1266="FIXO",B1266="XFIXO"),IF(F1266="","ERRO",10*F1266)*'BD Campos'!$W$2,IF(F1266="","ERRO",10*F1266)*'BD Campos'!$W$3)</f>
        <v>0.75</v>
      </c>
      <c r="H1266" s="40">
        <v>0.05</v>
      </c>
      <c r="I1266" s="41">
        <f t="shared" si="102"/>
        <v>-3.7500000000000006E-2</v>
      </c>
    </row>
    <row r="1267" spans="1:9" x14ac:dyDescent="0.35">
      <c r="A1267" s="37" t="str">
        <f t="shared" si="101"/>
        <v>LOGISTICA REVERSAReceptiva4</v>
      </c>
      <c r="B1267" s="37" t="s">
        <v>1801</v>
      </c>
      <c r="C1267" s="37" t="s">
        <v>98</v>
      </c>
      <c r="D1267" s="37">
        <v>4</v>
      </c>
      <c r="E1267" s="37" t="s">
        <v>1793</v>
      </c>
      <c r="F1267" s="38">
        <v>7.4999999999999997E-2</v>
      </c>
      <c r="G1267" s="39">
        <f>IF(OR(B1267="FIXO",B1267="XFIXO"),IF(F1267="","ERRO",10*F1267)*'BD Campos'!$W$2,IF(F1267="","ERRO",10*F1267)*'BD Campos'!$W$3)</f>
        <v>0.75</v>
      </c>
      <c r="H1267" s="40">
        <v>0.05</v>
      </c>
      <c r="I1267" s="41">
        <f t="shared" si="102"/>
        <v>-3.7500000000000006E-2</v>
      </c>
    </row>
    <row r="1268" spans="1:9" x14ac:dyDescent="0.35">
      <c r="A1268" s="37" t="str">
        <f t="shared" si="101"/>
        <v>LOGISTICA REVERSAReceptiva5</v>
      </c>
      <c r="B1268" s="37" t="s">
        <v>1801</v>
      </c>
      <c r="C1268" s="37" t="s">
        <v>98</v>
      </c>
      <c r="D1268" s="37">
        <v>5</v>
      </c>
      <c r="E1268" s="37" t="s">
        <v>1794</v>
      </c>
      <c r="F1268" s="38">
        <v>0.125</v>
      </c>
      <c r="G1268" s="39">
        <f>IF(OR(B1268="FIXO",B1268="XFIXO"),IF(F1268="","ERRO",10*F1268)*'BD Campos'!$W$2,IF(F1268="","ERRO",10*F1268)*'BD Campos'!$W$3)</f>
        <v>1.25</v>
      </c>
      <c r="H1268" s="40">
        <v>0.05</v>
      </c>
      <c r="I1268" s="41">
        <f t="shared" si="102"/>
        <v>-6.25E-2</v>
      </c>
    </row>
    <row r="1269" spans="1:9" x14ac:dyDescent="0.35">
      <c r="A1269" s="37" t="str">
        <f t="shared" si="101"/>
        <v>LOGISTICA REVERSAReceptiva6</v>
      </c>
      <c r="B1269" s="37" t="s">
        <v>1801</v>
      </c>
      <c r="C1269" s="37" t="s">
        <v>98</v>
      </c>
      <c r="D1269" s="37">
        <v>6</v>
      </c>
      <c r="E1269" s="37" t="s">
        <v>1795</v>
      </c>
      <c r="F1269" s="38">
        <v>0.1</v>
      </c>
      <c r="G1269" s="39">
        <f>IF(OR(B1269="FIXO",B1269="XFIXO"),IF(F1269="","ERRO",10*F1269)*'BD Campos'!$W$2,IF(F1269="","ERRO",10*F1269)*'BD Campos'!$W$3)</f>
        <v>1</v>
      </c>
      <c r="H1269" s="40">
        <v>0.05</v>
      </c>
      <c r="I1269" s="41">
        <f t="shared" si="102"/>
        <v>-0.05</v>
      </c>
    </row>
    <row r="1270" spans="1:9" x14ac:dyDescent="0.35">
      <c r="A1270" s="37" t="str">
        <f t="shared" si="101"/>
        <v>LOGISTICA REVERSAReceptiva7</v>
      </c>
      <c r="B1270" s="37" t="s">
        <v>1801</v>
      </c>
      <c r="C1270" s="37" t="s">
        <v>98</v>
      </c>
      <c r="D1270" s="37">
        <v>7</v>
      </c>
      <c r="E1270" s="37" t="s">
        <v>1796</v>
      </c>
      <c r="F1270" s="38">
        <v>0.05</v>
      </c>
      <c r="G1270" s="39">
        <f>IF(OR(B1270="FIXO",B1270="XFIXO"),IF(F1270="","ERRO",10*F1270)*'BD Campos'!$W$2,IF(F1270="","ERRO",10*F1270)*'BD Campos'!$W$3)</f>
        <v>0.5</v>
      </c>
      <c r="H1270" s="40">
        <v>0.05</v>
      </c>
      <c r="I1270" s="41">
        <f t="shared" si="102"/>
        <v>-2.5000000000000001E-2</v>
      </c>
    </row>
    <row r="1271" spans="1:9" x14ac:dyDescent="0.35">
      <c r="A1271" s="37" t="str">
        <f t="shared" si="101"/>
        <v>LOGISTICA REVERSAReceptiva8</v>
      </c>
      <c r="B1271" s="37" t="s">
        <v>1801</v>
      </c>
      <c r="C1271" s="37" t="s">
        <v>98</v>
      </c>
      <c r="D1271" s="37">
        <v>8</v>
      </c>
      <c r="E1271" s="37" t="s">
        <v>1797</v>
      </c>
      <c r="F1271" s="38">
        <v>0.05</v>
      </c>
      <c r="G1271" s="39">
        <f>IF(OR(B1271="FIXO",B1271="XFIXO"),IF(F1271="","ERRO",10*F1271)*'BD Campos'!$W$2,IF(F1271="","ERRO",10*F1271)*'BD Campos'!$W$3)</f>
        <v>0.5</v>
      </c>
      <c r="H1271" s="40">
        <v>0.05</v>
      </c>
      <c r="I1271" s="41">
        <f t="shared" si="102"/>
        <v>-2.5000000000000001E-2</v>
      </c>
    </row>
    <row r="1272" spans="1:9" x14ac:dyDescent="0.35">
      <c r="A1272" s="37" t="str">
        <f t="shared" si="101"/>
        <v>LOGISTICA REVERSAReceptiva9</v>
      </c>
      <c r="B1272" s="37" t="s">
        <v>1801</v>
      </c>
      <c r="C1272" s="37" t="s">
        <v>98</v>
      </c>
      <c r="D1272" s="37">
        <v>9</v>
      </c>
      <c r="E1272" s="37" t="s">
        <v>1807</v>
      </c>
      <c r="F1272" s="38">
        <v>0.1</v>
      </c>
      <c r="G1272" s="39">
        <f>IF(OR(B1272="FIXO",B1272="XFIXO"),IF(F1272="","ERRO",10*F1272)*'BD Campos'!$W$2,IF(F1272="","ERRO",10*F1272)*'BD Campos'!$W$3)</f>
        <v>1</v>
      </c>
      <c r="H1272" s="40">
        <v>0.05</v>
      </c>
      <c r="I1272" s="41">
        <f t="shared" si="102"/>
        <v>-0.05</v>
      </c>
    </row>
    <row r="1273" spans="1:9" x14ac:dyDescent="0.35">
      <c r="A1273" s="37" t="str">
        <f t="shared" si="101"/>
        <v>LOGISTICA REVERSAReceptiva10</v>
      </c>
      <c r="B1273" s="37" t="s">
        <v>1801</v>
      </c>
      <c r="C1273" s="37" t="s">
        <v>98</v>
      </c>
      <c r="D1273" s="37">
        <v>10</v>
      </c>
      <c r="E1273" s="37" t="s">
        <v>1808</v>
      </c>
      <c r="F1273" s="38">
        <v>0.1</v>
      </c>
      <c r="G1273" s="39">
        <f>IF(OR(B1273="FIXO",B1273="XFIXO"),IF(F1273="","ERRO",10*F1273)*'BD Campos'!$W$2,IF(F1273="","ERRO",10*F1273)*'BD Campos'!$W$3)</f>
        <v>1</v>
      </c>
      <c r="H1273" s="40">
        <v>0.05</v>
      </c>
      <c r="I1273" s="41">
        <f t="shared" si="102"/>
        <v>-0.05</v>
      </c>
    </row>
    <row r="1274" spans="1:9" x14ac:dyDescent="0.35">
      <c r="A1274" s="37" t="str">
        <f t="shared" si="101"/>
        <v>LOGISTICA REVERSAReceptiva11</v>
      </c>
      <c r="B1274" s="37" t="s">
        <v>1801</v>
      </c>
      <c r="C1274" s="37" t="s">
        <v>98</v>
      </c>
      <c r="D1274" s="37">
        <v>11</v>
      </c>
      <c r="E1274" s="37" t="s">
        <v>1799</v>
      </c>
      <c r="F1274" s="38">
        <v>0.125</v>
      </c>
      <c r="G1274" s="39">
        <f>IF(OR(B1274="FIXO",B1274="XFIXO"),IF(F1274="","ERRO",10*F1274)*'BD Campos'!$W$2,IF(F1274="","ERRO",10*F1274)*'BD Campos'!$W$3)</f>
        <v>1.25</v>
      </c>
      <c r="H1274" s="40">
        <v>0.05</v>
      </c>
      <c r="I1274" s="41">
        <f t="shared" si="102"/>
        <v>-6.25E-2</v>
      </c>
    </row>
    <row r="1275" spans="1:9" x14ac:dyDescent="0.35">
      <c r="A1275" s="37" t="str">
        <f t="shared" si="101"/>
        <v>LOGISTICA REVERSAReceptiva12</v>
      </c>
      <c r="B1275" s="37" t="s">
        <v>1801</v>
      </c>
      <c r="C1275" s="37" t="s">
        <v>98</v>
      </c>
      <c r="D1275" s="37">
        <v>12</v>
      </c>
      <c r="E1275" s="37" t="s">
        <v>1800</v>
      </c>
      <c r="F1275" s="38">
        <v>0.1</v>
      </c>
      <c r="G1275" s="39">
        <f>IF(OR(B1275="FIXO",B1275="XFIXO"),IF(F1275="","ERRO",10*F1275)*'BD Campos'!$W$2,IF(F1275="","ERRO",10*F1275)*'BD Campos'!$W$3)</f>
        <v>1</v>
      </c>
      <c r="H1275" s="40">
        <v>0.05</v>
      </c>
      <c r="I1275" s="41">
        <f t="shared" si="102"/>
        <v>-0.05</v>
      </c>
    </row>
    <row r="1276" spans="1:9" x14ac:dyDescent="0.35">
      <c r="A1276" s="37" t="str">
        <f t="shared" ref="A1276:A1287" si="103">B1276&amp;C1276&amp;D1276</f>
        <v>LOGISTICA REVERSAReceptiva 21</v>
      </c>
      <c r="B1276" s="37" t="s">
        <v>1801</v>
      </c>
      <c r="C1276" s="37" t="s">
        <v>100</v>
      </c>
      <c r="D1276" s="37">
        <v>1</v>
      </c>
      <c r="E1276" s="37" t="s">
        <v>1791</v>
      </c>
      <c r="F1276" s="38">
        <v>0.05</v>
      </c>
      <c r="G1276" s="39">
        <f>IF(OR(B1276="FIXO",B1276="XFIXO"),IF(F1276="","ERRO",10*F1276)*'BD Campos'!$W$2,IF(F1276="","ERRO",10*F1276)*'BD Campos'!$W$3)</f>
        <v>0.5</v>
      </c>
      <c r="H1276" s="40">
        <v>0.05</v>
      </c>
      <c r="I1276" s="41">
        <f t="shared" ref="I1276:I1287" si="104">H1276*G1276*-1</f>
        <v>-2.5000000000000001E-2</v>
      </c>
    </row>
    <row r="1277" spans="1:9" x14ac:dyDescent="0.35">
      <c r="A1277" s="37" t="str">
        <f t="shared" si="103"/>
        <v>LOGISTICA REVERSAReceptiva 22</v>
      </c>
      <c r="B1277" s="37" t="s">
        <v>1801</v>
      </c>
      <c r="C1277" s="37" t="s">
        <v>100</v>
      </c>
      <c r="D1277" s="37">
        <v>2</v>
      </c>
      <c r="E1277" s="37" t="s">
        <v>1285</v>
      </c>
      <c r="F1277" s="38">
        <v>0.05</v>
      </c>
      <c r="G1277" s="39">
        <f>IF(OR(B1277="FIXO",B1277="XFIXO"),IF(F1277="","ERRO",10*F1277)*'BD Campos'!$W$2,IF(F1277="","ERRO",10*F1277)*'BD Campos'!$W$3)</f>
        <v>0.5</v>
      </c>
      <c r="H1277" s="40">
        <v>0.05</v>
      </c>
      <c r="I1277" s="41">
        <f t="shared" si="104"/>
        <v>-2.5000000000000001E-2</v>
      </c>
    </row>
    <row r="1278" spans="1:9" x14ac:dyDescent="0.35">
      <c r="A1278" s="37" t="str">
        <f t="shared" si="103"/>
        <v>LOGISTICA REVERSAReceptiva 23</v>
      </c>
      <c r="B1278" s="37" t="s">
        <v>1801</v>
      </c>
      <c r="C1278" s="37" t="s">
        <v>100</v>
      </c>
      <c r="D1278" s="37">
        <v>3</v>
      </c>
      <c r="E1278" s="37" t="s">
        <v>1792</v>
      </c>
      <c r="F1278" s="38">
        <v>7.4999999999999997E-2</v>
      </c>
      <c r="G1278" s="39">
        <f>IF(OR(B1278="FIXO",B1278="XFIXO"),IF(F1278="","ERRO",10*F1278)*'BD Campos'!$W$2,IF(F1278="","ERRO",10*F1278)*'BD Campos'!$W$3)</f>
        <v>0.75</v>
      </c>
      <c r="H1278" s="40">
        <v>0.05</v>
      </c>
      <c r="I1278" s="41">
        <f t="shared" si="104"/>
        <v>-3.7500000000000006E-2</v>
      </c>
    </row>
    <row r="1279" spans="1:9" x14ac:dyDescent="0.35">
      <c r="A1279" s="37" t="str">
        <f t="shared" si="103"/>
        <v>LOGISTICA REVERSAReceptiva 24</v>
      </c>
      <c r="B1279" s="37" t="s">
        <v>1801</v>
      </c>
      <c r="C1279" s="37" t="s">
        <v>100</v>
      </c>
      <c r="D1279" s="37">
        <v>4</v>
      </c>
      <c r="E1279" s="37" t="s">
        <v>1793</v>
      </c>
      <c r="F1279" s="38">
        <v>7.4999999999999997E-2</v>
      </c>
      <c r="G1279" s="39">
        <f>IF(OR(B1279="FIXO",B1279="XFIXO"),IF(F1279="","ERRO",10*F1279)*'BD Campos'!$W$2,IF(F1279="","ERRO",10*F1279)*'BD Campos'!$W$3)</f>
        <v>0.75</v>
      </c>
      <c r="H1279" s="40">
        <v>0.05</v>
      </c>
      <c r="I1279" s="41">
        <f t="shared" si="104"/>
        <v>-3.7500000000000006E-2</v>
      </c>
    </row>
    <row r="1280" spans="1:9" x14ac:dyDescent="0.35">
      <c r="A1280" s="37" t="str">
        <f t="shared" si="103"/>
        <v>LOGISTICA REVERSAReceptiva 25</v>
      </c>
      <c r="B1280" s="37" t="s">
        <v>1801</v>
      </c>
      <c r="C1280" s="37" t="s">
        <v>100</v>
      </c>
      <c r="D1280" s="37">
        <v>5</v>
      </c>
      <c r="E1280" s="37" t="s">
        <v>1794</v>
      </c>
      <c r="F1280" s="38">
        <v>0.125</v>
      </c>
      <c r="G1280" s="39">
        <f>IF(OR(B1280="FIXO",B1280="XFIXO"),IF(F1280="","ERRO",10*F1280)*'BD Campos'!$W$2,IF(F1280="","ERRO",10*F1280)*'BD Campos'!$W$3)</f>
        <v>1.25</v>
      </c>
      <c r="H1280" s="40">
        <v>0.05</v>
      </c>
      <c r="I1280" s="41">
        <f t="shared" si="104"/>
        <v>-6.25E-2</v>
      </c>
    </row>
    <row r="1281" spans="1:9" x14ac:dyDescent="0.35">
      <c r="A1281" s="37" t="str">
        <f t="shared" si="103"/>
        <v>LOGISTICA REVERSAReceptiva 26</v>
      </c>
      <c r="B1281" s="37" t="s">
        <v>1801</v>
      </c>
      <c r="C1281" s="37" t="s">
        <v>100</v>
      </c>
      <c r="D1281" s="37">
        <v>6</v>
      </c>
      <c r="E1281" s="37" t="s">
        <v>1795</v>
      </c>
      <c r="F1281" s="38">
        <v>0.1</v>
      </c>
      <c r="G1281" s="39">
        <f>IF(OR(B1281="FIXO",B1281="XFIXO"),IF(F1281="","ERRO",10*F1281)*'BD Campos'!$W$2,IF(F1281="","ERRO",10*F1281)*'BD Campos'!$W$3)</f>
        <v>1</v>
      </c>
      <c r="H1281" s="40">
        <v>0.05</v>
      </c>
      <c r="I1281" s="41">
        <f t="shared" si="104"/>
        <v>-0.05</v>
      </c>
    </row>
    <row r="1282" spans="1:9" x14ac:dyDescent="0.35">
      <c r="A1282" s="37" t="str">
        <f t="shared" si="103"/>
        <v>LOGISTICA REVERSAReceptiva 27</v>
      </c>
      <c r="B1282" s="37" t="s">
        <v>1801</v>
      </c>
      <c r="C1282" s="37" t="s">
        <v>100</v>
      </c>
      <c r="D1282" s="37">
        <v>7</v>
      </c>
      <c r="E1282" s="37" t="s">
        <v>1796</v>
      </c>
      <c r="F1282" s="38">
        <v>0.05</v>
      </c>
      <c r="G1282" s="39">
        <f>IF(OR(B1282="FIXO",B1282="XFIXO"),IF(F1282="","ERRO",10*F1282)*'BD Campos'!$W$2,IF(F1282="","ERRO",10*F1282)*'BD Campos'!$W$3)</f>
        <v>0.5</v>
      </c>
      <c r="H1282" s="40">
        <v>0.05</v>
      </c>
      <c r="I1282" s="41">
        <f t="shared" si="104"/>
        <v>-2.5000000000000001E-2</v>
      </c>
    </row>
    <row r="1283" spans="1:9" x14ac:dyDescent="0.35">
      <c r="A1283" s="37" t="str">
        <f t="shared" si="103"/>
        <v>LOGISTICA REVERSAReceptiva 28</v>
      </c>
      <c r="B1283" s="37" t="s">
        <v>1801</v>
      </c>
      <c r="C1283" s="37" t="s">
        <v>100</v>
      </c>
      <c r="D1283" s="37">
        <v>8</v>
      </c>
      <c r="E1283" s="37" t="s">
        <v>1797</v>
      </c>
      <c r="F1283" s="38">
        <v>0.05</v>
      </c>
      <c r="G1283" s="39">
        <f>IF(OR(B1283="FIXO",B1283="XFIXO"),IF(F1283="","ERRO",10*F1283)*'BD Campos'!$W$2,IF(F1283="","ERRO",10*F1283)*'BD Campos'!$W$3)</f>
        <v>0.5</v>
      </c>
      <c r="H1283" s="40">
        <v>0.05</v>
      </c>
      <c r="I1283" s="41">
        <f t="shared" si="104"/>
        <v>-2.5000000000000001E-2</v>
      </c>
    </row>
    <row r="1284" spans="1:9" x14ac:dyDescent="0.35">
      <c r="A1284" s="37" t="str">
        <f t="shared" si="103"/>
        <v>LOGISTICA REVERSAReceptiva 29</v>
      </c>
      <c r="B1284" s="37" t="s">
        <v>1801</v>
      </c>
      <c r="C1284" s="37" t="s">
        <v>100</v>
      </c>
      <c r="D1284" s="37">
        <v>9</v>
      </c>
      <c r="E1284" s="37" t="s">
        <v>1807</v>
      </c>
      <c r="F1284" s="38">
        <v>0.1</v>
      </c>
      <c r="G1284" s="39">
        <f>IF(OR(B1284="FIXO",B1284="XFIXO"),IF(F1284="","ERRO",10*F1284)*'BD Campos'!$W$2,IF(F1284="","ERRO",10*F1284)*'BD Campos'!$W$3)</f>
        <v>1</v>
      </c>
      <c r="H1284" s="40">
        <v>0.05</v>
      </c>
      <c r="I1284" s="41">
        <f t="shared" si="104"/>
        <v>-0.05</v>
      </c>
    </row>
    <row r="1285" spans="1:9" x14ac:dyDescent="0.35">
      <c r="A1285" s="37" t="str">
        <f t="shared" si="103"/>
        <v>LOGISTICA REVERSAReceptiva 210</v>
      </c>
      <c r="B1285" s="37" t="s">
        <v>1801</v>
      </c>
      <c r="C1285" s="37" t="s">
        <v>100</v>
      </c>
      <c r="D1285" s="37">
        <v>10</v>
      </c>
      <c r="E1285" s="37" t="s">
        <v>1808</v>
      </c>
      <c r="F1285" s="38">
        <v>0.1</v>
      </c>
      <c r="G1285" s="39">
        <f>IF(OR(B1285="FIXO",B1285="XFIXO"),IF(F1285="","ERRO",10*F1285)*'BD Campos'!$W$2,IF(F1285="","ERRO",10*F1285)*'BD Campos'!$W$3)</f>
        <v>1</v>
      </c>
      <c r="H1285" s="40">
        <v>0.05</v>
      </c>
      <c r="I1285" s="41">
        <f t="shared" si="104"/>
        <v>-0.05</v>
      </c>
    </row>
    <row r="1286" spans="1:9" x14ac:dyDescent="0.35">
      <c r="A1286" s="37" t="str">
        <f t="shared" si="103"/>
        <v>LOGISTICA REVERSAReceptiva 211</v>
      </c>
      <c r="B1286" s="37" t="s">
        <v>1801</v>
      </c>
      <c r="C1286" s="37" t="s">
        <v>100</v>
      </c>
      <c r="D1286" s="37">
        <v>11</v>
      </c>
      <c r="E1286" s="37" t="s">
        <v>1799</v>
      </c>
      <c r="F1286" s="38">
        <v>0.125</v>
      </c>
      <c r="G1286" s="39">
        <f>IF(OR(B1286="FIXO",B1286="XFIXO"),IF(F1286="","ERRO",10*F1286)*'BD Campos'!$W$2,IF(F1286="","ERRO",10*F1286)*'BD Campos'!$W$3)</f>
        <v>1.25</v>
      </c>
      <c r="H1286" s="40">
        <v>0.05</v>
      </c>
      <c r="I1286" s="41">
        <f t="shared" si="104"/>
        <v>-6.25E-2</v>
      </c>
    </row>
    <row r="1287" spans="1:9" x14ac:dyDescent="0.35">
      <c r="A1287" s="37" t="str">
        <f t="shared" si="103"/>
        <v>LOGISTICA REVERSAReceptiva 212</v>
      </c>
      <c r="B1287" s="37" t="s">
        <v>1801</v>
      </c>
      <c r="C1287" s="37" t="s">
        <v>100</v>
      </c>
      <c r="D1287" s="37">
        <v>12</v>
      </c>
      <c r="E1287" s="37" t="s">
        <v>1800</v>
      </c>
      <c r="F1287" s="38">
        <v>0.1</v>
      </c>
      <c r="G1287" s="39">
        <f>IF(OR(B1287="FIXO",B1287="XFIXO"),IF(F1287="","ERRO",10*F1287)*'BD Campos'!$W$2,IF(F1287="","ERRO",10*F1287)*'BD Campos'!$W$3)</f>
        <v>1</v>
      </c>
      <c r="H1287" s="40">
        <v>0.05</v>
      </c>
      <c r="I1287" s="41">
        <f t="shared" si="104"/>
        <v>-0.05</v>
      </c>
    </row>
  </sheetData>
  <phoneticPr fontId="19" type="noConversion"/>
  <pageMargins left="0.511811024" right="0.511811024" top="0.78740157499999996" bottom="0.78740157499999996" header="0.31496062000000002" footer="0.31496062000000002"/>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DA219-1A19-469C-84A1-995A7E8A3FF2}">
  <sheetPr codeName="Planilha2"/>
  <dimension ref="A1:E15"/>
  <sheetViews>
    <sheetView showGridLines="0" zoomScale="90" zoomScaleNormal="90" workbookViewId="0">
      <selection activeCell="B3" sqref="B3:B14"/>
    </sheetView>
  </sheetViews>
  <sheetFormatPr defaultRowHeight="24.65" customHeight="1" x14ac:dyDescent="0.35"/>
  <cols>
    <col min="1" max="1" width="11.6328125" style="11" customWidth="1"/>
    <col min="2" max="2" width="31.6328125" customWidth="1"/>
    <col min="3" max="3" width="5.6328125" style="3" customWidth="1"/>
    <col min="4" max="5" width="31.6328125" customWidth="1"/>
  </cols>
  <sheetData>
    <row r="1" spans="1:5" ht="17.5" x14ac:dyDescent="0.35">
      <c r="B1" s="204" t="s">
        <v>1814</v>
      </c>
      <c r="C1" s="204"/>
      <c r="D1" s="204"/>
      <c r="E1" s="204"/>
    </row>
    <row r="2" spans="1:5" ht="14.5" x14ac:dyDescent="0.35">
      <c r="A2"/>
      <c r="B2" s="180" t="s">
        <v>1812</v>
      </c>
      <c r="C2" s="180" t="s">
        <v>472</v>
      </c>
      <c r="D2" s="180" t="s">
        <v>1815</v>
      </c>
      <c r="E2" s="180" t="s">
        <v>1816</v>
      </c>
    </row>
    <row r="3" spans="1:5" ht="43.5" x14ac:dyDescent="0.35">
      <c r="A3"/>
      <c r="B3" s="169" t="s">
        <v>2218</v>
      </c>
      <c r="C3" s="170">
        <v>0.3</v>
      </c>
      <c r="D3" s="171" t="s">
        <v>1841</v>
      </c>
      <c r="E3" s="171" t="s">
        <v>1873</v>
      </c>
    </row>
    <row r="4" spans="1:5" ht="43.5" x14ac:dyDescent="0.35">
      <c r="A4"/>
      <c r="B4" s="169" t="s">
        <v>2342</v>
      </c>
      <c r="C4" s="170">
        <v>2</v>
      </c>
      <c r="D4" s="171" t="s">
        <v>2343</v>
      </c>
      <c r="E4" s="171" t="s">
        <v>1817</v>
      </c>
    </row>
    <row r="5" spans="1:5" ht="43.5" x14ac:dyDescent="0.35">
      <c r="A5"/>
      <c r="B5" s="169" t="s">
        <v>1842</v>
      </c>
      <c r="C5" s="170">
        <v>1.03</v>
      </c>
      <c r="D5" s="171" t="s">
        <v>1843</v>
      </c>
      <c r="E5" s="171" t="s">
        <v>2344</v>
      </c>
    </row>
    <row r="6" spans="1:5" ht="43.5" x14ac:dyDescent="0.35">
      <c r="A6"/>
      <c r="B6" s="169" t="s">
        <v>1844</v>
      </c>
      <c r="C6" s="170">
        <v>1.7000000000000002</v>
      </c>
      <c r="D6" s="171" t="s">
        <v>1845</v>
      </c>
      <c r="E6" s="171" t="s">
        <v>1871</v>
      </c>
    </row>
    <row r="7" spans="1:5" ht="58" x14ac:dyDescent="0.35">
      <c r="A7"/>
      <c r="B7" s="169" t="s">
        <v>1846</v>
      </c>
      <c r="C7" s="170">
        <v>1.92</v>
      </c>
      <c r="D7" s="171" t="s">
        <v>1847</v>
      </c>
      <c r="E7" s="171" t="s">
        <v>2219</v>
      </c>
    </row>
    <row r="8" spans="1:5" ht="87" x14ac:dyDescent="0.35">
      <c r="A8"/>
      <c r="B8" s="169" t="s">
        <v>2345</v>
      </c>
      <c r="C8" s="170">
        <v>1.7000000000000002</v>
      </c>
      <c r="D8" s="171" t="s">
        <v>2220</v>
      </c>
      <c r="E8" s="171" t="s">
        <v>2319</v>
      </c>
    </row>
    <row r="9" spans="1:5" ht="43.5" x14ac:dyDescent="0.35">
      <c r="A9"/>
      <c r="B9" s="169" t="s">
        <v>1826</v>
      </c>
      <c r="C9" s="170">
        <v>0.3</v>
      </c>
      <c r="D9" s="171" t="s">
        <v>1827</v>
      </c>
      <c r="E9" s="171" t="s">
        <v>1828</v>
      </c>
    </row>
    <row r="10" spans="1:5" ht="43.5" x14ac:dyDescent="0.35">
      <c r="A10"/>
      <c r="B10" s="169" t="s">
        <v>1819</v>
      </c>
      <c r="C10" s="170">
        <v>0.3</v>
      </c>
      <c r="D10" s="171" t="s">
        <v>1820</v>
      </c>
      <c r="E10" s="171" t="s">
        <v>1821</v>
      </c>
    </row>
    <row r="11" spans="1:5" ht="58" x14ac:dyDescent="0.35">
      <c r="A11"/>
      <c r="B11" s="169" t="s">
        <v>1822</v>
      </c>
      <c r="C11" s="170">
        <v>0.15</v>
      </c>
      <c r="D11" s="171" t="s">
        <v>1823</v>
      </c>
      <c r="E11" s="171" t="s">
        <v>1824</v>
      </c>
    </row>
    <row r="12" spans="1:5" ht="58" x14ac:dyDescent="0.35">
      <c r="A12"/>
      <c r="B12" s="172" t="s">
        <v>1918</v>
      </c>
      <c r="C12" s="173">
        <v>0.2</v>
      </c>
      <c r="D12" s="174" t="s">
        <v>1919</v>
      </c>
      <c r="E12" s="174" t="s">
        <v>2221</v>
      </c>
    </row>
    <row r="13" spans="1:5" ht="58" x14ac:dyDescent="0.35">
      <c r="A13"/>
      <c r="B13" s="169" t="s">
        <v>1872</v>
      </c>
      <c r="C13" s="170">
        <v>0.3</v>
      </c>
      <c r="D13" s="171" t="s">
        <v>1825</v>
      </c>
      <c r="E13" s="171"/>
    </row>
    <row r="14" spans="1:5" ht="58" x14ac:dyDescent="0.35">
      <c r="A14"/>
      <c r="B14" s="169" t="s">
        <v>2222</v>
      </c>
      <c r="C14" s="170">
        <v>0.1</v>
      </c>
      <c r="D14" s="171" t="s">
        <v>1818</v>
      </c>
      <c r="E14" s="171"/>
    </row>
    <row r="15" spans="1:5" ht="14.5" x14ac:dyDescent="0.35">
      <c r="A15"/>
      <c r="C15" s="155">
        <f>SUM(C3:C14)</f>
        <v>10.000000000000002</v>
      </c>
    </row>
  </sheetData>
  <mergeCells count="1">
    <mergeCell ref="B1:E1"/>
  </mergeCells>
  <pageMargins left="0.511811024" right="0.511811024" top="0.78740157499999996" bottom="0.78740157499999996" header="0.31496062000000002" footer="0.3149606200000000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2E513-BE74-4A9F-B663-E91187B5A462}">
  <sheetPr codeName="Planilha46"/>
  <dimension ref="A1:E15"/>
  <sheetViews>
    <sheetView showGridLines="0" topLeftCell="A4" zoomScale="90" zoomScaleNormal="90" workbookViewId="0">
      <selection activeCell="B2" sqref="B1:D1048576"/>
    </sheetView>
  </sheetViews>
  <sheetFormatPr defaultRowHeight="24.65" customHeight="1" x14ac:dyDescent="0.35"/>
  <cols>
    <col min="1" max="1" width="11.6328125" style="11" customWidth="1"/>
    <col min="2" max="2" width="31.6328125" customWidth="1"/>
    <col min="3" max="3" width="5.6328125" style="3" customWidth="1"/>
    <col min="4" max="5" width="31.6328125" customWidth="1"/>
  </cols>
  <sheetData>
    <row r="1" spans="1:5" ht="17.5" x14ac:dyDescent="0.35">
      <c r="B1" s="205" t="s">
        <v>2375</v>
      </c>
      <c r="C1" s="205"/>
      <c r="D1" s="205"/>
      <c r="E1" s="205"/>
    </row>
    <row r="2" spans="1:5" ht="14.5" x14ac:dyDescent="0.35">
      <c r="A2"/>
      <c r="B2" s="186" t="s">
        <v>1812</v>
      </c>
      <c r="C2" s="186" t="s">
        <v>472</v>
      </c>
      <c r="D2" s="186" t="s">
        <v>1815</v>
      </c>
      <c r="E2" s="186" t="s">
        <v>1816</v>
      </c>
    </row>
    <row r="3" spans="1:5" ht="43.5" x14ac:dyDescent="0.35">
      <c r="A3"/>
      <c r="B3" s="169" t="s">
        <v>2218</v>
      </c>
      <c r="C3" s="170">
        <v>0.3</v>
      </c>
      <c r="D3" s="171" t="s">
        <v>1841</v>
      </c>
      <c r="E3" s="171" t="s">
        <v>1873</v>
      </c>
    </row>
    <row r="4" spans="1:5" ht="43.5" x14ac:dyDescent="0.35">
      <c r="A4"/>
      <c r="B4" s="169" t="s">
        <v>2342</v>
      </c>
      <c r="C4" s="170">
        <v>2</v>
      </c>
      <c r="D4" s="171" t="s">
        <v>2343</v>
      </c>
      <c r="E4" s="171" t="s">
        <v>1817</v>
      </c>
    </row>
    <row r="5" spans="1:5" ht="43.5" x14ac:dyDescent="0.35">
      <c r="A5"/>
      <c r="B5" s="169" t="s">
        <v>1842</v>
      </c>
      <c r="C5" s="170">
        <v>1.03</v>
      </c>
      <c r="D5" s="171" t="s">
        <v>1843</v>
      </c>
      <c r="E5" s="171" t="s">
        <v>2344</v>
      </c>
    </row>
    <row r="6" spans="1:5" ht="43.5" x14ac:dyDescent="0.35">
      <c r="A6"/>
      <c r="B6" s="187" t="s">
        <v>1844</v>
      </c>
      <c r="C6" s="170">
        <v>1.7000000000000002</v>
      </c>
      <c r="D6" s="171" t="s">
        <v>1845</v>
      </c>
      <c r="E6" s="171" t="s">
        <v>1871</v>
      </c>
    </row>
    <row r="7" spans="1:5" ht="43.5" x14ac:dyDescent="0.35">
      <c r="A7"/>
      <c r="B7" s="169" t="s">
        <v>2376</v>
      </c>
      <c r="C7" s="170">
        <v>1.92</v>
      </c>
      <c r="D7" s="171" t="s">
        <v>1847</v>
      </c>
      <c r="E7" s="171" t="s">
        <v>2219</v>
      </c>
    </row>
    <row r="8" spans="1:5" ht="58" x14ac:dyDescent="0.35">
      <c r="A8"/>
      <c r="B8" s="169" t="s">
        <v>2377</v>
      </c>
      <c r="C8" s="170">
        <v>1.7000000000000002</v>
      </c>
      <c r="D8" s="171" t="s">
        <v>2220</v>
      </c>
      <c r="E8" s="171" t="s">
        <v>2319</v>
      </c>
    </row>
    <row r="9" spans="1:5" ht="43.5" x14ac:dyDescent="0.35">
      <c r="A9"/>
      <c r="B9" s="169" t="s">
        <v>1826</v>
      </c>
      <c r="C9" s="170">
        <v>0.3</v>
      </c>
      <c r="D9" s="171" t="s">
        <v>1827</v>
      </c>
      <c r="E9" s="171" t="s">
        <v>1828</v>
      </c>
    </row>
    <row r="10" spans="1:5" ht="43.5" x14ac:dyDescent="0.35">
      <c r="A10"/>
      <c r="B10" s="169" t="s">
        <v>1819</v>
      </c>
      <c r="C10" s="170">
        <v>0.3</v>
      </c>
      <c r="D10" s="171" t="s">
        <v>1820</v>
      </c>
      <c r="E10" s="171" t="s">
        <v>1821</v>
      </c>
    </row>
    <row r="11" spans="1:5" ht="58" x14ac:dyDescent="0.35">
      <c r="A11"/>
      <c r="B11" s="169" t="s">
        <v>1822</v>
      </c>
      <c r="C11" s="170">
        <v>0.15</v>
      </c>
      <c r="D11" s="171" t="s">
        <v>1823</v>
      </c>
      <c r="E11" s="171" t="s">
        <v>1824</v>
      </c>
    </row>
    <row r="12" spans="1:5" ht="58" x14ac:dyDescent="0.35">
      <c r="A12"/>
      <c r="B12" s="172" t="s">
        <v>1918</v>
      </c>
      <c r="C12" s="173">
        <v>0.2</v>
      </c>
      <c r="D12" s="174" t="s">
        <v>1919</v>
      </c>
      <c r="E12" s="174" t="s">
        <v>2221</v>
      </c>
    </row>
    <row r="13" spans="1:5" ht="58" x14ac:dyDescent="0.35">
      <c r="A13"/>
      <c r="B13" s="169" t="s">
        <v>1872</v>
      </c>
      <c r="C13" s="170">
        <v>0.3</v>
      </c>
      <c r="D13" s="171" t="s">
        <v>1825</v>
      </c>
      <c r="E13" s="171"/>
    </row>
    <row r="14" spans="1:5" ht="58" x14ac:dyDescent="0.35">
      <c r="A14"/>
      <c r="B14" s="169" t="s">
        <v>2222</v>
      </c>
      <c r="C14" s="170">
        <v>0.1</v>
      </c>
      <c r="D14" s="171" t="s">
        <v>1818</v>
      </c>
      <c r="E14" s="171"/>
    </row>
    <row r="15" spans="1:5" ht="14.5" x14ac:dyDescent="0.35">
      <c r="A15"/>
      <c r="C15" s="155">
        <f>SUM(C3:C14)</f>
        <v>10.000000000000002</v>
      </c>
    </row>
  </sheetData>
  <mergeCells count="1">
    <mergeCell ref="B1:E1"/>
  </mergeCells>
  <pageMargins left="0.511811024" right="0.511811024" top="0.78740157499999996" bottom="0.78740157499999996" header="0.31496062000000002" footer="0.3149606200000000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C56B4-00B3-41BB-917F-F1A52BA2979E}">
  <sheetPr codeName="Planilha3"/>
  <dimension ref="B1:E17"/>
  <sheetViews>
    <sheetView showGridLines="0" topLeftCell="A5" zoomScale="90" zoomScaleNormal="90" workbookViewId="0">
      <selection activeCell="B3" sqref="B3:B15"/>
    </sheetView>
  </sheetViews>
  <sheetFormatPr defaultRowHeight="14.5" x14ac:dyDescent="0.35"/>
  <cols>
    <col min="2" max="2" width="31.6328125" customWidth="1"/>
    <col min="3" max="3" width="5.6328125" customWidth="1"/>
    <col min="4" max="5" width="31.6328125" customWidth="1"/>
  </cols>
  <sheetData>
    <row r="1" spans="2:5" ht="17.5" x14ac:dyDescent="0.35">
      <c r="B1" s="198" t="s">
        <v>2227</v>
      </c>
      <c r="C1" s="198"/>
      <c r="D1" s="198"/>
      <c r="E1" s="198"/>
    </row>
    <row r="2" spans="2:5" x14ac:dyDescent="0.35">
      <c r="B2" s="181" t="s">
        <v>1812</v>
      </c>
      <c r="C2" s="181" t="s">
        <v>472</v>
      </c>
      <c r="D2" s="181" t="s">
        <v>1815</v>
      </c>
      <c r="E2" s="181" t="s">
        <v>1816</v>
      </c>
    </row>
    <row r="3" spans="2:5" ht="43.5" x14ac:dyDescent="0.35">
      <c r="B3" s="157" t="s">
        <v>2218</v>
      </c>
      <c r="C3" s="158">
        <v>0.3</v>
      </c>
      <c r="D3" s="159" t="s">
        <v>1841</v>
      </c>
      <c r="E3" s="159" t="s">
        <v>1873</v>
      </c>
    </row>
    <row r="4" spans="2:5" ht="43.5" x14ac:dyDescent="0.35">
      <c r="B4" s="169" t="s">
        <v>2342</v>
      </c>
      <c r="C4" s="170">
        <v>2</v>
      </c>
      <c r="D4" s="171" t="s">
        <v>2343</v>
      </c>
      <c r="E4" s="159" t="s">
        <v>1817</v>
      </c>
    </row>
    <row r="5" spans="2:5" ht="43.5" x14ac:dyDescent="0.35">
      <c r="B5" s="154" t="s">
        <v>1842</v>
      </c>
      <c r="C5" s="156">
        <v>1.03</v>
      </c>
      <c r="D5" s="153" t="s">
        <v>1848</v>
      </c>
      <c r="E5" s="153" t="s">
        <v>1877</v>
      </c>
    </row>
    <row r="6" spans="2:5" ht="58" x14ac:dyDescent="0.35">
      <c r="B6" s="154" t="s">
        <v>2229</v>
      </c>
      <c r="C6" s="156">
        <v>1.22</v>
      </c>
      <c r="D6" s="153" t="s">
        <v>1849</v>
      </c>
      <c r="E6" s="153" t="s">
        <v>2228</v>
      </c>
    </row>
    <row r="7" spans="2:5" ht="58" x14ac:dyDescent="0.35">
      <c r="B7" s="154" t="s">
        <v>1850</v>
      </c>
      <c r="C7" s="156">
        <v>2</v>
      </c>
      <c r="D7" s="153" t="s">
        <v>1851</v>
      </c>
      <c r="E7" s="153" t="s">
        <v>2230</v>
      </c>
    </row>
    <row r="8" spans="2:5" ht="58" x14ac:dyDescent="0.35">
      <c r="B8" s="154" t="s">
        <v>1852</v>
      </c>
      <c r="C8" s="156">
        <v>1.05</v>
      </c>
      <c r="D8" s="153" t="s">
        <v>1853</v>
      </c>
      <c r="E8" s="153" t="s">
        <v>2231</v>
      </c>
    </row>
    <row r="9" spans="2:5" ht="58" x14ac:dyDescent="0.35">
      <c r="B9" s="154" t="s">
        <v>1875</v>
      </c>
      <c r="C9" s="156">
        <v>1.05</v>
      </c>
      <c r="D9" s="153" t="s">
        <v>2232</v>
      </c>
      <c r="E9" s="153" t="s">
        <v>1876</v>
      </c>
    </row>
    <row r="10" spans="2:5" ht="43.5" x14ac:dyDescent="0.35">
      <c r="B10" s="157" t="s">
        <v>1826</v>
      </c>
      <c r="C10" s="158">
        <v>0.3</v>
      </c>
      <c r="D10" s="159" t="s">
        <v>1827</v>
      </c>
      <c r="E10" s="159" t="s">
        <v>1828</v>
      </c>
    </row>
    <row r="11" spans="2:5" ht="43.5" x14ac:dyDescent="0.35">
      <c r="B11" s="157" t="s">
        <v>1819</v>
      </c>
      <c r="C11" s="158">
        <v>0.3</v>
      </c>
      <c r="D11" s="159" t="s">
        <v>1820</v>
      </c>
      <c r="E11" s="159" t="s">
        <v>1821</v>
      </c>
    </row>
    <row r="12" spans="2:5" ht="58" x14ac:dyDescent="0.35">
      <c r="B12" s="157" t="s">
        <v>1822</v>
      </c>
      <c r="C12" s="158">
        <v>0.15</v>
      </c>
      <c r="D12" s="159" t="s">
        <v>1823</v>
      </c>
      <c r="E12" s="159" t="s">
        <v>1824</v>
      </c>
    </row>
    <row r="13" spans="2:5" ht="58" x14ac:dyDescent="0.35">
      <c r="B13" s="154" t="s">
        <v>1918</v>
      </c>
      <c r="C13" s="156">
        <v>0.2</v>
      </c>
      <c r="D13" s="153" t="s">
        <v>1919</v>
      </c>
      <c r="E13" s="153" t="s">
        <v>1920</v>
      </c>
    </row>
    <row r="14" spans="2:5" ht="43.5" x14ac:dyDescent="0.35">
      <c r="B14" s="157" t="s">
        <v>1872</v>
      </c>
      <c r="C14" s="158">
        <v>0.3</v>
      </c>
      <c r="D14" s="159" t="s">
        <v>1825</v>
      </c>
      <c r="E14" s="159"/>
    </row>
    <row r="15" spans="2:5" ht="58" x14ac:dyDescent="0.35">
      <c r="B15" s="157" t="s">
        <v>1869</v>
      </c>
      <c r="C15" s="158">
        <v>0.1</v>
      </c>
      <c r="D15" s="159" t="s">
        <v>1818</v>
      </c>
      <c r="E15" s="159"/>
    </row>
    <row r="17" spans="3:3" x14ac:dyDescent="0.35">
      <c r="C17" s="155">
        <f>SUM(C3:C15)</f>
        <v>10.000000000000002</v>
      </c>
    </row>
  </sheetData>
  <mergeCells count="1">
    <mergeCell ref="B1:E1"/>
  </mergeCells>
  <pageMargins left="0.511811024" right="0.511811024" top="0.78740157499999996" bottom="0.78740157499999996" header="0.31496062000000002" footer="0.3149606200000000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8AA72-FC74-45D2-B494-F3F5D185E836}">
  <sheetPr codeName="Planilha4"/>
  <dimension ref="B1:E17"/>
  <sheetViews>
    <sheetView showGridLines="0" topLeftCell="A5" zoomScale="90" zoomScaleNormal="90" workbookViewId="0">
      <selection activeCell="B3" sqref="B3:B15"/>
    </sheetView>
  </sheetViews>
  <sheetFormatPr defaultRowHeight="14.5" x14ac:dyDescent="0.35"/>
  <cols>
    <col min="2" max="2" width="31.6328125" customWidth="1"/>
    <col min="3" max="3" width="5.6328125" customWidth="1"/>
    <col min="4" max="5" width="31.6328125" customWidth="1"/>
  </cols>
  <sheetData>
    <row r="1" spans="2:5" ht="17.5" x14ac:dyDescent="0.35">
      <c r="B1" s="206" t="s">
        <v>2238</v>
      </c>
      <c r="C1" s="206"/>
      <c r="D1" s="206"/>
      <c r="E1" s="206"/>
    </row>
    <row r="2" spans="2:5" x14ac:dyDescent="0.35">
      <c r="B2" s="182" t="s">
        <v>1812</v>
      </c>
      <c r="C2" s="182" t="s">
        <v>472</v>
      </c>
      <c r="D2" s="182" t="s">
        <v>1815</v>
      </c>
      <c r="E2" s="182" t="s">
        <v>1816</v>
      </c>
    </row>
    <row r="3" spans="2:5" ht="43.5" x14ac:dyDescent="0.35">
      <c r="B3" s="157" t="s">
        <v>2218</v>
      </c>
      <c r="C3" s="158">
        <v>0.3</v>
      </c>
      <c r="D3" s="159" t="s">
        <v>1841</v>
      </c>
      <c r="E3" s="159" t="s">
        <v>1873</v>
      </c>
    </row>
    <row r="4" spans="2:5" ht="43.5" x14ac:dyDescent="0.35">
      <c r="B4" s="169" t="s">
        <v>2342</v>
      </c>
      <c r="C4" s="170">
        <v>2</v>
      </c>
      <c r="D4" s="171" t="s">
        <v>2343</v>
      </c>
      <c r="E4" s="159" t="s">
        <v>1817</v>
      </c>
    </row>
    <row r="5" spans="2:5" ht="58" x14ac:dyDescent="0.35">
      <c r="B5" s="154" t="s">
        <v>1842</v>
      </c>
      <c r="C5" s="156">
        <v>1.03</v>
      </c>
      <c r="D5" s="153" t="s">
        <v>1829</v>
      </c>
      <c r="E5" s="153" t="s">
        <v>1870</v>
      </c>
    </row>
    <row r="6" spans="2:5" ht="43.5" x14ac:dyDescent="0.35">
      <c r="B6" s="154" t="s">
        <v>1830</v>
      </c>
      <c r="C6" s="156">
        <v>1.3</v>
      </c>
      <c r="D6" s="153" t="s">
        <v>1831</v>
      </c>
      <c r="E6" s="153" t="s">
        <v>1832</v>
      </c>
    </row>
    <row r="7" spans="2:5" ht="58" x14ac:dyDescent="0.35">
      <c r="B7" s="154" t="s">
        <v>1833</v>
      </c>
      <c r="C7" s="156">
        <v>1.3</v>
      </c>
      <c r="D7" s="153" t="s">
        <v>2236</v>
      </c>
      <c r="E7" s="153" t="s">
        <v>1834</v>
      </c>
    </row>
    <row r="8" spans="2:5" ht="43.5" x14ac:dyDescent="0.35">
      <c r="B8" s="154" t="s">
        <v>1835</v>
      </c>
      <c r="C8" s="156">
        <v>1.32</v>
      </c>
      <c r="D8" s="153" t="s">
        <v>2237</v>
      </c>
      <c r="E8" s="153" t="s">
        <v>1837</v>
      </c>
    </row>
    <row r="9" spans="2:5" ht="58" x14ac:dyDescent="0.35">
      <c r="B9" s="154" t="s">
        <v>1838</v>
      </c>
      <c r="C9" s="156">
        <v>1.4039999999999999</v>
      </c>
      <c r="D9" s="153" t="s">
        <v>1839</v>
      </c>
      <c r="E9" s="153" t="s">
        <v>1840</v>
      </c>
    </row>
    <row r="10" spans="2:5" ht="43.5" x14ac:dyDescent="0.35">
      <c r="B10" s="157" t="s">
        <v>1826</v>
      </c>
      <c r="C10" s="158">
        <v>0.3</v>
      </c>
      <c r="D10" s="159" t="s">
        <v>1827</v>
      </c>
      <c r="E10" s="159" t="s">
        <v>1828</v>
      </c>
    </row>
    <row r="11" spans="2:5" ht="43.5" x14ac:dyDescent="0.35">
      <c r="B11" s="157" t="s">
        <v>1819</v>
      </c>
      <c r="C11" s="158">
        <v>0.3</v>
      </c>
      <c r="D11" s="159" t="s">
        <v>1820</v>
      </c>
      <c r="E11" s="159" t="s">
        <v>1821</v>
      </c>
    </row>
    <row r="12" spans="2:5" ht="58" x14ac:dyDescent="0.35">
      <c r="B12" s="157" t="s">
        <v>1822</v>
      </c>
      <c r="C12" s="158">
        <v>0.15</v>
      </c>
      <c r="D12" s="159" t="s">
        <v>1823</v>
      </c>
      <c r="E12" s="159" t="s">
        <v>1824</v>
      </c>
    </row>
    <row r="13" spans="2:5" ht="58" x14ac:dyDescent="0.35">
      <c r="B13" s="154" t="s">
        <v>1918</v>
      </c>
      <c r="C13" s="156">
        <v>0.2</v>
      </c>
      <c r="D13" s="153" t="s">
        <v>1919</v>
      </c>
      <c r="E13" s="153" t="s">
        <v>2226</v>
      </c>
    </row>
    <row r="14" spans="2:5" ht="43.5" x14ac:dyDescent="0.35">
      <c r="B14" s="157" t="s">
        <v>1872</v>
      </c>
      <c r="C14" s="158">
        <v>0.3</v>
      </c>
      <c r="D14" s="159" t="s">
        <v>1825</v>
      </c>
      <c r="E14" s="159"/>
    </row>
    <row r="15" spans="2:5" ht="58" x14ac:dyDescent="0.35">
      <c r="B15" s="157" t="s">
        <v>1869</v>
      </c>
      <c r="C15" s="158">
        <v>0.1</v>
      </c>
      <c r="D15" s="159" t="s">
        <v>1818</v>
      </c>
      <c r="E15" s="159"/>
    </row>
    <row r="17" spans="3:3" x14ac:dyDescent="0.35">
      <c r="C17" s="155">
        <f>SUM(C3:C15)</f>
        <v>10.004000000000001</v>
      </c>
    </row>
  </sheetData>
  <mergeCells count="1">
    <mergeCell ref="B1:E1"/>
  </mergeCells>
  <pageMargins left="0.511811024" right="0.511811024" top="0.78740157499999996" bottom="0.78740157499999996" header="0.31496062000000002" footer="0.3149606200000000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1254F4-B5F1-4411-8581-CA09A298736F}">
  <sheetPr codeName="Planilha5"/>
  <dimension ref="B1:I18"/>
  <sheetViews>
    <sheetView showGridLines="0" topLeftCell="A13" zoomScale="90" zoomScaleNormal="90" workbookViewId="0">
      <selection activeCell="A14" sqref="A14:XFD14"/>
    </sheetView>
  </sheetViews>
  <sheetFormatPr defaultRowHeight="14.5" x14ac:dyDescent="0.35"/>
  <cols>
    <col min="2" max="2" width="31.6328125" customWidth="1"/>
    <col min="3" max="3" width="5.6328125" customWidth="1"/>
    <col min="4" max="5" width="31.6328125" customWidth="1"/>
  </cols>
  <sheetData>
    <row r="1" spans="2:9" ht="17.5" x14ac:dyDescent="0.35">
      <c r="B1" s="207" t="s">
        <v>2241</v>
      </c>
      <c r="C1" s="207"/>
      <c r="D1" s="207"/>
      <c r="E1" s="207"/>
    </row>
    <row r="2" spans="2:9" x14ac:dyDescent="0.35">
      <c r="B2" s="183" t="s">
        <v>1812</v>
      </c>
      <c r="C2" s="183" t="s">
        <v>472</v>
      </c>
      <c r="D2" s="183" t="s">
        <v>1815</v>
      </c>
      <c r="E2" s="183" t="s">
        <v>1874</v>
      </c>
    </row>
    <row r="3" spans="2:9" ht="43.5" x14ac:dyDescent="0.35">
      <c r="B3" s="157" t="s">
        <v>2218</v>
      </c>
      <c r="C3" s="158">
        <v>0.3</v>
      </c>
      <c r="D3" s="159" t="s">
        <v>1841</v>
      </c>
      <c r="E3" s="159" t="s">
        <v>1873</v>
      </c>
    </row>
    <row r="4" spans="2:9" ht="43.5" x14ac:dyDescent="0.35">
      <c r="B4" s="169" t="s">
        <v>2342</v>
      </c>
      <c r="C4" s="170">
        <v>2</v>
      </c>
      <c r="D4" s="171" t="s">
        <v>2343</v>
      </c>
      <c r="E4" s="159" t="s">
        <v>1817</v>
      </c>
      <c r="I4" s="155"/>
    </row>
    <row r="5" spans="2:9" ht="43.5" x14ac:dyDescent="0.35">
      <c r="B5" s="154" t="s">
        <v>1842</v>
      </c>
      <c r="C5" s="156">
        <v>1.03</v>
      </c>
      <c r="D5" s="153" t="s">
        <v>1848</v>
      </c>
      <c r="E5" s="153" t="s">
        <v>1854</v>
      </c>
    </row>
    <row r="6" spans="2:9" ht="58" x14ac:dyDescent="0.35">
      <c r="B6" s="154" t="s">
        <v>1855</v>
      </c>
      <c r="C6" s="156">
        <v>1.05</v>
      </c>
      <c r="D6" s="153" t="s">
        <v>1856</v>
      </c>
      <c r="E6" s="153" t="s">
        <v>1857</v>
      </c>
    </row>
    <row r="7" spans="2:9" ht="43.5" x14ac:dyDescent="0.35">
      <c r="B7" s="154" t="s">
        <v>1858</v>
      </c>
      <c r="C7" s="156">
        <v>1.05</v>
      </c>
      <c r="D7" s="153" t="s">
        <v>1859</v>
      </c>
      <c r="E7" s="153" t="s">
        <v>1860</v>
      </c>
    </row>
    <row r="8" spans="2:9" ht="58" x14ac:dyDescent="0.35">
      <c r="B8" s="154" t="s">
        <v>1861</v>
      </c>
      <c r="C8" s="156">
        <v>1.05</v>
      </c>
      <c r="D8" s="153" t="s">
        <v>1862</v>
      </c>
      <c r="E8" s="153" t="s">
        <v>1863</v>
      </c>
    </row>
    <row r="9" spans="2:9" ht="58" x14ac:dyDescent="0.35">
      <c r="B9" s="154" t="s">
        <v>1864</v>
      </c>
      <c r="C9" s="156">
        <v>1.05</v>
      </c>
      <c r="D9" s="153" t="s">
        <v>1865</v>
      </c>
      <c r="E9" s="153" t="s">
        <v>2242</v>
      </c>
    </row>
    <row r="10" spans="2:9" ht="58" x14ac:dyDescent="0.35">
      <c r="B10" s="154" t="s">
        <v>1866</v>
      </c>
      <c r="C10" s="156">
        <v>1.1200000000000001</v>
      </c>
      <c r="D10" s="153" t="s">
        <v>1867</v>
      </c>
      <c r="E10" s="153" t="s">
        <v>1868</v>
      </c>
    </row>
    <row r="11" spans="2:9" ht="43.5" x14ac:dyDescent="0.35">
      <c r="B11" s="157" t="s">
        <v>1826</v>
      </c>
      <c r="C11" s="158">
        <v>0.3</v>
      </c>
      <c r="D11" s="159" t="s">
        <v>1827</v>
      </c>
      <c r="E11" s="159" t="s">
        <v>1828</v>
      </c>
    </row>
    <row r="12" spans="2:9" ht="43.5" x14ac:dyDescent="0.35">
      <c r="B12" s="157" t="s">
        <v>1819</v>
      </c>
      <c r="C12" s="158">
        <v>0.3</v>
      </c>
      <c r="D12" s="159" t="s">
        <v>1820</v>
      </c>
      <c r="E12" s="159" t="s">
        <v>1821</v>
      </c>
    </row>
    <row r="13" spans="2:9" ht="58" x14ac:dyDescent="0.35">
      <c r="B13" s="157" t="s">
        <v>1822</v>
      </c>
      <c r="C13" s="158">
        <v>0.15</v>
      </c>
      <c r="D13" s="159" t="s">
        <v>1823</v>
      </c>
      <c r="E13" s="159" t="s">
        <v>1824</v>
      </c>
    </row>
    <row r="14" spans="2:9" ht="58" x14ac:dyDescent="0.35">
      <c r="B14" s="154" t="s">
        <v>1918</v>
      </c>
      <c r="C14" s="156">
        <v>0.2</v>
      </c>
      <c r="D14" s="153" t="s">
        <v>1919</v>
      </c>
      <c r="E14" s="153" t="s">
        <v>1920</v>
      </c>
    </row>
    <row r="15" spans="2:9" ht="43.5" x14ac:dyDescent="0.35">
      <c r="B15" s="157" t="s">
        <v>1872</v>
      </c>
      <c r="C15" s="158">
        <v>0.3</v>
      </c>
      <c r="D15" s="159" t="s">
        <v>1825</v>
      </c>
      <c r="E15" s="159"/>
    </row>
    <row r="16" spans="2:9" ht="58" x14ac:dyDescent="0.35">
      <c r="B16" s="157" t="s">
        <v>1869</v>
      </c>
      <c r="C16" s="158">
        <v>0.1</v>
      </c>
      <c r="D16" s="159" t="s">
        <v>1818</v>
      </c>
      <c r="E16" s="159"/>
    </row>
    <row r="18" spans="3:3" x14ac:dyDescent="0.35">
      <c r="C18" s="155">
        <f>SUM(C3:C16)</f>
        <v>10</v>
      </c>
    </row>
  </sheetData>
  <mergeCells count="1">
    <mergeCell ref="B1:E1"/>
  </mergeCells>
  <pageMargins left="0.511811024" right="0.511811024" top="0.78740157499999996" bottom="0.78740157499999996" header="0.31496062000000002" footer="0.3149606200000000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23ADAE-83B5-4C93-A430-0AB4C3CC5DDF}">
  <sheetPr codeName="Planilha6"/>
  <dimension ref="B1:G18"/>
  <sheetViews>
    <sheetView showGridLines="0" topLeftCell="A13" workbookViewId="0">
      <selection activeCell="A14" sqref="A14:XFD14"/>
    </sheetView>
  </sheetViews>
  <sheetFormatPr defaultRowHeight="14.5" x14ac:dyDescent="0.35"/>
  <cols>
    <col min="2" max="2" width="31.6328125" customWidth="1"/>
    <col min="3" max="3" width="5.6328125" customWidth="1"/>
    <col min="4" max="5" width="31.6328125" customWidth="1"/>
    <col min="7" max="10" width="26.6328125" customWidth="1"/>
  </cols>
  <sheetData>
    <row r="1" spans="2:7" ht="17.5" x14ac:dyDescent="0.35">
      <c r="B1" s="208" t="s">
        <v>2248</v>
      </c>
      <c r="C1" s="208"/>
      <c r="D1" s="208"/>
      <c r="E1" s="208"/>
    </row>
    <row r="2" spans="2:7" x14ac:dyDescent="0.35">
      <c r="B2" s="184" t="s">
        <v>1812</v>
      </c>
      <c r="C2" s="184" t="s">
        <v>472</v>
      </c>
      <c r="D2" s="184" t="s">
        <v>1815</v>
      </c>
      <c r="E2" s="184" t="s">
        <v>1874</v>
      </c>
    </row>
    <row r="3" spans="2:7" ht="43.5" x14ac:dyDescent="0.35">
      <c r="B3" s="157" t="s">
        <v>2218</v>
      </c>
      <c r="C3" s="158">
        <v>0.3</v>
      </c>
      <c r="D3" s="159" t="s">
        <v>1841</v>
      </c>
      <c r="E3" s="159" t="s">
        <v>1873</v>
      </c>
    </row>
    <row r="4" spans="2:7" ht="29" x14ac:dyDescent="0.35">
      <c r="B4" s="157" t="s">
        <v>1257</v>
      </c>
      <c r="C4" s="158">
        <v>0.4</v>
      </c>
      <c r="D4" s="153" t="s">
        <v>1967</v>
      </c>
      <c r="E4" s="153" t="s">
        <v>2328</v>
      </c>
    </row>
    <row r="5" spans="2:7" ht="58" x14ac:dyDescent="0.35">
      <c r="B5" s="154" t="s">
        <v>1842</v>
      </c>
      <c r="C5" s="156">
        <v>1.2</v>
      </c>
      <c r="D5" s="153" t="s">
        <v>1878</v>
      </c>
      <c r="E5" s="153" t="s">
        <v>1879</v>
      </c>
    </row>
    <row r="6" spans="2:7" ht="43.5" x14ac:dyDescent="0.35">
      <c r="B6" s="161" t="s">
        <v>1880</v>
      </c>
      <c r="C6" s="156">
        <v>1.9500000000000002</v>
      </c>
      <c r="D6" s="153" t="s">
        <v>1881</v>
      </c>
      <c r="E6" s="160" t="s">
        <v>1882</v>
      </c>
    </row>
    <row r="7" spans="2:7" ht="43.5" x14ac:dyDescent="0.35">
      <c r="B7" s="154" t="s">
        <v>1883</v>
      </c>
      <c r="C7" s="156">
        <v>1.6</v>
      </c>
      <c r="D7" s="153" t="s">
        <v>1884</v>
      </c>
      <c r="E7" s="153" t="s">
        <v>1885</v>
      </c>
      <c r="G7" s="149"/>
    </row>
    <row r="8" spans="2:7" ht="58" x14ac:dyDescent="0.35">
      <c r="B8" s="154" t="s">
        <v>1886</v>
      </c>
      <c r="C8" s="156">
        <v>1.6</v>
      </c>
      <c r="D8" s="153" t="s">
        <v>1887</v>
      </c>
      <c r="E8" s="153" t="s">
        <v>2247</v>
      </c>
    </row>
    <row r="9" spans="2:7" ht="43.5" x14ac:dyDescent="0.35">
      <c r="B9" s="154" t="s">
        <v>1888</v>
      </c>
      <c r="C9" s="156">
        <v>1.6</v>
      </c>
      <c r="D9" s="153" t="s">
        <v>1889</v>
      </c>
      <c r="E9" s="153" t="s">
        <v>1890</v>
      </c>
    </row>
    <row r="10" spans="2:7" ht="43.5" x14ac:dyDescent="0.35">
      <c r="B10" s="157" t="s">
        <v>1826</v>
      </c>
      <c r="C10" s="158">
        <v>0.3</v>
      </c>
      <c r="D10" s="159" t="s">
        <v>1827</v>
      </c>
      <c r="E10" s="159" t="s">
        <v>1828</v>
      </c>
    </row>
    <row r="11" spans="2:7" ht="43.5" x14ac:dyDescent="0.35">
      <c r="B11" s="157" t="s">
        <v>1819</v>
      </c>
      <c r="C11" s="158">
        <v>0.3</v>
      </c>
      <c r="D11" s="159" t="s">
        <v>1820</v>
      </c>
      <c r="E11" s="159" t="s">
        <v>1821</v>
      </c>
    </row>
    <row r="12" spans="2:7" ht="58" x14ac:dyDescent="0.35">
      <c r="B12" s="157" t="s">
        <v>1822</v>
      </c>
      <c r="C12" s="158">
        <v>0.15</v>
      </c>
      <c r="D12" s="159" t="s">
        <v>1823</v>
      </c>
      <c r="E12" s="159" t="s">
        <v>1824</v>
      </c>
    </row>
    <row r="13" spans="2:7" ht="58" x14ac:dyDescent="0.35">
      <c r="B13" s="154" t="s">
        <v>1918</v>
      </c>
      <c r="C13" s="156">
        <v>0.2</v>
      </c>
      <c r="D13" s="153" t="s">
        <v>1919</v>
      </c>
      <c r="E13" s="153" t="s">
        <v>1920</v>
      </c>
    </row>
    <row r="14" spans="2:7" ht="43.5" x14ac:dyDescent="0.35">
      <c r="B14" s="157" t="s">
        <v>1872</v>
      </c>
      <c r="C14" s="158">
        <v>0.3</v>
      </c>
      <c r="D14" s="159" t="s">
        <v>1825</v>
      </c>
      <c r="E14" s="159"/>
    </row>
    <row r="15" spans="2:7" ht="58" x14ac:dyDescent="0.35">
      <c r="B15" s="157" t="s">
        <v>1869</v>
      </c>
      <c r="C15" s="158">
        <v>0.1</v>
      </c>
      <c r="D15" s="159" t="s">
        <v>1818</v>
      </c>
      <c r="E15" s="159"/>
    </row>
    <row r="18" spans="3:3" x14ac:dyDescent="0.35">
      <c r="C18" s="155">
        <f>SUM(C3:C15)</f>
        <v>10.000000000000002</v>
      </c>
    </row>
  </sheetData>
  <mergeCells count="1">
    <mergeCell ref="B1:E1"/>
  </mergeCells>
  <pageMargins left="0.511811024" right="0.511811024" top="0.78740157499999996" bottom="0.78740157499999996" header="0.31496062000000002" footer="0.31496062000000002"/>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21EC41-E42D-4F56-9E3D-C8AB34AAF6D4}">
  <sheetPr codeName="Planilha7"/>
  <dimension ref="B1:J18"/>
  <sheetViews>
    <sheetView showGridLines="0" topLeftCell="A13" zoomScale="90" zoomScaleNormal="90" workbookViewId="0">
      <selection activeCell="F19" sqref="F19"/>
    </sheetView>
  </sheetViews>
  <sheetFormatPr defaultRowHeight="14.5" x14ac:dyDescent="0.35"/>
  <cols>
    <col min="2" max="2" width="31.6328125" customWidth="1"/>
    <col min="3" max="3" width="5.6328125" customWidth="1"/>
    <col min="4" max="5" width="31.6328125" customWidth="1"/>
    <col min="7" max="10" width="26.6328125" customWidth="1"/>
  </cols>
  <sheetData>
    <row r="1" spans="2:10" ht="17.5" x14ac:dyDescent="0.35">
      <c r="B1" s="208" t="s">
        <v>1891</v>
      </c>
      <c r="C1" s="208"/>
      <c r="D1" s="208"/>
      <c r="E1" s="208"/>
    </row>
    <row r="2" spans="2:10" x14ac:dyDescent="0.35">
      <c r="B2" s="184" t="s">
        <v>1812</v>
      </c>
      <c r="C2" s="184" t="s">
        <v>472</v>
      </c>
      <c r="D2" s="184" t="s">
        <v>1815</v>
      </c>
      <c r="E2" s="184" t="s">
        <v>1874</v>
      </c>
    </row>
    <row r="3" spans="2:10" ht="43.5" x14ac:dyDescent="0.35">
      <c r="B3" s="157" t="s">
        <v>2218</v>
      </c>
      <c r="C3" s="158">
        <v>0.3</v>
      </c>
      <c r="D3" s="159" t="s">
        <v>1841</v>
      </c>
      <c r="E3" s="159" t="s">
        <v>1873</v>
      </c>
    </row>
    <row r="4" spans="2:10" ht="29" x14ac:dyDescent="0.35">
      <c r="B4" s="157" t="s">
        <v>1257</v>
      </c>
      <c r="C4" s="158">
        <v>0.4</v>
      </c>
      <c r="D4" s="159" t="s">
        <v>1967</v>
      </c>
      <c r="E4" s="159" t="s">
        <v>2328</v>
      </c>
    </row>
    <row r="5" spans="2:10" ht="87" x14ac:dyDescent="0.35">
      <c r="B5" s="154" t="s">
        <v>1895</v>
      </c>
      <c r="C5" s="156">
        <v>1.3</v>
      </c>
      <c r="D5" s="153" t="s">
        <v>1842</v>
      </c>
      <c r="E5" s="153" t="s">
        <v>2249</v>
      </c>
      <c r="G5" s="178"/>
    </row>
    <row r="6" spans="2:10" ht="58" x14ac:dyDescent="0.35">
      <c r="B6" s="154" t="s">
        <v>1896</v>
      </c>
      <c r="C6" s="156">
        <v>1.35</v>
      </c>
      <c r="D6" s="153" t="s">
        <v>1897</v>
      </c>
      <c r="E6" s="153" t="s">
        <v>1898</v>
      </c>
      <c r="H6" s="148"/>
      <c r="I6" s="148"/>
      <c r="J6" s="148"/>
    </row>
    <row r="7" spans="2:10" ht="43.5" x14ac:dyDescent="0.35">
      <c r="B7" s="154" t="s">
        <v>1899</v>
      </c>
      <c r="C7" s="156">
        <v>1.3</v>
      </c>
      <c r="D7" s="153" t="s">
        <v>1900</v>
      </c>
      <c r="E7" s="153" t="s">
        <v>1901</v>
      </c>
      <c r="H7" s="149"/>
      <c r="I7" s="149"/>
      <c r="J7" s="149"/>
    </row>
    <row r="8" spans="2:10" ht="43.5" x14ac:dyDescent="0.35">
      <c r="B8" s="154" t="s">
        <v>1892</v>
      </c>
      <c r="C8" s="156">
        <v>1.5</v>
      </c>
      <c r="D8" s="153" t="s">
        <v>1893</v>
      </c>
      <c r="E8" s="153" t="s">
        <v>1894</v>
      </c>
      <c r="G8" s="149"/>
      <c r="H8" s="149"/>
      <c r="I8" s="149"/>
      <c r="J8" s="149"/>
    </row>
    <row r="9" spans="2:10" ht="43.5" x14ac:dyDescent="0.35">
      <c r="B9" s="154" t="s">
        <v>1902</v>
      </c>
      <c r="C9" s="156">
        <v>1.3</v>
      </c>
      <c r="D9" s="153" t="s">
        <v>1903</v>
      </c>
      <c r="E9" s="153" t="s">
        <v>2250</v>
      </c>
      <c r="G9" s="149"/>
      <c r="H9" s="149"/>
      <c r="I9" s="149"/>
      <c r="J9" s="149"/>
    </row>
    <row r="10" spans="2:10" ht="43.5" x14ac:dyDescent="0.35">
      <c r="B10" s="154" t="s">
        <v>2320</v>
      </c>
      <c r="C10" s="156">
        <v>1.2</v>
      </c>
      <c r="D10" s="153" t="s">
        <v>1904</v>
      </c>
      <c r="E10" s="153" t="s">
        <v>2251</v>
      </c>
      <c r="G10" s="149"/>
      <c r="H10" s="149"/>
      <c r="I10" s="149"/>
      <c r="J10" s="149"/>
    </row>
    <row r="11" spans="2:10" ht="43.5" x14ac:dyDescent="0.35">
      <c r="B11" s="157" t="s">
        <v>1826</v>
      </c>
      <c r="C11" s="158">
        <v>0.3</v>
      </c>
      <c r="D11" s="159" t="s">
        <v>1827</v>
      </c>
      <c r="E11" s="159" t="s">
        <v>1828</v>
      </c>
      <c r="G11" s="149"/>
      <c r="H11" s="149"/>
      <c r="I11" s="149"/>
      <c r="J11" s="149"/>
    </row>
    <row r="12" spans="2:10" ht="43.5" x14ac:dyDescent="0.35">
      <c r="B12" s="157" t="s">
        <v>1819</v>
      </c>
      <c r="C12" s="158">
        <v>0.3</v>
      </c>
      <c r="D12" s="159" t="s">
        <v>1820</v>
      </c>
      <c r="E12" s="159" t="s">
        <v>1821</v>
      </c>
      <c r="G12" s="149"/>
      <c r="H12" s="149"/>
      <c r="I12" s="149"/>
      <c r="J12" s="149"/>
    </row>
    <row r="13" spans="2:10" ht="58" x14ac:dyDescent="0.35">
      <c r="B13" s="157" t="s">
        <v>1822</v>
      </c>
      <c r="C13" s="158">
        <v>0.15</v>
      </c>
      <c r="D13" s="159" t="s">
        <v>1823</v>
      </c>
      <c r="E13" s="159" t="s">
        <v>1824</v>
      </c>
      <c r="G13" s="149"/>
      <c r="H13" s="149"/>
      <c r="I13" s="149"/>
      <c r="J13" s="149"/>
    </row>
    <row r="14" spans="2:10" ht="58" x14ac:dyDescent="0.35">
      <c r="B14" s="154" t="s">
        <v>1918</v>
      </c>
      <c r="C14" s="156">
        <v>0.2</v>
      </c>
      <c r="D14" s="153" t="s">
        <v>1919</v>
      </c>
      <c r="E14" s="153" t="s">
        <v>1920</v>
      </c>
      <c r="G14" s="149"/>
      <c r="H14" s="149"/>
      <c r="I14" s="149"/>
      <c r="J14" s="149"/>
    </row>
    <row r="15" spans="2:10" ht="43.5" x14ac:dyDescent="0.35">
      <c r="B15" s="157" t="s">
        <v>1872</v>
      </c>
      <c r="C15" s="158">
        <v>0.3</v>
      </c>
      <c r="D15" s="159" t="s">
        <v>1825</v>
      </c>
      <c r="E15" s="159"/>
      <c r="G15" s="149"/>
      <c r="H15" s="149"/>
      <c r="I15" s="149"/>
      <c r="J15" s="149"/>
    </row>
    <row r="16" spans="2:10" ht="58" x14ac:dyDescent="0.35">
      <c r="B16" s="157" t="s">
        <v>1869</v>
      </c>
      <c r="C16" s="158">
        <v>0.1</v>
      </c>
      <c r="D16" s="159" t="s">
        <v>1818</v>
      </c>
      <c r="E16" s="159"/>
    </row>
    <row r="18" spans="3:3" x14ac:dyDescent="0.35">
      <c r="C18" s="155">
        <f>SUM(C3:C16)</f>
        <v>10.000000000000002</v>
      </c>
    </row>
  </sheetData>
  <mergeCells count="1">
    <mergeCell ref="B1:E1"/>
  </mergeCells>
  <pageMargins left="0.511811024" right="0.511811024" top="0.78740157499999996" bottom="0.78740157499999996" header="0.31496062000000002" footer="0.3149606200000000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D7A0C-FF38-4379-84EB-E81D83BE9906}">
  <sheetPr codeName="Planilha8"/>
  <dimension ref="B1:J15"/>
  <sheetViews>
    <sheetView showGridLines="0" zoomScaleNormal="100" workbookViewId="0">
      <selection activeCell="B2" sqref="B1:D1048576"/>
    </sheetView>
  </sheetViews>
  <sheetFormatPr defaultRowHeight="14.5" x14ac:dyDescent="0.35"/>
  <cols>
    <col min="2" max="2" width="31.6328125" customWidth="1"/>
    <col min="3" max="3" width="5.6328125" customWidth="1"/>
    <col min="4" max="5" width="31.6328125" customWidth="1"/>
    <col min="7" max="10" width="26.6328125" customWidth="1"/>
  </cols>
  <sheetData>
    <row r="1" spans="2:10" ht="17.5" x14ac:dyDescent="0.35">
      <c r="B1" s="209" t="s">
        <v>2374</v>
      </c>
      <c r="C1" s="209"/>
      <c r="D1" s="209"/>
      <c r="E1" s="209"/>
    </row>
    <row r="2" spans="2:10" x14ac:dyDescent="0.35">
      <c r="B2" s="185" t="s">
        <v>1812</v>
      </c>
      <c r="C2" s="185" t="s">
        <v>472</v>
      </c>
      <c r="D2" s="185" t="s">
        <v>1815</v>
      </c>
      <c r="E2" s="185" t="s">
        <v>1874</v>
      </c>
    </row>
    <row r="3" spans="2:10" ht="43.5" x14ac:dyDescent="0.35">
      <c r="B3" s="157" t="s">
        <v>2218</v>
      </c>
      <c r="C3" s="158">
        <v>0.3</v>
      </c>
      <c r="D3" s="159" t="s">
        <v>1841</v>
      </c>
      <c r="E3" s="159" t="s">
        <v>1873</v>
      </c>
    </row>
    <row r="4" spans="2:10" ht="72.5" x14ac:dyDescent="0.35">
      <c r="B4" s="154" t="s">
        <v>2321</v>
      </c>
      <c r="C4" s="156">
        <v>1.2</v>
      </c>
      <c r="D4" s="153" t="s">
        <v>2323</v>
      </c>
      <c r="E4" s="177" t="s">
        <v>2322</v>
      </c>
    </row>
    <row r="5" spans="2:10" ht="43.5" x14ac:dyDescent="0.35">
      <c r="B5" s="157" t="s">
        <v>2329</v>
      </c>
      <c r="C5" s="158">
        <v>2.6</v>
      </c>
      <c r="D5" s="159" t="s">
        <v>2343</v>
      </c>
      <c r="E5" s="159" t="s">
        <v>1817</v>
      </c>
      <c r="H5" s="148"/>
      <c r="I5" s="148"/>
      <c r="J5" s="148"/>
    </row>
    <row r="6" spans="2:10" ht="43.5" x14ac:dyDescent="0.35">
      <c r="B6" s="157" t="s">
        <v>1819</v>
      </c>
      <c r="C6" s="158">
        <v>0.8</v>
      </c>
      <c r="D6" s="159" t="s">
        <v>1820</v>
      </c>
      <c r="E6" s="159" t="s">
        <v>1821</v>
      </c>
      <c r="H6" s="149"/>
      <c r="I6" s="149"/>
      <c r="J6" s="149"/>
    </row>
    <row r="7" spans="2:10" ht="58" x14ac:dyDescent="0.35">
      <c r="B7" s="157" t="s">
        <v>1822</v>
      </c>
      <c r="C7" s="158">
        <v>0.8</v>
      </c>
      <c r="D7" s="159" t="s">
        <v>1823</v>
      </c>
      <c r="E7" s="159" t="s">
        <v>1824</v>
      </c>
      <c r="G7" s="149"/>
      <c r="H7" s="149"/>
      <c r="I7" s="149"/>
      <c r="J7" s="149"/>
    </row>
    <row r="8" spans="2:10" ht="72.5" x14ac:dyDescent="0.35">
      <c r="B8" s="157" t="s">
        <v>1216</v>
      </c>
      <c r="C8" s="158">
        <v>0.8</v>
      </c>
      <c r="D8" s="178" t="s">
        <v>2331</v>
      </c>
      <c r="E8" s="159" t="s">
        <v>2332</v>
      </c>
      <c r="G8" s="149"/>
      <c r="H8" s="149"/>
      <c r="I8" s="149"/>
      <c r="J8" s="149"/>
    </row>
    <row r="9" spans="2:10" ht="58" x14ac:dyDescent="0.35">
      <c r="B9" s="154" t="s">
        <v>1290</v>
      </c>
      <c r="C9" s="156">
        <v>0.8</v>
      </c>
      <c r="D9" s="159" t="s">
        <v>1818</v>
      </c>
      <c r="E9" s="153"/>
      <c r="G9" s="149"/>
      <c r="H9" s="149"/>
      <c r="I9" s="149"/>
      <c r="J9" s="149"/>
    </row>
    <row r="10" spans="2:10" ht="58" x14ac:dyDescent="0.35">
      <c r="B10" s="157" t="s">
        <v>2330</v>
      </c>
      <c r="C10" s="158">
        <v>0.8</v>
      </c>
      <c r="D10" s="178" t="s">
        <v>2333</v>
      </c>
      <c r="E10" s="159"/>
      <c r="G10" s="149"/>
      <c r="H10" s="149"/>
      <c r="I10" s="149"/>
      <c r="J10" s="149"/>
    </row>
    <row r="11" spans="2:10" ht="43.5" x14ac:dyDescent="0.35">
      <c r="B11" s="157" t="s">
        <v>1872</v>
      </c>
      <c r="C11" s="158">
        <v>0.8</v>
      </c>
      <c r="D11" s="159" t="s">
        <v>1825</v>
      </c>
      <c r="E11" s="159"/>
      <c r="G11" s="149"/>
      <c r="H11" s="149"/>
      <c r="I11" s="149"/>
      <c r="J11" s="149"/>
    </row>
    <row r="12" spans="2:10" ht="29" x14ac:dyDescent="0.35">
      <c r="B12" s="157" t="s">
        <v>1972</v>
      </c>
      <c r="C12" s="158">
        <v>0.8</v>
      </c>
      <c r="D12" s="153" t="s">
        <v>1919</v>
      </c>
      <c r="E12" s="159"/>
      <c r="G12" s="149"/>
      <c r="H12" s="149"/>
      <c r="I12" s="149"/>
      <c r="J12" s="149"/>
    </row>
    <row r="13" spans="2:10" ht="43.5" x14ac:dyDescent="0.35">
      <c r="B13" s="157" t="s">
        <v>1826</v>
      </c>
      <c r="C13" s="158">
        <v>0.3</v>
      </c>
      <c r="D13" s="159" t="s">
        <v>1827</v>
      </c>
      <c r="E13" s="159" t="s">
        <v>1828</v>
      </c>
      <c r="G13" s="149"/>
      <c r="H13" s="149"/>
      <c r="I13" s="149"/>
      <c r="J13" s="149"/>
    </row>
    <row r="15" spans="2:10" x14ac:dyDescent="0.35">
      <c r="C15" s="155">
        <f>SUM(C3:C13)</f>
        <v>10.000000000000002</v>
      </c>
    </row>
  </sheetData>
  <mergeCells count="1">
    <mergeCell ref="B1:E1"/>
  </mergeCells>
  <pageMargins left="0.511811024" right="0.511811024" top="0.78740157499999996" bottom="0.78740157499999996" header="0.31496062000000002" footer="0.3149606200000000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C381C-F030-43DA-8516-DE6EC832E369}">
  <sheetPr codeName="Planilha9">
    <tabColor rgb="FFCC00CC"/>
  </sheetPr>
  <dimension ref="B1:K17"/>
  <sheetViews>
    <sheetView showGridLines="0" topLeftCell="A6" zoomScale="90" zoomScaleNormal="90" workbookViewId="0">
      <selection activeCell="B3" sqref="B3:B15"/>
    </sheetView>
  </sheetViews>
  <sheetFormatPr defaultRowHeight="14.5" x14ac:dyDescent="0.35"/>
  <cols>
    <col min="1" max="1" width="6.81640625" customWidth="1"/>
    <col min="2" max="2" width="31.6328125" customWidth="1"/>
    <col min="3" max="3" width="5.6328125" style="3" customWidth="1"/>
    <col min="4" max="5" width="31.6328125" customWidth="1"/>
    <col min="7" max="7" width="25.08984375" customWidth="1"/>
    <col min="8" max="8" width="3.453125" bestFit="1" customWidth="1"/>
    <col min="9" max="10" width="25.08984375" customWidth="1"/>
    <col min="11" max="11" width="23.90625" customWidth="1"/>
  </cols>
  <sheetData>
    <row r="1" spans="2:11" ht="17.5" x14ac:dyDescent="0.35">
      <c r="B1" s="204" t="s">
        <v>2195</v>
      </c>
      <c r="C1" s="204"/>
      <c r="D1" s="204"/>
      <c r="E1" s="204"/>
    </row>
    <row r="2" spans="2:11" ht="17.5" x14ac:dyDescent="0.35">
      <c r="B2" s="204" t="s">
        <v>1812</v>
      </c>
      <c r="C2" s="204" t="s">
        <v>472</v>
      </c>
      <c r="D2" s="204" t="s">
        <v>1815</v>
      </c>
      <c r="E2" s="204" t="s">
        <v>1816</v>
      </c>
    </row>
    <row r="3" spans="2:11" ht="43.5" x14ac:dyDescent="0.35">
      <c r="B3" s="157" t="s">
        <v>2218</v>
      </c>
      <c r="C3" s="158">
        <v>0.3</v>
      </c>
      <c r="D3" s="159" t="s">
        <v>1841</v>
      </c>
      <c r="E3" s="159" t="s">
        <v>1873</v>
      </c>
      <c r="H3" s="151"/>
    </row>
    <row r="4" spans="2:11" ht="29" x14ac:dyDescent="0.35">
      <c r="B4" s="154" t="s">
        <v>1257</v>
      </c>
      <c r="C4" s="156">
        <v>0.4</v>
      </c>
      <c r="D4" s="153" t="s">
        <v>1967</v>
      </c>
      <c r="E4" s="153" t="s">
        <v>2328</v>
      </c>
      <c r="H4" s="151"/>
    </row>
    <row r="5" spans="2:11" ht="58" x14ac:dyDescent="0.35">
      <c r="B5" s="157" t="s">
        <v>1842</v>
      </c>
      <c r="C5" s="156">
        <v>1.2</v>
      </c>
      <c r="D5" s="159" t="s">
        <v>1921</v>
      </c>
      <c r="E5" s="159" t="s">
        <v>2223</v>
      </c>
      <c r="G5" s="149"/>
      <c r="H5" s="149"/>
      <c r="I5" s="149"/>
      <c r="J5" s="149"/>
    </row>
    <row r="6" spans="2:11" ht="72.5" x14ac:dyDescent="0.35">
      <c r="B6" s="154" t="s">
        <v>1915</v>
      </c>
      <c r="C6" s="156">
        <v>2</v>
      </c>
      <c r="D6" s="153" t="s">
        <v>1916</v>
      </c>
      <c r="E6" s="153" t="s">
        <v>1917</v>
      </c>
      <c r="G6" s="149"/>
      <c r="H6" s="149"/>
      <c r="I6" s="149"/>
      <c r="J6" s="149"/>
    </row>
    <row r="7" spans="2:11" ht="72.5" x14ac:dyDescent="0.35">
      <c r="B7" s="154" t="s">
        <v>1922</v>
      </c>
      <c r="C7" s="156">
        <v>1.1500000000000001</v>
      </c>
      <c r="D7" s="153" t="s">
        <v>1923</v>
      </c>
      <c r="E7" s="153" t="s">
        <v>1924</v>
      </c>
      <c r="G7" s="149"/>
      <c r="H7" s="149"/>
      <c r="I7" s="149"/>
      <c r="J7" s="149"/>
      <c r="K7" s="148"/>
    </row>
    <row r="8" spans="2:11" ht="58" x14ac:dyDescent="0.35">
      <c r="B8" s="154" t="s">
        <v>2224</v>
      </c>
      <c r="C8" s="156">
        <v>1.7999999999999998</v>
      </c>
      <c r="D8" s="153" t="s">
        <v>1908</v>
      </c>
      <c r="E8" s="153" t="s">
        <v>2225</v>
      </c>
      <c r="G8" s="149"/>
      <c r="H8" s="149"/>
      <c r="I8" s="149"/>
      <c r="J8" s="149"/>
      <c r="K8" s="149"/>
    </row>
    <row r="9" spans="2:11" ht="58" x14ac:dyDescent="0.35">
      <c r="B9" s="154" t="s">
        <v>1912</v>
      </c>
      <c r="C9" s="156">
        <v>1.7999999999999998</v>
      </c>
      <c r="D9" s="153" t="s">
        <v>1913</v>
      </c>
      <c r="E9" s="153" t="s">
        <v>1914</v>
      </c>
      <c r="G9" s="149"/>
      <c r="H9" s="149"/>
      <c r="I9" s="149"/>
      <c r="J9" s="149"/>
      <c r="K9" s="149"/>
    </row>
    <row r="10" spans="2:11" ht="43.5" x14ac:dyDescent="0.35">
      <c r="B10" s="157" t="s">
        <v>1826</v>
      </c>
      <c r="C10" s="158">
        <v>0.3</v>
      </c>
      <c r="D10" s="159" t="s">
        <v>1827</v>
      </c>
      <c r="E10" s="159" t="s">
        <v>1828</v>
      </c>
      <c r="H10" s="149"/>
      <c r="I10" s="149"/>
      <c r="J10" s="149"/>
      <c r="K10" s="149"/>
    </row>
    <row r="11" spans="2:11" ht="43.5" x14ac:dyDescent="0.35">
      <c r="B11" s="157" t="s">
        <v>1819</v>
      </c>
      <c r="C11" s="158">
        <v>0.3</v>
      </c>
      <c r="D11" s="159" t="s">
        <v>1820</v>
      </c>
      <c r="E11" s="159" t="s">
        <v>1821</v>
      </c>
      <c r="H11" s="149"/>
      <c r="I11" s="149"/>
      <c r="J11" s="149"/>
      <c r="K11" s="149"/>
    </row>
    <row r="12" spans="2:11" ht="58" x14ac:dyDescent="0.35">
      <c r="B12" s="157" t="s">
        <v>1822</v>
      </c>
      <c r="C12" s="158">
        <v>0.15</v>
      </c>
      <c r="D12" s="159" t="s">
        <v>1823</v>
      </c>
      <c r="E12" s="159" t="s">
        <v>1824</v>
      </c>
    </row>
    <row r="13" spans="2:11" ht="58" x14ac:dyDescent="0.35">
      <c r="B13" s="154" t="s">
        <v>1918</v>
      </c>
      <c r="C13" s="156">
        <v>0.2</v>
      </c>
      <c r="D13" s="153" t="s">
        <v>1919</v>
      </c>
      <c r="E13" s="153" t="s">
        <v>2226</v>
      </c>
    </row>
    <row r="14" spans="2:11" ht="43.5" x14ac:dyDescent="0.35">
      <c r="B14" s="157" t="s">
        <v>1872</v>
      </c>
      <c r="C14" s="158">
        <v>0.3</v>
      </c>
      <c r="D14" s="159" t="s">
        <v>1825</v>
      </c>
      <c r="E14" s="159"/>
    </row>
    <row r="15" spans="2:11" ht="58" x14ac:dyDescent="0.35">
      <c r="B15" s="157" t="s">
        <v>2222</v>
      </c>
      <c r="C15" s="158">
        <v>0.1</v>
      </c>
      <c r="D15" s="159" t="s">
        <v>1818</v>
      </c>
      <c r="E15" s="159"/>
    </row>
    <row r="17" spans="3:3" x14ac:dyDescent="0.35">
      <c r="C17" s="6">
        <f>SUM(C3:C15)</f>
        <v>10</v>
      </c>
    </row>
  </sheetData>
  <mergeCells count="2">
    <mergeCell ref="B1:E1"/>
    <mergeCell ref="B2:E2"/>
  </mergeCells>
  <pageMargins left="0.511811024" right="0.511811024" top="0.78740157499999996" bottom="0.78740157499999996" header="0.31496062000000002" footer="0.3149606200000000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FE0EB6-56C4-4C6D-ACFA-171E5C51AD03}">
  <sheetPr codeName="Planilha10">
    <tabColor rgb="FFCC00CC"/>
  </sheetPr>
  <dimension ref="B1:K19"/>
  <sheetViews>
    <sheetView showGridLines="0" zoomScaleNormal="100" workbookViewId="0">
      <selection activeCell="D6" sqref="D6"/>
    </sheetView>
  </sheetViews>
  <sheetFormatPr defaultRowHeight="14.5" x14ac:dyDescent="0.35"/>
  <cols>
    <col min="1" max="1" width="6.81640625" customWidth="1"/>
    <col min="2" max="2" width="31.6328125" customWidth="1"/>
    <col min="3" max="3" width="5.6328125" style="3" customWidth="1"/>
    <col min="4" max="5" width="31.6328125" customWidth="1"/>
    <col min="8" max="8" width="23.90625" customWidth="1"/>
    <col min="9" max="9" width="5" bestFit="1" customWidth="1"/>
    <col min="10" max="11" width="23.90625" customWidth="1"/>
  </cols>
  <sheetData>
    <row r="1" spans="2:11" ht="17.5" x14ac:dyDescent="0.35">
      <c r="B1" s="198" t="s">
        <v>2233</v>
      </c>
      <c r="C1" s="198"/>
      <c r="D1" s="198"/>
      <c r="E1" s="198"/>
    </row>
    <row r="2" spans="2:11" x14ac:dyDescent="0.35">
      <c r="B2" s="181" t="s">
        <v>1812</v>
      </c>
      <c r="C2" s="181" t="s">
        <v>472</v>
      </c>
      <c r="D2" s="181" t="s">
        <v>1815</v>
      </c>
      <c r="E2" s="181" t="s">
        <v>1816</v>
      </c>
    </row>
    <row r="3" spans="2:11" ht="43.5" x14ac:dyDescent="0.35">
      <c r="B3" s="157" t="s">
        <v>2218</v>
      </c>
      <c r="C3" s="158">
        <v>0.3</v>
      </c>
      <c r="D3" s="159" t="s">
        <v>1841</v>
      </c>
      <c r="E3" s="159" t="s">
        <v>1873</v>
      </c>
      <c r="H3" s="151"/>
    </row>
    <row r="4" spans="2:11" ht="29" x14ac:dyDescent="0.35">
      <c r="B4" s="154" t="s">
        <v>1257</v>
      </c>
      <c r="C4" s="156">
        <v>0.4</v>
      </c>
      <c r="D4" s="153" t="s">
        <v>1967</v>
      </c>
      <c r="E4" s="153" t="s">
        <v>2328</v>
      </c>
      <c r="H4" s="151"/>
    </row>
    <row r="5" spans="2:11" ht="58" x14ac:dyDescent="0.35">
      <c r="B5" s="157" t="s">
        <v>1842</v>
      </c>
      <c r="C5" s="156">
        <v>1.2</v>
      </c>
      <c r="D5" s="159" t="s">
        <v>1921</v>
      </c>
      <c r="E5" s="159" t="s">
        <v>2196</v>
      </c>
    </row>
    <row r="6" spans="2:11" ht="43.5" x14ac:dyDescent="0.35">
      <c r="B6" s="154" t="s">
        <v>1915</v>
      </c>
      <c r="C6" s="156">
        <v>1.2</v>
      </c>
      <c r="D6" s="153" t="s">
        <v>1916</v>
      </c>
      <c r="E6" s="153" t="s">
        <v>2347</v>
      </c>
    </row>
    <row r="7" spans="2:11" ht="58" x14ac:dyDescent="0.35">
      <c r="B7" s="154" t="s">
        <v>1905</v>
      </c>
      <c r="C7" s="156">
        <v>1.1500000000000001</v>
      </c>
      <c r="D7" s="153" t="s">
        <v>1906</v>
      </c>
      <c r="E7" s="153" t="s">
        <v>2348</v>
      </c>
      <c r="H7" s="148"/>
      <c r="I7" s="148"/>
      <c r="J7" s="148"/>
      <c r="K7" s="148"/>
    </row>
    <row r="8" spans="2:11" ht="72.5" x14ac:dyDescent="0.35">
      <c r="B8" s="154" t="s">
        <v>2234</v>
      </c>
      <c r="C8" s="156">
        <v>1.1000000000000001</v>
      </c>
      <c r="D8" s="153" t="s">
        <v>1908</v>
      </c>
      <c r="E8" s="153" t="s">
        <v>2235</v>
      </c>
      <c r="H8" s="149"/>
      <c r="I8" s="149"/>
      <c r="J8" s="149"/>
      <c r="K8" s="149"/>
    </row>
    <row r="9" spans="2:11" ht="58" x14ac:dyDescent="0.35">
      <c r="B9" s="154" t="s">
        <v>1925</v>
      </c>
      <c r="C9" s="156">
        <v>1.1000000000000001</v>
      </c>
      <c r="D9" s="153" t="s">
        <v>1926</v>
      </c>
      <c r="E9" s="153" t="s">
        <v>2349</v>
      </c>
      <c r="H9" s="149"/>
      <c r="I9" s="149"/>
      <c r="J9" s="149"/>
      <c r="K9" s="149"/>
    </row>
    <row r="10" spans="2:11" ht="72.5" x14ac:dyDescent="0.35">
      <c r="B10" s="154" t="s">
        <v>1909</v>
      </c>
      <c r="C10" s="156">
        <v>1.1000000000000001</v>
      </c>
      <c r="D10" s="153" t="s">
        <v>1910</v>
      </c>
      <c r="E10" s="153" t="s">
        <v>1911</v>
      </c>
      <c r="H10" s="149"/>
      <c r="I10" s="149"/>
      <c r="J10" s="149"/>
      <c r="K10" s="149"/>
    </row>
    <row r="11" spans="2:11" ht="58" x14ac:dyDescent="0.35">
      <c r="B11" s="154" t="s">
        <v>1912</v>
      </c>
      <c r="C11" s="156">
        <v>1.1000000000000001</v>
      </c>
      <c r="D11" s="153" t="s">
        <v>1913</v>
      </c>
      <c r="E11" s="153" t="s">
        <v>2350</v>
      </c>
      <c r="H11" s="149"/>
      <c r="I11" s="149"/>
      <c r="J11" s="149"/>
      <c r="K11" s="149"/>
    </row>
    <row r="12" spans="2:11" ht="43.5" x14ac:dyDescent="0.35">
      <c r="B12" s="157" t="s">
        <v>1826</v>
      </c>
      <c r="C12" s="158">
        <v>0.3</v>
      </c>
      <c r="D12" s="159" t="s">
        <v>1827</v>
      </c>
      <c r="E12" s="159" t="s">
        <v>1828</v>
      </c>
      <c r="H12" s="149"/>
      <c r="I12" s="149"/>
      <c r="J12" s="149"/>
      <c r="K12" s="149"/>
    </row>
    <row r="13" spans="2:11" ht="43.5" x14ac:dyDescent="0.35">
      <c r="B13" s="157" t="s">
        <v>1819</v>
      </c>
      <c r="C13" s="158">
        <v>0.3</v>
      </c>
      <c r="D13" s="159" t="s">
        <v>1820</v>
      </c>
      <c r="E13" s="159" t="s">
        <v>1821</v>
      </c>
      <c r="H13" s="149"/>
      <c r="I13" s="149"/>
      <c r="J13" s="149"/>
      <c r="K13" s="149"/>
    </row>
    <row r="14" spans="2:11" ht="48" customHeight="1" x14ac:dyDescent="0.35">
      <c r="B14" s="157" t="s">
        <v>1822</v>
      </c>
      <c r="C14" s="158">
        <v>0.15</v>
      </c>
      <c r="D14" s="159" t="s">
        <v>1823</v>
      </c>
      <c r="E14" s="159" t="s">
        <v>1824</v>
      </c>
    </row>
    <row r="15" spans="2:11" ht="58" x14ac:dyDescent="0.35">
      <c r="B15" s="154" t="s">
        <v>1918</v>
      </c>
      <c r="C15" s="156">
        <v>0.2</v>
      </c>
      <c r="D15" s="153" t="s">
        <v>1919</v>
      </c>
      <c r="E15" s="153" t="s">
        <v>2226</v>
      </c>
    </row>
    <row r="16" spans="2:11" ht="43.5" x14ac:dyDescent="0.35">
      <c r="B16" s="157" t="s">
        <v>1872</v>
      </c>
      <c r="C16" s="158">
        <v>0.3</v>
      </c>
      <c r="D16" s="159" t="s">
        <v>1825</v>
      </c>
      <c r="E16" s="159"/>
    </row>
    <row r="17" spans="2:5" ht="58" x14ac:dyDescent="0.35">
      <c r="B17" s="157" t="s">
        <v>1869</v>
      </c>
      <c r="C17" s="158">
        <v>0.1</v>
      </c>
      <c r="D17" s="159" t="s">
        <v>1818</v>
      </c>
      <c r="E17" s="159"/>
    </row>
    <row r="19" spans="2:5" x14ac:dyDescent="0.35">
      <c r="C19" s="6">
        <f>SUM(C3:C17)</f>
        <v>10</v>
      </c>
    </row>
  </sheetData>
  <mergeCells count="1">
    <mergeCell ref="B1:E1"/>
  </mergeCells>
  <pageMargins left="0.511811024" right="0.511811024" top="0.78740157499999996" bottom="0.78740157499999996" header="0.31496062000000002" footer="0.3149606200000000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E912F-9C24-4A5E-8C3E-C1792DFD88E6}">
  <sheetPr codeName="Planilha11">
    <tabColor rgb="FFCC00CC"/>
  </sheetPr>
  <dimension ref="B1:K19"/>
  <sheetViews>
    <sheetView showGridLines="0" topLeftCell="A7" zoomScale="90" zoomScaleNormal="90" workbookViewId="0">
      <selection activeCell="B3" sqref="B3:B16"/>
    </sheetView>
  </sheetViews>
  <sheetFormatPr defaultRowHeight="14.5" x14ac:dyDescent="0.35"/>
  <cols>
    <col min="1" max="1" width="6.81640625" customWidth="1"/>
    <col min="2" max="2" width="31.6328125" customWidth="1"/>
    <col min="3" max="3" width="5.6328125" style="3" customWidth="1"/>
    <col min="4" max="5" width="31.6328125" customWidth="1"/>
    <col min="8" max="8" width="23.90625" customWidth="1"/>
    <col min="9" max="9" width="5" bestFit="1" customWidth="1"/>
    <col min="10" max="11" width="23.90625" customWidth="1"/>
  </cols>
  <sheetData>
    <row r="1" spans="2:11" ht="17.5" customHeight="1" x14ac:dyDescent="0.35">
      <c r="B1" s="206" t="s">
        <v>2238</v>
      </c>
      <c r="C1" s="206"/>
      <c r="D1" s="206"/>
      <c r="E1" s="206"/>
    </row>
    <row r="2" spans="2:11" x14ac:dyDescent="0.35">
      <c r="B2" s="182" t="s">
        <v>1812</v>
      </c>
      <c r="C2" s="182" t="s">
        <v>472</v>
      </c>
      <c r="D2" s="182" t="s">
        <v>1815</v>
      </c>
      <c r="E2" s="182" t="s">
        <v>1816</v>
      </c>
    </row>
    <row r="3" spans="2:11" ht="43.5" x14ac:dyDescent="0.35">
      <c r="B3" s="157" t="s">
        <v>2218</v>
      </c>
      <c r="C3" s="158">
        <v>0.3</v>
      </c>
      <c r="D3" s="159" t="s">
        <v>1841</v>
      </c>
      <c r="E3" s="159" t="s">
        <v>1873</v>
      </c>
      <c r="H3" s="151"/>
    </row>
    <row r="4" spans="2:11" ht="29" x14ac:dyDescent="0.35">
      <c r="B4" s="154" t="s">
        <v>1257</v>
      </c>
      <c r="C4" s="156">
        <v>0.4</v>
      </c>
      <c r="D4" s="153" t="s">
        <v>1967</v>
      </c>
      <c r="E4" s="153" t="s">
        <v>2328</v>
      </c>
      <c r="H4" s="151"/>
    </row>
    <row r="5" spans="2:11" ht="58" x14ac:dyDescent="0.35">
      <c r="B5" s="157" t="s">
        <v>1842</v>
      </c>
      <c r="C5" s="156">
        <v>1.2</v>
      </c>
      <c r="D5" s="159" t="s">
        <v>1921</v>
      </c>
      <c r="E5" s="159" t="s">
        <v>1936</v>
      </c>
      <c r="H5" s="148"/>
      <c r="I5" s="148"/>
      <c r="J5" s="148"/>
      <c r="K5" s="148"/>
    </row>
    <row r="6" spans="2:11" ht="72.5" x14ac:dyDescent="0.35">
      <c r="B6" s="154" t="s">
        <v>1922</v>
      </c>
      <c r="C6" s="156">
        <v>1.1500000000000001</v>
      </c>
      <c r="D6" s="149" t="s">
        <v>1923</v>
      </c>
      <c r="E6" s="162" t="s">
        <v>1907</v>
      </c>
      <c r="H6" s="149"/>
      <c r="I6" s="149"/>
      <c r="J6" s="149"/>
      <c r="K6" s="149"/>
    </row>
    <row r="7" spans="2:11" ht="58" x14ac:dyDescent="0.35">
      <c r="B7" s="154" t="s">
        <v>1927</v>
      </c>
      <c r="C7" s="156">
        <v>1.4000000000000001</v>
      </c>
      <c r="D7" s="153" t="s">
        <v>1908</v>
      </c>
      <c r="E7" s="153" t="s">
        <v>1928</v>
      </c>
      <c r="H7" s="149"/>
      <c r="I7" s="149"/>
      <c r="J7" s="149"/>
      <c r="K7" s="149"/>
    </row>
    <row r="8" spans="2:11" ht="58" x14ac:dyDescent="0.35">
      <c r="B8" s="154" t="s">
        <v>1929</v>
      </c>
      <c r="C8" s="156">
        <v>1.4000000000000001</v>
      </c>
      <c r="D8" s="153" t="s">
        <v>2239</v>
      </c>
      <c r="E8" s="153" t="s">
        <v>1930</v>
      </c>
      <c r="H8" s="149"/>
      <c r="I8" s="149"/>
      <c r="J8" s="149"/>
      <c r="K8" s="149"/>
    </row>
    <row r="9" spans="2:11" ht="72.5" x14ac:dyDescent="0.35">
      <c r="B9" s="154" t="s">
        <v>1931</v>
      </c>
      <c r="C9" s="156">
        <v>1.4000000000000001</v>
      </c>
      <c r="D9" s="153" t="s">
        <v>1932</v>
      </c>
      <c r="E9" s="153" t="s">
        <v>1933</v>
      </c>
      <c r="H9" s="149"/>
      <c r="I9" s="149"/>
      <c r="J9" s="149"/>
      <c r="K9" s="149"/>
    </row>
    <row r="10" spans="2:11" ht="72.5" x14ac:dyDescent="0.35">
      <c r="B10" s="154" t="s">
        <v>1934</v>
      </c>
      <c r="C10" s="156">
        <v>1.4000000000000001</v>
      </c>
      <c r="D10" s="153" t="s">
        <v>1935</v>
      </c>
      <c r="E10" s="153" t="s">
        <v>2240</v>
      </c>
      <c r="H10" s="149"/>
      <c r="I10" s="149"/>
      <c r="J10" s="149"/>
      <c r="K10" s="149"/>
    </row>
    <row r="11" spans="2:11" ht="43.5" x14ac:dyDescent="0.35">
      <c r="B11" s="157" t="s">
        <v>1826</v>
      </c>
      <c r="C11" s="158">
        <v>0.3</v>
      </c>
      <c r="D11" s="159" t="s">
        <v>1827</v>
      </c>
      <c r="E11" s="159" t="s">
        <v>1828</v>
      </c>
      <c r="H11" s="149"/>
      <c r="I11" s="149"/>
      <c r="J11" s="149"/>
      <c r="K11" s="149"/>
    </row>
    <row r="12" spans="2:11" ht="43.5" x14ac:dyDescent="0.35">
      <c r="B12" s="157" t="s">
        <v>1819</v>
      </c>
      <c r="C12" s="158">
        <v>0.3</v>
      </c>
      <c r="D12" s="159" t="s">
        <v>1820</v>
      </c>
      <c r="E12" s="159" t="s">
        <v>1821</v>
      </c>
      <c r="H12" s="149"/>
      <c r="I12" s="149"/>
      <c r="J12" s="149"/>
      <c r="K12" s="149"/>
    </row>
    <row r="13" spans="2:11" ht="58" x14ac:dyDescent="0.35">
      <c r="B13" s="157" t="s">
        <v>1822</v>
      </c>
      <c r="C13" s="158">
        <v>0.15</v>
      </c>
      <c r="D13" s="159" t="s">
        <v>1823</v>
      </c>
      <c r="E13" s="159" t="s">
        <v>1824</v>
      </c>
    </row>
    <row r="14" spans="2:11" ht="58" x14ac:dyDescent="0.35">
      <c r="B14" s="154" t="s">
        <v>1918</v>
      </c>
      <c r="C14" s="156">
        <v>0.2</v>
      </c>
      <c r="D14" s="153" t="s">
        <v>1919</v>
      </c>
      <c r="E14" s="153" t="s">
        <v>1920</v>
      </c>
    </row>
    <row r="15" spans="2:11" ht="43.5" x14ac:dyDescent="0.35">
      <c r="B15" s="157" t="s">
        <v>1872</v>
      </c>
      <c r="C15" s="158">
        <v>0.3</v>
      </c>
      <c r="D15" s="159" t="s">
        <v>1825</v>
      </c>
      <c r="E15" s="159"/>
    </row>
    <row r="16" spans="2:11" ht="58" x14ac:dyDescent="0.35">
      <c r="B16" s="157" t="s">
        <v>1869</v>
      </c>
      <c r="C16" s="158">
        <v>0.1</v>
      </c>
      <c r="D16" s="159" t="s">
        <v>1818</v>
      </c>
      <c r="E16" s="159"/>
    </row>
    <row r="19" spans="3:3" x14ac:dyDescent="0.35">
      <c r="C19" s="6">
        <f>SUM(C3:C16)</f>
        <v>10.000000000000002</v>
      </c>
    </row>
  </sheetData>
  <mergeCells count="1">
    <mergeCell ref="B1:E1"/>
  </mergeCells>
  <pageMargins left="0.511811024" right="0.511811024" top="0.78740157499999996" bottom="0.78740157499999996" header="0.31496062000000002" footer="0.3149606200000000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225EB-DFF1-466C-ADE9-76529FF24677}">
  <sheetPr codeName="Planilha12">
    <tabColor rgb="FFCC00CC"/>
  </sheetPr>
  <dimension ref="B1:K20"/>
  <sheetViews>
    <sheetView showGridLines="0" topLeftCell="A14" zoomScale="90" zoomScaleNormal="90" workbookViewId="0">
      <selection activeCell="C13" sqref="C13"/>
    </sheetView>
  </sheetViews>
  <sheetFormatPr defaultRowHeight="14.5" x14ac:dyDescent="0.35"/>
  <cols>
    <col min="1" max="1" width="6.81640625" customWidth="1"/>
    <col min="2" max="2" width="31.6328125" customWidth="1"/>
    <col min="3" max="3" width="5.6328125" style="3" customWidth="1"/>
    <col min="4" max="5" width="31.6328125" customWidth="1"/>
    <col min="6" max="6" width="6" customWidth="1"/>
    <col min="7" max="7" width="35.1796875" customWidth="1"/>
    <col min="8" max="8" width="5" bestFit="1" customWidth="1"/>
    <col min="9" max="11" width="23.90625" customWidth="1"/>
  </cols>
  <sheetData>
    <row r="1" spans="2:11" ht="17.5" x14ac:dyDescent="0.35">
      <c r="B1" s="207" t="s">
        <v>2241</v>
      </c>
      <c r="C1" s="207"/>
      <c r="D1" s="207"/>
      <c r="E1" s="207"/>
    </row>
    <row r="2" spans="2:11" x14ac:dyDescent="0.35">
      <c r="B2" s="207" t="s">
        <v>1812</v>
      </c>
      <c r="C2" s="207" t="s">
        <v>472</v>
      </c>
      <c r="D2" s="207" t="s">
        <v>1815</v>
      </c>
      <c r="E2" s="207" t="s">
        <v>1816</v>
      </c>
    </row>
    <row r="3" spans="2:11" ht="43.5" x14ac:dyDescent="0.35">
      <c r="B3" s="157" t="s">
        <v>2218</v>
      </c>
      <c r="C3" s="158">
        <v>0.3</v>
      </c>
      <c r="D3" s="159" t="s">
        <v>1841</v>
      </c>
      <c r="E3" s="159" t="s">
        <v>1873</v>
      </c>
      <c r="H3" s="151"/>
    </row>
    <row r="4" spans="2:11" ht="29" x14ac:dyDescent="0.35">
      <c r="B4" s="154" t="s">
        <v>1257</v>
      </c>
      <c r="C4" s="156">
        <v>0.4</v>
      </c>
      <c r="D4" s="153" t="s">
        <v>1967</v>
      </c>
      <c r="E4" s="153" t="s">
        <v>2328</v>
      </c>
      <c r="H4" s="151"/>
    </row>
    <row r="5" spans="2:11" ht="58" x14ac:dyDescent="0.35">
      <c r="B5" s="157" t="s">
        <v>1842</v>
      </c>
      <c r="C5" s="156">
        <v>1.2</v>
      </c>
      <c r="D5" s="159" t="s">
        <v>1921</v>
      </c>
      <c r="E5" s="159" t="s">
        <v>2243</v>
      </c>
      <c r="G5" s="149"/>
      <c r="H5" s="149"/>
      <c r="I5" s="149"/>
      <c r="J5" s="149"/>
    </row>
    <row r="6" spans="2:11" ht="72.5" x14ac:dyDescent="0.35">
      <c r="B6" s="154" t="s">
        <v>1915</v>
      </c>
      <c r="C6" s="156">
        <v>1.3</v>
      </c>
      <c r="D6" s="153" t="s">
        <v>1916</v>
      </c>
      <c r="E6" s="153" t="s">
        <v>1917</v>
      </c>
      <c r="G6" s="149"/>
      <c r="H6" s="149"/>
      <c r="I6" s="149"/>
      <c r="J6" s="149"/>
    </row>
    <row r="7" spans="2:11" ht="87" x14ac:dyDescent="0.35">
      <c r="B7" s="154" t="s">
        <v>1937</v>
      </c>
      <c r="C7" s="156">
        <v>1.1500000000000001</v>
      </c>
      <c r="D7" s="153" t="s">
        <v>1923</v>
      </c>
      <c r="E7" s="153" t="s">
        <v>1938</v>
      </c>
      <c r="G7" s="149"/>
      <c r="H7" s="149"/>
      <c r="I7" s="149"/>
      <c r="J7" s="149"/>
      <c r="K7" s="148"/>
    </row>
    <row r="8" spans="2:11" ht="58" x14ac:dyDescent="0.35">
      <c r="B8" s="154" t="s">
        <v>1939</v>
      </c>
      <c r="C8" s="156">
        <v>1</v>
      </c>
      <c r="D8" s="153" t="s">
        <v>1940</v>
      </c>
      <c r="E8" s="153" t="s">
        <v>1941</v>
      </c>
      <c r="G8" s="149"/>
      <c r="H8" s="149"/>
      <c r="I8" s="149"/>
      <c r="J8" s="149"/>
      <c r="K8" s="149"/>
    </row>
    <row r="9" spans="2:11" ht="72.5" x14ac:dyDescent="0.35">
      <c r="B9" s="154" t="s">
        <v>1942</v>
      </c>
      <c r="C9" s="156">
        <v>1</v>
      </c>
      <c r="D9" s="153" t="s">
        <v>1943</v>
      </c>
      <c r="E9" s="153" t="s">
        <v>2244</v>
      </c>
      <c r="G9" s="149"/>
      <c r="H9" s="149"/>
      <c r="I9" s="149"/>
      <c r="J9" s="149"/>
      <c r="K9" s="149"/>
    </row>
    <row r="10" spans="2:11" ht="58" x14ac:dyDescent="0.35">
      <c r="B10" s="154" t="s">
        <v>1944</v>
      </c>
      <c r="C10" s="156">
        <v>1</v>
      </c>
      <c r="D10" s="153" t="s">
        <v>1945</v>
      </c>
      <c r="E10" s="153" t="s">
        <v>1946</v>
      </c>
      <c r="G10" s="149"/>
      <c r="H10" s="149"/>
      <c r="I10" s="149"/>
      <c r="J10" s="149"/>
      <c r="K10" s="149"/>
    </row>
    <row r="11" spans="2:11" ht="58" x14ac:dyDescent="0.35">
      <c r="B11" s="154" t="s">
        <v>2245</v>
      </c>
      <c r="C11" s="156">
        <v>1.3</v>
      </c>
      <c r="D11" s="153" t="s">
        <v>1935</v>
      </c>
      <c r="E11" s="153" t="s">
        <v>2246</v>
      </c>
      <c r="G11" s="149"/>
      <c r="H11" s="149"/>
      <c r="I11" s="149"/>
      <c r="J11" s="149"/>
      <c r="K11" s="149"/>
    </row>
    <row r="12" spans="2:11" ht="43.5" x14ac:dyDescent="0.35">
      <c r="B12" s="157" t="s">
        <v>1826</v>
      </c>
      <c r="C12" s="158">
        <v>0.3</v>
      </c>
      <c r="D12" s="159" t="s">
        <v>1827</v>
      </c>
      <c r="E12" s="159" t="s">
        <v>1828</v>
      </c>
      <c r="K12" s="149"/>
    </row>
    <row r="13" spans="2:11" ht="43.5" x14ac:dyDescent="0.35">
      <c r="B13" s="157" t="s">
        <v>1819</v>
      </c>
      <c r="C13" s="158">
        <v>0.3</v>
      </c>
      <c r="D13" s="159" t="s">
        <v>1820</v>
      </c>
      <c r="E13" s="159" t="s">
        <v>1821</v>
      </c>
      <c r="K13" s="149"/>
    </row>
    <row r="14" spans="2:11" ht="58" x14ac:dyDescent="0.35">
      <c r="B14" s="157" t="s">
        <v>1822</v>
      </c>
      <c r="C14" s="158">
        <v>0.15</v>
      </c>
      <c r="D14" s="159" t="s">
        <v>1823</v>
      </c>
      <c r="E14" s="159" t="s">
        <v>1824</v>
      </c>
    </row>
    <row r="15" spans="2:11" ht="58" x14ac:dyDescent="0.35">
      <c r="B15" s="154" t="s">
        <v>1918</v>
      </c>
      <c r="C15" s="156">
        <v>0.2</v>
      </c>
      <c r="D15" s="153" t="s">
        <v>1919</v>
      </c>
      <c r="E15" s="153" t="s">
        <v>1920</v>
      </c>
    </row>
    <row r="16" spans="2:11" ht="43.5" x14ac:dyDescent="0.35">
      <c r="B16" s="157" t="s">
        <v>1872</v>
      </c>
      <c r="C16" s="158">
        <v>0.3</v>
      </c>
      <c r="D16" s="159" t="s">
        <v>1825</v>
      </c>
      <c r="E16" s="159"/>
    </row>
    <row r="17" spans="2:5" ht="58" x14ac:dyDescent="0.35">
      <c r="B17" s="157" t="s">
        <v>1869</v>
      </c>
      <c r="C17" s="158">
        <v>0.1</v>
      </c>
      <c r="D17" s="159" t="s">
        <v>1818</v>
      </c>
      <c r="E17" s="159"/>
    </row>
    <row r="20" spans="2:5" x14ac:dyDescent="0.35">
      <c r="C20" s="6">
        <f>SUM(C3:C17)</f>
        <v>10.000000000000002</v>
      </c>
    </row>
  </sheetData>
  <mergeCells count="2">
    <mergeCell ref="B1:E1"/>
    <mergeCell ref="B2:E2"/>
  </mergeCells>
  <pageMargins left="0.511811024" right="0.511811024" top="0.78740157499999996" bottom="0.78740157499999996" header="0.31496062000000002" footer="0.3149606200000000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9DA1F-3C40-487E-8DD3-335B6700887C}">
  <sheetPr codeName="Planilha13">
    <tabColor theme="4" tint="-0.499984740745262"/>
  </sheetPr>
  <dimension ref="B1:K16"/>
  <sheetViews>
    <sheetView showGridLines="0" topLeftCell="A10" workbookViewId="0">
      <selection activeCell="A12" sqref="A12:XFD14"/>
    </sheetView>
  </sheetViews>
  <sheetFormatPr defaultRowHeight="14.5" x14ac:dyDescent="0.35"/>
  <cols>
    <col min="1" max="1" width="6.81640625" customWidth="1"/>
    <col min="2" max="2" width="31.6328125" customWidth="1"/>
    <col min="3" max="3" width="5.6328125" style="3" customWidth="1"/>
    <col min="4" max="5" width="26.6328125" customWidth="1"/>
    <col min="7" max="7" width="36.54296875" customWidth="1"/>
    <col min="8" max="8" width="3.453125" bestFit="1" customWidth="1"/>
    <col min="9" max="10" width="32.1796875" customWidth="1"/>
    <col min="11" max="11" width="23.90625" customWidth="1"/>
  </cols>
  <sheetData>
    <row r="1" spans="2:11" ht="17.5" x14ac:dyDescent="0.35">
      <c r="B1" s="209" t="s">
        <v>2373</v>
      </c>
      <c r="C1" s="209"/>
      <c r="D1" s="209"/>
      <c r="E1" s="209"/>
    </row>
    <row r="2" spans="2:11" x14ac:dyDescent="0.35">
      <c r="B2" s="185" t="s">
        <v>1812</v>
      </c>
      <c r="C2" s="185" t="s">
        <v>472</v>
      </c>
      <c r="D2" s="185" t="s">
        <v>1815</v>
      </c>
      <c r="E2" s="185" t="s">
        <v>1816</v>
      </c>
    </row>
    <row r="3" spans="2:11" ht="58" x14ac:dyDescent="0.35">
      <c r="B3" s="157" t="s">
        <v>2218</v>
      </c>
      <c r="C3" s="158">
        <v>0.3</v>
      </c>
      <c r="D3" s="159" t="s">
        <v>1841</v>
      </c>
      <c r="E3" s="159" t="s">
        <v>1873</v>
      </c>
    </row>
    <row r="4" spans="2:11" ht="72.5" x14ac:dyDescent="0.35">
      <c r="B4" s="154" t="s">
        <v>1948</v>
      </c>
      <c r="C4" s="156">
        <v>1.6</v>
      </c>
      <c r="D4" s="153" t="s">
        <v>1949</v>
      </c>
      <c r="E4" s="153" t="s">
        <v>1950</v>
      </c>
      <c r="G4" s="149"/>
      <c r="H4" s="149"/>
      <c r="I4" s="149"/>
      <c r="J4" s="149"/>
    </row>
    <row r="5" spans="2:11" ht="58" x14ac:dyDescent="0.35">
      <c r="B5" s="154" t="s">
        <v>1947</v>
      </c>
      <c r="C5" s="156">
        <v>1.7000000000000002</v>
      </c>
      <c r="D5" s="153" t="s">
        <v>2197</v>
      </c>
      <c r="E5" s="153"/>
      <c r="G5" s="149"/>
      <c r="H5" s="149"/>
      <c r="I5" s="149"/>
      <c r="J5" s="149"/>
      <c r="K5" s="148"/>
    </row>
    <row r="6" spans="2:11" ht="58" x14ac:dyDescent="0.35">
      <c r="B6" s="154" t="s">
        <v>1953</v>
      </c>
      <c r="C6" s="156">
        <v>1.7000000000000002</v>
      </c>
      <c r="D6" s="153" t="s">
        <v>2253</v>
      </c>
      <c r="E6" s="210" t="s">
        <v>2341</v>
      </c>
      <c r="G6" s="149"/>
      <c r="H6" s="149"/>
      <c r="I6" s="149"/>
      <c r="J6" s="149"/>
      <c r="K6" s="149"/>
    </row>
    <row r="7" spans="2:11" ht="58" x14ac:dyDescent="0.35">
      <c r="B7" s="154" t="s">
        <v>1974</v>
      </c>
      <c r="C7" s="156">
        <v>1.7000000000000002</v>
      </c>
      <c r="D7" s="153" t="s">
        <v>2253</v>
      </c>
      <c r="E7" s="211"/>
      <c r="G7" s="149"/>
      <c r="H7" s="149"/>
      <c r="I7" s="149"/>
      <c r="J7" s="149"/>
      <c r="K7" s="149"/>
    </row>
    <row r="8" spans="2:11" ht="43.5" x14ac:dyDescent="0.35">
      <c r="B8" s="154" t="s">
        <v>1973</v>
      </c>
      <c r="C8" s="156">
        <v>1.6500000000000001</v>
      </c>
      <c r="D8" s="153" t="s">
        <v>2255</v>
      </c>
      <c r="E8" s="153" t="s">
        <v>1952</v>
      </c>
      <c r="G8" s="149"/>
      <c r="H8" s="149"/>
      <c r="I8" s="149"/>
      <c r="J8" s="149"/>
      <c r="K8" s="149"/>
    </row>
    <row r="9" spans="2:11" ht="35.5" customHeight="1" x14ac:dyDescent="0.35">
      <c r="B9" s="157" t="s">
        <v>1826</v>
      </c>
      <c r="C9" s="158">
        <v>0.3</v>
      </c>
      <c r="D9" s="159" t="s">
        <v>1827</v>
      </c>
      <c r="E9" s="159" t="s">
        <v>1828</v>
      </c>
    </row>
    <row r="10" spans="2:11" ht="58" x14ac:dyDescent="0.35">
      <c r="B10" s="157" t="s">
        <v>1819</v>
      </c>
      <c r="C10" s="158">
        <v>0.3</v>
      </c>
      <c r="D10" s="159" t="s">
        <v>1820</v>
      </c>
      <c r="E10" s="159" t="s">
        <v>1821</v>
      </c>
      <c r="H10" s="149"/>
      <c r="I10" s="149"/>
      <c r="J10" s="149"/>
      <c r="K10" s="149"/>
    </row>
    <row r="11" spans="2:11" ht="58" x14ac:dyDescent="0.35">
      <c r="B11" s="157" t="s">
        <v>2310</v>
      </c>
      <c r="C11" s="158">
        <v>0.15</v>
      </c>
      <c r="D11" s="159" t="s">
        <v>1823</v>
      </c>
      <c r="E11" s="159" t="s">
        <v>1824</v>
      </c>
    </row>
    <row r="12" spans="2:11" ht="43.5" x14ac:dyDescent="0.35">
      <c r="B12" s="157" t="s">
        <v>1872</v>
      </c>
      <c r="C12" s="158">
        <v>0.2</v>
      </c>
      <c r="D12" s="159" t="s">
        <v>1825</v>
      </c>
      <c r="E12" s="159"/>
    </row>
    <row r="13" spans="2:11" ht="43.5" x14ac:dyDescent="0.35">
      <c r="B13" s="154" t="s">
        <v>1972</v>
      </c>
      <c r="C13" s="156">
        <v>0.3</v>
      </c>
      <c r="D13" s="153" t="s">
        <v>1919</v>
      </c>
      <c r="E13" s="153"/>
    </row>
    <row r="14" spans="2:11" ht="72.5" x14ac:dyDescent="0.35">
      <c r="B14" s="157" t="s">
        <v>1869</v>
      </c>
      <c r="C14" s="158">
        <v>0.1</v>
      </c>
      <c r="D14" s="159" t="s">
        <v>1818</v>
      </c>
      <c r="E14" s="159"/>
    </row>
    <row r="16" spans="2:11" x14ac:dyDescent="0.35">
      <c r="C16" s="6">
        <f>SUM(C3:C14)</f>
        <v>10.000000000000002</v>
      </c>
    </row>
  </sheetData>
  <mergeCells count="2">
    <mergeCell ref="B1:E1"/>
    <mergeCell ref="E6:E7"/>
  </mergeCells>
  <pageMargins left="0.511811024" right="0.511811024" top="0.78740157499999996" bottom="0.78740157499999996" header="0.31496062000000002" footer="0.3149606200000000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88118-A209-4064-B8AC-06FEB5BDB49B}">
  <sheetPr codeName="Planilha14">
    <tabColor theme="4" tint="-0.499984740745262"/>
  </sheetPr>
  <dimension ref="B1:K17"/>
  <sheetViews>
    <sheetView showGridLines="0" zoomScale="90" zoomScaleNormal="90" workbookViewId="0">
      <selection activeCell="F6" sqref="F6"/>
    </sheetView>
  </sheetViews>
  <sheetFormatPr defaultRowHeight="14.5" x14ac:dyDescent="0.35"/>
  <cols>
    <col min="1" max="1" width="6.81640625" customWidth="1"/>
    <col min="2" max="2" width="38.36328125" customWidth="1"/>
    <col min="3" max="3" width="5.6328125" style="3" customWidth="1"/>
    <col min="4" max="4" width="32.1796875" customWidth="1"/>
    <col min="5" max="6" width="33.36328125" customWidth="1"/>
    <col min="7" max="7" width="36.54296875" customWidth="1"/>
    <col min="8" max="8" width="3.453125" bestFit="1" customWidth="1"/>
    <col min="9" max="10" width="32.1796875" customWidth="1"/>
    <col min="11" max="11" width="23.90625" customWidth="1"/>
  </cols>
  <sheetData>
    <row r="1" spans="2:11" ht="17.5" x14ac:dyDescent="0.35">
      <c r="B1" s="212" t="s">
        <v>2252</v>
      </c>
      <c r="C1" s="212"/>
      <c r="D1" s="212"/>
      <c r="E1" s="212"/>
    </row>
    <row r="2" spans="2:11" ht="17.5" x14ac:dyDescent="0.35">
      <c r="B2" s="151"/>
    </row>
    <row r="3" spans="2:11" x14ac:dyDescent="0.35">
      <c r="B3" s="152" t="s">
        <v>1812</v>
      </c>
      <c r="C3" s="152" t="s">
        <v>472</v>
      </c>
      <c r="D3" s="152" t="s">
        <v>1815</v>
      </c>
      <c r="E3" s="152" t="s">
        <v>1816</v>
      </c>
    </row>
    <row r="4" spans="2:11" ht="58" x14ac:dyDescent="0.35">
      <c r="B4" s="157" t="s">
        <v>2218</v>
      </c>
      <c r="C4" s="158">
        <v>0.3</v>
      </c>
      <c r="D4" s="159" t="s">
        <v>1841</v>
      </c>
      <c r="E4" s="159" t="s">
        <v>1873</v>
      </c>
      <c r="G4" s="154" t="s">
        <v>1918</v>
      </c>
      <c r="H4" s="156">
        <v>0.2</v>
      </c>
      <c r="I4" s="153" t="s">
        <v>1919</v>
      </c>
      <c r="J4" s="153" t="s">
        <v>1920</v>
      </c>
    </row>
    <row r="5" spans="2:11" ht="58" x14ac:dyDescent="0.35">
      <c r="B5" s="154" t="s">
        <v>1948</v>
      </c>
      <c r="C5" s="156">
        <v>1.7000000000000002</v>
      </c>
      <c r="D5" s="153" t="s">
        <v>1949</v>
      </c>
      <c r="E5" s="153" t="s">
        <v>1950</v>
      </c>
      <c r="G5" s="149"/>
      <c r="H5" s="149"/>
      <c r="I5" s="149"/>
      <c r="J5" s="149"/>
    </row>
    <row r="6" spans="2:11" ht="43.5" x14ac:dyDescent="0.35">
      <c r="B6" s="154" t="s">
        <v>1947</v>
      </c>
      <c r="C6" s="156">
        <v>2.2000000000000002</v>
      </c>
      <c r="D6" s="153" t="s">
        <v>2197</v>
      </c>
      <c r="E6" s="153"/>
      <c r="G6" s="149"/>
      <c r="H6" s="149"/>
      <c r="I6" s="149"/>
      <c r="J6" s="149"/>
      <c r="K6" s="148"/>
    </row>
    <row r="7" spans="2:11" ht="58" x14ac:dyDescent="0.35">
      <c r="B7" s="154" t="s">
        <v>1974</v>
      </c>
      <c r="C7" s="156">
        <v>2.2000000000000002</v>
      </c>
      <c r="D7" s="153" t="s">
        <v>2253</v>
      </c>
      <c r="E7" s="153" t="s">
        <v>2254</v>
      </c>
      <c r="G7" s="149"/>
      <c r="H7" s="149"/>
      <c r="I7" s="149"/>
      <c r="J7" s="149"/>
      <c r="K7" s="148"/>
    </row>
    <row r="8" spans="2:11" ht="72.5" x14ac:dyDescent="0.35">
      <c r="B8" s="154" t="s">
        <v>1973</v>
      </c>
      <c r="C8" s="156">
        <v>2.25</v>
      </c>
      <c r="D8" s="153" t="s">
        <v>1951</v>
      </c>
      <c r="E8" s="153" t="s">
        <v>1952</v>
      </c>
      <c r="G8" s="149"/>
      <c r="H8" s="149"/>
      <c r="I8" s="149"/>
      <c r="J8" s="149"/>
      <c r="K8" s="149"/>
    </row>
    <row r="9" spans="2:11" ht="43.5" x14ac:dyDescent="0.35">
      <c r="B9" s="157" t="s">
        <v>1826</v>
      </c>
      <c r="C9" s="158">
        <v>0.3</v>
      </c>
      <c r="D9" s="159" t="s">
        <v>1827</v>
      </c>
      <c r="E9" s="159" t="s">
        <v>1828</v>
      </c>
      <c r="H9" s="149"/>
      <c r="I9" s="149"/>
      <c r="J9" s="149"/>
      <c r="K9" s="149"/>
    </row>
    <row r="10" spans="2:11" ht="43.5" x14ac:dyDescent="0.35">
      <c r="B10" s="157" t="s">
        <v>1819</v>
      </c>
      <c r="C10" s="158">
        <v>0.3</v>
      </c>
      <c r="D10" s="159" t="s">
        <v>1820</v>
      </c>
      <c r="E10" s="159" t="s">
        <v>1821</v>
      </c>
      <c r="H10" s="149"/>
      <c r="I10" s="149"/>
      <c r="J10" s="149"/>
      <c r="K10" s="149"/>
    </row>
    <row r="11" spans="2:11" ht="43.5" x14ac:dyDescent="0.35">
      <c r="B11" s="157" t="s">
        <v>2310</v>
      </c>
      <c r="C11" s="158">
        <v>0.15</v>
      </c>
      <c r="D11" s="159" t="s">
        <v>1823</v>
      </c>
      <c r="E11" s="159" t="s">
        <v>1824</v>
      </c>
    </row>
    <row r="12" spans="2:11" ht="43.5" x14ac:dyDescent="0.35">
      <c r="B12" s="157" t="s">
        <v>1872</v>
      </c>
      <c r="C12" s="158">
        <v>0.2</v>
      </c>
      <c r="D12" s="159" t="s">
        <v>1825</v>
      </c>
      <c r="E12" s="159"/>
    </row>
    <row r="13" spans="2:11" ht="29" x14ac:dyDescent="0.35">
      <c r="B13" s="154" t="s">
        <v>1972</v>
      </c>
      <c r="C13" s="156">
        <v>0.3</v>
      </c>
      <c r="D13" s="153" t="s">
        <v>1919</v>
      </c>
      <c r="E13" s="153"/>
    </row>
    <row r="14" spans="2:11" ht="58" x14ac:dyDescent="0.35">
      <c r="B14" s="157" t="s">
        <v>1869</v>
      </c>
      <c r="C14" s="158">
        <v>0.1</v>
      </c>
      <c r="D14" s="159" t="s">
        <v>1818</v>
      </c>
      <c r="E14" s="159"/>
    </row>
    <row r="17" spans="3:3" x14ac:dyDescent="0.35">
      <c r="C17" s="6">
        <f>SUM(C4:C14)</f>
        <v>10.000000000000002</v>
      </c>
    </row>
  </sheetData>
  <mergeCells count="1">
    <mergeCell ref="B1:E1"/>
  </mergeCells>
  <pageMargins left="0.511811024" right="0.511811024" top="0.78740157499999996" bottom="0.78740157499999996" header="0.31496062000000002" footer="0.3149606200000000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937EE4-7BF0-4635-B759-544611CAD81F}">
  <sheetPr codeName="Planilha19">
    <tabColor rgb="FF7030A0"/>
  </sheetPr>
  <dimension ref="B1:K18"/>
  <sheetViews>
    <sheetView showGridLines="0" topLeftCell="A10" workbookViewId="0">
      <selection activeCell="C13" sqref="C13"/>
    </sheetView>
  </sheetViews>
  <sheetFormatPr defaultRowHeight="14.5" x14ac:dyDescent="0.35"/>
  <cols>
    <col min="1" max="1" width="6.81640625" customWidth="1"/>
    <col min="2" max="2" width="31.6328125" customWidth="1"/>
    <col min="3" max="3" width="5.6328125" style="3" customWidth="1"/>
    <col min="4" max="5" width="31.6328125" customWidth="1"/>
    <col min="7" max="7" width="36.54296875" customWidth="1"/>
    <col min="8" max="8" width="3.453125" bestFit="1" customWidth="1"/>
    <col min="9" max="10" width="32.1796875" customWidth="1"/>
    <col min="11" max="11" width="23.90625" customWidth="1"/>
  </cols>
  <sheetData>
    <row r="1" spans="2:11" ht="17.5" x14ac:dyDescent="0.35">
      <c r="B1" s="209" t="s">
        <v>2365</v>
      </c>
      <c r="C1" s="209"/>
      <c r="D1" s="209"/>
      <c r="E1" s="209"/>
    </row>
    <row r="2" spans="2:11" x14ac:dyDescent="0.35">
      <c r="B2" s="185" t="s">
        <v>1812</v>
      </c>
      <c r="C2" s="185" t="s">
        <v>472</v>
      </c>
      <c r="D2" s="185" t="s">
        <v>1815</v>
      </c>
      <c r="E2" s="185" t="s">
        <v>1816</v>
      </c>
      <c r="G2" s="148"/>
      <c r="H2" s="148"/>
      <c r="I2" s="148"/>
      <c r="J2" s="148"/>
    </row>
    <row r="3" spans="2:11" ht="43.5" x14ac:dyDescent="0.35">
      <c r="B3" s="157" t="s">
        <v>2218</v>
      </c>
      <c r="C3" s="158">
        <v>0.3</v>
      </c>
      <c r="D3" s="159" t="s">
        <v>1841</v>
      </c>
      <c r="E3" s="159" t="s">
        <v>1873</v>
      </c>
      <c r="G3" s="150"/>
      <c r="H3" s="149"/>
      <c r="I3" s="149"/>
      <c r="J3" s="149"/>
    </row>
    <row r="4" spans="2:11" ht="29" x14ac:dyDescent="0.35">
      <c r="B4" s="154" t="s">
        <v>1257</v>
      </c>
      <c r="C4" s="156">
        <v>0.4</v>
      </c>
      <c r="D4" s="153" t="s">
        <v>1967</v>
      </c>
      <c r="E4" s="153" t="s">
        <v>1968</v>
      </c>
      <c r="G4" s="150"/>
      <c r="H4" s="149"/>
      <c r="I4" s="149"/>
      <c r="J4" s="149"/>
    </row>
    <row r="5" spans="2:11" ht="43.5" x14ac:dyDescent="0.35">
      <c r="B5" s="154" t="s">
        <v>1213</v>
      </c>
      <c r="C5" s="156">
        <v>1.59</v>
      </c>
      <c r="D5" s="153" t="s">
        <v>1978</v>
      </c>
      <c r="E5" s="153" t="s">
        <v>1990</v>
      </c>
      <c r="G5" s="150"/>
      <c r="H5" s="149"/>
      <c r="I5" s="149"/>
      <c r="J5" s="149"/>
    </row>
    <row r="6" spans="2:11" ht="29" x14ac:dyDescent="0.35">
      <c r="B6" s="154" t="s">
        <v>1982</v>
      </c>
      <c r="C6" s="156">
        <v>1.59</v>
      </c>
      <c r="D6" s="153" t="s">
        <v>1991</v>
      </c>
      <c r="E6" s="153" t="s">
        <v>2265</v>
      </c>
      <c r="G6" s="150"/>
      <c r="H6" s="149"/>
      <c r="I6" s="149"/>
      <c r="J6" s="149"/>
      <c r="K6" s="148"/>
    </row>
    <row r="7" spans="2:11" ht="29" x14ac:dyDescent="0.35">
      <c r="B7" s="154" t="s">
        <v>1333</v>
      </c>
      <c r="C7" s="156">
        <v>1.59</v>
      </c>
      <c r="D7" s="153" t="s">
        <v>1992</v>
      </c>
      <c r="E7" s="153" t="s">
        <v>1993</v>
      </c>
      <c r="G7" s="150"/>
      <c r="H7" s="149"/>
      <c r="I7" s="149"/>
      <c r="J7" s="149"/>
      <c r="K7" s="149"/>
    </row>
    <row r="8" spans="2:11" ht="29" x14ac:dyDescent="0.35">
      <c r="B8" s="154" t="s">
        <v>1334</v>
      </c>
      <c r="C8" s="156">
        <v>1.59</v>
      </c>
      <c r="D8" s="153" t="s">
        <v>1994</v>
      </c>
      <c r="E8" s="153" t="s">
        <v>1995</v>
      </c>
      <c r="G8" s="150"/>
      <c r="H8" s="149"/>
      <c r="I8" s="149"/>
      <c r="J8" s="149"/>
      <c r="K8" s="149"/>
    </row>
    <row r="9" spans="2:11" ht="43.5" x14ac:dyDescent="0.35">
      <c r="B9" s="154" t="s">
        <v>2266</v>
      </c>
      <c r="C9" s="156">
        <v>1.59</v>
      </c>
      <c r="D9" s="153" t="s">
        <v>1965</v>
      </c>
      <c r="E9" s="153" t="s">
        <v>2267</v>
      </c>
      <c r="G9" s="149"/>
      <c r="H9" s="149"/>
      <c r="I9" s="149"/>
      <c r="J9" s="149"/>
      <c r="K9" s="149"/>
    </row>
    <row r="10" spans="2:11" ht="43.5" x14ac:dyDescent="0.35">
      <c r="B10" s="157" t="s">
        <v>1826</v>
      </c>
      <c r="C10" s="158">
        <v>0.3</v>
      </c>
      <c r="D10" s="159" t="s">
        <v>1827</v>
      </c>
      <c r="E10" s="159" t="s">
        <v>1828</v>
      </c>
      <c r="G10" s="149"/>
      <c r="H10" s="149"/>
      <c r="I10" s="149"/>
      <c r="J10" s="149"/>
      <c r="K10" s="149"/>
    </row>
    <row r="11" spans="2:11" ht="43.5" x14ac:dyDescent="0.35">
      <c r="B11" s="157" t="s">
        <v>1819</v>
      </c>
      <c r="C11" s="158">
        <v>0.3</v>
      </c>
      <c r="D11" s="159" t="s">
        <v>1820</v>
      </c>
      <c r="E11" s="159" t="s">
        <v>1821</v>
      </c>
      <c r="G11" s="149"/>
      <c r="H11" s="149"/>
      <c r="I11" s="149"/>
      <c r="J11" s="149"/>
    </row>
    <row r="12" spans="2:11" ht="58" x14ac:dyDescent="0.35">
      <c r="B12" s="157" t="s">
        <v>1822</v>
      </c>
      <c r="C12" s="158">
        <v>0.15</v>
      </c>
      <c r="D12" s="159" t="s">
        <v>1823</v>
      </c>
      <c r="E12" s="159" t="s">
        <v>1824</v>
      </c>
      <c r="G12" s="149"/>
      <c r="H12" s="149"/>
      <c r="I12" s="149"/>
      <c r="J12" s="149"/>
    </row>
    <row r="13" spans="2:11" ht="43.5" x14ac:dyDescent="0.35">
      <c r="B13" s="157" t="s">
        <v>1872</v>
      </c>
      <c r="C13" s="158">
        <v>0.2</v>
      </c>
      <c r="D13" s="159" t="s">
        <v>1825</v>
      </c>
      <c r="E13" s="159"/>
      <c r="G13" s="149"/>
      <c r="H13" s="149"/>
      <c r="I13" s="149"/>
      <c r="J13" s="149"/>
    </row>
    <row r="14" spans="2:11" ht="29" x14ac:dyDescent="0.35">
      <c r="B14" s="154" t="s">
        <v>1972</v>
      </c>
      <c r="C14" s="156">
        <v>0.3</v>
      </c>
      <c r="D14" s="153" t="s">
        <v>1919</v>
      </c>
      <c r="E14" s="153"/>
      <c r="G14" s="149"/>
      <c r="H14" s="149"/>
      <c r="I14" s="149"/>
      <c r="J14" s="149"/>
    </row>
    <row r="15" spans="2:11" ht="58" x14ac:dyDescent="0.35">
      <c r="B15" s="157" t="s">
        <v>1869</v>
      </c>
      <c r="C15" s="158">
        <v>0.1</v>
      </c>
      <c r="D15" s="159" t="s">
        <v>1818</v>
      </c>
      <c r="E15" s="159"/>
      <c r="G15" s="149"/>
      <c r="H15" s="149"/>
      <c r="I15" s="149"/>
      <c r="J15" s="149"/>
    </row>
    <row r="18" spans="3:3" x14ac:dyDescent="0.35">
      <c r="C18" s="6">
        <f>SUM(C3:C15)</f>
        <v>10.000000000000002</v>
      </c>
    </row>
  </sheetData>
  <mergeCells count="1">
    <mergeCell ref="B1:E1"/>
  </mergeCells>
  <pageMargins left="0.511811024" right="0.511811024" top="0.78740157499999996" bottom="0.78740157499999996" header="0.31496062000000002" footer="0.31496062000000002"/>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21C41E-B555-4CFF-986E-A952D1DF0A37}">
  <sheetPr codeName="Planilha16">
    <tabColor rgb="FF7030A0"/>
  </sheetPr>
  <dimension ref="B1:K19"/>
  <sheetViews>
    <sheetView showGridLines="0" topLeftCell="A19" zoomScaleNormal="100" workbookViewId="0">
      <selection activeCell="C9" sqref="C9"/>
    </sheetView>
  </sheetViews>
  <sheetFormatPr defaultRowHeight="14.5" x14ac:dyDescent="0.35"/>
  <cols>
    <col min="1" max="1" width="6.81640625" customWidth="1"/>
    <col min="2" max="2" width="31.6328125" customWidth="1"/>
    <col min="3" max="3" width="5.6328125" style="3" customWidth="1"/>
    <col min="4" max="5" width="31.6328125" customWidth="1"/>
    <col min="7" max="7" width="36.54296875" customWidth="1"/>
    <col min="8" max="8" width="3.453125" bestFit="1" customWidth="1"/>
    <col min="9" max="10" width="32.1796875" customWidth="1"/>
    <col min="11" max="11" width="23.90625" customWidth="1"/>
  </cols>
  <sheetData>
    <row r="1" spans="2:11" ht="17.5" x14ac:dyDescent="0.35">
      <c r="B1" s="209" t="s">
        <v>2366</v>
      </c>
      <c r="C1" s="209"/>
      <c r="D1" s="209"/>
      <c r="E1" s="209"/>
    </row>
    <row r="2" spans="2:11" x14ac:dyDescent="0.35">
      <c r="B2" s="185" t="s">
        <v>1812</v>
      </c>
      <c r="C2" s="185" t="s">
        <v>472</v>
      </c>
      <c r="D2" s="185" t="s">
        <v>1815</v>
      </c>
      <c r="E2" s="185" t="s">
        <v>1816</v>
      </c>
    </row>
    <row r="3" spans="2:11" ht="43.5" x14ac:dyDescent="0.35">
      <c r="B3" s="157" t="s">
        <v>2218</v>
      </c>
      <c r="C3" s="158">
        <v>0.3</v>
      </c>
      <c r="D3" s="159" t="s">
        <v>1841</v>
      </c>
      <c r="E3" s="159" t="s">
        <v>1873</v>
      </c>
      <c r="G3" s="148"/>
      <c r="H3" s="148"/>
      <c r="I3" s="148"/>
      <c r="J3" s="148"/>
    </row>
    <row r="4" spans="2:11" ht="29" x14ac:dyDescent="0.35">
      <c r="B4" s="154" t="s">
        <v>1257</v>
      </c>
      <c r="C4" s="156">
        <v>0.4</v>
      </c>
      <c r="D4" s="153" t="s">
        <v>1967</v>
      </c>
      <c r="E4" s="153" t="s">
        <v>1968</v>
      </c>
      <c r="G4" s="148"/>
      <c r="H4" s="148"/>
      <c r="I4" s="148"/>
      <c r="J4" s="148"/>
    </row>
    <row r="5" spans="2:11" ht="43.5" x14ac:dyDescent="0.35">
      <c r="B5" s="154" t="s">
        <v>1954</v>
      </c>
      <c r="C5" s="156">
        <v>0.76</v>
      </c>
      <c r="D5" s="153" t="s">
        <v>1955</v>
      </c>
      <c r="E5" s="153" t="s">
        <v>1956</v>
      </c>
      <c r="G5" s="149"/>
      <c r="H5" s="149"/>
      <c r="I5" s="149"/>
      <c r="J5" s="149"/>
    </row>
    <row r="6" spans="2:11" ht="29" x14ac:dyDescent="0.35">
      <c r="B6" s="154" t="s">
        <v>1957</v>
      </c>
      <c r="C6" s="156">
        <v>1.6</v>
      </c>
      <c r="D6" s="153" t="s">
        <v>1958</v>
      </c>
      <c r="E6" s="153" t="s">
        <v>2256</v>
      </c>
      <c r="G6" s="149"/>
      <c r="H6" s="149"/>
      <c r="I6" s="149"/>
      <c r="J6" s="149"/>
      <c r="K6" s="148"/>
    </row>
    <row r="7" spans="2:11" ht="29" x14ac:dyDescent="0.35">
      <c r="B7" s="154" t="s">
        <v>2324</v>
      </c>
      <c r="C7" s="156">
        <v>1.6</v>
      </c>
      <c r="D7" s="153" t="s">
        <v>1959</v>
      </c>
      <c r="E7" s="153" t="s">
        <v>2257</v>
      </c>
      <c r="G7" s="149"/>
      <c r="H7" s="149"/>
      <c r="I7" s="149"/>
      <c r="J7" s="149"/>
      <c r="K7" s="149"/>
    </row>
    <row r="8" spans="2:11" ht="29" x14ac:dyDescent="0.35">
      <c r="B8" s="154" t="s">
        <v>1960</v>
      </c>
      <c r="C8" s="156">
        <v>1.6</v>
      </c>
      <c r="D8" s="153" t="s">
        <v>1961</v>
      </c>
      <c r="E8" s="153" t="s">
        <v>2258</v>
      </c>
      <c r="G8" s="149"/>
      <c r="H8" s="149"/>
      <c r="I8" s="149"/>
      <c r="J8" s="149"/>
      <c r="K8" s="149"/>
    </row>
    <row r="9" spans="2:11" ht="29" x14ac:dyDescent="0.35">
      <c r="B9" s="154" t="s">
        <v>1962</v>
      </c>
      <c r="C9" s="156">
        <v>0.81</v>
      </c>
      <c r="D9" s="153" t="s">
        <v>1963</v>
      </c>
      <c r="E9" s="153" t="s">
        <v>2259</v>
      </c>
      <c r="G9" s="149"/>
      <c r="H9" s="149"/>
      <c r="I9" s="149"/>
      <c r="J9" s="149"/>
      <c r="K9" s="149"/>
    </row>
    <row r="10" spans="2:11" ht="43.5" x14ac:dyDescent="0.35">
      <c r="B10" s="154" t="s">
        <v>1964</v>
      </c>
      <c r="C10" s="156">
        <v>1.58</v>
      </c>
      <c r="D10" s="153" t="s">
        <v>1965</v>
      </c>
      <c r="E10" s="153" t="s">
        <v>2205</v>
      </c>
      <c r="G10" s="149"/>
      <c r="H10" s="149"/>
      <c r="I10" s="149"/>
      <c r="J10" s="149"/>
      <c r="K10" s="149"/>
    </row>
    <row r="11" spans="2:11" ht="43.5" x14ac:dyDescent="0.35">
      <c r="B11" s="157" t="s">
        <v>1826</v>
      </c>
      <c r="C11" s="158">
        <v>0.3</v>
      </c>
      <c r="D11" s="159" t="s">
        <v>1827</v>
      </c>
      <c r="E11" s="159" t="s">
        <v>1828</v>
      </c>
      <c r="G11" s="149"/>
      <c r="H11" s="149"/>
      <c r="I11" s="149"/>
      <c r="J11" s="149"/>
      <c r="K11" s="149"/>
    </row>
    <row r="12" spans="2:11" ht="43.5" x14ac:dyDescent="0.35">
      <c r="B12" s="157" t="s">
        <v>1819</v>
      </c>
      <c r="C12" s="158">
        <v>0.3</v>
      </c>
      <c r="D12" s="159" t="s">
        <v>1820</v>
      </c>
      <c r="E12" s="159" t="s">
        <v>1821</v>
      </c>
      <c r="G12" s="149"/>
      <c r="H12" s="149"/>
      <c r="I12" s="149"/>
      <c r="J12" s="149"/>
    </row>
    <row r="13" spans="2:11" ht="58" x14ac:dyDescent="0.35">
      <c r="B13" s="157" t="s">
        <v>1822</v>
      </c>
      <c r="C13" s="158">
        <v>0.15</v>
      </c>
      <c r="D13" s="159" t="s">
        <v>1823</v>
      </c>
      <c r="E13" s="159" t="s">
        <v>1824</v>
      </c>
      <c r="G13" s="149"/>
      <c r="H13" s="149"/>
      <c r="I13" s="149"/>
      <c r="J13" s="149"/>
    </row>
    <row r="14" spans="2:11" ht="43.5" x14ac:dyDescent="0.35">
      <c r="B14" s="157" t="s">
        <v>1872</v>
      </c>
      <c r="C14" s="158">
        <v>0.2</v>
      </c>
      <c r="D14" s="159" t="s">
        <v>1825</v>
      </c>
      <c r="E14" s="159"/>
      <c r="G14" s="149"/>
      <c r="H14" s="149"/>
      <c r="I14" s="149"/>
      <c r="J14" s="149"/>
    </row>
    <row r="15" spans="2:11" ht="29" x14ac:dyDescent="0.35">
      <c r="B15" s="154" t="s">
        <v>1972</v>
      </c>
      <c r="C15" s="156">
        <v>0.3</v>
      </c>
      <c r="D15" s="153" t="s">
        <v>1919</v>
      </c>
      <c r="E15" s="153"/>
      <c r="G15" s="149"/>
      <c r="H15" s="149"/>
      <c r="I15" s="149"/>
      <c r="J15" s="149"/>
    </row>
    <row r="16" spans="2:11" ht="58" x14ac:dyDescent="0.35">
      <c r="B16" s="157" t="s">
        <v>1869</v>
      </c>
      <c r="C16" s="158">
        <v>0.1</v>
      </c>
      <c r="D16" s="159" t="s">
        <v>1818</v>
      </c>
      <c r="E16" s="159"/>
      <c r="G16" s="149"/>
      <c r="H16" s="149"/>
      <c r="I16" s="149"/>
      <c r="J16" s="149"/>
    </row>
    <row r="19" spans="3:3" x14ac:dyDescent="0.35">
      <c r="C19" s="6">
        <f>SUM(C3:C16)</f>
        <v>10.000000000000002</v>
      </c>
    </row>
  </sheetData>
  <mergeCells count="1">
    <mergeCell ref="B1:E1"/>
  </mergeCells>
  <pageMargins left="0.511811024" right="0.511811024" top="0.78740157499999996" bottom="0.78740157499999996" header="0.31496062000000002" footer="0.3149606200000000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D2A93-7F2D-4D52-AE2E-FE8EAC040E20}">
  <sheetPr codeName="Planilha17">
    <tabColor rgb="FF7030A0"/>
  </sheetPr>
  <dimension ref="B1:K21"/>
  <sheetViews>
    <sheetView showGridLines="0" topLeftCell="A16" zoomScaleNormal="100" workbookViewId="0">
      <selection activeCell="C9" sqref="C9"/>
    </sheetView>
  </sheetViews>
  <sheetFormatPr defaultRowHeight="14.5" x14ac:dyDescent="0.35"/>
  <cols>
    <col min="1" max="1" width="6.81640625" customWidth="1"/>
    <col min="2" max="2" width="31.6328125" customWidth="1"/>
    <col min="3" max="3" width="5.6328125" style="3" customWidth="1"/>
    <col min="4" max="5" width="31.6328125" customWidth="1"/>
    <col min="7" max="7" width="36.54296875" customWidth="1"/>
    <col min="8" max="8" width="3.453125" bestFit="1" customWidth="1"/>
    <col min="9" max="10" width="32.1796875" customWidth="1"/>
    <col min="11" max="11" width="23.90625" customWidth="1"/>
  </cols>
  <sheetData>
    <row r="1" spans="2:11" ht="17.5" x14ac:dyDescent="0.35">
      <c r="B1" s="209" t="s">
        <v>2367</v>
      </c>
      <c r="C1" s="209"/>
      <c r="D1" s="209"/>
      <c r="E1" s="209"/>
    </row>
    <row r="2" spans="2:11" x14ac:dyDescent="0.35">
      <c r="B2" s="185" t="s">
        <v>1812</v>
      </c>
      <c r="C2" s="185" t="s">
        <v>472</v>
      </c>
      <c r="D2" s="185" t="s">
        <v>1815</v>
      </c>
      <c r="E2" s="185" t="s">
        <v>1816</v>
      </c>
    </row>
    <row r="3" spans="2:11" ht="43.5" x14ac:dyDescent="0.35">
      <c r="B3" s="157" t="s">
        <v>2218</v>
      </c>
      <c r="C3" s="158">
        <v>0.3</v>
      </c>
      <c r="D3" s="159" t="s">
        <v>1841</v>
      </c>
      <c r="E3" s="159" t="s">
        <v>1873</v>
      </c>
      <c r="G3" s="148"/>
      <c r="H3" s="148"/>
      <c r="I3" s="148"/>
      <c r="J3" s="148"/>
    </row>
    <row r="4" spans="2:11" ht="29" x14ac:dyDescent="0.35">
      <c r="B4" s="154" t="s">
        <v>1257</v>
      </c>
      <c r="C4" s="156">
        <v>0.4</v>
      </c>
      <c r="D4" s="153" t="s">
        <v>1967</v>
      </c>
      <c r="E4" s="153" t="s">
        <v>1968</v>
      </c>
      <c r="G4" s="150"/>
      <c r="H4" s="149"/>
      <c r="I4" s="149"/>
      <c r="J4" s="149"/>
    </row>
    <row r="5" spans="2:11" ht="29" x14ac:dyDescent="0.35">
      <c r="B5" s="154" t="s">
        <v>1213</v>
      </c>
      <c r="C5" s="156">
        <v>1.32</v>
      </c>
      <c r="D5" s="153" t="s">
        <v>1975</v>
      </c>
      <c r="E5" s="153" t="s">
        <v>1976</v>
      </c>
      <c r="G5" s="150"/>
      <c r="H5" s="149"/>
      <c r="I5" s="149"/>
      <c r="J5" s="149"/>
    </row>
    <row r="6" spans="2:11" ht="29" x14ac:dyDescent="0.35">
      <c r="B6" s="154" t="s">
        <v>1957</v>
      </c>
      <c r="C6" s="156">
        <v>1</v>
      </c>
      <c r="D6" s="153" t="s">
        <v>1958</v>
      </c>
      <c r="E6" s="153" t="s">
        <v>2260</v>
      </c>
      <c r="G6" s="150"/>
      <c r="H6" s="149"/>
      <c r="I6" s="149"/>
      <c r="J6" s="149"/>
      <c r="K6" s="148"/>
    </row>
    <row r="7" spans="2:11" ht="29" x14ac:dyDescent="0.35">
      <c r="B7" s="154" t="s">
        <v>2324</v>
      </c>
      <c r="C7" s="156">
        <v>1</v>
      </c>
      <c r="D7" s="153" t="s">
        <v>1959</v>
      </c>
      <c r="E7" s="153" t="s">
        <v>2261</v>
      </c>
      <c r="G7" s="150"/>
      <c r="H7" s="149"/>
      <c r="I7" s="149"/>
      <c r="J7" s="149"/>
      <c r="K7" s="149"/>
    </row>
    <row r="8" spans="2:11" ht="29" x14ac:dyDescent="0.35">
      <c r="B8" s="154" t="s">
        <v>1960</v>
      </c>
      <c r="C8" s="156">
        <v>0.85000000000000009</v>
      </c>
      <c r="D8" s="153" t="s">
        <v>1961</v>
      </c>
      <c r="E8" s="153" t="s">
        <v>2258</v>
      </c>
      <c r="G8" s="150"/>
      <c r="H8" s="149"/>
      <c r="I8" s="149"/>
      <c r="J8" s="149"/>
      <c r="K8" s="149"/>
    </row>
    <row r="9" spans="2:11" ht="58" x14ac:dyDescent="0.35">
      <c r="B9" s="154" t="s">
        <v>2199</v>
      </c>
      <c r="C9" s="156">
        <v>1</v>
      </c>
      <c r="D9" s="153" t="s">
        <v>2200</v>
      </c>
      <c r="E9" s="153" t="s">
        <v>2201</v>
      </c>
      <c r="G9" s="150"/>
      <c r="H9" s="149"/>
      <c r="I9" s="149"/>
      <c r="J9" s="149"/>
      <c r="K9" s="149"/>
    </row>
    <row r="10" spans="2:11" ht="43.5" x14ac:dyDescent="0.35">
      <c r="B10" s="154" t="s">
        <v>1985</v>
      </c>
      <c r="C10" s="156">
        <v>1</v>
      </c>
      <c r="D10" s="153" t="s">
        <v>2202</v>
      </c>
      <c r="E10" s="153" t="s">
        <v>2203</v>
      </c>
      <c r="G10" s="150"/>
      <c r="H10" s="149"/>
      <c r="I10" s="149"/>
      <c r="J10" s="149"/>
      <c r="K10" s="149"/>
    </row>
    <row r="11" spans="2:11" ht="29" x14ac:dyDescent="0.35">
      <c r="B11" s="154" t="s">
        <v>2346</v>
      </c>
      <c r="C11" s="156">
        <v>1</v>
      </c>
      <c r="D11" s="153" t="s">
        <v>1977</v>
      </c>
      <c r="E11" s="153" t="s">
        <v>2198</v>
      </c>
      <c r="G11" s="149"/>
      <c r="H11" s="149"/>
      <c r="I11" s="149"/>
      <c r="J11" s="149"/>
      <c r="K11" s="149"/>
    </row>
    <row r="12" spans="2:11" ht="43.5" x14ac:dyDescent="0.35">
      <c r="B12" s="154" t="s">
        <v>2204</v>
      </c>
      <c r="C12" s="156">
        <v>0.78</v>
      </c>
      <c r="D12" s="153" t="s">
        <v>1965</v>
      </c>
      <c r="E12" s="153" t="s">
        <v>2205</v>
      </c>
      <c r="G12" s="149"/>
      <c r="H12" s="149"/>
      <c r="I12" s="149"/>
      <c r="J12" s="149"/>
      <c r="K12" s="149"/>
    </row>
    <row r="13" spans="2:11" ht="43.5" x14ac:dyDescent="0.35">
      <c r="B13" s="157" t="s">
        <v>1826</v>
      </c>
      <c r="C13" s="158">
        <v>0.3</v>
      </c>
      <c r="D13" s="159" t="s">
        <v>1827</v>
      </c>
      <c r="E13" s="159" t="s">
        <v>1828</v>
      </c>
      <c r="G13" s="149"/>
      <c r="H13" s="149"/>
      <c r="I13" s="149"/>
      <c r="J13" s="149"/>
      <c r="K13" s="149"/>
    </row>
    <row r="14" spans="2:11" ht="43.5" x14ac:dyDescent="0.35">
      <c r="B14" s="157" t="s">
        <v>1819</v>
      </c>
      <c r="C14" s="158">
        <v>0.3</v>
      </c>
      <c r="D14" s="159" t="s">
        <v>1820</v>
      </c>
      <c r="E14" s="159" t="s">
        <v>1821</v>
      </c>
      <c r="G14" s="149"/>
      <c r="H14" s="149"/>
      <c r="I14" s="149"/>
      <c r="J14" s="149"/>
    </row>
    <row r="15" spans="2:11" ht="58" x14ac:dyDescent="0.35">
      <c r="B15" s="157" t="s">
        <v>1822</v>
      </c>
      <c r="C15" s="158">
        <v>0.15</v>
      </c>
      <c r="D15" s="159" t="s">
        <v>1823</v>
      </c>
      <c r="E15" s="159" t="s">
        <v>1824</v>
      </c>
      <c r="G15" s="149"/>
      <c r="H15" s="149"/>
      <c r="I15" s="149"/>
      <c r="J15" s="149"/>
    </row>
    <row r="16" spans="2:11" ht="43.5" x14ac:dyDescent="0.35">
      <c r="B16" s="157" t="s">
        <v>1872</v>
      </c>
      <c r="C16" s="158">
        <v>0.2</v>
      </c>
      <c r="D16" s="159" t="s">
        <v>1825</v>
      </c>
      <c r="E16" s="159"/>
      <c r="G16" s="149"/>
      <c r="H16" s="149"/>
      <c r="I16" s="149"/>
      <c r="J16" s="149"/>
    </row>
    <row r="17" spans="2:10" ht="29" x14ac:dyDescent="0.35">
      <c r="B17" s="154" t="s">
        <v>1972</v>
      </c>
      <c r="C17" s="156">
        <v>0.3</v>
      </c>
      <c r="D17" s="153" t="s">
        <v>1919</v>
      </c>
      <c r="E17" s="153"/>
      <c r="G17" s="149"/>
      <c r="H17" s="149"/>
      <c r="I17" s="149"/>
      <c r="J17" s="149"/>
    </row>
    <row r="18" spans="2:10" ht="58" x14ac:dyDescent="0.35">
      <c r="B18" s="157" t="s">
        <v>1869</v>
      </c>
      <c r="C18" s="158">
        <v>0.1</v>
      </c>
      <c r="D18" s="159" t="s">
        <v>1818</v>
      </c>
      <c r="E18" s="159"/>
      <c r="G18" s="149"/>
      <c r="H18" s="149"/>
      <c r="I18" s="149"/>
      <c r="J18" s="149"/>
    </row>
    <row r="21" spans="2:10" x14ac:dyDescent="0.35">
      <c r="C21" s="6">
        <f>SUM(C3:C18)</f>
        <v>10</v>
      </c>
    </row>
  </sheetData>
  <mergeCells count="1">
    <mergeCell ref="B1:E1"/>
  </mergeCells>
  <pageMargins left="0.511811024" right="0.511811024" top="0.78740157499999996" bottom="0.78740157499999996" header="0.31496062000000002" footer="0.3149606200000000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1208E-A449-4901-8758-D695978A2277}">
  <sheetPr codeName="Planilha15">
    <tabColor rgb="FF7030A0"/>
  </sheetPr>
  <dimension ref="B1:G18"/>
  <sheetViews>
    <sheetView showGridLines="0" topLeftCell="A10" workbookViewId="0">
      <selection activeCell="B11" sqref="B11"/>
    </sheetView>
  </sheetViews>
  <sheetFormatPr defaultRowHeight="14.5" x14ac:dyDescent="0.35"/>
  <cols>
    <col min="1" max="1" width="6.81640625" customWidth="1"/>
    <col min="2" max="2" width="31.6328125" customWidth="1"/>
    <col min="3" max="3" width="5.6328125" style="3" customWidth="1"/>
    <col min="4" max="5" width="31.6328125" customWidth="1"/>
    <col min="7" max="7" width="23.90625" customWidth="1"/>
  </cols>
  <sheetData>
    <row r="1" spans="2:7" ht="17.5" x14ac:dyDescent="0.35">
      <c r="B1" s="209" t="s">
        <v>2368</v>
      </c>
      <c r="C1" s="209"/>
      <c r="D1" s="209"/>
      <c r="E1" s="209"/>
    </row>
    <row r="2" spans="2:7" x14ac:dyDescent="0.35">
      <c r="B2" s="185" t="s">
        <v>1812</v>
      </c>
      <c r="C2" s="185" t="s">
        <v>472</v>
      </c>
      <c r="D2" s="185" t="s">
        <v>1815</v>
      </c>
      <c r="E2" s="185" t="s">
        <v>1816</v>
      </c>
    </row>
    <row r="3" spans="2:7" ht="43.5" x14ac:dyDescent="0.35">
      <c r="B3" s="157" t="s">
        <v>2218</v>
      </c>
      <c r="C3" s="156">
        <v>0.3</v>
      </c>
      <c r="D3" s="159" t="s">
        <v>1841</v>
      </c>
      <c r="E3" s="159" t="s">
        <v>1873</v>
      </c>
    </row>
    <row r="4" spans="2:7" ht="29" x14ac:dyDescent="0.35">
      <c r="B4" s="154" t="s">
        <v>1257</v>
      </c>
      <c r="C4" s="156">
        <v>0.4</v>
      </c>
      <c r="D4" s="153" t="s">
        <v>1967</v>
      </c>
      <c r="E4" s="153" t="s">
        <v>1968</v>
      </c>
    </row>
    <row r="5" spans="2:7" ht="43.5" x14ac:dyDescent="0.35">
      <c r="B5" s="154" t="s">
        <v>1969</v>
      </c>
      <c r="C5" s="156">
        <v>1.57</v>
      </c>
      <c r="D5" s="153" t="s">
        <v>1970</v>
      </c>
      <c r="E5" s="153" t="s">
        <v>1971</v>
      </c>
    </row>
    <row r="6" spans="2:7" ht="29" x14ac:dyDescent="0.35">
      <c r="B6" s="154" t="s">
        <v>1957</v>
      </c>
      <c r="C6" s="156">
        <v>1.6</v>
      </c>
      <c r="D6" s="153" t="s">
        <v>1958</v>
      </c>
      <c r="E6" s="153" t="s">
        <v>2260</v>
      </c>
      <c r="G6" s="148"/>
    </row>
    <row r="7" spans="2:7" ht="29" x14ac:dyDescent="0.35">
      <c r="B7" s="154" t="s">
        <v>2324</v>
      </c>
      <c r="C7" s="156">
        <v>1.6</v>
      </c>
      <c r="D7" s="153" t="s">
        <v>1959</v>
      </c>
      <c r="E7" s="153" t="s">
        <v>2257</v>
      </c>
      <c r="G7" s="149"/>
    </row>
    <row r="8" spans="2:7" ht="29" x14ac:dyDescent="0.35">
      <c r="B8" s="154" t="s">
        <v>1960</v>
      </c>
      <c r="C8" s="156">
        <v>1.6</v>
      </c>
      <c r="D8" s="153" t="s">
        <v>1961</v>
      </c>
      <c r="E8" s="153" t="s">
        <v>2258</v>
      </c>
      <c r="G8" s="149"/>
    </row>
    <row r="9" spans="2:7" ht="43.5" x14ac:dyDescent="0.35">
      <c r="B9" s="154" t="s">
        <v>1964</v>
      </c>
      <c r="C9" s="156">
        <v>1.58</v>
      </c>
      <c r="D9" s="153" t="s">
        <v>1965</v>
      </c>
      <c r="E9" s="153" t="s">
        <v>2205</v>
      </c>
      <c r="G9" s="149"/>
    </row>
    <row r="10" spans="2:7" ht="43.5" x14ac:dyDescent="0.35">
      <c r="B10" s="157" t="s">
        <v>1826</v>
      </c>
      <c r="C10" s="158">
        <v>0.3</v>
      </c>
      <c r="D10" s="159" t="s">
        <v>1827</v>
      </c>
      <c r="E10" s="159" t="s">
        <v>1828</v>
      </c>
      <c r="G10" s="149"/>
    </row>
    <row r="11" spans="2:7" ht="43.5" x14ac:dyDescent="0.35">
      <c r="B11" s="157" t="s">
        <v>1819</v>
      </c>
      <c r="C11" s="158">
        <v>0.3</v>
      </c>
      <c r="D11" s="159" t="s">
        <v>1820</v>
      </c>
      <c r="E11" s="159" t="s">
        <v>1821</v>
      </c>
    </row>
    <row r="12" spans="2:7" ht="58" x14ac:dyDescent="0.35">
      <c r="B12" s="157" t="s">
        <v>1822</v>
      </c>
      <c r="C12" s="158">
        <v>0.15</v>
      </c>
      <c r="D12" s="159" t="s">
        <v>1823</v>
      </c>
      <c r="E12" s="159" t="s">
        <v>1824</v>
      </c>
    </row>
    <row r="13" spans="2:7" ht="43.5" x14ac:dyDescent="0.35">
      <c r="B13" s="157" t="s">
        <v>1872</v>
      </c>
      <c r="C13" s="158">
        <v>0.2</v>
      </c>
      <c r="D13" s="159" t="s">
        <v>1825</v>
      </c>
      <c r="E13" s="159"/>
    </row>
    <row r="14" spans="2:7" ht="29" x14ac:dyDescent="0.35">
      <c r="B14" s="154" t="s">
        <v>1972</v>
      </c>
      <c r="C14" s="156">
        <v>0.3</v>
      </c>
      <c r="D14" s="153" t="s">
        <v>1919</v>
      </c>
      <c r="E14" s="153"/>
    </row>
    <row r="15" spans="2:7" ht="58" x14ac:dyDescent="0.35">
      <c r="B15" s="157" t="s">
        <v>1869</v>
      </c>
      <c r="C15" s="158">
        <v>0.1</v>
      </c>
      <c r="D15" s="159" t="s">
        <v>1818</v>
      </c>
      <c r="E15" s="159"/>
    </row>
    <row r="16" spans="2:7" x14ac:dyDescent="0.35">
      <c r="C16"/>
    </row>
    <row r="18" spans="3:3" x14ac:dyDescent="0.35">
      <c r="C18" s="6">
        <f>SUM(C3:C15)</f>
        <v>10.000000000000002</v>
      </c>
    </row>
  </sheetData>
  <mergeCells count="1">
    <mergeCell ref="B1:E1"/>
  </mergeCells>
  <pageMargins left="0.511811024" right="0.511811024" top="0.78740157499999996" bottom="0.78740157499999996" header="0.31496062000000002" footer="0.3149606200000000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BDDFE-B53C-4A63-8D09-BF02360D7120}">
  <sheetPr codeName="Planilha18">
    <tabColor rgb="FF7030A0"/>
  </sheetPr>
  <dimension ref="B1:K19"/>
  <sheetViews>
    <sheetView showGridLines="0" topLeftCell="A13" workbookViewId="0">
      <selection activeCell="C9" sqref="C9"/>
    </sheetView>
  </sheetViews>
  <sheetFormatPr defaultRowHeight="14.5" x14ac:dyDescent="0.35"/>
  <cols>
    <col min="1" max="1" width="6.81640625" customWidth="1"/>
    <col min="2" max="2" width="31.6328125" customWidth="1"/>
    <col min="3" max="3" width="5.6328125" style="3" customWidth="1"/>
    <col min="4" max="5" width="31.6328125" customWidth="1"/>
    <col min="7" max="7" width="36.54296875" customWidth="1"/>
    <col min="8" max="8" width="3.453125" bestFit="1" customWidth="1"/>
    <col min="9" max="10" width="32.1796875" customWidth="1"/>
    <col min="11" max="11" width="23.90625" customWidth="1"/>
  </cols>
  <sheetData>
    <row r="1" spans="2:11" ht="17.5" x14ac:dyDescent="0.35">
      <c r="B1" s="209" t="s">
        <v>2369</v>
      </c>
      <c r="C1" s="209"/>
      <c r="D1" s="209"/>
      <c r="E1" s="209"/>
    </row>
    <row r="2" spans="2:11" x14ac:dyDescent="0.35">
      <c r="B2" s="185" t="s">
        <v>1812</v>
      </c>
      <c r="C2" s="185" t="s">
        <v>472</v>
      </c>
      <c r="D2" s="185" t="s">
        <v>1815</v>
      </c>
      <c r="E2" s="185" t="s">
        <v>1816</v>
      </c>
    </row>
    <row r="3" spans="2:11" ht="43.5" x14ac:dyDescent="0.35">
      <c r="B3" s="157" t="s">
        <v>2218</v>
      </c>
      <c r="C3" s="158">
        <v>0.3</v>
      </c>
      <c r="D3" s="159" t="s">
        <v>1841</v>
      </c>
      <c r="E3" s="159" t="s">
        <v>1873</v>
      </c>
      <c r="G3" s="148"/>
      <c r="H3" s="148"/>
      <c r="I3" s="148"/>
      <c r="J3" s="148"/>
    </row>
    <row r="4" spans="2:11" ht="29" x14ac:dyDescent="0.35">
      <c r="B4" s="154" t="s">
        <v>1257</v>
      </c>
      <c r="C4" s="156">
        <v>0.4</v>
      </c>
      <c r="D4" s="153" t="s">
        <v>1967</v>
      </c>
      <c r="E4" s="153" t="s">
        <v>1968</v>
      </c>
      <c r="G4" s="150"/>
      <c r="H4" s="149"/>
      <c r="I4" s="149"/>
      <c r="J4" s="149"/>
    </row>
    <row r="5" spans="2:11" ht="43.5" x14ac:dyDescent="0.35">
      <c r="B5" s="154" t="s">
        <v>1213</v>
      </c>
      <c r="C5" s="156">
        <v>1.35</v>
      </c>
      <c r="D5" s="153" t="s">
        <v>1978</v>
      </c>
      <c r="E5" s="153" t="s">
        <v>1979</v>
      </c>
      <c r="G5" s="150"/>
      <c r="H5" s="149"/>
      <c r="I5" s="149"/>
      <c r="J5" s="149"/>
    </row>
    <row r="6" spans="2:11" ht="29" x14ac:dyDescent="0.35">
      <c r="B6" s="154" t="s">
        <v>1980</v>
      </c>
      <c r="C6" s="156">
        <v>1.32</v>
      </c>
      <c r="D6" s="153" t="s">
        <v>1981</v>
      </c>
      <c r="E6" s="153" t="s">
        <v>2262</v>
      </c>
      <c r="G6" s="150"/>
      <c r="H6" s="149"/>
      <c r="I6" s="149"/>
      <c r="J6" s="149"/>
      <c r="K6" s="148"/>
    </row>
    <row r="7" spans="2:11" ht="29" x14ac:dyDescent="0.35">
      <c r="B7" s="154" t="s">
        <v>1982</v>
      </c>
      <c r="C7" s="156">
        <v>1.32</v>
      </c>
      <c r="D7" s="153" t="s">
        <v>1983</v>
      </c>
      <c r="E7" s="153" t="s">
        <v>2263</v>
      </c>
      <c r="G7" s="150"/>
      <c r="H7" s="149"/>
      <c r="I7" s="149"/>
      <c r="J7" s="149"/>
      <c r="K7" s="149"/>
    </row>
    <row r="8" spans="2:11" ht="29" x14ac:dyDescent="0.35">
      <c r="B8" s="154" t="s">
        <v>1329</v>
      </c>
      <c r="C8" s="156">
        <v>1.32</v>
      </c>
      <c r="D8" s="153" t="s">
        <v>1984</v>
      </c>
      <c r="E8" s="153" t="s">
        <v>2264</v>
      </c>
      <c r="G8" s="150"/>
      <c r="H8" s="149"/>
      <c r="I8" s="149"/>
      <c r="J8" s="149"/>
      <c r="K8" s="149"/>
    </row>
    <row r="9" spans="2:11" ht="29" x14ac:dyDescent="0.35">
      <c r="B9" s="154" t="s">
        <v>1985</v>
      </c>
      <c r="C9" s="156">
        <v>1.32</v>
      </c>
      <c r="D9" s="153" t="s">
        <v>1986</v>
      </c>
      <c r="E9" s="153" t="s">
        <v>1987</v>
      </c>
      <c r="G9" s="149"/>
      <c r="H9" s="149"/>
      <c r="I9" s="149"/>
      <c r="J9" s="149"/>
      <c r="K9" s="149"/>
    </row>
    <row r="10" spans="2:11" ht="43.5" x14ac:dyDescent="0.35">
      <c r="B10" s="154" t="s">
        <v>1964</v>
      </c>
      <c r="C10" s="156">
        <v>1.32</v>
      </c>
      <c r="D10" s="153" t="s">
        <v>1965</v>
      </c>
      <c r="E10" s="153" t="s">
        <v>2205</v>
      </c>
      <c r="G10" s="149"/>
      <c r="H10" s="149"/>
      <c r="I10" s="149"/>
      <c r="J10" s="149"/>
      <c r="K10" s="149"/>
    </row>
    <row r="11" spans="2:11" ht="43.5" x14ac:dyDescent="0.35">
      <c r="B11" s="157" t="s">
        <v>1826</v>
      </c>
      <c r="C11" s="158">
        <v>0.3</v>
      </c>
      <c r="D11" s="159" t="s">
        <v>1827</v>
      </c>
      <c r="E11" s="159" t="s">
        <v>1828</v>
      </c>
      <c r="G11" s="149"/>
      <c r="H11" s="149"/>
      <c r="I11" s="149"/>
      <c r="J11" s="149"/>
      <c r="K11" s="149"/>
    </row>
    <row r="12" spans="2:11" ht="43.5" x14ac:dyDescent="0.35">
      <c r="B12" s="157" t="s">
        <v>1819</v>
      </c>
      <c r="C12" s="158">
        <v>0.3</v>
      </c>
      <c r="D12" s="159" t="s">
        <v>1820</v>
      </c>
      <c r="E12" s="159" t="s">
        <v>1821</v>
      </c>
      <c r="G12" s="149"/>
      <c r="H12" s="149"/>
      <c r="I12" s="149"/>
      <c r="J12" s="149"/>
    </row>
    <row r="13" spans="2:11" ht="58" x14ac:dyDescent="0.35">
      <c r="B13" s="157" t="s">
        <v>1822</v>
      </c>
      <c r="C13" s="158">
        <v>0.15</v>
      </c>
      <c r="D13" s="159" t="s">
        <v>1823</v>
      </c>
      <c r="E13" s="159" t="s">
        <v>1824</v>
      </c>
      <c r="G13" s="149"/>
      <c r="H13" s="149"/>
      <c r="I13" s="149"/>
      <c r="J13" s="149"/>
    </row>
    <row r="14" spans="2:11" ht="43.5" x14ac:dyDescent="0.35">
      <c r="B14" s="157" t="s">
        <v>1872</v>
      </c>
      <c r="C14" s="158">
        <v>0.2</v>
      </c>
      <c r="D14" s="159" t="s">
        <v>1825</v>
      </c>
      <c r="E14" s="159"/>
      <c r="G14" s="149"/>
      <c r="H14" s="149"/>
      <c r="I14" s="149"/>
      <c r="J14" s="149"/>
    </row>
    <row r="15" spans="2:11" ht="29" x14ac:dyDescent="0.35">
      <c r="B15" s="154" t="s">
        <v>1972</v>
      </c>
      <c r="C15" s="156">
        <v>0.3</v>
      </c>
      <c r="D15" s="153" t="s">
        <v>1919</v>
      </c>
      <c r="E15" s="153"/>
      <c r="G15" s="149"/>
      <c r="H15" s="149"/>
      <c r="I15" s="149"/>
      <c r="J15" s="149"/>
    </row>
    <row r="16" spans="2:11" ht="58" x14ac:dyDescent="0.35">
      <c r="B16" s="157" t="s">
        <v>1869</v>
      </c>
      <c r="C16" s="158">
        <v>0.1</v>
      </c>
      <c r="D16" s="159" t="s">
        <v>1818</v>
      </c>
      <c r="E16" s="159"/>
      <c r="G16" s="149"/>
      <c r="H16" s="149"/>
      <c r="I16" s="149"/>
      <c r="J16" s="149"/>
    </row>
    <row r="19" spans="3:3" x14ac:dyDescent="0.35">
      <c r="C19" s="6">
        <f>SUM(C3:C16)</f>
        <v>10.000000000000002</v>
      </c>
    </row>
  </sheetData>
  <mergeCells count="1">
    <mergeCell ref="B1:E1"/>
  </mergeCells>
  <pageMargins left="0.511811024" right="0.511811024" top="0.78740157499999996" bottom="0.78740157499999996" header="0.31496062000000002" footer="0.3149606200000000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963ED-3D53-4FE4-8A9F-8428DE78121B}">
  <sheetPr codeName="Planilha20">
    <tabColor rgb="FF7030A0"/>
  </sheetPr>
  <dimension ref="B1:K18"/>
  <sheetViews>
    <sheetView showGridLines="0" topLeftCell="A5" workbookViewId="0">
      <selection activeCell="B3" sqref="B3:E15"/>
    </sheetView>
  </sheetViews>
  <sheetFormatPr defaultRowHeight="14.5" x14ac:dyDescent="0.35"/>
  <cols>
    <col min="1" max="1" width="6.81640625" customWidth="1"/>
    <col min="2" max="2" width="31.6328125" customWidth="1"/>
    <col min="3" max="3" width="5.6328125" style="3" bestFit="1" customWidth="1"/>
    <col min="4" max="5" width="26.6328125" customWidth="1"/>
    <col min="7" max="7" width="36.54296875" customWidth="1"/>
    <col min="8" max="8" width="3.453125" bestFit="1" customWidth="1"/>
    <col min="9" max="10" width="32.1796875" customWidth="1"/>
    <col min="11" max="11" width="23.90625" customWidth="1"/>
  </cols>
  <sheetData>
    <row r="1" spans="2:11" ht="17.5" x14ac:dyDescent="0.35">
      <c r="B1" s="212" t="s">
        <v>2268</v>
      </c>
      <c r="C1" s="212"/>
      <c r="D1" s="212"/>
      <c r="E1" s="212"/>
    </row>
    <row r="2" spans="2:11" ht="17.5" x14ac:dyDescent="0.35">
      <c r="B2" s="151"/>
    </row>
    <row r="3" spans="2:11" x14ac:dyDescent="0.35">
      <c r="B3" s="152" t="s">
        <v>1812</v>
      </c>
      <c r="C3" s="152" t="s">
        <v>472</v>
      </c>
      <c r="D3" s="152" t="s">
        <v>1815</v>
      </c>
      <c r="E3" s="152" t="s">
        <v>1816</v>
      </c>
      <c r="G3" s="148"/>
      <c r="H3" s="148"/>
      <c r="I3" s="148"/>
      <c r="J3" s="148"/>
    </row>
    <row r="4" spans="2:11" ht="58" x14ac:dyDescent="0.35">
      <c r="B4" s="157" t="s">
        <v>2218</v>
      </c>
      <c r="C4" s="158">
        <v>0.3</v>
      </c>
      <c r="D4" s="159" t="s">
        <v>1841</v>
      </c>
      <c r="E4" s="159" t="s">
        <v>1873</v>
      </c>
      <c r="G4" s="150"/>
      <c r="H4" s="149"/>
      <c r="I4" s="149"/>
      <c r="J4" s="149"/>
    </row>
    <row r="5" spans="2:11" ht="43.5" x14ac:dyDescent="0.35">
      <c r="B5" s="154" t="s">
        <v>1257</v>
      </c>
      <c r="C5" s="156">
        <v>0.4</v>
      </c>
      <c r="D5" s="153" t="s">
        <v>1988</v>
      </c>
      <c r="E5" s="153" t="s">
        <v>1989</v>
      </c>
      <c r="G5" s="150"/>
      <c r="H5" s="149"/>
      <c r="I5" s="149"/>
      <c r="J5" s="149"/>
    </row>
    <row r="6" spans="2:11" ht="43.5" x14ac:dyDescent="0.35">
      <c r="B6" s="154" t="s">
        <v>1213</v>
      </c>
      <c r="C6" s="156">
        <v>2</v>
      </c>
      <c r="D6" s="153" t="s">
        <v>1978</v>
      </c>
      <c r="E6" s="153" t="s">
        <v>1996</v>
      </c>
      <c r="G6" s="150"/>
      <c r="H6" s="149"/>
      <c r="I6" s="149"/>
      <c r="J6" s="149"/>
    </row>
    <row r="7" spans="2:11" ht="29" x14ac:dyDescent="0.35">
      <c r="B7" s="154" t="s">
        <v>1982</v>
      </c>
      <c r="C7" s="156">
        <v>1.98</v>
      </c>
      <c r="D7" s="153" t="s">
        <v>1991</v>
      </c>
      <c r="E7" s="153" t="s">
        <v>2269</v>
      </c>
      <c r="G7" s="150"/>
      <c r="H7" s="149"/>
      <c r="I7" s="149"/>
      <c r="J7" s="149"/>
      <c r="K7" s="148"/>
    </row>
    <row r="8" spans="2:11" ht="43.5" x14ac:dyDescent="0.35">
      <c r="B8" s="154" t="s">
        <v>1329</v>
      </c>
      <c r="C8" s="156">
        <v>1.9700000000000002</v>
      </c>
      <c r="D8" s="153" t="s">
        <v>1984</v>
      </c>
      <c r="E8" s="153" t="s">
        <v>2264</v>
      </c>
      <c r="G8" s="150"/>
      <c r="H8" s="149"/>
      <c r="I8" s="149"/>
      <c r="J8" s="149"/>
      <c r="K8" s="149"/>
    </row>
    <row r="9" spans="2:11" ht="58" x14ac:dyDescent="0.35">
      <c r="B9" s="154" t="s">
        <v>1964</v>
      </c>
      <c r="C9" s="156">
        <v>2</v>
      </c>
      <c r="D9" s="153" t="s">
        <v>1965</v>
      </c>
      <c r="E9" s="153" t="s">
        <v>2205</v>
      </c>
      <c r="G9" s="149"/>
      <c r="H9" s="149"/>
      <c r="I9" s="149"/>
      <c r="J9" s="149"/>
      <c r="K9" s="149"/>
    </row>
    <row r="10" spans="2:11" ht="43.5" x14ac:dyDescent="0.35">
      <c r="B10" s="157" t="s">
        <v>1826</v>
      </c>
      <c r="C10" s="158">
        <v>0.3</v>
      </c>
      <c r="D10" s="159" t="s">
        <v>1827</v>
      </c>
      <c r="E10" s="159" t="s">
        <v>1828</v>
      </c>
      <c r="G10" s="149"/>
      <c r="H10" s="149"/>
      <c r="I10" s="149"/>
      <c r="J10" s="149"/>
      <c r="K10" s="149"/>
    </row>
    <row r="11" spans="2:11" ht="58" x14ac:dyDescent="0.35">
      <c r="B11" s="157" t="s">
        <v>1819</v>
      </c>
      <c r="C11" s="158">
        <v>0.3</v>
      </c>
      <c r="D11" s="159" t="s">
        <v>1820</v>
      </c>
      <c r="E11" s="159" t="s">
        <v>1821</v>
      </c>
      <c r="G11" s="149"/>
      <c r="H11" s="149"/>
      <c r="I11" s="149"/>
      <c r="J11" s="149"/>
    </row>
    <row r="12" spans="2:11" ht="58" x14ac:dyDescent="0.35">
      <c r="B12" s="157" t="s">
        <v>1822</v>
      </c>
      <c r="C12" s="158">
        <v>0.15</v>
      </c>
      <c r="D12" s="159" t="s">
        <v>1823</v>
      </c>
      <c r="E12" s="159" t="s">
        <v>1824</v>
      </c>
      <c r="G12" s="149"/>
      <c r="H12" s="149"/>
      <c r="I12" s="149"/>
      <c r="J12" s="149"/>
    </row>
    <row r="13" spans="2:11" ht="43.5" x14ac:dyDescent="0.35">
      <c r="B13" s="157" t="s">
        <v>1872</v>
      </c>
      <c r="C13" s="158">
        <v>0.2</v>
      </c>
      <c r="D13" s="159" t="s">
        <v>1825</v>
      </c>
      <c r="E13" s="159"/>
      <c r="G13" s="149"/>
      <c r="H13" s="149"/>
      <c r="I13" s="149"/>
      <c r="J13" s="149"/>
    </row>
    <row r="14" spans="2:11" ht="43.5" x14ac:dyDescent="0.35">
      <c r="B14" s="154" t="s">
        <v>1972</v>
      </c>
      <c r="C14" s="156">
        <v>0.3</v>
      </c>
      <c r="D14" s="153" t="s">
        <v>1919</v>
      </c>
      <c r="E14" s="153"/>
      <c r="G14" s="149"/>
      <c r="H14" s="149"/>
      <c r="I14" s="149"/>
      <c r="J14" s="149"/>
    </row>
    <row r="15" spans="2:11" ht="72.5" x14ac:dyDescent="0.35">
      <c r="B15" s="157" t="s">
        <v>1869</v>
      </c>
      <c r="C15" s="158">
        <v>0.1</v>
      </c>
      <c r="D15" s="159" t="s">
        <v>1818</v>
      </c>
      <c r="E15" s="159"/>
      <c r="G15" s="149"/>
      <c r="H15" s="149"/>
      <c r="I15" s="149"/>
      <c r="J15" s="149"/>
    </row>
    <row r="18" spans="3:3" x14ac:dyDescent="0.35">
      <c r="C18" s="6">
        <f>SUM(C4:C15)</f>
        <v>10.000000000000002</v>
      </c>
    </row>
  </sheetData>
  <mergeCells count="1">
    <mergeCell ref="B1:E1"/>
  </mergeCells>
  <pageMargins left="0.511811024" right="0.511811024" top="0.78740157499999996" bottom="0.78740157499999996" header="0.31496062000000002" footer="0.3149606200000000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5F4DE1-4212-43EF-9005-B97D54679A46}">
  <sheetPr codeName="Planilha22">
    <tabColor theme="9" tint="-0.249977111117893"/>
  </sheetPr>
  <dimension ref="A1:K18"/>
  <sheetViews>
    <sheetView showGridLines="0" zoomScaleNormal="100" workbookViewId="0">
      <selection activeCell="B2" sqref="B1:D1048576"/>
    </sheetView>
  </sheetViews>
  <sheetFormatPr defaultRowHeight="14.5" x14ac:dyDescent="0.35"/>
  <cols>
    <col min="1" max="1" width="6.81640625" customWidth="1"/>
    <col min="2" max="2" width="31.6328125" customWidth="1"/>
    <col min="3" max="3" width="5.26953125" style="3" customWidth="1"/>
    <col min="4" max="5" width="31.6328125" customWidth="1"/>
    <col min="7" max="7" width="36.54296875" customWidth="1"/>
    <col min="8" max="8" width="3.453125" bestFit="1" customWidth="1"/>
    <col min="9" max="10" width="32.1796875" customWidth="1"/>
    <col min="11" max="11" width="23.90625" customWidth="1"/>
  </cols>
  <sheetData>
    <row r="1" spans="1:11" ht="17.5" x14ac:dyDescent="0.35">
      <c r="B1" s="209" t="s">
        <v>2352</v>
      </c>
      <c r="C1" s="209"/>
      <c r="D1" s="209"/>
      <c r="E1" s="209"/>
    </row>
    <row r="2" spans="1:11" x14ac:dyDescent="0.35">
      <c r="B2" s="185" t="s">
        <v>1812</v>
      </c>
      <c r="C2" s="185" t="s">
        <v>472</v>
      </c>
      <c r="D2" s="185" t="s">
        <v>1815</v>
      </c>
      <c r="E2" s="185" t="s">
        <v>1816</v>
      </c>
      <c r="G2" s="150"/>
      <c r="H2" s="149"/>
      <c r="I2" s="149"/>
      <c r="J2" s="149"/>
    </row>
    <row r="3" spans="1:11" ht="43.5" x14ac:dyDescent="0.35">
      <c r="B3" s="157" t="s">
        <v>2218</v>
      </c>
      <c r="C3" s="158">
        <v>0.3</v>
      </c>
      <c r="D3" s="159" t="s">
        <v>1841</v>
      </c>
      <c r="E3" s="159" t="s">
        <v>1873</v>
      </c>
    </row>
    <row r="4" spans="1:11" ht="29" x14ac:dyDescent="0.35">
      <c r="B4" s="154" t="s">
        <v>1257</v>
      </c>
      <c r="C4" s="156">
        <v>0.4</v>
      </c>
      <c r="D4" s="153" t="s">
        <v>1999</v>
      </c>
      <c r="E4" s="153" t="s">
        <v>2000</v>
      </c>
    </row>
    <row r="5" spans="1:11" ht="29" x14ac:dyDescent="0.35">
      <c r="B5" s="154" t="s">
        <v>1213</v>
      </c>
      <c r="C5" s="156">
        <v>1.3</v>
      </c>
      <c r="D5" s="153" t="s">
        <v>1997</v>
      </c>
      <c r="E5" s="153" t="s">
        <v>2009</v>
      </c>
      <c r="G5" s="150"/>
      <c r="H5" s="149"/>
      <c r="I5" s="149"/>
      <c r="J5" s="149"/>
    </row>
    <row r="6" spans="1:11" ht="29" x14ac:dyDescent="0.35">
      <c r="B6" s="154" t="s">
        <v>2010</v>
      </c>
      <c r="C6" s="156">
        <v>2</v>
      </c>
      <c r="D6" s="153" t="s">
        <v>2011</v>
      </c>
      <c r="E6" s="153" t="s">
        <v>2012</v>
      </c>
      <c r="G6" s="150"/>
      <c r="H6" s="149"/>
      <c r="I6" s="149"/>
      <c r="J6" s="149"/>
      <c r="K6" s="148"/>
    </row>
    <row r="7" spans="1:11" ht="43.5" x14ac:dyDescent="0.35">
      <c r="B7" s="154" t="s">
        <v>1267</v>
      </c>
      <c r="C7" s="156">
        <v>2</v>
      </c>
      <c r="D7" s="153" t="s">
        <v>2013</v>
      </c>
      <c r="E7" s="153" t="s">
        <v>2014</v>
      </c>
      <c r="G7" s="150"/>
      <c r="H7" s="149"/>
      <c r="I7" s="149"/>
      <c r="J7" s="149"/>
      <c r="K7" s="149"/>
    </row>
    <row r="8" spans="1:11" ht="58" x14ac:dyDescent="0.35">
      <c r="B8" s="154" t="s">
        <v>2015</v>
      </c>
      <c r="C8" s="156">
        <v>1.33</v>
      </c>
      <c r="D8" s="153" t="s">
        <v>2016</v>
      </c>
      <c r="E8" s="153" t="s">
        <v>2270</v>
      </c>
      <c r="G8" s="150"/>
      <c r="H8" s="149"/>
      <c r="I8" s="149"/>
      <c r="J8" s="149"/>
      <c r="K8" s="149"/>
    </row>
    <row r="9" spans="1:11" ht="43.5" x14ac:dyDescent="0.35">
      <c r="A9" s="163" t="s">
        <v>2008</v>
      </c>
      <c r="B9" s="154" t="s">
        <v>2018</v>
      </c>
      <c r="C9" s="156">
        <v>1.32</v>
      </c>
      <c r="D9" s="153" t="s">
        <v>2019</v>
      </c>
      <c r="E9" s="153" t="s">
        <v>2020</v>
      </c>
      <c r="K9" s="149"/>
    </row>
    <row r="10" spans="1:11" ht="43.5" x14ac:dyDescent="0.35">
      <c r="B10" s="157" t="s">
        <v>1826</v>
      </c>
      <c r="C10" s="158">
        <v>0.3</v>
      </c>
      <c r="D10" s="159" t="s">
        <v>1827</v>
      </c>
      <c r="E10" s="159" t="s">
        <v>1828</v>
      </c>
      <c r="G10" s="149"/>
      <c r="H10" s="149"/>
      <c r="I10" s="149"/>
      <c r="J10" s="149"/>
      <c r="K10" s="149"/>
    </row>
    <row r="11" spans="1:11" ht="43.5" x14ac:dyDescent="0.35">
      <c r="B11" s="157" t="s">
        <v>1819</v>
      </c>
      <c r="C11" s="158">
        <v>0.3</v>
      </c>
      <c r="D11" s="159" t="s">
        <v>1820</v>
      </c>
      <c r="E11" s="159" t="s">
        <v>1821</v>
      </c>
      <c r="G11" s="149"/>
      <c r="H11" s="149"/>
      <c r="I11" s="149"/>
      <c r="J11" s="149"/>
    </row>
    <row r="12" spans="1:11" ht="58" x14ac:dyDescent="0.35">
      <c r="B12" s="157" t="s">
        <v>1822</v>
      </c>
      <c r="C12" s="158">
        <v>0.15</v>
      </c>
      <c r="D12" s="159" t="s">
        <v>1823</v>
      </c>
      <c r="E12" s="159" t="s">
        <v>1824</v>
      </c>
      <c r="G12" s="149"/>
      <c r="H12" s="149"/>
      <c r="I12" s="149"/>
      <c r="J12" s="149"/>
    </row>
    <row r="13" spans="1:11" ht="43.5" x14ac:dyDescent="0.35">
      <c r="B13" s="157" t="s">
        <v>1872</v>
      </c>
      <c r="C13" s="158">
        <v>0.2</v>
      </c>
      <c r="D13" s="159" t="s">
        <v>1825</v>
      </c>
      <c r="E13" s="159"/>
      <c r="G13" s="149"/>
      <c r="H13" s="149"/>
      <c r="I13" s="149"/>
      <c r="J13" s="149"/>
    </row>
    <row r="14" spans="1:11" ht="29" x14ac:dyDescent="0.35">
      <c r="B14" s="154" t="s">
        <v>1972</v>
      </c>
      <c r="C14" s="156">
        <v>0.3</v>
      </c>
      <c r="D14" s="153" t="s">
        <v>1919</v>
      </c>
      <c r="E14" s="153"/>
      <c r="G14" s="149"/>
      <c r="H14" s="149"/>
      <c r="I14" s="149"/>
      <c r="J14" s="149"/>
    </row>
    <row r="15" spans="1:11" ht="58" x14ac:dyDescent="0.35">
      <c r="B15" s="157" t="s">
        <v>1869</v>
      </c>
      <c r="C15" s="158">
        <v>0.1</v>
      </c>
      <c r="D15" s="159" t="s">
        <v>1818</v>
      </c>
      <c r="E15" s="159"/>
      <c r="G15" s="149"/>
      <c r="H15" s="149"/>
      <c r="I15" s="149"/>
      <c r="J15" s="149"/>
    </row>
    <row r="18" spans="3:3" x14ac:dyDescent="0.35">
      <c r="C18" s="6">
        <f>SUM(C3:C15)</f>
        <v>10.000000000000002</v>
      </c>
    </row>
  </sheetData>
  <mergeCells count="1">
    <mergeCell ref="B1:E1"/>
  </mergeCells>
  <pageMargins left="0.511811024" right="0.511811024" top="0.78740157499999996" bottom="0.78740157499999996" header="0.31496062000000002" footer="0.3149606200000000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B4848-F07D-4DBD-B2DF-B763730F95ED}">
  <sheetPr codeName="Planilha23">
    <tabColor theme="9" tint="-0.249977111117893"/>
  </sheetPr>
  <dimension ref="B1:K18"/>
  <sheetViews>
    <sheetView showGridLines="0" topLeftCell="A10" workbookViewId="0">
      <selection activeCell="B10" sqref="B1:D1048576"/>
    </sheetView>
  </sheetViews>
  <sheetFormatPr defaultRowHeight="14.5" x14ac:dyDescent="0.35"/>
  <cols>
    <col min="1" max="1" width="6.81640625" customWidth="1"/>
    <col min="2" max="2" width="31.6328125" customWidth="1"/>
    <col min="3" max="3" width="5.6328125" style="3" customWidth="1"/>
    <col min="4" max="5" width="31.6328125" customWidth="1"/>
    <col min="7" max="7" width="36.54296875" customWidth="1"/>
    <col min="8" max="8" width="3.453125" bestFit="1" customWidth="1"/>
    <col min="9" max="10" width="32.1796875" customWidth="1"/>
    <col min="11" max="11" width="23.90625" customWidth="1"/>
  </cols>
  <sheetData>
    <row r="1" spans="2:11" ht="17.5" x14ac:dyDescent="0.35">
      <c r="B1" s="209" t="s">
        <v>2358</v>
      </c>
      <c r="C1" s="209"/>
      <c r="D1" s="209"/>
      <c r="E1" s="209"/>
    </row>
    <row r="2" spans="2:11" x14ac:dyDescent="0.35">
      <c r="B2" s="185" t="s">
        <v>1812</v>
      </c>
      <c r="C2" s="185" t="s">
        <v>472</v>
      </c>
      <c r="D2" s="185" t="s">
        <v>1815</v>
      </c>
      <c r="E2" s="185" t="s">
        <v>1816</v>
      </c>
      <c r="G2" s="150"/>
      <c r="H2" s="149"/>
      <c r="I2" s="149"/>
      <c r="J2" s="149"/>
    </row>
    <row r="3" spans="2:11" ht="43.5" x14ac:dyDescent="0.35">
      <c r="B3" s="157" t="s">
        <v>2218</v>
      </c>
      <c r="C3" s="158">
        <v>0.3</v>
      </c>
      <c r="D3" s="159" t="s">
        <v>1841</v>
      </c>
      <c r="E3" s="159" t="s">
        <v>1873</v>
      </c>
    </row>
    <row r="4" spans="2:11" ht="58" x14ac:dyDescent="0.35">
      <c r="B4" s="154" t="s">
        <v>1257</v>
      </c>
      <c r="C4" s="156">
        <v>0.4</v>
      </c>
      <c r="D4" s="153" t="s">
        <v>2104</v>
      </c>
      <c r="E4" s="153" t="s">
        <v>2271</v>
      </c>
    </row>
    <row r="5" spans="2:11" ht="58" x14ac:dyDescent="0.35">
      <c r="B5" s="154" t="s">
        <v>1213</v>
      </c>
      <c r="C5" s="156">
        <v>1.5</v>
      </c>
      <c r="D5" s="153" t="s">
        <v>2103</v>
      </c>
      <c r="E5" s="153" t="s">
        <v>2272</v>
      </c>
      <c r="G5" s="150"/>
      <c r="H5" s="149"/>
      <c r="I5" s="149"/>
      <c r="J5" s="149"/>
    </row>
    <row r="6" spans="2:11" ht="58" x14ac:dyDescent="0.35">
      <c r="B6" s="154" t="s">
        <v>1270</v>
      </c>
      <c r="C6" s="156">
        <v>1.75</v>
      </c>
      <c r="D6" s="153" t="s">
        <v>2105</v>
      </c>
      <c r="E6" s="153" t="s">
        <v>2273</v>
      </c>
      <c r="G6" s="150"/>
      <c r="H6" s="149"/>
      <c r="I6" s="149"/>
      <c r="J6" s="149"/>
      <c r="K6" s="148"/>
    </row>
    <row r="7" spans="2:11" ht="58" x14ac:dyDescent="0.35">
      <c r="B7" s="154" t="s">
        <v>1271</v>
      </c>
      <c r="C7" s="156">
        <v>1.7000000000000002</v>
      </c>
      <c r="D7" s="153" t="s">
        <v>2106</v>
      </c>
      <c r="E7" s="153" t="s">
        <v>2274</v>
      </c>
      <c r="G7" s="150"/>
      <c r="H7" s="149"/>
      <c r="I7" s="149"/>
      <c r="J7" s="149"/>
      <c r="K7" s="149"/>
    </row>
    <row r="8" spans="2:11" ht="29" x14ac:dyDescent="0.35">
      <c r="B8" s="154" t="s">
        <v>2107</v>
      </c>
      <c r="C8" s="156">
        <v>1.5</v>
      </c>
      <c r="D8" s="153" t="s">
        <v>2017</v>
      </c>
      <c r="E8" s="153" t="s">
        <v>2108</v>
      </c>
      <c r="G8" s="150"/>
      <c r="H8" s="149"/>
      <c r="I8" s="149"/>
      <c r="J8" s="149"/>
      <c r="K8" s="149"/>
    </row>
    <row r="9" spans="2:11" ht="58" x14ac:dyDescent="0.35">
      <c r="B9" s="154" t="s">
        <v>2015</v>
      </c>
      <c r="C9" s="156">
        <v>1.5</v>
      </c>
      <c r="D9" s="153" t="s">
        <v>2016</v>
      </c>
      <c r="E9" s="153" t="s">
        <v>2275</v>
      </c>
      <c r="G9" s="150"/>
      <c r="H9" s="149"/>
      <c r="I9" s="149"/>
      <c r="J9" s="149"/>
      <c r="K9" s="149"/>
    </row>
    <row r="10" spans="2:11" ht="43.5" x14ac:dyDescent="0.35">
      <c r="B10" s="157" t="s">
        <v>1826</v>
      </c>
      <c r="C10" s="158">
        <v>0.3</v>
      </c>
      <c r="D10" s="159" t="s">
        <v>1827</v>
      </c>
      <c r="E10" s="159" t="s">
        <v>1828</v>
      </c>
      <c r="G10" s="149"/>
      <c r="H10" s="149"/>
      <c r="I10" s="149"/>
      <c r="J10" s="149"/>
      <c r="K10" s="149"/>
    </row>
    <row r="11" spans="2:11" ht="43.5" x14ac:dyDescent="0.35">
      <c r="B11" s="157" t="s">
        <v>1819</v>
      </c>
      <c r="C11" s="158">
        <v>0.3</v>
      </c>
      <c r="D11" s="159" t="s">
        <v>1820</v>
      </c>
      <c r="E11" s="159" t="s">
        <v>1821</v>
      </c>
      <c r="G11" s="149"/>
      <c r="H11" s="149"/>
      <c r="I11" s="149"/>
      <c r="J11" s="149"/>
    </row>
    <row r="12" spans="2:11" ht="58" x14ac:dyDescent="0.35">
      <c r="B12" s="157" t="s">
        <v>1822</v>
      </c>
      <c r="C12" s="158">
        <v>0.15</v>
      </c>
      <c r="D12" s="159" t="s">
        <v>1823</v>
      </c>
      <c r="E12" s="159" t="s">
        <v>1824</v>
      </c>
      <c r="G12" s="149"/>
      <c r="H12" s="149"/>
      <c r="I12" s="149"/>
      <c r="J12" s="149"/>
    </row>
    <row r="13" spans="2:11" ht="43.5" x14ac:dyDescent="0.35">
      <c r="B13" s="157" t="s">
        <v>1872</v>
      </c>
      <c r="C13" s="158">
        <v>0.2</v>
      </c>
      <c r="D13" s="159" t="s">
        <v>1825</v>
      </c>
      <c r="E13" s="159"/>
      <c r="G13" s="149"/>
      <c r="H13" s="149"/>
      <c r="I13" s="149"/>
      <c r="J13" s="149"/>
    </row>
    <row r="14" spans="2:11" ht="29" x14ac:dyDescent="0.35">
      <c r="B14" s="154" t="s">
        <v>1972</v>
      </c>
      <c r="C14" s="156">
        <v>0.3</v>
      </c>
      <c r="D14" s="153" t="s">
        <v>1919</v>
      </c>
      <c r="E14" s="153"/>
      <c r="G14" s="149"/>
      <c r="H14" s="149"/>
      <c r="I14" s="149"/>
      <c r="J14" s="149"/>
    </row>
    <row r="15" spans="2:11" ht="58" x14ac:dyDescent="0.35">
      <c r="B15" s="157" t="s">
        <v>1869</v>
      </c>
      <c r="C15" s="158">
        <v>0.1</v>
      </c>
      <c r="D15" s="159" t="s">
        <v>1818</v>
      </c>
      <c r="E15" s="159"/>
      <c r="G15" s="149"/>
      <c r="H15" s="149"/>
      <c r="I15" s="149"/>
      <c r="J15" s="149"/>
    </row>
    <row r="18" spans="3:3" x14ac:dyDescent="0.35">
      <c r="C18" s="6">
        <f>SUM(C3:C15)</f>
        <v>10.000000000000002</v>
      </c>
    </row>
  </sheetData>
  <mergeCells count="1">
    <mergeCell ref="B1:E1"/>
  </mergeCells>
  <pageMargins left="0.511811024" right="0.511811024" top="0.78740157499999996" bottom="0.78740157499999996" header="0.31496062000000002" footer="0.3149606200000000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B280F-1C65-4E24-B71C-E1A31933FD18}">
  <sheetPr codeName="Planilha24">
    <tabColor theme="9" tint="-0.249977111117893"/>
  </sheetPr>
  <dimension ref="A1:K19"/>
  <sheetViews>
    <sheetView showGridLines="0" workbookViewId="0">
      <selection activeCell="B2" sqref="B1:D1048576"/>
    </sheetView>
  </sheetViews>
  <sheetFormatPr defaultRowHeight="14.5" x14ac:dyDescent="0.35"/>
  <cols>
    <col min="1" max="1" width="6.81640625" customWidth="1"/>
    <col min="2" max="2" width="31.6328125" customWidth="1"/>
    <col min="3" max="3" width="5.6328125" style="3" customWidth="1"/>
    <col min="4" max="5" width="31.6328125" customWidth="1"/>
    <col min="7" max="7" width="36.54296875" customWidth="1"/>
    <col min="8" max="8" width="3.453125" bestFit="1" customWidth="1"/>
    <col min="9" max="10" width="32.1796875" customWidth="1"/>
    <col min="11" max="11" width="23.90625" customWidth="1"/>
  </cols>
  <sheetData>
    <row r="1" spans="1:11" ht="17.5" x14ac:dyDescent="0.35">
      <c r="B1" s="209" t="s">
        <v>2277</v>
      </c>
      <c r="C1" s="209"/>
      <c r="D1" s="209"/>
      <c r="E1" s="209"/>
    </row>
    <row r="2" spans="1:11" x14ac:dyDescent="0.35">
      <c r="B2" s="185" t="s">
        <v>1812</v>
      </c>
      <c r="C2" s="185" t="s">
        <v>472</v>
      </c>
      <c r="D2" s="185" t="s">
        <v>1815</v>
      </c>
      <c r="E2" s="185" t="s">
        <v>1816</v>
      </c>
      <c r="G2" s="148"/>
      <c r="H2" s="148"/>
      <c r="I2" s="148"/>
      <c r="J2" s="148"/>
    </row>
    <row r="3" spans="1:11" ht="43.5" x14ac:dyDescent="0.35">
      <c r="B3" s="157" t="s">
        <v>2218</v>
      </c>
      <c r="C3" s="158">
        <v>0.3</v>
      </c>
      <c r="D3" s="159" t="s">
        <v>1841</v>
      </c>
      <c r="E3" s="159" t="s">
        <v>1873</v>
      </c>
    </row>
    <row r="4" spans="1:11" ht="29" x14ac:dyDescent="0.35">
      <c r="B4" s="154" t="s">
        <v>1257</v>
      </c>
      <c r="C4" s="156">
        <v>0.4</v>
      </c>
      <c r="D4" s="153" t="s">
        <v>1967</v>
      </c>
      <c r="E4" s="153" t="s">
        <v>1968</v>
      </c>
    </row>
    <row r="5" spans="1:11" ht="43.5" x14ac:dyDescent="0.35">
      <c r="B5" s="154" t="s">
        <v>1213</v>
      </c>
      <c r="C5" s="156">
        <v>1.3</v>
      </c>
      <c r="D5" s="153" t="s">
        <v>1997</v>
      </c>
      <c r="E5" s="153" t="s">
        <v>2022</v>
      </c>
      <c r="G5" s="150"/>
      <c r="H5" s="149"/>
      <c r="I5" s="149"/>
      <c r="J5" s="149"/>
    </row>
    <row r="6" spans="1:11" ht="29" x14ac:dyDescent="0.35">
      <c r="B6" s="154" t="s">
        <v>1272</v>
      </c>
      <c r="C6" s="156">
        <v>1.32</v>
      </c>
      <c r="D6" s="153" t="s">
        <v>2023</v>
      </c>
      <c r="E6" s="153" t="s">
        <v>2276</v>
      </c>
      <c r="G6" s="150"/>
      <c r="H6" s="149"/>
      <c r="I6" s="149"/>
      <c r="J6" s="149"/>
      <c r="K6" s="148"/>
    </row>
    <row r="7" spans="1:11" ht="29" x14ac:dyDescent="0.35">
      <c r="B7" s="154" t="s">
        <v>2024</v>
      </c>
      <c r="C7" s="156">
        <v>1.32</v>
      </c>
      <c r="D7" s="153" t="s">
        <v>2025</v>
      </c>
      <c r="E7" s="153" t="s">
        <v>2026</v>
      </c>
      <c r="G7" s="150"/>
      <c r="H7" s="149"/>
      <c r="I7" s="149"/>
      <c r="J7" s="149"/>
      <c r="K7" s="149"/>
    </row>
    <row r="8" spans="1:11" ht="29" x14ac:dyDescent="0.35">
      <c r="B8" s="154" t="s">
        <v>2027</v>
      </c>
      <c r="C8" s="156">
        <v>1.32</v>
      </c>
      <c r="D8" s="153" t="s">
        <v>2028</v>
      </c>
      <c r="E8" s="153" t="s">
        <v>2029</v>
      </c>
      <c r="G8" s="150"/>
      <c r="H8" s="149"/>
      <c r="I8" s="149"/>
      <c r="J8" s="149"/>
      <c r="K8" s="149"/>
    </row>
    <row r="9" spans="1:11" ht="58" x14ac:dyDescent="0.35">
      <c r="B9" s="154" t="s">
        <v>2030</v>
      </c>
      <c r="C9" s="156">
        <v>1.37</v>
      </c>
      <c r="D9" s="153" t="s">
        <v>2031</v>
      </c>
      <c r="E9" s="153" t="s">
        <v>2032</v>
      </c>
      <c r="G9" s="150"/>
      <c r="H9" s="149"/>
      <c r="I9" s="149"/>
      <c r="J9" s="149"/>
      <c r="K9" s="149"/>
    </row>
    <row r="10" spans="1:11" ht="43.5" x14ac:dyDescent="0.35">
      <c r="A10" s="163" t="s">
        <v>2008</v>
      </c>
      <c r="B10" s="154" t="s">
        <v>2336</v>
      </c>
      <c r="C10" s="156">
        <v>1.32</v>
      </c>
      <c r="D10" s="153" t="s">
        <v>2034</v>
      </c>
      <c r="E10" s="153" t="s">
        <v>2035</v>
      </c>
      <c r="K10" s="149"/>
    </row>
    <row r="11" spans="1:11" ht="43.5" x14ac:dyDescent="0.35">
      <c r="B11" s="157" t="s">
        <v>1826</v>
      </c>
      <c r="C11" s="158">
        <v>0.3</v>
      </c>
      <c r="D11" s="159" t="s">
        <v>1827</v>
      </c>
      <c r="E11" s="159" t="s">
        <v>1828</v>
      </c>
      <c r="K11" s="149"/>
    </row>
    <row r="12" spans="1:11" ht="43.5" x14ac:dyDescent="0.35">
      <c r="B12" s="157" t="s">
        <v>1819</v>
      </c>
      <c r="C12" s="158">
        <v>0.3</v>
      </c>
      <c r="D12" s="159" t="s">
        <v>1820</v>
      </c>
      <c r="E12" s="159" t="s">
        <v>1821</v>
      </c>
      <c r="G12" s="149"/>
      <c r="H12" s="149"/>
      <c r="I12" s="149"/>
      <c r="J12" s="149"/>
    </row>
    <row r="13" spans="1:11" ht="58" x14ac:dyDescent="0.35">
      <c r="B13" s="157" t="s">
        <v>1822</v>
      </c>
      <c r="C13" s="158">
        <v>0.15</v>
      </c>
      <c r="D13" s="159" t="s">
        <v>1823</v>
      </c>
      <c r="E13" s="159" t="s">
        <v>1824</v>
      </c>
      <c r="G13" s="149"/>
      <c r="H13" s="149"/>
      <c r="I13" s="149"/>
      <c r="J13" s="149"/>
    </row>
    <row r="14" spans="1:11" ht="43.5" x14ac:dyDescent="0.35">
      <c r="B14" s="157" t="s">
        <v>1872</v>
      </c>
      <c r="C14" s="158">
        <v>0.2</v>
      </c>
      <c r="D14" s="159" t="s">
        <v>1825</v>
      </c>
      <c r="E14" s="159"/>
      <c r="G14" s="149"/>
      <c r="H14" s="149"/>
      <c r="I14" s="149"/>
      <c r="J14" s="149"/>
    </row>
    <row r="15" spans="1:11" ht="29" x14ac:dyDescent="0.35">
      <c r="B15" s="154" t="s">
        <v>1972</v>
      </c>
      <c r="C15" s="156">
        <v>0.3</v>
      </c>
      <c r="D15" s="153" t="s">
        <v>1919</v>
      </c>
      <c r="E15" s="153"/>
      <c r="G15" s="149"/>
      <c r="H15" s="149"/>
      <c r="I15" s="149"/>
      <c r="J15" s="149"/>
    </row>
    <row r="16" spans="1:11" ht="58" x14ac:dyDescent="0.35">
      <c r="B16" s="157" t="s">
        <v>1869</v>
      </c>
      <c r="C16" s="158">
        <v>0.1</v>
      </c>
      <c r="D16" s="159" t="s">
        <v>1818</v>
      </c>
      <c r="E16" s="159"/>
      <c r="G16" s="149"/>
      <c r="H16" s="149"/>
      <c r="I16" s="149"/>
      <c r="J16" s="149"/>
    </row>
    <row r="19" spans="3:3" x14ac:dyDescent="0.35">
      <c r="C19" s="6">
        <f>SUM(C3:C16)</f>
        <v>10.000000000000002</v>
      </c>
    </row>
  </sheetData>
  <mergeCells count="1">
    <mergeCell ref="B1:E1"/>
  </mergeCells>
  <pageMargins left="0.511811024" right="0.511811024" top="0.78740157499999996" bottom="0.78740157499999996" header="0.31496062000000002" footer="0.3149606200000000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BB895-8099-460B-B6B1-11FAAF4F5B76}">
  <sheetPr codeName="Planilha25">
    <tabColor theme="9" tint="-0.249977111117893"/>
  </sheetPr>
  <dimension ref="B1:K18"/>
  <sheetViews>
    <sheetView showGridLines="0" workbookViewId="0">
      <selection activeCell="B2" sqref="B1:D1048576"/>
    </sheetView>
  </sheetViews>
  <sheetFormatPr defaultRowHeight="14.5" x14ac:dyDescent="0.35"/>
  <cols>
    <col min="1" max="1" width="6.81640625" customWidth="1"/>
    <col min="2" max="2" width="31.6328125" customWidth="1"/>
    <col min="3" max="3" width="5.6328125" style="3" customWidth="1"/>
    <col min="4" max="5" width="31.6328125" customWidth="1"/>
    <col min="7" max="7" width="36.54296875" customWidth="1"/>
    <col min="8" max="8" width="3.453125" bestFit="1" customWidth="1"/>
    <col min="9" max="10" width="32.1796875" customWidth="1"/>
    <col min="11" max="11" width="23.90625" customWidth="1"/>
  </cols>
  <sheetData>
    <row r="1" spans="2:11" ht="17.5" x14ac:dyDescent="0.35">
      <c r="B1" s="209" t="s">
        <v>2359</v>
      </c>
      <c r="C1" s="209"/>
      <c r="D1" s="209"/>
      <c r="E1" s="209"/>
    </row>
    <row r="2" spans="2:11" x14ac:dyDescent="0.35">
      <c r="B2" s="185" t="s">
        <v>1812</v>
      </c>
      <c r="C2" s="185" t="s">
        <v>472</v>
      </c>
      <c r="D2" s="185" t="s">
        <v>1815</v>
      </c>
      <c r="E2" s="185" t="s">
        <v>1816</v>
      </c>
      <c r="G2" s="148"/>
      <c r="H2" s="148"/>
      <c r="I2" s="148"/>
      <c r="J2" s="148"/>
    </row>
    <row r="3" spans="2:11" ht="43.5" x14ac:dyDescent="0.35">
      <c r="B3" s="157" t="s">
        <v>2218</v>
      </c>
      <c r="C3" s="158">
        <v>0.3</v>
      </c>
      <c r="D3" s="159" t="s">
        <v>1841</v>
      </c>
      <c r="E3" s="159" t="s">
        <v>1873</v>
      </c>
    </row>
    <row r="4" spans="2:11" ht="29" x14ac:dyDescent="0.35">
      <c r="B4" s="154" t="s">
        <v>1257</v>
      </c>
      <c r="C4" s="156">
        <v>0.4</v>
      </c>
      <c r="D4" s="153" t="s">
        <v>1967</v>
      </c>
      <c r="E4" s="153" t="s">
        <v>1968</v>
      </c>
    </row>
    <row r="5" spans="2:11" ht="58" x14ac:dyDescent="0.35">
      <c r="B5" s="154" t="s">
        <v>1213</v>
      </c>
      <c r="C5" s="156">
        <v>1.5</v>
      </c>
      <c r="D5" s="153" t="s">
        <v>2109</v>
      </c>
      <c r="E5" s="153" t="s">
        <v>2278</v>
      </c>
      <c r="G5" s="150"/>
      <c r="H5" s="149"/>
      <c r="I5" s="149"/>
      <c r="J5" s="149"/>
    </row>
    <row r="6" spans="2:11" ht="43.5" x14ac:dyDescent="0.35">
      <c r="B6" s="154" t="s">
        <v>1270</v>
      </c>
      <c r="C6" s="156">
        <v>1.55</v>
      </c>
      <c r="D6" s="153" t="s">
        <v>2110</v>
      </c>
      <c r="E6" s="153" t="s">
        <v>2279</v>
      </c>
      <c r="G6" s="150"/>
      <c r="H6" s="149"/>
      <c r="I6" s="149"/>
      <c r="J6" s="149"/>
      <c r="K6" s="148"/>
    </row>
    <row r="7" spans="2:11" ht="58" x14ac:dyDescent="0.35">
      <c r="B7" s="154" t="s">
        <v>1271</v>
      </c>
      <c r="C7" s="156">
        <v>1.5</v>
      </c>
      <c r="D7" s="153" t="s">
        <v>2111</v>
      </c>
      <c r="E7" s="153" t="s">
        <v>2280</v>
      </c>
      <c r="G7" s="150"/>
      <c r="H7" s="149"/>
      <c r="I7" s="149"/>
      <c r="J7" s="149"/>
      <c r="K7" s="149"/>
    </row>
    <row r="8" spans="2:11" ht="72.5" x14ac:dyDescent="0.35">
      <c r="B8" s="154" t="s">
        <v>2112</v>
      </c>
      <c r="C8" s="156">
        <v>1.7000000000000002</v>
      </c>
      <c r="D8" s="153" t="s">
        <v>2113</v>
      </c>
      <c r="E8" s="153" t="s">
        <v>2281</v>
      </c>
      <c r="G8" s="150"/>
      <c r="H8" s="149"/>
      <c r="I8" s="149"/>
      <c r="J8" s="149"/>
      <c r="K8" s="149"/>
    </row>
    <row r="9" spans="2:11" ht="43.5" x14ac:dyDescent="0.35">
      <c r="B9" s="154" t="s">
        <v>2033</v>
      </c>
      <c r="C9" s="156">
        <v>1.7000000000000002</v>
      </c>
      <c r="D9" s="153" t="s">
        <v>2034</v>
      </c>
      <c r="E9" s="153" t="s">
        <v>2114</v>
      </c>
      <c r="G9" s="150"/>
      <c r="H9" s="149"/>
      <c r="I9" s="149"/>
      <c r="J9" s="149"/>
      <c r="K9" s="149"/>
    </row>
    <row r="10" spans="2:11" ht="43.5" x14ac:dyDescent="0.35">
      <c r="B10" s="157" t="s">
        <v>1826</v>
      </c>
      <c r="C10" s="158">
        <v>0.3</v>
      </c>
      <c r="D10" s="159" t="s">
        <v>1827</v>
      </c>
      <c r="E10" s="159" t="s">
        <v>1828</v>
      </c>
      <c r="K10" s="149"/>
    </row>
    <row r="11" spans="2:11" ht="43.5" x14ac:dyDescent="0.35">
      <c r="B11" s="157" t="s">
        <v>1819</v>
      </c>
      <c r="C11" s="158">
        <v>0.3</v>
      </c>
      <c r="D11" s="159" t="s">
        <v>1820</v>
      </c>
      <c r="E11" s="159" t="s">
        <v>1821</v>
      </c>
      <c r="G11" s="149"/>
      <c r="H11" s="149"/>
      <c r="I11" s="149"/>
      <c r="J11" s="149"/>
    </row>
    <row r="12" spans="2:11" ht="58" x14ac:dyDescent="0.35">
      <c r="B12" s="157" t="s">
        <v>1822</v>
      </c>
      <c r="C12" s="158">
        <v>0.15</v>
      </c>
      <c r="D12" s="159" t="s">
        <v>1823</v>
      </c>
      <c r="E12" s="159" t="s">
        <v>1824</v>
      </c>
      <c r="G12" s="149"/>
      <c r="H12" s="149"/>
      <c r="I12" s="149"/>
      <c r="J12" s="149"/>
    </row>
    <row r="13" spans="2:11" ht="43.5" x14ac:dyDescent="0.35">
      <c r="B13" s="157" t="s">
        <v>1872</v>
      </c>
      <c r="C13" s="158">
        <v>0.2</v>
      </c>
      <c r="D13" s="159" t="s">
        <v>1825</v>
      </c>
      <c r="E13" s="159"/>
      <c r="G13" s="149"/>
      <c r="H13" s="149"/>
      <c r="I13" s="149"/>
      <c r="J13" s="149"/>
    </row>
    <row r="14" spans="2:11" ht="29" x14ac:dyDescent="0.35">
      <c r="B14" s="154" t="s">
        <v>1972</v>
      </c>
      <c r="C14" s="156">
        <v>0.3</v>
      </c>
      <c r="D14" s="153" t="s">
        <v>1919</v>
      </c>
      <c r="E14" s="153"/>
      <c r="G14" s="149"/>
      <c r="H14" s="149"/>
      <c r="I14" s="149"/>
      <c r="J14" s="149"/>
    </row>
    <row r="15" spans="2:11" ht="58" x14ac:dyDescent="0.35">
      <c r="B15" s="157" t="s">
        <v>1869</v>
      </c>
      <c r="C15" s="158">
        <v>0.1</v>
      </c>
      <c r="D15" s="159" t="s">
        <v>1818</v>
      </c>
      <c r="E15" s="159"/>
      <c r="G15" s="149"/>
      <c r="H15" s="149"/>
      <c r="I15" s="149"/>
      <c r="J15" s="149"/>
    </row>
    <row r="18" spans="3:3" x14ac:dyDescent="0.35">
      <c r="C18" s="6">
        <f>SUM(C3:C15)</f>
        <v>10.000000000000002</v>
      </c>
    </row>
  </sheetData>
  <mergeCells count="1">
    <mergeCell ref="B1:E1"/>
  </mergeCells>
  <pageMargins left="0.511811024" right="0.511811024" top="0.78740157499999996" bottom="0.78740157499999996" header="0.31496062000000002" footer="0.3149606200000000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266FE-F0FB-4374-BBD8-64C0318976BA}">
  <sheetPr codeName="Planilha32">
    <tabColor theme="9" tint="-0.249977111117893"/>
  </sheetPr>
  <dimension ref="A1:K18"/>
  <sheetViews>
    <sheetView showGridLines="0" workbookViewId="0">
      <selection activeCell="B8" sqref="B8"/>
    </sheetView>
  </sheetViews>
  <sheetFormatPr defaultRowHeight="14.5" x14ac:dyDescent="0.35"/>
  <cols>
    <col min="1" max="1" width="12.08984375" bestFit="1" customWidth="1"/>
    <col min="2" max="2" width="31.6328125" customWidth="1"/>
    <col min="3" max="3" width="5.26953125" style="3" customWidth="1"/>
    <col min="4" max="5" width="31.6328125" customWidth="1"/>
    <col min="7" max="7" width="36.54296875" customWidth="1"/>
    <col min="8" max="8" width="3.453125" bestFit="1" customWidth="1"/>
    <col min="9" max="10" width="32.1796875" customWidth="1"/>
    <col min="11" max="11" width="23.90625" customWidth="1"/>
  </cols>
  <sheetData>
    <row r="1" spans="1:11" ht="17.5" x14ac:dyDescent="0.35">
      <c r="B1" s="209" t="s">
        <v>2360</v>
      </c>
      <c r="C1" s="209"/>
      <c r="D1" s="209"/>
      <c r="E1" s="209"/>
    </row>
    <row r="2" spans="1:11" x14ac:dyDescent="0.35">
      <c r="B2" s="185" t="s">
        <v>1812</v>
      </c>
      <c r="C2" s="185" t="s">
        <v>472</v>
      </c>
      <c r="D2" s="185" t="s">
        <v>1815</v>
      </c>
      <c r="E2" s="185" t="s">
        <v>1816</v>
      </c>
      <c r="G2" s="148"/>
      <c r="H2" s="148"/>
      <c r="I2" s="148"/>
      <c r="J2" s="148"/>
    </row>
    <row r="3" spans="1:11" ht="43.5" x14ac:dyDescent="0.35">
      <c r="B3" s="157" t="s">
        <v>2218</v>
      </c>
      <c r="C3" s="158">
        <v>0.3</v>
      </c>
      <c r="D3" s="159" t="s">
        <v>1841</v>
      </c>
      <c r="E3" s="159" t="s">
        <v>1873</v>
      </c>
      <c r="G3" s="150"/>
      <c r="H3" s="149"/>
      <c r="I3" s="149"/>
      <c r="J3" s="149"/>
    </row>
    <row r="4" spans="1:11" ht="29" x14ac:dyDescent="0.35">
      <c r="B4" s="154" t="s">
        <v>1257</v>
      </c>
      <c r="C4" s="156">
        <v>0.4</v>
      </c>
      <c r="D4" s="153" t="s">
        <v>1967</v>
      </c>
      <c r="E4" s="153" t="s">
        <v>1968</v>
      </c>
      <c r="G4" s="150"/>
      <c r="H4" s="149"/>
      <c r="I4" s="149"/>
      <c r="J4" s="149"/>
    </row>
    <row r="5" spans="1:11" ht="43.5" x14ac:dyDescent="0.35">
      <c r="B5" s="154" t="s">
        <v>1213</v>
      </c>
      <c r="C5" s="156">
        <v>1.2</v>
      </c>
      <c r="D5" s="153" t="s">
        <v>2122</v>
      </c>
      <c r="E5" s="153" t="s">
        <v>2126</v>
      </c>
      <c r="G5" s="150"/>
      <c r="H5" s="149"/>
      <c r="I5" s="149"/>
      <c r="J5" s="149"/>
    </row>
    <row r="6" spans="1:11" ht="29" x14ac:dyDescent="0.35">
      <c r="B6" s="154" t="s">
        <v>2048</v>
      </c>
      <c r="C6" s="156">
        <v>2</v>
      </c>
      <c r="D6" s="153" t="s">
        <v>2123</v>
      </c>
      <c r="E6" s="153" t="s">
        <v>2288</v>
      </c>
      <c r="G6" s="150"/>
      <c r="H6" s="149"/>
      <c r="I6" s="149"/>
      <c r="J6" s="149"/>
      <c r="K6" s="148"/>
    </row>
    <row r="7" spans="1:11" ht="29" x14ac:dyDescent="0.35">
      <c r="B7" s="154" t="s">
        <v>2038</v>
      </c>
      <c r="C7" s="156">
        <v>1.95</v>
      </c>
      <c r="D7" s="153" t="s">
        <v>2124</v>
      </c>
      <c r="E7" s="153" t="s">
        <v>2289</v>
      </c>
      <c r="G7" s="150"/>
      <c r="H7" s="149"/>
      <c r="I7" s="149"/>
      <c r="J7" s="149"/>
      <c r="K7" s="149"/>
    </row>
    <row r="8" spans="1:11" ht="43.5" x14ac:dyDescent="0.35">
      <c r="B8" s="154" t="s">
        <v>2041</v>
      </c>
      <c r="C8" s="156">
        <v>1.4</v>
      </c>
      <c r="D8" s="153" t="s">
        <v>2125</v>
      </c>
      <c r="E8" s="153" t="s">
        <v>2290</v>
      </c>
      <c r="G8" s="150"/>
      <c r="H8" s="149"/>
      <c r="I8" s="149"/>
      <c r="J8" s="149"/>
      <c r="K8" s="149"/>
    </row>
    <row r="9" spans="1:11" ht="43.5" x14ac:dyDescent="0.35">
      <c r="A9" s="163" t="s">
        <v>2121</v>
      </c>
      <c r="B9" s="154" t="s">
        <v>2127</v>
      </c>
      <c r="C9" s="156">
        <v>1.4000000000000001</v>
      </c>
      <c r="D9" s="153" t="s">
        <v>2128</v>
      </c>
      <c r="E9" s="153" t="s">
        <v>2129</v>
      </c>
      <c r="G9" s="150"/>
      <c r="H9" s="149"/>
      <c r="I9" s="149"/>
      <c r="J9" s="149"/>
      <c r="K9" s="149"/>
    </row>
    <row r="10" spans="1:11" ht="43.5" x14ac:dyDescent="0.35">
      <c r="B10" s="157" t="s">
        <v>1826</v>
      </c>
      <c r="C10" s="158">
        <v>0.3</v>
      </c>
      <c r="D10" s="159" t="s">
        <v>1827</v>
      </c>
      <c r="E10" s="159" t="s">
        <v>1828</v>
      </c>
      <c r="G10" s="150"/>
      <c r="H10" s="149"/>
      <c r="I10" s="149"/>
      <c r="J10" s="149"/>
      <c r="K10" s="149"/>
    </row>
    <row r="11" spans="1:11" ht="43.5" x14ac:dyDescent="0.35">
      <c r="B11" s="157" t="s">
        <v>1819</v>
      </c>
      <c r="C11" s="158">
        <v>0.3</v>
      </c>
      <c r="D11" s="159" t="s">
        <v>1820</v>
      </c>
      <c r="E11" s="159" t="s">
        <v>1821</v>
      </c>
      <c r="G11" s="150"/>
      <c r="H11" s="149"/>
      <c r="I11" s="149"/>
      <c r="J11" s="149"/>
    </row>
    <row r="12" spans="1:11" ht="58" x14ac:dyDescent="0.35">
      <c r="B12" s="157" t="s">
        <v>1822</v>
      </c>
      <c r="C12" s="158">
        <v>0.15</v>
      </c>
      <c r="D12" s="159" t="s">
        <v>1823</v>
      </c>
      <c r="E12" s="159" t="s">
        <v>1824</v>
      </c>
      <c r="G12" s="149"/>
      <c r="H12" s="149"/>
      <c r="I12" s="149"/>
      <c r="J12" s="149"/>
    </row>
    <row r="13" spans="1:11" ht="43.5" x14ac:dyDescent="0.35">
      <c r="B13" s="157" t="s">
        <v>1872</v>
      </c>
      <c r="C13" s="158">
        <v>0.2</v>
      </c>
      <c r="D13" s="159" t="s">
        <v>1825</v>
      </c>
      <c r="E13" s="159"/>
      <c r="G13" s="149"/>
      <c r="H13" s="149"/>
      <c r="I13" s="149"/>
      <c r="J13" s="149"/>
    </row>
    <row r="14" spans="1:11" ht="29" x14ac:dyDescent="0.35">
      <c r="B14" s="154" t="s">
        <v>1972</v>
      </c>
      <c r="C14" s="156">
        <v>0.3</v>
      </c>
      <c r="D14" s="153" t="s">
        <v>1919</v>
      </c>
      <c r="E14" s="153"/>
      <c r="G14" s="149"/>
      <c r="H14" s="149"/>
      <c r="I14" s="149"/>
      <c r="J14" s="149"/>
    </row>
    <row r="15" spans="1:11" ht="58" x14ac:dyDescent="0.35">
      <c r="B15" s="157" t="s">
        <v>1869</v>
      </c>
      <c r="C15" s="158">
        <v>0.1</v>
      </c>
      <c r="D15" s="159" t="s">
        <v>1818</v>
      </c>
      <c r="E15" s="159"/>
      <c r="G15" s="149"/>
      <c r="H15" s="149"/>
      <c r="I15" s="149"/>
      <c r="J15" s="149"/>
    </row>
    <row r="18" spans="3:3" x14ac:dyDescent="0.35">
      <c r="C18" s="6">
        <f>SUM(C3:C15)</f>
        <v>10.000000000000002</v>
      </c>
    </row>
  </sheetData>
  <mergeCells count="1">
    <mergeCell ref="B1:E1"/>
  </mergeCells>
  <pageMargins left="0.511811024" right="0.511811024" top="0.78740157499999996" bottom="0.78740157499999996" header="0.31496062000000002" footer="0.31496062000000002"/>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21C69-D2FA-47A2-BB47-938F333BCB2B}">
  <sheetPr codeName="Planilha31">
    <tabColor theme="9" tint="-0.249977111117893"/>
  </sheetPr>
  <dimension ref="A1:K18"/>
  <sheetViews>
    <sheetView showGridLines="0" topLeftCell="A9" zoomScale="80" zoomScaleNormal="80" workbookViewId="0">
      <selection activeCell="B9" sqref="B1:D1048576"/>
    </sheetView>
  </sheetViews>
  <sheetFormatPr defaultRowHeight="14.5" x14ac:dyDescent="0.35"/>
  <cols>
    <col min="1" max="1" width="12.08984375" bestFit="1" customWidth="1"/>
    <col min="2" max="2" width="31.6328125" customWidth="1"/>
    <col min="3" max="3" width="5.54296875" style="3" customWidth="1"/>
    <col min="4" max="5" width="31.6328125" customWidth="1"/>
    <col min="7" max="7" width="36.54296875" customWidth="1"/>
    <col min="8" max="8" width="4.36328125" bestFit="1" customWidth="1"/>
    <col min="9" max="10" width="32.1796875" customWidth="1"/>
    <col min="11" max="11" width="23.90625" customWidth="1"/>
  </cols>
  <sheetData>
    <row r="1" spans="1:11" ht="17.5" x14ac:dyDescent="0.35">
      <c r="B1" s="209" t="s">
        <v>2361</v>
      </c>
      <c r="C1" s="209"/>
      <c r="D1" s="209"/>
      <c r="E1" s="209"/>
    </row>
    <row r="2" spans="1:11" x14ac:dyDescent="0.35">
      <c r="B2" s="185" t="s">
        <v>1812</v>
      </c>
      <c r="C2" s="185" t="s">
        <v>472</v>
      </c>
      <c r="D2" s="185" t="s">
        <v>1815</v>
      </c>
      <c r="E2" s="185" t="s">
        <v>1816</v>
      </c>
      <c r="G2" s="148"/>
      <c r="H2" s="148"/>
      <c r="I2" s="148"/>
      <c r="J2" s="148"/>
    </row>
    <row r="3" spans="1:11" ht="43.5" x14ac:dyDescent="0.35">
      <c r="B3" s="157" t="s">
        <v>2218</v>
      </c>
      <c r="C3" s="158">
        <v>0.3</v>
      </c>
      <c r="D3" s="159" t="s">
        <v>1841</v>
      </c>
      <c r="E3" s="159" t="s">
        <v>1873</v>
      </c>
    </row>
    <row r="4" spans="1:11" ht="29" x14ac:dyDescent="0.35">
      <c r="B4" s="154" t="s">
        <v>1257</v>
      </c>
      <c r="C4" s="156">
        <v>0.4</v>
      </c>
      <c r="D4" s="153" t="s">
        <v>1967</v>
      </c>
      <c r="E4" s="153" t="s">
        <v>1968</v>
      </c>
    </row>
    <row r="5" spans="1:11" ht="43.5" x14ac:dyDescent="0.35">
      <c r="B5" s="154" t="s">
        <v>1213</v>
      </c>
      <c r="C5" s="156">
        <v>1.9500000000000002</v>
      </c>
      <c r="D5" s="153" t="s">
        <v>2115</v>
      </c>
      <c r="E5" s="153" t="s">
        <v>2284</v>
      </c>
      <c r="G5" s="150"/>
      <c r="H5" s="149"/>
      <c r="I5" s="149"/>
      <c r="J5" s="149"/>
    </row>
    <row r="6" spans="1:11" ht="43.5" x14ac:dyDescent="0.35">
      <c r="B6" s="154" t="s">
        <v>2116</v>
      </c>
      <c r="C6" s="156">
        <v>2</v>
      </c>
      <c r="D6" s="153" t="s">
        <v>2117</v>
      </c>
      <c r="E6" s="153" t="s">
        <v>2285</v>
      </c>
      <c r="G6" s="150"/>
      <c r="H6" s="149"/>
      <c r="I6" s="149"/>
      <c r="J6" s="149"/>
      <c r="K6" s="148"/>
    </row>
    <row r="7" spans="1:11" ht="29" x14ac:dyDescent="0.35">
      <c r="B7" s="154" t="s">
        <v>2340</v>
      </c>
      <c r="C7" s="156">
        <v>1</v>
      </c>
      <c r="D7" s="153" t="s">
        <v>2136</v>
      </c>
      <c r="E7" s="153" t="s">
        <v>2137</v>
      </c>
      <c r="G7" s="150"/>
      <c r="H7" s="149"/>
      <c r="I7" s="149"/>
      <c r="J7" s="149"/>
      <c r="K7" s="148"/>
    </row>
    <row r="8" spans="1:11" ht="58" x14ac:dyDescent="0.35">
      <c r="B8" s="154" t="s">
        <v>1279</v>
      </c>
      <c r="C8" s="156">
        <v>1</v>
      </c>
      <c r="D8" s="153" t="s">
        <v>2118</v>
      </c>
      <c r="E8" s="153" t="s">
        <v>2286</v>
      </c>
      <c r="G8" s="150"/>
      <c r="H8" s="149"/>
      <c r="I8" s="149"/>
      <c r="J8" s="149"/>
      <c r="K8" s="149"/>
    </row>
    <row r="9" spans="1:11" ht="43.5" x14ac:dyDescent="0.35">
      <c r="A9" s="163" t="s">
        <v>2121</v>
      </c>
      <c r="B9" s="154" t="s">
        <v>2119</v>
      </c>
      <c r="C9" s="156">
        <v>2</v>
      </c>
      <c r="D9" s="153" t="s">
        <v>2120</v>
      </c>
      <c r="E9" s="153" t="s">
        <v>2287</v>
      </c>
      <c r="G9" s="150"/>
      <c r="H9" s="149"/>
      <c r="I9" s="149"/>
      <c r="J9" s="149"/>
      <c r="K9" s="149"/>
    </row>
    <row r="10" spans="1:11" ht="43.5" x14ac:dyDescent="0.35">
      <c r="B10" s="157" t="s">
        <v>1826</v>
      </c>
      <c r="C10" s="158">
        <v>0.3</v>
      </c>
      <c r="D10" s="159" t="s">
        <v>1827</v>
      </c>
      <c r="E10" s="159" t="s">
        <v>1828</v>
      </c>
      <c r="K10" s="149"/>
    </row>
    <row r="11" spans="1:11" ht="43.5" x14ac:dyDescent="0.35">
      <c r="B11" s="157" t="s">
        <v>1819</v>
      </c>
      <c r="C11" s="158">
        <v>0.3</v>
      </c>
      <c r="D11" s="159" t="s">
        <v>1820</v>
      </c>
      <c r="E11" s="159" t="s">
        <v>1821</v>
      </c>
      <c r="G11" s="149"/>
      <c r="H11" s="149"/>
      <c r="I11" s="149"/>
      <c r="J11" s="149"/>
    </row>
    <row r="12" spans="1:11" ht="58" x14ac:dyDescent="0.35">
      <c r="B12" s="157" t="s">
        <v>1822</v>
      </c>
      <c r="C12" s="158">
        <v>0.15</v>
      </c>
      <c r="D12" s="159" t="s">
        <v>1823</v>
      </c>
      <c r="E12" s="159" t="s">
        <v>1824</v>
      </c>
      <c r="G12" s="149"/>
      <c r="H12" s="149"/>
      <c r="I12" s="149"/>
      <c r="J12" s="149"/>
    </row>
    <row r="13" spans="1:11" ht="43.5" x14ac:dyDescent="0.35">
      <c r="B13" s="157" t="s">
        <v>1872</v>
      </c>
      <c r="C13" s="158">
        <v>0.2</v>
      </c>
      <c r="D13" s="159" t="s">
        <v>1825</v>
      </c>
      <c r="E13" s="159"/>
      <c r="G13" s="149"/>
      <c r="H13" s="149"/>
      <c r="I13" s="149"/>
      <c r="J13" s="149"/>
    </row>
    <row r="14" spans="1:11" ht="29" x14ac:dyDescent="0.35">
      <c r="B14" s="154" t="s">
        <v>1972</v>
      </c>
      <c r="C14" s="156">
        <v>0.3</v>
      </c>
      <c r="D14" s="153" t="s">
        <v>1919</v>
      </c>
      <c r="E14" s="153"/>
      <c r="G14" s="149"/>
      <c r="H14" s="149"/>
      <c r="I14" s="149"/>
      <c r="J14" s="149"/>
    </row>
    <row r="15" spans="1:11" ht="58" x14ac:dyDescent="0.35">
      <c r="B15" s="157" t="s">
        <v>1869</v>
      </c>
      <c r="C15" s="158">
        <v>0.1</v>
      </c>
      <c r="D15" s="159" t="s">
        <v>1818</v>
      </c>
      <c r="E15" s="159"/>
      <c r="G15" s="149"/>
      <c r="H15" s="149"/>
      <c r="I15" s="149"/>
      <c r="J15" s="149"/>
    </row>
    <row r="18" spans="3:3" x14ac:dyDescent="0.35">
      <c r="C18" s="6">
        <f>SUM(C3:C15)</f>
        <v>10.000000000000002</v>
      </c>
    </row>
  </sheetData>
  <mergeCells count="1">
    <mergeCell ref="B1:E1"/>
  </mergeCells>
  <pageMargins left="0.511811024" right="0.511811024" top="0.78740157499999996" bottom="0.78740157499999996" header="0.31496062000000002" footer="0.3149606200000000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7D310-B348-464E-91B3-D0B4EFE65B80}">
  <sheetPr codeName="Planilha21">
    <tabColor theme="9" tint="-0.249977111117893"/>
  </sheetPr>
  <dimension ref="A1:K16"/>
  <sheetViews>
    <sheetView showGridLines="0" workbookViewId="0">
      <selection activeCell="C23" sqref="C23"/>
    </sheetView>
  </sheetViews>
  <sheetFormatPr defaultRowHeight="14.5" x14ac:dyDescent="0.35"/>
  <cols>
    <col min="1" max="1" width="10.08984375" bestFit="1" customWidth="1"/>
    <col min="2" max="2" width="31.6328125" customWidth="1"/>
    <col min="3" max="3" width="5.26953125" style="3" customWidth="1"/>
    <col min="4" max="5" width="31.6328125" customWidth="1"/>
    <col min="7" max="7" width="36.54296875" customWidth="1"/>
    <col min="8" max="8" width="3.453125" bestFit="1" customWidth="1"/>
    <col min="9" max="10" width="32.1796875" customWidth="1"/>
    <col min="11" max="11" width="23.90625" customWidth="1"/>
  </cols>
  <sheetData>
    <row r="1" spans="1:11" ht="17.5" x14ac:dyDescent="0.35">
      <c r="B1" s="209" t="s">
        <v>2353</v>
      </c>
      <c r="C1" s="209"/>
      <c r="D1" s="209"/>
      <c r="E1" s="209"/>
    </row>
    <row r="2" spans="1:11" x14ac:dyDescent="0.35">
      <c r="B2" s="185" t="s">
        <v>1812</v>
      </c>
      <c r="C2" s="185" t="s">
        <v>472</v>
      </c>
      <c r="D2" s="185" t="s">
        <v>1815</v>
      </c>
      <c r="E2" s="185" t="s">
        <v>1816</v>
      </c>
      <c r="G2" s="148"/>
      <c r="H2" s="148"/>
      <c r="I2" s="148"/>
      <c r="J2" s="148"/>
    </row>
    <row r="3" spans="1:11" ht="43.5" x14ac:dyDescent="0.35">
      <c r="B3" s="157" t="s">
        <v>2218</v>
      </c>
      <c r="C3" s="158">
        <v>0.3</v>
      </c>
      <c r="D3" s="159" t="s">
        <v>1841</v>
      </c>
      <c r="E3" s="159" t="s">
        <v>1873</v>
      </c>
    </row>
    <row r="4" spans="1:11" ht="29" x14ac:dyDescent="0.35">
      <c r="B4" s="154" t="s">
        <v>1257</v>
      </c>
      <c r="C4" s="156">
        <v>0.4</v>
      </c>
      <c r="D4" s="153" t="s">
        <v>1999</v>
      </c>
      <c r="E4" s="153" t="s">
        <v>2000</v>
      </c>
      <c r="G4" s="150"/>
      <c r="H4" s="149"/>
      <c r="I4" s="149"/>
      <c r="J4" s="149"/>
    </row>
    <row r="5" spans="1:11" ht="43.5" x14ac:dyDescent="0.35">
      <c r="B5" s="154" t="s">
        <v>1213</v>
      </c>
      <c r="C5" s="156">
        <v>2</v>
      </c>
      <c r="D5" s="153" t="s">
        <v>1997</v>
      </c>
      <c r="E5" s="153" t="s">
        <v>1998</v>
      </c>
      <c r="G5" s="150"/>
      <c r="H5" s="149"/>
      <c r="I5" s="149"/>
      <c r="J5" s="149"/>
    </row>
    <row r="6" spans="1:11" ht="29" x14ac:dyDescent="0.35">
      <c r="B6" s="154" t="s">
        <v>1280</v>
      </c>
      <c r="C6" s="156">
        <v>3</v>
      </c>
      <c r="D6" s="153" t="s">
        <v>2001</v>
      </c>
      <c r="E6" s="153" t="s">
        <v>2002</v>
      </c>
      <c r="G6" s="164"/>
      <c r="H6" s="165"/>
      <c r="I6" s="165"/>
      <c r="J6" s="165"/>
      <c r="K6" s="148"/>
    </row>
    <row r="7" spans="1:11" ht="29" x14ac:dyDescent="0.35">
      <c r="A7" s="163" t="s">
        <v>2008</v>
      </c>
      <c r="B7" s="175" t="s">
        <v>2003</v>
      </c>
      <c r="C7" s="166">
        <v>2.95</v>
      </c>
      <c r="D7" s="167" t="s">
        <v>2004</v>
      </c>
      <c r="E7" s="167" t="s">
        <v>2005</v>
      </c>
      <c r="G7" s="150"/>
      <c r="H7" s="149"/>
      <c r="I7" s="149"/>
      <c r="J7" s="149"/>
      <c r="K7" s="149"/>
    </row>
    <row r="8" spans="1:11" ht="43.5" x14ac:dyDescent="0.35">
      <c r="B8" s="157" t="s">
        <v>1826</v>
      </c>
      <c r="C8" s="158">
        <v>0.3</v>
      </c>
      <c r="D8" s="159" t="s">
        <v>1827</v>
      </c>
      <c r="E8" s="159" t="s">
        <v>1828</v>
      </c>
      <c r="G8" s="150"/>
      <c r="H8" s="149"/>
      <c r="I8" s="149"/>
      <c r="J8" s="149"/>
      <c r="K8" s="149"/>
    </row>
    <row r="9" spans="1:11" ht="43.5" x14ac:dyDescent="0.35">
      <c r="B9" s="157" t="s">
        <v>1819</v>
      </c>
      <c r="C9" s="158">
        <v>0.3</v>
      </c>
      <c r="D9" s="159" t="s">
        <v>1820</v>
      </c>
      <c r="E9" s="159" t="s">
        <v>1821</v>
      </c>
      <c r="G9" s="150"/>
      <c r="H9" s="149"/>
      <c r="I9" s="149"/>
      <c r="J9" s="149"/>
    </row>
    <row r="10" spans="1:11" ht="58" x14ac:dyDescent="0.35">
      <c r="B10" s="157" t="s">
        <v>1822</v>
      </c>
      <c r="C10" s="158">
        <v>0.15</v>
      </c>
      <c r="D10" s="159" t="s">
        <v>1823</v>
      </c>
      <c r="E10" s="159" t="s">
        <v>1824</v>
      </c>
      <c r="G10" s="149"/>
      <c r="H10" s="149"/>
      <c r="I10" s="149"/>
      <c r="J10" s="149"/>
    </row>
    <row r="11" spans="1:11" ht="43.5" x14ac:dyDescent="0.35">
      <c r="B11" s="157" t="s">
        <v>1872</v>
      </c>
      <c r="C11" s="158">
        <v>0.2</v>
      </c>
      <c r="D11" s="159" t="s">
        <v>1825</v>
      </c>
      <c r="E11" s="159"/>
      <c r="G11" s="149"/>
      <c r="H11" s="149"/>
      <c r="I11" s="149"/>
      <c r="J11" s="149"/>
    </row>
    <row r="12" spans="1:11" ht="29" x14ac:dyDescent="0.35">
      <c r="B12" s="154" t="s">
        <v>1972</v>
      </c>
      <c r="C12" s="156">
        <v>0.3</v>
      </c>
      <c r="D12" s="153" t="s">
        <v>1919</v>
      </c>
      <c r="E12" s="153"/>
      <c r="G12" s="149"/>
      <c r="H12" s="149"/>
      <c r="I12" s="149"/>
      <c r="J12" s="149"/>
    </row>
    <row r="13" spans="1:11" ht="58" x14ac:dyDescent="0.35">
      <c r="B13" s="157" t="s">
        <v>1869</v>
      </c>
      <c r="C13" s="158">
        <v>0.1</v>
      </c>
      <c r="D13" s="159" t="s">
        <v>1818</v>
      </c>
      <c r="E13" s="159"/>
      <c r="G13" s="149"/>
      <c r="H13" s="149"/>
      <c r="I13" s="149"/>
      <c r="J13" s="149"/>
    </row>
    <row r="16" spans="1:11" x14ac:dyDescent="0.35">
      <c r="C16" s="6">
        <f>SUM(C3:C13)</f>
        <v>10.000000000000002</v>
      </c>
    </row>
  </sheetData>
  <mergeCells count="1">
    <mergeCell ref="B1:E1"/>
  </mergeCells>
  <pageMargins left="0.511811024" right="0.511811024" top="0.78740157499999996" bottom="0.78740157499999996" header="0.31496062000000002" footer="0.3149606200000000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60D9A-3CE8-429F-AF62-EEEBAAB8A920}">
  <sheetPr codeName="Planilha26">
    <tabColor theme="9" tint="-0.249977111117893"/>
  </sheetPr>
  <dimension ref="A1:K17"/>
  <sheetViews>
    <sheetView showGridLines="0" workbookViewId="0">
      <selection activeCell="B7" sqref="B7"/>
    </sheetView>
  </sheetViews>
  <sheetFormatPr defaultRowHeight="14.5" x14ac:dyDescent="0.35"/>
  <cols>
    <col min="1" max="1" width="6.81640625" customWidth="1"/>
    <col min="2" max="2" width="31.6328125" customWidth="1"/>
    <col min="3" max="3" width="5.6328125" style="3" customWidth="1"/>
    <col min="4" max="5" width="31.6328125" customWidth="1"/>
    <col min="7" max="7" width="36.54296875" customWidth="1"/>
    <col min="8" max="8" width="3.453125" bestFit="1" customWidth="1"/>
    <col min="9" max="10" width="32.1796875" customWidth="1"/>
    <col min="11" max="11" width="23.90625" customWidth="1"/>
  </cols>
  <sheetData>
    <row r="1" spans="1:11" ht="17.5" x14ac:dyDescent="0.35">
      <c r="B1" s="209" t="s">
        <v>2354</v>
      </c>
      <c r="C1" s="209"/>
      <c r="D1" s="209"/>
      <c r="E1" s="209"/>
    </row>
    <row r="2" spans="1:11" x14ac:dyDescent="0.35">
      <c r="B2" s="185" t="s">
        <v>1812</v>
      </c>
      <c r="C2" s="185" t="s">
        <v>472</v>
      </c>
      <c r="D2" s="185" t="s">
        <v>1815</v>
      </c>
      <c r="E2" s="185" t="s">
        <v>1816</v>
      </c>
    </row>
    <row r="3" spans="1:11" ht="43.5" x14ac:dyDescent="0.35">
      <c r="B3" s="157" t="s">
        <v>2218</v>
      </c>
      <c r="C3" s="158">
        <v>0.3</v>
      </c>
      <c r="D3" s="159" t="s">
        <v>1841</v>
      </c>
      <c r="E3" s="159" t="s">
        <v>1873</v>
      </c>
    </row>
    <row r="4" spans="1:11" ht="29" x14ac:dyDescent="0.35">
      <c r="B4" s="154" t="s">
        <v>1257</v>
      </c>
      <c r="C4" s="156">
        <v>0.4</v>
      </c>
      <c r="D4" s="153" t="s">
        <v>1999</v>
      </c>
      <c r="E4" s="153" t="s">
        <v>2000</v>
      </c>
    </row>
    <row r="5" spans="1:11" ht="29" x14ac:dyDescent="0.35">
      <c r="B5" s="154" t="s">
        <v>1213</v>
      </c>
      <c r="C5" s="156">
        <v>1.9</v>
      </c>
      <c r="D5" s="153" t="s">
        <v>2036</v>
      </c>
      <c r="E5" s="153" t="s">
        <v>2037</v>
      </c>
    </row>
    <row r="6" spans="1:11" ht="29" x14ac:dyDescent="0.35">
      <c r="B6" s="154" t="s">
        <v>2038</v>
      </c>
      <c r="C6" s="156">
        <v>2.0499999999999998</v>
      </c>
      <c r="D6" s="153" t="s">
        <v>2039</v>
      </c>
      <c r="E6" s="153" t="s">
        <v>2040</v>
      </c>
      <c r="G6" s="150"/>
      <c r="H6" s="149"/>
      <c r="I6" s="149"/>
      <c r="J6" s="149"/>
      <c r="K6" s="148"/>
    </row>
    <row r="7" spans="1:11" ht="43.5" x14ac:dyDescent="0.35">
      <c r="B7" s="154" t="s">
        <v>2337</v>
      </c>
      <c r="C7" s="156">
        <v>2</v>
      </c>
      <c r="D7" s="153" t="s">
        <v>2042</v>
      </c>
      <c r="E7" s="153" t="s">
        <v>2043</v>
      </c>
      <c r="G7" s="150"/>
      <c r="H7" s="149"/>
      <c r="I7" s="149"/>
      <c r="J7" s="149"/>
      <c r="K7" s="149"/>
    </row>
    <row r="8" spans="1:11" ht="29" x14ac:dyDescent="0.35">
      <c r="A8" s="163" t="s">
        <v>2008</v>
      </c>
      <c r="B8" s="154" t="s">
        <v>2338</v>
      </c>
      <c r="C8" s="156">
        <v>2</v>
      </c>
      <c r="D8" s="153" t="s">
        <v>2044</v>
      </c>
      <c r="E8" s="153" t="s">
        <v>2045</v>
      </c>
      <c r="G8" s="150"/>
      <c r="H8" s="149"/>
      <c r="I8" s="149"/>
      <c r="J8" s="149"/>
      <c r="K8" s="149"/>
    </row>
    <row r="9" spans="1:11" ht="43.5" x14ac:dyDescent="0.35">
      <c r="B9" s="157" t="s">
        <v>1826</v>
      </c>
      <c r="C9" s="158">
        <v>0.3</v>
      </c>
      <c r="D9" s="159" t="s">
        <v>1827</v>
      </c>
      <c r="E9" s="159" t="s">
        <v>1828</v>
      </c>
      <c r="K9" s="149"/>
    </row>
    <row r="10" spans="1:11" ht="43.5" x14ac:dyDescent="0.35">
      <c r="B10" s="157" t="s">
        <v>1819</v>
      </c>
      <c r="C10" s="158">
        <v>0.3</v>
      </c>
      <c r="D10" s="159" t="s">
        <v>1820</v>
      </c>
      <c r="E10" s="159" t="s">
        <v>1821</v>
      </c>
      <c r="G10" s="149"/>
      <c r="H10" s="149"/>
      <c r="I10" s="149"/>
      <c r="J10" s="149"/>
    </row>
    <row r="11" spans="1:11" ht="58" x14ac:dyDescent="0.35">
      <c r="B11" s="157" t="s">
        <v>1822</v>
      </c>
      <c r="C11" s="158">
        <v>0.15</v>
      </c>
      <c r="D11" s="159" t="s">
        <v>1823</v>
      </c>
      <c r="E11" s="159" t="s">
        <v>1824</v>
      </c>
      <c r="G11" s="149"/>
      <c r="H11" s="149"/>
      <c r="I11" s="149"/>
      <c r="J11" s="149"/>
    </row>
    <row r="12" spans="1:11" ht="43.5" x14ac:dyDescent="0.35">
      <c r="B12" s="157" t="s">
        <v>1872</v>
      </c>
      <c r="C12" s="158">
        <v>0.2</v>
      </c>
      <c r="D12" s="159" t="s">
        <v>1825</v>
      </c>
      <c r="E12" s="159"/>
      <c r="G12" s="149"/>
      <c r="H12" s="149"/>
      <c r="I12" s="149"/>
      <c r="J12" s="149"/>
    </row>
    <row r="13" spans="1:11" ht="29" x14ac:dyDescent="0.35">
      <c r="B13" s="154" t="s">
        <v>1972</v>
      </c>
      <c r="C13" s="156">
        <v>0.3</v>
      </c>
      <c r="D13" s="153" t="s">
        <v>1919</v>
      </c>
      <c r="E13" s="153"/>
      <c r="G13" s="149"/>
      <c r="H13" s="149"/>
      <c r="I13" s="149"/>
      <c r="J13" s="149"/>
    </row>
    <row r="14" spans="1:11" ht="58" x14ac:dyDescent="0.35">
      <c r="B14" s="157" t="s">
        <v>1869</v>
      </c>
      <c r="C14" s="158">
        <v>0.1</v>
      </c>
      <c r="D14" s="159" t="s">
        <v>1818</v>
      </c>
      <c r="E14" s="159"/>
      <c r="G14" s="149"/>
      <c r="H14" s="149"/>
      <c r="I14" s="149"/>
      <c r="J14" s="149"/>
    </row>
    <row r="17" spans="3:3" x14ac:dyDescent="0.35">
      <c r="C17" s="6">
        <f>SUM(C3:C14)</f>
        <v>10</v>
      </c>
    </row>
  </sheetData>
  <mergeCells count="1">
    <mergeCell ref="B1:E1"/>
  </mergeCells>
  <pageMargins left="0.511811024" right="0.511811024" top="0.78740157499999996" bottom="0.78740157499999996" header="0.31496062000000002" footer="0.3149606200000000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DA35D-0957-4005-A188-63535D45C784}">
  <sheetPr codeName="Planilha27">
    <tabColor theme="9" tint="-0.249977111117893"/>
  </sheetPr>
  <dimension ref="B1:K19"/>
  <sheetViews>
    <sheetView showGridLines="0" workbookViewId="0">
      <selection activeCell="B1" sqref="B1:E1"/>
    </sheetView>
  </sheetViews>
  <sheetFormatPr defaultRowHeight="14.5" x14ac:dyDescent="0.35"/>
  <cols>
    <col min="1" max="1" width="6.81640625" customWidth="1"/>
    <col min="2" max="2" width="31.6328125" customWidth="1"/>
    <col min="3" max="3" width="5.6328125" style="3" bestFit="1" customWidth="1"/>
    <col min="4" max="5" width="26.6328125" customWidth="1"/>
    <col min="7" max="7" width="36.54296875" customWidth="1"/>
    <col min="8" max="8" width="3.453125" bestFit="1" customWidth="1"/>
    <col min="9" max="10" width="32.1796875" customWidth="1"/>
    <col min="11" max="11" width="23.90625" customWidth="1"/>
  </cols>
  <sheetData>
    <row r="1" spans="2:11" ht="17.5" x14ac:dyDescent="0.35">
      <c r="B1" s="212" t="s">
        <v>2282</v>
      </c>
      <c r="C1" s="212"/>
      <c r="D1" s="212"/>
      <c r="E1" s="212"/>
    </row>
    <row r="2" spans="2:11" ht="17.5" x14ac:dyDescent="0.35">
      <c r="B2" s="151"/>
    </row>
    <row r="3" spans="2:11" x14ac:dyDescent="0.35">
      <c r="B3" s="152" t="s">
        <v>1812</v>
      </c>
      <c r="C3" s="152" t="s">
        <v>472</v>
      </c>
      <c r="D3" s="152" t="s">
        <v>1815</v>
      </c>
      <c r="E3" s="152" t="s">
        <v>1816</v>
      </c>
    </row>
    <row r="4" spans="2:11" ht="58" x14ac:dyDescent="0.35">
      <c r="B4" s="157" t="s">
        <v>2218</v>
      </c>
      <c r="C4" s="158">
        <v>0.3</v>
      </c>
      <c r="D4" s="159" t="s">
        <v>1841</v>
      </c>
      <c r="E4" s="159" t="s">
        <v>1873</v>
      </c>
      <c r="G4" s="154" t="s">
        <v>1964</v>
      </c>
      <c r="H4" s="156">
        <v>1.32</v>
      </c>
      <c r="I4" s="153" t="s">
        <v>1965</v>
      </c>
      <c r="J4" s="153" t="s">
        <v>1966</v>
      </c>
    </row>
    <row r="5" spans="2:11" ht="43.5" x14ac:dyDescent="0.35">
      <c r="B5" s="154" t="s">
        <v>1257</v>
      </c>
      <c r="C5" s="156">
        <v>0.4</v>
      </c>
      <c r="D5" s="153" t="s">
        <v>2047</v>
      </c>
      <c r="E5" s="153" t="s">
        <v>2000</v>
      </c>
      <c r="G5" s="150"/>
      <c r="H5" s="149"/>
      <c r="I5" s="149"/>
      <c r="J5" s="149"/>
    </row>
    <row r="6" spans="2:11" ht="43.5" x14ac:dyDescent="0.35">
      <c r="B6" s="154" t="s">
        <v>1213</v>
      </c>
      <c r="C6" s="156">
        <v>1.6</v>
      </c>
      <c r="D6" s="153" t="s">
        <v>1997</v>
      </c>
      <c r="E6" s="153" t="s">
        <v>2046</v>
      </c>
      <c r="G6" s="150"/>
      <c r="H6" s="149"/>
      <c r="I6" s="149"/>
      <c r="J6" s="149"/>
    </row>
    <row r="7" spans="2:11" ht="43.5" x14ac:dyDescent="0.35">
      <c r="B7" s="154" t="s">
        <v>2048</v>
      </c>
      <c r="C7" s="156">
        <v>1.5</v>
      </c>
      <c r="D7" s="153" t="s">
        <v>2049</v>
      </c>
      <c r="E7" s="153" t="s">
        <v>2050</v>
      </c>
      <c r="G7" s="150"/>
      <c r="H7" s="149"/>
      <c r="I7" s="149"/>
      <c r="J7" s="149"/>
      <c r="K7" s="148"/>
    </row>
    <row r="8" spans="2:11" ht="29" x14ac:dyDescent="0.35">
      <c r="B8" s="154" t="s">
        <v>2051</v>
      </c>
      <c r="C8" s="156">
        <v>1.6</v>
      </c>
      <c r="D8" s="153" t="s">
        <v>2052</v>
      </c>
      <c r="E8" s="153" t="s">
        <v>2053</v>
      </c>
      <c r="G8" s="150"/>
      <c r="H8" s="149"/>
      <c r="I8" s="149"/>
      <c r="J8" s="149"/>
      <c r="K8" s="149"/>
    </row>
    <row r="9" spans="2:11" ht="29" x14ac:dyDescent="0.35">
      <c r="B9" s="154" t="s">
        <v>2054</v>
      </c>
      <c r="C9" s="156">
        <v>1.6</v>
      </c>
      <c r="D9" s="153" t="s">
        <v>2055</v>
      </c>
      <c r="E9" s="153" t="s">
        <v>2056</v>
      </c>
      <c r="G9" s="150"/>
      <c r="H9" s="149"/>
      <c r="I9" s="149"/>
      <c r="J9" s="149"/>
      <c r="K9" s="149"/>
    </row>
    <row r="10" spans="2:11" ht="43.5" x14ac:dyDescent="0.35">
      <c r="B10" s="154" t="s">
        <v>2057</v>
      </c>
      <c r="C10" s="156">
        <v>1.6</v>
      </c>
      <c r="D10" s="153" t="s">
        <v>2058</v>
      </c>
      <c r="E10" s="153" t="s">
        <v>2059</v>
      </c>
      <c r="G10" s="150"/>
      <c r="H10" s="149"/>
      <c r="I10" s="149"/>
      <c r="J10" s="149"/>
      <c r="K10" s="149"/>
    </row>
    <row r="11" spans="2:11" ht="43.5" x14ac:dyDescent="0.35">
      <c r="B11" s="157" t="s">
        <v>1826</v>
      </c>
      <c r="C11" s="158">
        <v>0.3</v>
      </c>
      <c r="D11" s="159" t="s">
        <v>1827</v>
      </c>
      <c r="E11" s="159" t="s">
        <v>1828</v>
      </c>
      <c r="G11" s="149"/>
      <c r="H11" s="149"/>
      <c r="I11" s="149"/>
      <c r="J11" s="149"/>
      <c r="K11" s="149"/>
    </row>
    <row r="12" spans="2:11" ht="58" x14ac:dyDescent="0.35">
      <c r="B12" s="157" t="s">
        <v>1819</v>
      </c>
      <c r="C12" s="158">
        <v>0.3</v>
      </c>
      <c r="D12" s="159" t="s">
        <v>1820</v>
      </c>
      <c r="E12" s="159" t="s">
        <v>1821</v>
      </c>
      <c r="G12" s="149"/>
      <c r="H12" s="149"/>
      <c r="I12" s="149"/>
      <c r="J12" s="149"/>
    </row>
    <row r="13" spans="2:11" ht="58" x14ac:dyDescent="0.35">
      <c r="B13" s="157" t="s">
        <v>1822</v>
      </c>
      <c r="C13" s="158">
        <v>0.15</v>
      </c>
      <c r="D13" s="159" t="s">
        <v>1823</v>
      </c>
      <c r="E13" s="159" t="s">
        <v>1824</v>
      </c>
      <c r="G13" s="149"/>
      <c r="H13" s="149"/>
      <c r="I13" s="149"/>
      <c r="J13" s="149"/>
    </row>
    <row r="14" spans="2:11" ht="43.5" x14ac:dyDescent="0.35">
      <c r="B14" s="157" t="s">
        <v>1872</v>
      </c>
      <c r="C14" s="158">
        <v>0.3</v>
      </c>
      <c r="D14" s="159" t="s">
        <v>1825</v>
      </c>
      <c r="E14" s="159"/>
      <c r="G14" s="149"/>
      <c r="H14" s="149"/>
      <c r="I14" s="149"/>
      <c r="J14" s="149"/>
    </row>
    <row r="15" spans="2:11" ht="43.5" x14ac:dyDescent="0.35">
      <c r="B15" s="154" t="s">
        <v>1972</v>
      </c>
      <c r="C15" s="156">
        <v>0.25</v>
      </c>
      <c r="D15" s="153" t="s">
        <v>1919</v>
      </c>
      <c r="E15" s="153"/>
      <c r="G15" s="149"/>
      <c r="H15" s="149"/>
      <c r="I15" s="149"/>
      <c r="J15" s="149"/>
    </row>
    <row r="16" spans="2:11" ht="72.5" x14ac:dyDescent="0.35">
      <c r="B16" s="157" t="s">
        <v>1869</v>
      </c>
      <c r="C16" s="158">
        <v>0.1</v>
      </c>
      <c r="D16" s="159" t="s">
        <v>1818</v>
      </c>
      <c r="E16" s="159"/>
      <c r="G16" s="149"/>
      <c r="H16" s="149"/>
      <c r="I16" s="149"/>
      <c r="J16" s="149"/>
    </row>
    <row r="19" spans="3:3" x14ac:dyDescent="0.35">
      <c r="C19" s="6">
        <f>SUM(C4:C16)</f>
        <v>10.000000000000002</v>
      </c>
    </row>
  </sheetData>
  <mergeCells count="1">
    <mergeCell ref="B1:E1"/>
  </mergeCells>
  <pageMargins left="0.511811024" right="0.511811024" top="0.78740157499999996" bottom="0.78740157499999996" header="0.31496062000000002" footer="0.3149606200000000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8F669-8F91-40E1-A4A4-4E39BAA5AFF7}">
  <sheetPr codeName="Planilha28">
    <tabColor theme="9" tint="-0.249977111117893"/>
  </sheetPr>
  <dimension ref="B1:K21"/>
  <sheetViews>
    <sheetView showGridLines="0" workbookViewId="0">
      <selection activeCell="B1" sqref="B1:E1"/>
    </sheetView>
  </sheetViews>
  <sheetFormatPr defaultRowHeight="14.5" x14ac:dyDescent="0.35"/>
  <cols>
    <col min="1" max="1" width="6.81640625" customWidth="1"/>
    <col min="2" max="2" width="31.6328125" customWidth="1"/>
    <col min="3" max="3" width="5.6328125" style="3" bestFit="1" customWidth="1"/>
    <col min="4" max="5" width="26.6328125" customWidth="1"/>
    <col min="7" max="7" width="36.54296875" customWidth="1"/>
    <col min="8" max="8" width="3.453125" bestFit="1" customWidth="1"/>
    <col min="9" max="10" width="32.1796875" customWidth="1"/>
    <col min="11" max="11" width="23.90625" customWidth="1"/>
  </cols>
  <sheetData>
    <row r="1" spans="2:11" ht="17.5" x14ac:dyDescent="0.35">
      <c r="B1" s="212" t="s">
        <v>2283</v>
      </c>
      <c r="C1" s="212"/>
      <c r="D1" s="212"/>
      <c r="E1" s="212"/>
    </row>
    <row r="2" spans="2:11" ht="17.5" x14ac:dyDescent="0.35">
      <c r="B2" s="151"/>
    </row>
    <row r="3" spans="2:11" x14ac:dyDescent="0.35">
      <c r="B3" s="152" t="s">
        <v>1812</v>
      </c>
      <c r="C3" s="152" t="s">
        <v>472</v>
      </c>
      <c r="D3" s="152" t="s">
        <v>1815</v>
      </c>
      <c r="E3" s="152" t="s">
        <v>1816</v>
      </c>
    </row>
    <row r="4" spans="2:11" ht="58" x14ac:dyDescent="0.35">
      <c r="B4" s="157" t="s">
        <v>1813</v>
      </c>
      <c r="C4" s="158">
        <v>0.3</v>
      </c>
      <c r="D4" s="159" t="s">
        <v>1841</v>
      </c>
      <c r="E4" s="159" t="s">
        <v>1873</v>
      </c>
      <c r="G4" s="154" t="s">
        <v>1964</v>
      </c>
      <c r="H4" s="156">
        <v>1.32</v>
      </c>
      <c r="I4" s="153" t="s">
        <v>1965</v>
      </c>
      <c r="J4" s="153" t="s">
        <v>1966</v>
      </c>
    </row>
    <row r="5" spans="2:11" ht="43.5" x14ac:dyDescent="0.35">
      <c r="B5" s="154" t="s">
        <v>1257</v>
      </c>
      <c r="C5" s="156">
        <v>0.4</v>
      </c>
      <c r="D5" s="153" t="s">
        <v>2047</v>
      </c>
      <c r="E5" s="153" t="s">
        <v>2000</v>
      </c>
      <c r="G5" s="150"/>
      <c r="H5" s="149"/>
      <c r="I5" s="149"/>
      <c r="J5" s="149"/>
    </row>
    <row r="6" spans="2:11" ht="58" x14ac:dyDescent="0.35">
      <c r="B6" s="154" t="s">
        <v>1213</v>
      </c>
      <c r="C6" s="156">
        <v>1.1000000000000001</v>
      </c>
      <c r="D6" s="153" t="s">
        <v>2060</v>
      </c>
      <c r="E6" s="153" t="s">
        <v>2061</v>
      </c>
      <c r="G6" s="150"/>
      <c r="H6" s="149"/>
      <c r="I6" s="149"/>
      <c r="J6" s="149"/>
    </row>
    <row r="7" spans="2:11" ht="43.5" x14ac:dyDescent="0.35">
      <c r="B7" s="154" t="s">
        <v>2073</v>
      </c>
      <c r="C7" s="156">
        <v>1.1000000000000001</v>
      </c>
      <c r="D7" s="153" t="s">
        <v>2049</v>
      </c>
      <c r="E7" s="153" t="s">
        <v>2050</v>
      </c>
      <c r="G7" s="150"/>
      <c r="H7" s="149"/>
      <c r="I7" s="149"/>
      <c r="J7" s="149"/>
      <c r="K7" s="148"/>
    </row>
    <row r="8" spans="2:11" ht="29" x14ac:dyDescent="0.35">
      <c r="B8" s="154" t="s">
        <v>2051</v>
      </c>
      <c r="C8" s="156">
        <v>1.1000000000000001</v>
      </c>
      <c r="D8" s="153" t="s">
        <v>2052</v>
      </c>
      <c r="E8" s="153" t="s">
        <v>2053</v>
      </c>
      <c r="G8" s="150"/>
      <c r="H8" s="149"/>
      <c r="I8" s="149"/>
      <c r="J8" s="149"/>
      <c r="K8" s="149"/>
    </row>
    <row r="9" spans="2:11" ht="43.5" x14ac:dyDescent="0.35">
      <c r="B9" s="154" t="s">
        <v>2062</v>
      </c>
      <c r="C9" s="156">
        <v>1.1000000000000001</v>
      </c>
      <c r="D9" s="153" t="s">
        <v>2063</v>
      </c>
      <c r="E9" s="153" t="s">
        <v>2064</v>
      </c>
      <c r="G9" s="150"/>
      <c r="H9" s="149"/>
      <c r="I9" s="149"/>
      <c r="J9" s="149"/>
      <c r="K9" s="149"/>
    </row>
    <row r="10" spans="2:11" ht="29" x14ac:dyDescent="0.35">
      <c r="B10" s="154" t="s">
        <v>1346</v>
      </c>
      <c r="C10" s="156">
        <v>1.2</v>
      </c>
      <c r="D10" s="153" t="s">
        <v>2065</v>
      </c>
      <c r="E10" s="153" t="s">
        <v>2066</v>
      </c>
      <c r="G10" s="150"/>
      <c r="H10" s="149"/>
      <c r="I10" s="149"/>
      <c r="J10" s="149"/>
      <c r="K10" s="149"/>
    </row>
    <row r="11" spans="2:11" ht="43.5" x14ac:dyDescent="0.35">
      <c r="B11" s="154" t="s">
        <v>2067</v>
      </c>
      <c r="C11" s="156">
        <v>1.1000000000000001</v>
      </c>
      <c r="D11" s="153" t="s">
        <v>2068</v>
      </c>
      <c r="E11" s="153" t="s">
        <v>2069</v>
      </c>
      <c r="G11" s="150"/>
      <c r="H11" s="149"/>
      <c r="I11" s="149"/>
      <c r="J11" s="149"/>
      <c r="K11" s="149"/>
    </row>
    <row r="12" spans="2:11" ht="58" x14ac:dyDescent="0.35">
      <c r="B12" s="154" t="s">
        <v>2070</v>
      </c>
      <c r="C12" s="156">
        <v>1.2</v>
      </c>
      <c r="D12" s="153" t="s">
        <v>2071</v>
      </c>
      <c r="E12" s="153" t="s">
        <v>2072</v>
      </c>
      <c r="G12" s="150"/>
      <c r="H12" s="149"/>
      <c r="I12" s="149"/>
      <c r="J12" s="149"/>
      <c r="K12" s="149"/>
    </row>
    <row r="13" spans="2:11" ht="43.5" x14ac:dyDescent="0.35">
      <c r="B13" s="157" t="s">
        <v>1826</v>
      </c>
      <c r="C13" s="158">
        <v>0.3</v>
      </c>
      <c r="D13" s="159" t="s">
        <v>1827</v>
      </c>
      <c r="E13" s="159" t="s">
        <v>1828</v>
      </c>
      <c r="G13" s="149"/>
      <c r="H13" s="149"/>
      <c r="I13" s="149"/>
      <c r="J13" s="149"/>
      <c r="K13" s="149"/>
    </row>
    <row r="14" spans="2:11" ht="58" x14ac:dyDescent="0.35">
      <c r="B14" s="157" t="s">
        <v>1819</v>
      </c>
      <c r="C14" s="158">
        <v>0.3</v>
      </c>
      <c r="D14" s="159" t="s">
        <v>1820</v>
      </c>
      <c r="E14" s="159" t="s">
        <v>1821</v>
      </c>
      <c r="G14" s="149"/>
      <c r="H14" s="149"/>
      <c r="I14" s="149"/>
      <c r="J14" s="149"/>
    </row>
    <row r="15" spans="2:11" ht="58" x14ac:dyDescent="0.35">
      <c r="B15" s="157" t="s">
        <v>1822</v>
      </c>
      <c r="C15" s="158">
        <v>0.15</v>
      </c>
      <c r="D15" s="159" t="s">
        <v>1823</v>
      </c>
      <c r="E15" s="159" t="s">
        <v>1824</v>
      </c>
      <c r="G15" s="149"/>
      <c r="H15" s="149"/>
      <c r="I15" s="149"/>
      <c r="J15" s="149"/>
    </row>
    <row r="16" spans="2:11" ht="43.5" x14ac:dyDescent="0.35">
      <c r="B16" s="157" t="s">
        <v>1872</v>
      </c>
      <c r="C16" s="158">
        <v>0.3</v>
      </c>
      <c r="D16" s="159" t="s">
        <v>1825</v>
      </c>
      <c r="E16" s="159"/>
      <c r="G16" s="149"/>
      <c r="H16" s="149"/>
      <c r="I16" s="149"/>
      <c r="J16" s="149"/>
    </row>
    <row r="17" spans="2:10" ht="43.5" x14ac:dyDescent="0.35">
      <c r="B17" s="154" t="s">
        <v>1972</v>
      </c>
      <c r="C17" s="156">
        <v>0.25</v>
      </c>
      <c r="D17" s="153" t="s">
        <v>1919</v>
      </c>
      <c r="E17" s="153"/>
      <c r="G17" s="149"/>
      <c r="H17" s="149"/>
      <c r="I17" s="149"/>
      <c r="J17" s="149"/>
    </row>
    <row r="18" spans="2:10" ht="72.5" x14ac:dyDescent="0.35">
      <c r="B18" s="157" t="s">
        <v>1869</v>
      </c>
      <c r="C18" s="158">
        <v>0.1</v>
      </c>
      <c r="D18" s="159" t="s">
        <v>1818</v>
      </c>
      <c r="E18" s="159"/>
      <c r="G18" s="149"/>
      <c r="H18" s="149"/>
      <c r="I18" s="149"/>
      <c r="J18" s="149"/>
    </row>
    <row r="21" spans="2:10" x14ac:dyDescent="0.35">
      <c r="C21" s="6">
        <f>SUM(C4:C18)</f>
        <v>10.000000000000002</v>
      </c>
    </row>
  </sheetData>
  <mergeCells count="1">
    <mergeCell ref="B1:E1"/>
  </mergeCells>
  <pageMargins left="0.511811024" right="0.511811024" top="0.78740157499999996" bottom="0.78740157499999996" header="0.31496062000000002" footer="0.3149606200000000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A5E62A-F311-4903-93C1-E1752A5D24C4}">
  <sheetPr codeName="Planilha29">
    <tabColor theme="9" tint="-0.249977111117893"/>
  </sheetPr>
  <dimension ref="B1:K16"/>
  <sheetViews>
    <sheetView showGridLines="0" workbookViewId="0">
      <selection activeCell="B2" sqref="B1:D1048576"/>
    </sheetView>
  </sheetViews>
  <sheetFormatPr defaultRowHeight="14.5" x14ac:dyDescent="0.35"/>
  <cols>
    <col min="1" max="1" width="6.81640625" customWidth="1"/>
    <col min="2" max="2" width="31.6328125" customWidth="1"/>
    <col min="3" max="3" width="5.6328125" style="3" customWidth="1"/>
    <col min="4" max="5" width="31.6328125" customWidth="1"/>
    <col min="7" max="7" width="36.54296875" customWidth="1"/>
    <col min="8" max="8" width="3.453125" bestFit="1" customWidth="1"/>
    <col min="9" max="10" width="32.1796875" customWidth="1"/>
    <col min="11" max="11" width="23.90625" customWidth="1"/>
  </cols>
  <sheetData>
    <row r="1" spans="2:11" ht="17.5" x14ac:dyDescent="0.35">
      <c r="B1" s="209" t="s">
        <v>2355</v>
      </c>
      <c r="C1" s="209"/>
      <c r="D1" s="209"/>
      <c r="E1" s="209"/>
    </row>
    <row r="2" spans="2:11" x14ac:dyDescent="0.35">
      <c r="B2" s="185" t="s">
        <v>1812</v>
      </c>
      <c r="C2" s="185" t="s">
        <v>472</v>
      </c>
      <c r="D2" s="185" t="s">
        <v>1815</v>
      </c>
      <c r="E2" s="185" t="s">
        <v>1816</v>
      </c>
      <c r="G2" s="148"/>
      <c r="H2" s="148"/>
      <c r="I2" s="148"/>
      <c r="J2" s="148"/>
    </row>
    <row r="3" spans="2:11" ht="43.5" x14ac:dyDescent="0.35">
      <c r="B3" s="157" t="s">
        <v>1813</v>
      </c>
      <c r="C3" s="158">
        <v>0.3</v>
      </c>
      <c r="D3" s="159" t="s">
        <v>1841</v>
      </c>
      <c r="E3" s="159" t="s">
        <v>1873</v>
      </c>
    </row>
    <row r="4" spans="2:11" ht="29" x14ac:dyDescent="0.35">
      <c r="B4" s="154" t="s">
        <v>1257</v>
      </c>
      <c r="C4" s="156">
        <v>0.4</v>
      </c>
      <c r="D4" s="153" t="s">
        <v>1967</v>
      </c>
      <c r="E4" s="153" t="s">
        <v>1968</v>
      </c>
    </row>
    <row r="5" spans="2:11" ht="58" x14ac:dyDescent="0.35">
      <c r="B5" s="154" t="s">
        <v>1213</v>
      </c>
      <c r="C5" s="156">
        <v>1.9500000000000002</v>
      </c>
      <c r="D5" s="153" t="s">
        <v>2171</v>
      </c>
      <c r="E5" s="153" t="s">
        <v>2172</v>
      </c>
      <c r="G5" s="150"/>
      <c r="H5" s="149"/>
      <c r="I5" s="149"/>
      <c r="J5" s="149"/>
    </row>
    <row r="6" spans="2:11" ht="43.5" x14ac:dyDescent="0.35">
      <c r="B6" s="154" t="s">
        <v>1830</v>
      </c>
      <c r="C6" s="156">
        <v>3</v>
      </c>
      <c r="D6" s="153" t="s">
        <v>1831</v>
      </c>
      <c r="E6" s="153" t="s">
        <v>1832</v>
      </c>
      <c r="G6" s="150"/>
      <c r="H6" s="149"/>
      <c r="I6" s="149"/>
      <c r="J6" s="149"/>
      <c r="K6" s="148"/>
    </row>
    <row r="7" spans="2:11" ht="43.5" x14ac:dyDescent="0.35">
      <c r="B7" s="154" t="s">
        <v>2334</v>
      </c>
      <c r="C7" s="156">
        <v>3</v>
      </c>
      <c r="D7" s="153" t="s">
        <v>1836</v>
      </c>
      <c r="E7" s="153" t="s">
        <v>1837</v>
      </c>
      <c r="G7" s="150"/>
      <c r="H7" s="149"/>
      <c r="I7" s="149"/>
      <c r="J7" s="149"/>
      <c r="K7" s="149"/>
    </row>
    <row r="8" spans="2:11" ht="43.5" x14ac:dyDescent="0.35">
      <c r="B8" s="157" t="s">
        <v>1826</v>
      </c>
      <c r="C8" s="158">
        <v>0.3</v>
      </c>
      <c r="D8" s="159" t="s">
        <v>1827</v>
      </c>
      <c r="E8" s="159" t="s">
        <v>1828</v>
      </c>
      <c r="K8" s="149"/>
    </row>
    <row r="9" spans="2:11" ht="43.5" x14ac:dyDescent="0.35">
      <c r="B9" s="157" t="s">
        <v>1819</v>
      </c>
      <c r="C9" s="158">
        <v>0.3</v>
      </c>
      <c r="D9" s="159" t="s">
        <v>1820</v>
      </c>
      <c r="E9" s="159" t="s">
        <v>1821</v>
      </c>
      <c r="G9" s="149"/>
      <c r="H9" s="149"/>
      <c r="I9" s="149"/>
      <c r="J9" s="149"/>
    </row>
    <row r="10" spans="2:11" ht="58" x14ac:dyDescent="0.35">
      <c r="B10" s="157" t="s">
        <v>1822</v>
      </c>
      <c r="C10" s="158">
        <v>0.15</v>
      </c>
      <c r="D10" s="159" t="s">
        <v>1823</v>
      </c>
      <c r="E10" s="159" t="s">
        <v>1824</v>
      </c>
      <c r="G10" s="149"/>
      <c r="H10" s="149"/>
      <c r="I10" s="149"/>
      <c r="J10" s="149"/>
    </row>
    <row r="11" spans="2:11" ht="43.5" x14ac:dyDescent="0.35">
      <c r="B11" s="157" t="s">
        <v>1872</v>
      </c>
      <c r="C11" s="158">
        <v>0.2</v>
      </c>
      <c r="D11" s="159" t="s">
        <v>1825</v>
      </c>
      <c r="E11" s="159"/>
      <c r="G11" s="149"/>
      <c r="H11" s="149"/>
      <c r="I11" s="149"/>
      <c r="J11" s="149"/>
    </row>
    <row r="12" spans="2:11" ht="29" x14ac:dyDescent="0.35">
      <c r="B12" s="154" t="s">
        <v>1972</v>
      </c>
      <c r="C12" s="156">
        <v>0.3</v>
      </c>
      <c r="D12" s="153" t="s">
        <v>1919</v>
      </c>
      <c r="E12" s="153"/>
      <c r="G12" s="149"/>
      <c r="H12" s="149"/>
      <c r="I12" s="149"/>
      <c r="J12" s="149"/>
    </row>
    <row r="13" spans="2:11" ht="58" x14ac:dyDescent="0.35">
      <c r="B13" s="157" t="s">
        <v>1869</v>
      </c>
      <c r="C13" s="158">
        <v>0.1</v>
      </c>
      <c r="D13" s="159" t="s">
        <v>1818</v>
      </c>
      <c r="E13" s="159"/>
      <c r="G13" s="149"/>
      <c r="H13" s="149"/>
      <c r="I13" s="149"/>
      <c r="J13" s="149"/>
    </row>
    <row r="16" spans="2:11" x14ac:dyDescent="0.35">
      <c r="C16" s="6">
        <f>SUM(C3:C13)</f>
        <v>10.000000000000002</v>
      </c>
    </row>
  </sheetData>
  <mergeCells count="1">
    <mergeCell ref="B1:E1"/>
  </mergeCells>
  <pageMargins left="0.511811024" right="0.511811024" top="0.78740157499999996" bottom="0.78740157499999996" header="0.31496062000000002" footer="0.3149606200000000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6BF73-94A8-439C-84FF-DB1CCBDBCA4C}">
  <sheetPr codeName="Planilha30">
    <tabColor theme="9" tint="-0.249977111117893"/>
  </sheetPr>
  <dimension ref="B1:K16"/>
  <sheetViews>
    <sheetView showGridLines="0" zoomScaleNormal="100" workbookViewId="0">
      <selection activeCell="B2" sqref="B1:D1048576"/>
    </sheetView>
  </sheetViews>
  <sheetFormatPr defaultRowHeight="14.5" x14ac:dyDescent="0.35"/>
  <cols>
    <col min="1" max="1" width="6.81640625" customWidth="1"/>
    <col min="2" max="2" width="31.6328125" customWidth="1"/>
    <col min="3" max="3" width="5.6328125" style="3" customWidth="1"/>
    <col min="4" max="5" width="31.6328125" customWidth="1"/>
    <col min="7" max="7" width="36.54296875" customWidth="1"/>
    <col min="8" max="8" width="3.453125" bestFit="1" customWidth="1"/>
    <col min="9" max="10" width="32.1796875" customWidth="1"/>
    <col min="11" max="11" width="23.90625" customWidth="1"/>
  </cols>
  <sheetData>
    <row r="1" spans="2:11" ht="17.5" x14ac:dyDescent="0.35">
      <c r="B1" s="209" t="s">
        <v>2356</v>
      </c>
      <c r="C1" s="209"/>
      <c r="D1" s="209"/>
      <c r="E1" s="209"/>
    </row>
    <row r="2" spans="2:11" x14ac:dyDescent="0.35">
      <c r="B2" s="185" t="s">
        <v>1812</v>
      </c>
      <c r="C2" s="185" t="s">
        <v>472</v>
      </c>
      <c r="D2" s="185" t="s">
        <v>1815</v>
      </c>
      <c r="E2" s="185" t="s">
        <v>1816</v>
      </c>
      <c r="G2" s="148"/>
      <c r="H2" s="148"/>
      <c r="I2" s="148"/>
      <c r="J2" s="148"/>
    </row>
    <row r="3" spans="2:11" ht="43.5" x14ac:dyDescent="0.35">
      <c r="B3" s="157" t="s">
        <v>1813</v>
      </c>
      <c r="C3" s="158">
        <v>0.3</v>
      </c>
      <c r="D3" s="159" t="s">
        <v>1841</v>
      </c>
      <c r="E3" s="159" t="s">
        <v>1873</v>
      </c>
    </row>
    <row r="4" spans="2:11" ht="29" x14ac:dyDescent="0.35">
      <c r="B4" s="154" t="s">
        <v>1257</v>
      </c>
      <c r="C4" s="156">
        <v>0.4</v>
      </c>
      <c r="D4" s="153" t="s">
        <v>1967</v>
      </c>
      <c r="E4" s="153" t="s">
        <v>1968</v>
      </c>
    </row>
    <row r="5" spans="2:11" ht="58" x14ac:dyDescent="0.35">
      <c r="B5" s="154" t="s">
        <v>1213</v>
      </c>
      <c r="C5" s="156">
        <v>1.9500000000000002</v>
      </c>
      <c r="D5" s="153" t="s">
        <v>2171</v>
      </c>
      <c r="E5" s="153" t="s">
        <v>2172</v>
      </c>
      <c r="G5" s="150"/>
      <c r="H5" s="149"/>
      <c r="I5" s="149"/>
      <c r="J5" s="149"/>
    </row>
    <row r="6" spans="2:11" ht="58" x14ac:dyDescent="0.35">
      <c r="B6" s="154" t="s">
        <v>1855</v>
      </c>
      <c r="C6" s="156">
        <v>3</v>
      </c>
      <c r="D6" s="153" t="s">
        <v>1856</v>
      </c>
      <c r="E6" s="153" t="s">
        <v>1857</v>
      </c>
      <c r="G6" s="150"/>
      <c r="H6" s="149"/>
      <c r="I6" s="149"/>
      <c r="J6" s="149"/>
      <c r="K6" s="148"/>
    </row>
    <row r="7" spans="2:11" ht="43.5" x14ac:dyDescent="0.35">
      <c r="B7" s="154" t="s">
        <v>2335</v>
      </c>
      <c r="C7" s="156">
        <v>3</v>
      </c>
      <c r="D7" s="153" t="s">
        <v>2206</v>
      </c>
      <c r="E7" s="153" t="s">
        <v>2207</v>
      </c>
      <c r="G7" s="150"/>
      <c r="H7" s="149"/>
      <c r="I7" s="149"/>
      <c r="J7" s="149"/>
      <c r="K7" s="149"/>
    </row>
    <row r="8" spans="2:11" ht="43.5" x14ac:dyDescent="0.35">
      <c r="B8" s="157" t="s">
        <v>1826</v>
      </c>
      <c r="C8" s="158">
        <v>0.3</v>
      </c>
      <c r="D8" s="159" t="s">
        <v>1827</v>
      </c>
      <c r="E8" s="159" t="s">
        <v>1828</v>
      </c>
      <c r="K8" s="149"/>
    </row>
    <row r="9" spans="2:11" ht="43.5" x14ac:dyDescent="0.35">
      <c r="B9" s="157" t="s">
        <v>1819</v>
      </c>
      <c r="C9" s="158">
        <v>0.3</v>
      </c>
      <c r="D9" s="159" t="s">
        <v>1820</v>
      </c>
      <c r="E9" s="159" t="s">
        <v>1821</v>
      </c>
      <c r="G9" s="149"/>
      <c r="H9" s="149"/>
      <c r="I9" s="149"/>
      <c r="J9" s="149"/>
    </row>
    <row r="10" spans="2:11" ht="58" x14ac:dyDescent="0.35">
      <c r="B10" s="157" t="s">
        <v>1822</v>
      </c>
      <c r="C10" s="158">
        <v>0.15</v>
      </c>
      <c r="D10" s="159" t="s">
        <v>1823</v>
      </c>
      <c r="E10" s="159" t="s">
        <v>1824</v>
      </c>
      <c r="G10" s="149"/>
      <c r="H10" s="149"/>
      <c r="I10" s="149"/>
      <c r="J10" s="149"/>
    </row>
    <row r="11" spans="2:11" ht="43.5" x14ac:dyDescent="0.35">
      <c r="B11" s="157" t="s">
        <v>1872</v>
      </c>
      <c r="C11" s="158">
        <v>0.2</v>
      </c>
      <c r="D11" s="159" t="s">
        <v>1825</v>
      </c>
      <c r="E11" s="159"/>
      <c r="G11" s="149"/>
      <c r="H11" s="149"/>
      <c r="I11" s="149"/>
      <c r="J11" s="149"/>
    </row>
    <row r="12" spans="2:11" ht="29" x14ac:dyDescent="0.35">
      <c r="B12" s="154" t="s">
        <v>1972</v>
      </c>
      <c r="C12" s="156">
        <v>0.3</v>
      </c>
      <c r="D12" s="153" t="s">
        <v>1919</v>
      </c>
      <c r="E12" s="153"/>
      <c r="G12" s="149"/>
      <c r="H12" s="149"/>
      <c r="I12" s="149"/>
      <c r="J12" s="149"/>
    </row>
    <row r="13" spans="2:11" ht="58" x14ac:dyDescent="0.35">
      <c r="B13" s="157" t="s">
        <v>1869</v>
      </c>
      <c r="C13" s="158">
        <v>0.1</v>
      </c>
      <c r="D13" s="159" t="s">
        <v>1818</v>
      </c>
      <c r="E13" s="159"/>
      <c r="G13" s="149"/>
      <c r="H13" s="149"/>
      <c r="I13" s="149"/>
      <c r="J13" s="149"/>
    </row>
    <row r="16" spans="2:11" x14ac:dyDescent="0.35">
      <c r="C16" s="6">
        <f>SUM(C3:C13)</f>
        <v>10.000000000000002</v>
      </c>
    </row>
  </sheetData>
  <mergeCells count="1">
    <mergeCell ref="B1:E1"/>
  </mergeCells>
  <pageMargins left="0.511811024" right="0.511811024" top="0.78740157499999996" bottom="0.78740157499999996" header="0.31496062000000002" footer="0.3149606200000000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DC51B-AD9D-40AB-8D59-3758038B52C3}">
  <sheetPr codeName="Planilha33">
    <tabColor theme="9" tint="-0.249977111117893"/>
  </sheetPr>
  <dimension ref="A1:K18"/>
  <sheetViews>
    <sheetView showGridLines="0" workbookViewId="0">
      <selection activeCell="B8" sqref="B8:E8"/>
    </sheetView>
  </sheetViews>
  <sheetFormatPr defaultRowHeight="14.5" x14ac:dyDescent="0.35"/>
  <cols>
    <col min="1" max="1" width="12.08984375" bestFit="1" customWidth="1"/>
    <col min="2" max="2" width="31.6328125" customWidth="1"/>
    <col min="3" max="3" width="5.6328125" style="3" bestFit="1" customWidth="1"/>
    <col min="4" max="5" width="26.6328125" customWidth="1"/>
    <col min="7" max="7" width="36.54296875" customWidth="1"/>
    <col min="8" max="8" width="3.453125" bestFit="1" customWidth="1"/>
    <col min="9" max="10" width="32.1796875" customWidth="1"/>
    <col min="11" max="11" width="23.90625" customWidth="1"/>
  </cols>
  <sheetData>
    <row r="1" spans="1:11" ht="17.5" x14ac:dyDescent="0.35">
      <c r="B1" s="212" t="s">
        <v>2291</v>
      </c>
      <c r="C1" s="212"/>
      <c r="D1" s="212"/>
      <c r="E1" s="212"/>
    </row>
    <row r="2" spans="1:11" ht="17.5" x14ac:dyDescent="0.35">
      <c r="B2" s="151"/>
    </row>
    <row r="3" spans="1:11" x14ac:dyDescent="0.35">
      <c r="B3" s="152" t="s">
        <v>1812</v>
      </c>
      <c r="C3" s="152" t="s">
        <v>472</v>
      </c>
      <c r="D3" s="152" t="s">
        <v>1815</v>
      </c>
      <c r="E3" s="152" t="s">
        <v>1816</v>
      </c>
      <c r="G3" s="148"/>
      <c r="H3" s="148"/>
      <c r="I3" s="148"/>
      <c r="J3" s="148"/>
    </row>
    <row r="4" spans="1:11" ht="58" x14ac:dyDescent="0.35">
      <c r="B4" s="157" t="s">
        <v>2218</v>
      </c>
      <c r="C4" s="158">
        <v>0.3</v>
      </c>
      <c r="D4" s="159" t="s">
        <v>1841</v>
      </c>
      <c r="E4" s="159" t="s">
        <v>1873</v>
      </c>
    </row>
    <row r="5" spans="1:11" ht="43.5" x14ac:dyDescent="0.35">
      <c r="B5" s="154" t="s">
        <v>1257</v>
      </c>
      <c r="C5" s="156">
        <v>0.4</v>
      </c>
      <c r="D5" s="153" t="s">
        <v>1967</v>
      </c>
      <c r="E5" s="153" t="s">
        <v>1968</v>
      </c>
    </row>
    <row r="6" spans="1:11" ht="43.5" x14ac:dyDescent="0.35">
      <c r="B6" s="154" t="s">
        <v>1213</v>
      </c>
      <c r="C6" s="156">
        <v>1.9</v>
      </c>
      <c r="D6" s="153" t="s">
        <v>2130</v>
      </c>
      <c r="E6" s="153" t="s">
        <v>2131</v>
      </c>
      <c r="G6" s="150"/>
      <c r="H6" s="149"/>
      <c r="I6" s="149"/>
      <c r="J6" s="149"/>
    </row>
    <row r="7" spans="1:11" ht="58" x14ac:dyDescent="0.35">
      <c r="B7" s="154" t="s">
        <v>2132</v>
      </c>
      <c r="C7" s="156">
        <v>2</v>
      </c>
      <c r="D7" s="153" t="s">
        <v>2133</v>
      </c>
      <c r="E7" s="153" t="s">
        <v>2134</v>
      </c>
      <c r="G7" s="150"/>
      <c r="H7" s="149"/>
      <c r="I7" s="149"/>
      <c r="J7" s="149"/>
      <c r="K7" s="148"/>
    </row>
    <row r="8" spans="1:11" ht="43.5" x14ac:dyDescent="0.35">
      <c r="B8" s="154" t="s">
        <v>2135</v>
      </c>
      <c r="C8" s="156">
        <v>2.0499999999999998</v>
      </c>
      <c r="D8" s="153" t="s">
        <v>2136</v>
      </c>
      <c r="E8" s="153" t="s">
        <v>2137</v>
      </c>
      <c r="G8" s="150"/>
      <c r="H8" s="149"/>
      <c r="I8" s="149"/>
      <c r="J8" s="149"/>
      <c r="K8" s="149"/>
    </row>
    <row r="9" spans="1:11" ht="58" x14ac:dyDescent="0.35">
      <c r="A9" s="163" t="s">
        <v>2121</v>
      </c>
      <c r="B9" s="154" t="s">
        <v>2119</v>
      </c>
      <c r="C9" s="156">
        <v>2</v>
      </c>
      <c r="D9" s="153" t="s">
        <v>2120</v>
      </c>
      <c r="E9" s="153" t="s">
        <v>2292</v>
      </c>
      <c r="G9" s="150"/>
      <c r="H9" s="149"/>
      <c r="I9" s="149"/>
      <c r="J9" s="149"/>
      <c r="K9" s="149"/>
    </row>
    <row r="10" spans="1:11" ht="43.5" x14ac:dyDescent="0.35">
      <c r="B10" s="157" t="s">
        <v>1826</v>
      </c>
      <c r="C10" s="158">
        <v>0.3</v>
      </c>
      <c r="D10" s="159" t="s">
        <v>1827</v>
      </c>
      <c r="E10" s="159" t="s">
        <v>1828</v>
      </c>
      <c r="K10" s="149"/>
    </row>
    <row r="11" spans="1:11" ht="58" x14ac:dyDescent="0.35">
      <c r="B11" s="157" t="s">
        <v>1819</v>
      </c>
      <c r="C11" s="158">
        <v>0.3</v>
      </c>
      <c r="D11" s="159" t="s">
        <v>1820</v>
      </c>
      <c r="E11" s="159" t="s">
        <v>1821</v>
      </c>
      <c r="G11" s="149"/>
      <c r="H11" s="149"/>
      <c r="I11" s="149"/>
      <c r="J11" s="149"/>
    </row>
    <row r="12" spans="1:11" ht="58" x14ac:dyDescent="0.35">
      <c r="B12" s="157" t="s">
        <v>1822</v>
      </c>
      <c r="C12" s="158">
        <v>0.15</v>
      </c>
      <c r="D12" s="159" t="s">
        <v>1823</v>
      </c>
      <c r="E12" s="159" t="s">
        <v>1824</v>
      </c>
      <c r="G12" s="149"/>
      <c r="H12" s="149"/>
      <c r="I12" s="149"/>
      <c r="J12" s="149"/>
    </row>
    <row r="13" spans="1:11" ht="43.5" x14ac:dyDescent="0.35">
      <c r="B13" s="157" t="s">
        <v>1872</v>
      </c>
      <c r="C13" s="158">
        <v>0.2</v>
      </c>
      <c r="D13" s="159" t="s">
        <v>1825</v>
      </c>
      <c r="E13" s="159"/>
      <c r="G13" s="149"/>
      <c r="H13" s="149"/>
      <c r="I13" s="149"/>
      <c r="J13" s="149"/>
    </row>
    <row r="14" spans="1:11" ht="43.5" x14ac:dyDescent="0.35">
      <c r="B14" s="154" t="s">
        <v>1972</v>
      </c>
      <c r="C14" s="156">
        <v>0.3</v>
      </c>
      <c r="D14" s="153" t="s">
        <v>1919</v>
      </c>
      <c r="E14" s="153"/>
      <c r="G14" s="149"/>
      <c r="H14" s="149"/>
      <c r="I14" s="149"/>
      <c r="J14" s="149"/>
    </row>
    <row r="15" spans="1:11" ht="72.5" x14ac:dyDescent="0.35">
      <c r="B15" s="157" t="s">
        <v>1869</v>
      </c>
      <c r="C15" s="158">
        <v>0.1</v>
      </c>
      <c r="D15" s="159" t="s">
        <v>1818</v>
      </c>
      <c r="E15" s="159"/>
      <c r="G15" s="149"/>
      <c r="H15" s="149"/>
      <c r="I15" s="149"/>
      <c r="J15" s="149"/>
    </row>
    <row r="18" spans="3:3" x14ac:dyDescent="0.35">
      <c r="C18" s="6">
        <f>SUM(C4:C15)</f>
        <v>10</v>
      </c>
    </row>
  </sheetData>
  <mergeCells count="1">
    <mergeCell ref="B1:E1"/>
  </mergeCells>
  <pageMargins left="0.511811024" right="0.511811024" top="0.78740157499999996" bottom="0.78740157499999996" header="0.31496062000000002" footer="0.3149606200000000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B8C956-ABA9-464B-86DC-A591F90EB518}">
  <sheetPr codeName="Planilha34">
    <tabColor theme="9" tint="-0.249977111117893"/>
  </sheetPr>
  <dimension ref="B1:K18"/>
  <sheetViews>
    <sheetView showGridLines="0" topLeftCell="A4" workbookViewId="0">
      <selection activeCell="F7" sqref="F7"/>
    </sheetView>
  </sheetViews>
  <sheetFormatPr defaultRowHeight="14.5" x14ac:dyDescent="0.35"/>
  <cols>
    <col min="1" max="1" width="6.81640625" customWidth="1"/>
    <col min="2" max="2" width="31.6328125" customWidth="1"/>
    <col min="3" max="3" width="5.6328125" style="3" bestFit="1" customWidth="1"/>
    <col min="4" max="5" width="26.6328125" customWidth="1"/>
    <col min="7" max="7" width="36.54296875" customWidth="1"/>
    <col min="8" max="8" width="3.453125" bestFit="1" customWidth="1"/>
    <col min="9" max="10" width="32.1796875" customWidth="1"/>
    <col min="11" max="11" width="23.90625" customWidth="1"/>
  </cols>
  <sheetData>
    <row r="1" spans="2:11" ht="17.5" x14ac:dyDescent="0.35">
      <c r="B1" s="212" t="s">
        <v>2293</v>
      </c>
      <c r="C1" s="212"/>
      <c r="D1" s="212"/>
      <c r="E1" s="212"/>
    </row>
    <row r="2" spans="2:11" ht="17.5" x14ac:dyDescent="0.35">
      <c r="B2" s="151"/>
    </row>
    <row r="3" spans="2:11" x14ac:dyDescent="0.35">
      <c r="B3" s="152" t="s">
        <v>1812</v>
      </c>
      <c r="C3" s="152" t="s">
        <v>472</v>
      </c>
      <c r="D3" s="152" t="s">
        <v>1815</v>
      </c>
      <c r="E3" s="152" t="s">
        <v>1816</v>
      </c>
      <c r="G3" s="148"/>
      <c r="H3" s="148"/>
      <c r="I3" s="148"/>
      <c r="J3" s="148"/>
    </row>
    <row r="4" spans="2:11" ht="58" x14ac:dyDescent="0.35">
      <c r="B4" s="157" t="s">
        <v>2218</v>
      </c>
      <c r="C4" s="158">
        <v>0.3</v>
      </c>
      <c r="D4" s="159" t="s">
        <v>1841</v>
      </c>
      <c r="E4" s="159" t="s">
        <v>1873</v>
      </c>
      <c r="G4" s="150" t="s">
        <v>2006</v>
      </c>
      <c r="H4" s="149">
        <v>1</v>
      </c>
      <c r="I4" s="149" t="s">
        <v>2021</v>
      </c>
      <c r="J4" s="149" t="s">
        <v>2007</v>
      </c>
    </row>
    <row r="5" spans="2:11" ht="43.5" x14ac:dyDescent="0.35">
      <c r="B5" s="154" t="s">
        <v>1257</v>
      </c>
      <c r="C5" s="156">
        <v>0.4</v>
      </c>
      <c r="D5" s="153" t="s">
        <v>1967</v>
      </c>
      <c r="E5" s="153" t="s">
        <v>1968</v>
      </c>
      <c r="G5" s="154" t="s">
        <v>1964</v>
      </c>
      <c r="H5" s="156">
        <v>1.32</v>
      </c>
      <c r="I5" s="153" t="s">
        <v>1965</v>
      </c>
      <c r="J5" s="153" t="s">
        <v>1966</v>
      </c>
    </row>
    <row r="6" spans="2:11" ht="58" x14ac:dyDescent="0.35">
      <c r="B6" s="154" t="s">
        <v>1213</v>
      </c>
      <c r="C6" s="156">
        <v>1.9</v>
      </c>
      <c r="D6" s="153" t="s">
        <v>2130</v>
      </c>
      <c r="E6" s="153" t="s">
        <v>2138</v>
      </c>
      <c r="G6" s="150"/>
      <c r="H6" s="149"/>
      <c r="I6" s="149"/>
      <c r="J6" s="149"/>
    </row>
    <row r="7" spans="2:11" ht="43.5" x14ac:dyDescent="0.35">
      <c r="B7" s="154" t="s">
        <v>2139</v>
      </c>
      <c r="C7" s="156">
        <v>2</v>
      </c>
      <c r="D7" s="153" t="s">
        <v>2140</v>
      </c>
      <c r="E7" s="153" t="s">
        <v>2294</v>
      </c>
      <c r="G7" s="150"/>
      <c r="H7" s="149"/>
      <c r="I7" s="149"/>
      <c r="J7" s="149"/>
      <c r="K7" s="148"/>
    </row>
    <row r="8" spans="2:11" ht="58" x14ac:dyDescent="0.35">
      <c r="B8" s="154" t="s">
        <v>2141</v>
      </c>
      <c r="C8" s="156">
        <v>2.0499999999999998</v>
      </c>
      <c r="D8" s="153" t="s">
        <v>2142</v>
      </c>
      <c r="E8" s="153" t="s">
        <v>2143</v>
      </c>
      <c r="G8" s="150"/>
      <c r="H8" s="149"/>
      <c r="I8" s="149"/>
      <c r="J8" s="149"/>
      <c r="K8" s="149"/>
    </row>
    <row r="9" spans="2:11" ht="58" x14ac:dyDescent="0.35">
      <c r="B9" s="154" t="s">
        <v>2144</v>
      </c>
      <c r="C9" s="156">
        <v>2</v>
      </c>
      <c r="D9" s="153" t="s">
        <v>2145</v>
      </c>
      <c r="E9" s="153" t="s">
        <v>2146</v>
      </c>
      <c r="G9" s="149"/>
      <c r="H9" s="149"/>
      <c r="I9" s="149"/>
      <c r="J9" s="149"/>
      <c r="K9" s="149"/>
    </row>
    <row r="10" spans="2:11" ht="43.5" x14ac:dyDescent="0.35">
      <c r="B10" s="157" t="s">
        <v>1826</v>
      </c>
      <c r="C10" s="158">
        <v>0.3</v>
      </c>
      <c r="D10" s="159" t="s">
        <v>1827</v>
      </c>
      <c r="E10" s="159" t="s">
        <v>1828</v>
      </c>
      <c r="G10" s="149"/>
      <c r="I10" s="149"/>
      <c r="K10" s="149"/>
    </row>
    <row r="11" spans="2:11" ht="58" x14ac:dyDescent="0.35">
      <c r="B11" s="157" t="s">
        <v>1819</v>
      </c>
      <c r="C11" s="158">
        <v>0.3</v>
      </c>
      <c r="D11" s="159" t="s">
        <v>1820</v>
      </c>
      <c r="E11" s="159" t="s">
        <v>1821</v>
      </c>
      <c r="H11" s="149"/>
      <c r="I11" s="149"/>
      <c r="J11" s="149"/>
    </row>
    <row r="12" spans="2:11" ht="58" x14ac:dyDescent="0.35">
      <c r="B12" s="157" t="s">
        <v>1822</v>
      </c>
      <c r="C12" s="158">
        <v>0.15</v>
      </c>
      <c r="D12" s="159" t="s">
        <v>1823</v>
      </c>
      <c r="E12" s="159" t="s">
        <v>1824</v>
      </c>
      <c r="G12" s="149"/>
      <c r="H12" s="149"/>
      <c r="I12" s="149"/>
      <c r="J12" s="149"/>
    </row>
    <row r="13" spans="2:11" ht="43.5" x14ac:dyDescent="0.35">
      <c r="B13" s="157" t="s">
        <v>1872</v>
      </c>
      <c r="C13" s="158">
        <v>0.2</v>
      </c>
      <c r="D13" s="159" t="s">
        <v>1825</v>
      </c>
      <c r="E13" s="159"/>
      <c r="G13" s="149"/>
      <c r="H13" s="149"/>
      <c r="I13" s="149"/>
      <c r="J13" s="149"/>
    </row>
    <row r="14" spans="2:11" ht="43.5" x14ac:dyDescent="0.35">
      <c r="B14" s="154" t="s">
        <v>1972</v>
      </c>
      <c r="C14" s="156">
        <v>0.3</v>
      </c>
      <c r="D14" s="153" t="s">
        <v>1919</v>
      </c>
      <c r="E14" s="153"/>
      <c r="G14" s="149"/>
      <c r="H14" s="149"/>
      <c r="I14" s="149"/>
      <c r="J14" s="149"/>
    </row>
    <row r="15" spans="2:11" ht="72.5" x14ac:dyDescent="0.35">
      <c r="B15" s="157" t="s">
        <v>1869</v>
      </c>
      <c r="C15" s="158">
        <v>0.1</v>
      </c>
      <c r="D15" s="159" t="s">
        <v>1818</v>
      </c>
      <c r="E15" s="159"/>
      <c r="G15" s="212" t="s">
        <v>2291</v>
      </c>
      <c r="H15" s="212"/>
      <c r="I15" s="212"/>
      <c r="J15" s="212"/>
    </row>
    <row r="18" spans="3:3" x14ac:dyDescent="0.35">
      <c r="C18" s="6">
        <f>SUM(C4:C15)</f>
        <v>10</v>
      </c>
    </row>
  </sheetData>
  <mergeCells count="2">
    <mergeCell ref="G15:J15"/>
    <mergeCell ref="B1:E1"/>
  </mergeCells>
  <pageMargins left="0.511811024" right="0.511811024" top="0.78740157499999996" bottom="0.78740157499999996" header="0.31496062000000002" footer="0.3149606200000000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7B002-84A8-4DD1-AF39-31646775DD5E}">
  <sheetPr codeName="Planilha35">
    <tabColor theme="9" tint="-0.249977111117893"/>
  </sheetPr>
  <dimension ref="B1:K17"/>
  <sheetViews>
    <sheetView showGridLines="0" workbookViewId="0">
      <selection activeCell="B1" sqref="B1:E1"/>
    </sheetView>
  </sheetViews>
  <sheetFormatPr defaultRowHeight="14.5" x14ac:dyDescent="0.35"/>
  <cols>
    <col min="1" max="1" width="6.81640625" customWidth="1"/>
    <col min="2" max="2" width="31.6328125" customWidth="1"/>
    <col min="3" max="3" width="5.6328125" style="3" bestFit="1" customWidth="1"/>
    <col min="4" max="5" width="26.6328125" customWidth="1"/>
    <col min="7" max="7" width="36.54296875" customWidth="1"/>
    <col min="8" max="8" width="3.453125" bestFit="1" customWidth="1"/>
    <col min="9" max="10" width="32.1796875" customWidth="1"/>
    <col min="11" max="11" width="23.90625" customWidth="1"/>
  </cols>
  <sheetData>
    <row r="1" spans="2:11" ht="17.5" x14ac:dyDescent="0.35">
      <c r="B1" s="212" t="s">
        <v>2295</v>
      </c>
      <c r="C1" s="212"/>
      <c r="D1" s="212"/>
      <c r="E1" s="212"/>
    </row>
    <row r="2" spans="2:11" ht="17.5" x14ac:dyDescent="0.35">
      <c r="B2" s="151"/>
    </row>
    <row r="3" spans="2:11" x14ac:dyDescent="0.35">
      <c r="B3" s="152" t="s">
        <v>1812</v>
      </c>
      <c r="C3" s="152" t="s">
        <v>472</v>
      </c>
      <c r="D3" s="152" t="s">
        <v>1815</v>
      </c>
      <c r="E3" s="152" t="s">
        <v>1816</v>
      </c>
      <c r="G3" s="148"/>
      <c r="H3" s="148"/>
      <c r="I3" s="148"/>
      <c r="J3" s="148"/>
    </row>
    <row r="4" spans="2:11" ht="58" x14ac:dyDescent="0.35">
      <c r="B4" s="157" t="s">
        <v>2296</v>
      </c>
      <c r="C4" s="158">
        <v>0.3</v>
      </c>
      <c r="D4" s="159" t="s">
        <v>1841</v>
      </c>
      <c r="E4" s="159" t="s">
        <v>2297</v>
      </c>
      <c r="G4" s="150" t="s">
        <v>2006</v>
      </c>
      <c r="H4" s="149">
        <v>1</v>
      </c>
      <c r="I4" s="149" t="s">
        <v>2021</v>
      </c>
      <c r="J4" s="149" t="s">
        <v>2007</v>
      </c>
    </row>
    <row r="5" spans="2:11" ht="43.5" x14ac:dyDescent="0.35">
      <c r="B5" s="154" t="s">
        <v>1257</v>
      </c>
      <c r="C5" s="156">
        <v>0.4</v>
      </c>
      <c r="D5" s="153" t="s">
        <v>1967</v>
      </c>
      <c r="E5" s="153" t="s">
        <v>1968</v>
      </c>
      <c r="G5" s="154" t="s">
        <v>1964</v>
      </c>
      <c r="H5" s="156">
        <v>1.32</v>
      </c>
      <c r="I5" s="153" t="s">
        <v>1965</v>
      </c>
      <c r="J5" s="153" t="s">
        <v>1966</v>
      </c>
    </row>
    <row r="6" spans="2:11" ht="43.5" x14ac:dyDescent="0.35">
      <c r="B6" s="154" t="s">
        <v>1213</v>
      </c>
      <c r="C6" s="156">
        <v>2</v>
      </c>
      <c r="D6" s="153" t="s">
        <v>1997</v>
      </c>
      <c r="E6" s="153" t="s">
        <v>2209</v>
      </c>
      <c r="G6" s="150"/>
      <c r="H6" s="149"/>
      <c r="I6" s="149"/>
      <c r="J6" s="149"/>
    </row>
    <row r="7" spans="2:11" ht="58.5" thickBot="1" x14ac:dyDescent="0.4">
      <c r="B7" s="154" t="s">
        <v>1282</v>
      </c>
      <c r="C7" s="156">
        <v>2.95</v>
      </c>
      <c r="D7" s="153" t="s">
        <v>2147</v>
      </c>
      <c r="E7" s="168" t="s">
        <v>2208</v>
      </c>
      <c r="G7" s="150"/>
      <c r="H7" s="149"/>
      <c r="I7" s="149"/>
      <c r="J7" s="149"/>
      <c r="K7" s="148"/>
    </row>
    <row r="8" spans="2:11" ht="58" x14ac:dyDescent="0.35">
      <c r="B8" s="154" t="s">
        <v>1283</v>
      </c>
      <c r="C8" s="156">
        <v>2.95</v>
      </c>
      <c r="D8" s="153" t="s">
        <v>2148</v>
      </c>
      <c r="E8" s="153" t="s">
        <v>2210</v>
      </c>
      <c r="G8" s="150"/>
      <c r="H8" s="149"/>
      <c r="I8" s="149"/>
      <c r="J8" s="149"/>
      <c r="K8" s="149"/>
    </row>
    <row r="9" spans="2:11" ht="43.5" x14ac:dyDescent="0.35">
      <c r="B9" s="157" t="s">
        <v>1826</v>
      </c>
      <c r="C9" s="158">
        <v>0.3</v>
      </c>
      <c r="D9" s="159" t="s">
        <v>1827</v>
      </c>
      <c r="E9" s="159" t="s">
        <v>1828</v>
      </c>
      <c r="K9" s="149"/>
    </row>
    <row r="10" spans="2:11" ht="58" x14ac:dyDescent="0.35">
      <c r="B10" s="157" t="s">
        <v>1819</v>
      </c>
      <c r="C10" s="158">
        <v>0.3</v>
      </c>
      <c r="D10" s="159" t="s">
        <v>1820</v>
      </c>
      <c r="E10" s="159" t="s">
        <v>1821</v>
      </c>
      <c r="G10" s="149"/>
      <c r="H10" s="149"/>
      <c r="I10" s="149"/>
      <c r="J10" s="149"/>
    </row>
    <row r="11" spans="2:11" ht="58" x14ac:dyDescent="0.35">
      <c r="B11" s="157" t="s">
        <v>1822</v>
      </c>
      <c r="C11" s="158">
        <v>0.15</v>
      </c>
      <c r="D11" s="159" t="s">
        <v>1823</v>
      </c>
      <c r="E11" s="159" t="s">
        <v>1824</v>
      </c>
      <c r="G11" s="149"/>
      <c r="H11" s="149"/>
      <c r="I11" s="149"/>
      <c r="J11" s="149"/>
    </row>
    <row r="12" spans="2:11" ht="43.5" x14ac:dyDescent="0.35">
      <c r="B12" s="157" t="s">
        <v>1872</v>
      </c>
      <c r="C12" s="158">
        <v>0.3</v>
      </c>
      <c r="D12" s="159" t="s">
        <v>1825</v>
      </c>
      <c r="E12" s="159"/>
      <c r="G12" s="149"/>
      <c r="H12" s="149"/>
      <c r="I12" s="149"/>
      <c r="J12" s="149"/>
    </row>
    <row r="13" spans="2:11" ht="43.5" x14ac:dyDescent="0.35">
      <c r="B13" s="154" t="s">
        <v>1972</v>
      </c>
      <c r="C13" s="156">
        <v>0.25</v>
      </c>
      <c r="D13" s="153" t="s">
        <v>1919</v>
      </c>
      <c r="E13" s="153"/>
      <c r="G13" s="149"/>
      <c r="H13" s="149"/>
      <c r="I13" s="149"/>
      <c r="J13" s="149"/>
    </row>
    <row r="14" spans="2:11" ht="72.5" x14ac:dyDescent="0.35">
      <c r="B14" s="157" t="s">
        <v>1869</v>
      </c>
      <c r="C14" s="158">
        <v>0.1</v>
      </c>
      <c r="D14" s="159" t="s">
        <v>1818</v>
      </c>
      <c r="E14" s="159"/>
      <c r="G14" s="149"/>
      <c r="H14" s="149"/>
      <c r="I14" s="149"/>
      <c r="J14" s="149"/>
    </row>
    <row r="17" spans="3:3" x14ac:dyDescent="0.35">
      <c r="C17" s="6">
        <f>SUM(C4:C14)</f>
        <v>10.000000000000004</v>
      </c>
    </row>
  </sheetData>
  <mergeCells count="1">
    <mergeCell ref="B1:E1"/>
  </mergeCells>
  <pageMargins left="0.511811024" right="0.511811024" top="0.78740157499999996" bottom="0.78740157499999996" header="0.31496062000000002" footer="0.3149606200000000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68D12-0957-46B7-8F62-5115CB3E8B95}">
  <sheetPr codeName="Planilha36">
    <tabColor theme="9" tint="-0.249977111117893"/>
  </sheetPr>
  <dimension ref="B1:K19"/>
  <sheetViews>
    <sheetView showGridLines="0" workbookViewId="0">
      <selection activeCell="B1" sqref="B1:E1"/>
    </sheetView>
  </sheetViews>
  <sheetFormatPr defaultRowHeight="14.5" x14ac:dyDescent="0.35"/>
  <cols>
    <col min="1" max="1" width="6.81640625" customWidth="1"/>
    <col min="2" max="2" width="31.6328125" customWidth="1"/>
    <col min="3" max="3" width="5.6328125" style="3" bestFit="1" customWidth="1"/>
    <col min="4" max="5" width="26.6328125" customWidth="1"/>
    <col min="7" max="7" width="36.54296875" customWidth="1"/>
    <col min="8" max="8" width="3.453125" bestFit="1" customWidth="1"/>
    <col min="9" max="10" width="32.1796875" customWidth="1"/>
    <col min="11" max="11" width="23.90625" customWidth="1"/>
  </cols>
  <sheetData>
    <row r="1" spans="2:11" ht="17.5" x14ac:dyDescent="0.35">
      <c r="B1" s="212" t="s">
        <v>2298</v>
      </c>
      <c r="C1" s="212"/>
      <c r="D1" s="212"/>
      <c r="E1" s="212"/>
    </row>
    <row r="2" spans="2:11" ht="17.5" x14ac:dyDescent="0.35">
      <c r="B2" s="151"/>
    </row>
    <row r="3" spans="2:11" x14ac:dyDescent="0.35">
      <c r="B3" s="152" t="s">
        <v>1812</v>
      </c>
      <c r="C3" s="152" t="s">
        <v>472</v>
      </c>
      <c r="D3" s="152" t="s">
        <v>1815</v>
      </c>
      <c r="E3" s="152" t="s">
        <v>1816</v>
      </c>
      <c r="G3" s="148"/>
      <c r="H3" s="148"/>
      <c r="I3" s="148"/>
      <c r="J3" s="148"/>
    </row>
    <row r="4" spans="2:11" ht="58" x14ac:dyDescent="0.35">
      <c r="B4" s="157" t="s">
        <v>2218</v>
      </c>
      <c r="C4" s="158">
        <v>0.3</v>
      </c>
      <c r="D4" s="159" t="s">
        <v>1841</v>
      </c>
      <c r="E4" s="159" t="s">
        <v>1873</v>
      </c>
      <c r="G4" s="150" t="s">
        <v>2006</v>
      </c>
      <c r="H4" s="149">
        <v>1</v>
      </c>
      <c r="I4" s="149" t="s">
        <v>2021</v>
      </c>
      <c r="J4" s="149" t="s">
        <v>2007</v>
      </c>
    </row>
    <row r="5" spans="2:11" ht="43.5" x14ac:dyDescent="0.35">
      <c r="B5" s="154" t="s">
        <v>1257</v>
      </c>
      <c r="C5" s="156">
        <v>0.4</v>
      </c>
      <c r="D5" s="153" t="s">
        <v>1967</v>
      </c>
      <c r="E5" s="153" t="s">
        <v>1968</v>
      </c>
      <c r="G5" s="154" t="s">
        <v>1964</v>
      </c>
      <c r="H5" s="156">
        <v>1.32</v>
      </c>
      <c r="I5" s="153" t="s">
        <v>1965</v>
      </c>
      <c r="J5" s="153" t="s">
        <v>1966</v>
      </c>
    </row>
    <row r="6" spans="2:11" ht="58" x14ac:dyDescent="0.35">
      <c r="B6" s="154" t="s">
        <v>1213</v>
      </c>
      <c r="C6" s="156">
        <v>1.5</v>
      </c>
      <c r="D6" s="153" t="s">
        <v>2149</v>
      </c>
      <c r="E6" s="153" t="s">
        <v>2150</v>
      </c>
      <c r="G6" s="150"/>
      <c r="H6" s="149"/>
      <c r="I6" s="149"/>
      <c r="J6" s="149"/>
    </row>
    <row r="7" spans="2:11" ht="58" x14ac:dyDescent="0.35">
      <c r="B7" s="154" t="s">
        <v>2151</v>
      </c>
      <c r="C7" s="156">
        <v>1.6</v>
      </c>
      <c r="D7" s="153" t="s">
        <v>2152</v>
      </c>
      <c r="E7" s="153" t="s">
        <v>2153</v>
      </c>
      <c r="G7" s="150"/>
      <c r="H7" s="149"/>
      <c r="I7" s="149"/>
      <c r="J7" s="149"/>
      <c r="K7" s="148"/>
    </row>
    <row r="8" spans="2:11" ht="58" x14ac:dyDescent="0.35">
      <c r="B8" s="154" t="s">
        <v>2154</v>
      </c>
      <c r="C8" s="156">
        <v>1.6</v>
      </c>
      <c r="D8" s="153" t="s">
        <v>2155</v>
      </c>
      <c r="E8" s="153" t="s">
        <v>2156</v>
      </c>
      <c r="G8" s="150"/>
      <c r="H8" s="149"/>
      <c r="I8" s="149"/>
      <c r="J8" s="149"/>
      <c r="K8" s="149"/>
    </row>
    <row r="9" spans="2:11" ht="43.5" x14ac:dyDescent="0.35">
      <c r="B9" s="154" t="s">
        <v>1299</v>
      </c>
      <c r="C9" s="156">
        <v>1.6</v>
      </c>
      <c r="D9" s="153" t="s">
        <v>2157</v>
      </c>
      <c r="E9" s="153" t="s">
        <v>2158</v>
      </c>
      <c r="G9" s="150"/>
      <c r="H9" s="149"/>
      <c r="I9" s="149"/>
      <c r="J9" s="149"/>
      <c r="K9" s="149"/>
    </row>
    <row r="10" spans="2:11" ht="72.5" x14ac:dyDescent="0.35">
      <c r="B10" s="154" t="s">
        <v>1300</v>
      </c>
      <c r="C10" s="156">
        <v>1.6</v>
      </c>
      <c r="D10" s="153" t="s">
        <v>2159</v>
      </c>
      <c r="E10" s="153" t="s">
        <v>2160</v>
      </c>
      <c r="G10" s="150"/>
      <c r="H10" s="149"/>
      <c r="I10" s="149"/>
      <c r="J10" s="149"/>
      <c r="K10" s="149"/>
    </row>
    <row r="11" spans="2:11" ht="43.5" x14ac:dyDescent="0.35">
      <c r="B11" s="157" t="s">
        <v>1826</v>
      </c>
      <c r="C11" s="158">
        <v>0.3</v>
      </c>
      <c r="D11" s="159" t="s">
        <v>1827</v>
      </c>
      <c r="E11" s="159" t="s">
        <v>1828</v>
      </c>
      <c r="K11" s="149"/>
    </row>
    <row r="12" spans="2:11" ht="58" x14ac:dyDescent="0.35">
      <c r="B12" s="157" t="s">
        <v>1819</v>
      </c>
      <c r="C12" s="158">
        <v>0.3</v>
      </c>
      <c r="D12" s="159" t="s">
        <v>1820</v>
      </c>
      <c r="E12" s="159" t="s">
        <v>1821</v>
      </c>
      <c r="G12" s="149"/>
      <c r="H12" s="149"/>
      <c r="I12" s="149"/>
      <c r="J12" s="149"/>
    </row>
    <row r="13" spans="2:11" ht="58" x14ac:dyDescent="0.35">
      <c r="B13" s="157" t="s">
        <v>1822</v>
      </c>
      <c r="C13" s="158">
        <v>0.15</v>
      </c>
      <c r="D13" s="159" t="s">
        <v>1823</v>
      </c>
      <c r="E13" s="159" t="s">
        <v>1824</v>
      </c>
      <c r="G13" s="149"/>
      <c r="H13" s="149"/>
      <c r="I13" s="149"/>
      <c r="J13" s="149"/>
    </row>
    <row r="14" spans="2:11" ht="43.5" x14ac:dyDescent="0.35">
      <c r="B14" s="157" t="s">
        <v>1872</v>
      </c>
      <c r="C14" s="158">
        <v>0.3</v>
      </c>
      <c r="D14" s="159" t="s">
        <v>1825</v>
      </c>
      <c r="E14" s="159"/>
      <c r="G14" s="149"/>
      <c r="H14" s="149"/>
      <c r="I14" s="149"/>
      <c r="J14" s="149"/>
    </row>
    <row r="15" spans="2:11" ht="43.5" x14ac:dyDescent="0.35">
      <c r="B15" s="154" t="s">
        <v>1972</v>
      </c>
      <c r="C15" s="156">
        <v>0.25</v>
      </c>
      <c r="D15" s="153" t="s">
        <v>1919</v>
      </c>
      <c r="E15" s="153"/>
      <c r="G15" s="149"/>
      <c r="H15" s="149"/>
      <c r="I15" s="149"/>
      <c r="J15" s="149"/>
    </row>
    <row r="16" spans="2:11" ht="72.5" x14ac:dyDescent="0.35">
      <c r="B16" s="157" t="s">
        <v>1869</v>
      </c>
      <c r="C16" s="158">
        <v>0.1</v>
      </c>
      <c r="D16" s="159" t="s">
        <v>1818</v>
      </c>
      <c r="E16" s="159"/>
      <c r="G16" s="149"/>
      <c r="H16" s="149"/>
      <c r="I16" s="149"/>
      <c r="J16" s="149"/>
    </row>
    <row r="19" spans="3:3" x14ac:dyDescent="0.35">
      <c r="C19" s="6">
        <f>SUM(C4:C16)</f>
        <v>10.000000000000002</v>
      </c>
    </row>
  </sheetData>
  <mergeCells count="1">
    <mergeCell ref="B1:E1"/>
  </mergeCells>
  <pageMargins left="0.511811024" right="0.511811024" top="0.78740157499999996" bottom="0.78740157499999996" header="0.31496062000000002" footer="0.3149606200000000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A31A67-0545-446D-A1D5-424E41B365D1}">
  <sheetPr codeName="Planilha37">
    <tabColor theme="9" tint="-0.249977111117893"/>
  </sheetPr>
  <dimension ref="B1:K18"/>
  <sheetViews>
    <sheetView showGridLines="0" workbookViewId="0">
      <selection activeCell="B1" sqref="B1:E1"/>
    </sheetView>
  </sheetViews>
  <sheetFormatPr defaultRowHeight="14.5" x14ac:dyDescent="0.35"/>
  <cols>
    <col min="1" max="1" width="6.81640625" customWidth="1"/>
    <col min="2" max="2" width="31.6328125" customWidth="1"/>
    <col min="3" max="3" width="5.6328125" style="3" bestFit="1" customWidth="1"/>
    <col min="4" max="5" width="26.6328125" customWidth="1"/>
    <col min="7" max="7" width="36.54296875" customWidth="1"/>
    <col min="8" max="8" width="3.453125" bestFit="1" customWidth="1"/>
    <col min="9" max="10" width="32.1796875" customWidth="1"/>
    <col min="11" max="11" width="23.90625" customWidth="1"/>
  </cols>
  <sheetData>
    <row r="1" spans="2:11" ht="17.5" x14ac:dyDescent="0.35">
      <c r="B1" s="212" t="s">
        <v>2299</v>
      </c>
      <c r="C1" s="212"/>
      <c r="D1" s="212"/>
      <c r="E1" s="212"/>
    </row>
    <row r="2" spans="2:11" ht="17.5" x14ac:dyDescent="0.35">
      <c r="B2" s="151"/>
    </row>
    <row r="3" spans="2:11" x14ac:dyDescent="0.35">
      <c r="B3" s="152" t="s">
        <v>1812</v>
      </c>
      <c r="C3" s="152" t="s">
        <v>472</v>
      </c>
      <c r="D3" s="152" t="s">
        <v>1815</v>
      </c>
      <c r="E3" s="152" t="s">
        <v>1816</v>
      </c>
      <c r="G3" s="148"/>
      <c r="H3" s="148"/>
      <c r="I3" s="148"/>
      <c r="J3" s="148"/>
    </row>
    <row r="4" spans="2:11" ht="58" x14ac:dyDescent="0.35">
      <c r="B4" s="157" t="s">
        <v>2218</v>
      </c>
      <c r="C4" s="158">
        <v>0.3</v>
      </c>
      <c r="D4" s="159" t="s">
        <v>1841</v>
      </c>
      <c r="E4" s="159" t="s">
        <v>1873</v>
      </c>
      <c r="G4" s="150" t="s">
        <v>2006</v>
      </c>
      <c r="H4" s="149">
        <v>1</v>
      </c>
      <c r="I4" s="149" t="s">
        <v>2021</v>
      </c>
      <c r="J4" s="149" t="s">
        <v>2007</v>
      </c>
    </row>
    <row r="5" spans="2:11" ht="43.5" x14ac:dyDescent="0.35">
      <c r="B5" s="154" t="s">
        <v>1257</v>
      </c>
      <c r="C5" s="156">
        <v>0.4</v>
      </c>
      <c r="D5" s="153" t="s">
        <v>1967</v>
      </c>
      <c r="E5" s="153" t="s">
        <v>1968</v>
      </c>
      <c r="G5" s="154" t="s">
        <v>1964</v>
      </c>
      <c r="H5" s="156">
        <v>1.32</v>
      </c>
      <c r="I5" s="153" t="s">
        <v>1965</v>
      </c>
      <c r="J5" s="153" t="s">
        <v>1966</v>
      </c>
    </row>
    <row r="6" spans="2:11" ht="43.5" x14ac:dyDescent="0.35">
      <c r="B6" s="154" t="s">
        <v>1213</v>
      </c>
      <c r="C6" s="156">
        <v>1.9</v>
      </c>
      <c r="D6" s="153" t="s">
        <v>2161</v>
      </c>
      <c r="E6" s="153" t="s">
        <v>2162</v>
      </c>
      <c r="G6" s="150"/>
      <c r="H6" s="149"/>
      <c r="I6" s="149"/>
      <c r="J6" s="149"/>
    </row>
    <row r="7" spans="2:11" ht="58" x14ac:dyDescent="0.35">
      <c r="B7" s="154" t="s">
        <v>1356</v>
      </c>
      <c r="C7" s="156">
        <v>2</v>
      </c>
      <c r="D7" s="153" t="s">
        <v>2163</v>
      </c>
      <c r="E7" s="153" t="s">
        <v>2164</v>
      </c>
      <c r="G7" s="150"/>
      <c r="H7" s="149"/>
      <c r="I7" s="149"/>
      <c r="J7" s="149"/>
      <c r="K7" s="148"/>
    </row>
    <row r="8" spans="2:11" ht="58" x14ac:dyDescent="0.35">
      <c r="B8" s="154" t="s">
        <v>2165</v>
      </c>
      <c r="C8" s="156">
        <v>2</v>
      </c>
      <c r="D8" s="153" t="s">
        <v>2166</v>
      </c>
      <c r="E8" s="153" t="s">
        <v>2167</v>
      </c>
      <c r="G8" s="150"/>
      <c r="H8" s="149"/>
      <c r="I8" s="149"/>
      <c r="J8" s="149"/>
      <c r="K8" s="149"/>
    </row>
    <row r="9" spans="2:11" ht="43.5" x14ac:dyDescent="0.35">
      <c r="B9" s="154" t="s">
        <v>2168</v>
      </c>
      <c r="C9" s="156">
        <v>2</v>
      </c>
      <c r="D9" s="153" t="s">
        <v>2169</v>
      </c>
      <c r="E9" s="153" t="s">
        <v>2170</v>
      </c>
      <c r="G9" s="150"/>
      <c r="H9" s="149"/>
      <c r="I9" s="149"/>
      <c r="J9" s="149"/>
      <c r="K9" s="149"/>
    </row>
    <row r="10" spans="2:11" ht="43.5" x14ac:dyDescent="0.35">
      <c r="B10" s="157" t="s">
        <v>1826</v>
      </c>
      <c r="C10" s="158">
        <v>0.3</v>
      </c>
      <c r="D10" s="159" t="s">
        <v>1827</v>
      </c>
      <c r="E10" s="159" t="s">
        <v>1828</v>
      </c>
      <c r="K10" s="149"/>
    </row>
    <row r="11" spans="2:11" ht="58" x14ac:dyDescent="0.35">
      <c r="B11" s="157" t="s">
        <v>1819</v>
      </c>
      <c r="C11" s="158">
        <v>0.3</v>
      </c>
      <c r="D11" s="159" t="s">
        <v>1820</v>
      </c>
      <c r="E11" s="159" t="s">
        <v>1821</v>
      </c>
      <c r="G11" s="149"/>
      <c r="H11" s="149"/>
      <c r="I11" s="149"/>
      <c r="J11" s="149"/>
    </row>
    <row r="12" spans="2:11" ht="58" x14ac:dyDescent="0.35">
      <c r="B12" s="157" t="s">
        <v>1822</v>
      </c>
      <c r="C12" s="158">
        <v>0.15</v>
      </c>
      <c r="D12" s="159" t="s">
        <v>1823</v>
      </c>
      <c r="E12" s="159" t="s">
        <v>1824</v>
      </c>
      <c r="G12" s="149"/>
      <c r="H12" s="149"/>
      <c r="I12" s="149"/>
      <c r="J12" s="149"/>
    </row>
    <row r="13" spans="2:11" ht="43.5" x14ac:dyDescent="0.35">
      <c r="B13" s="157" t="s">
        <v>1872</v>
      </c>
      <c r="C13" s="158">
        <v>0.3</v>
      </c>
      <c r="D13" s="159" t="s">
        <v>1825</v>
      </c>
      <c r="E13" s="159"/>
      <c r="G13" s="149"/>
      <c r="H13" s="149"/>
      <c r="I13" s="149"/>
      <c r="J13" s="149"/>
    </row>
    <row r="14" spans="2:11" ht="43.5" x14ac:dyDescent="0.35">
      <c r="B14" s="154" t="s">
        <v>1972</v>
      </c>
      <c r="C14" s="156">
        <v>0.25</v>
      </c>
      <c r="D14" s="153" t="s">
        <v>1919</v>
      </c>
      <c r="E14" s="153"/>
      <c r="G14" s="149"/>
      <c r="H14" s="149"/>
      <c r="I14" s="149"/>
      <c r="J14" s="149"/>
    </row>
    <row r="15" spans="2:11" ht="72.5" x14ac:dyDescent="0.35">
      <c r="B15" s="157" t="s">
        <v>1869</v>
      </c>
      <c r="C15" s="158">
        <v>0.1</v>
      </c>
      <c r="D15" s="159" t="s">
        <v>1818</v>
      </c>
      <c r="E15" s="159"/>
      <c r="G15" s="149"/>
      <c r="H15" s="149"/>
      <c r="I15" s="149"/>
      <c r="J15" s="149"/>
    </row>
    <row r="18" spans="3:3" x14ac:dyDescent="0.35">
      <c r="C18" s="6">
        <f>SUM(C4:C15)</f>
        <v>10.000000000000002</v>
      </c>
    </row>
  </sheetData>
  <mergeCells count="1">
    <mergeCell ref="B1:E1"/>
  </mergeCells>
  <pageMargins left="0.511811024" right="0.511811024" top="0.78740157499999996" bottom="0.78740157499999996" header="0.31496062000000002" footer="0.3149606200000000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7EC86-60A6-44E9-AD7C-C6C8FC25C07E}">
  <sheetPr codeName="Planilha38">
    <tabColor theme="9" tint="-0.249977111117893"/>
  </sheetPr>
  <dimension ref="B1:K18"/>
  <sheetViews>
    <sheetView showGridLines="0" topLeftCell="A7" workbookViewId="0">
      <selection activeCell="B1" sqref="B1:E1"/>
    </sheetView>
  </sheetViews>
  <sheetFormatPr defaultRowHeight="14.5" x14ac:dyDescent="0.35"/>
  <cols>
    <col min="1" max="1" width="6.81640625" customWidth="1"/>
    <col min="2" max="2" width="31.6328125" customWidth="1"/>
    <col min="3" max="3" width="5.6328125" style="3" bestFit="1" customWidth="1"/>
    <col min="4" max="5" width="26.6328125" customWidth="1"/>
    <col min="7" max="7" width="36.54296875" customWidth="1"/>
    <col min="8" max="8" width="3.453125" bestFit="1" customWidth="1"/>
    <col min="9" max="10" width="32.1796875" customWidth="1"/>
    <col min="11" max="11" width="23.90625" customWidth="1"/>
  </cols>
  <sheetData>
    <row r="1" spans="2:11" ht="17.5" x14ac:dyDescent="0.35">
      <c r="B1" s="212" t="s">
        <v>2300</v>
      </c>
      <c r="C1" s="212"/>
      <c r="D1" s="212"/>
      <c r="E1" s="212"/>
    </row>
    <row r="2" spans="2:11" ht="17.5" x14ac:dyDescent="0.35">
      <c r="B2" s="151"/>
    </row>
    <row r="3" spans="2:11" x14ac:dyDescent="0.35">
      <c r="B3" s="152" t="s">
        <v>1812</v>
      </c>
      <c r="C3" s="152" t="s">
        <v>472</v>
      </c>
      <c r="D3" s="152" t="s">
        <v>1815</v>
      </c>
      <c r="E3" s="152" t="s">
        <v>1816</v>
      </c>
      <c r="G3" s="148"/>
      <c r="H3" s="148"/>
      <c r="I3" s="148"/>
      <c r="J3" s="148"/>
    </row>
    <row r="4" spans="2:11" ht="58" x14ac:dyDescent="0.35">
      <c r="B4" s="157" t="s">
        <v>2218</v>
      </c>
      <c r="C4" s="158">
        <v>0.3</v>
      </c>
      <c r="D4" s="159" t="s">
        <v>1841</v>
      </c>
      <c r="E4" s="159" t="s">
        <v>1873</v>
      </c>
      <c r="G4" s="150" t="s">
        <v>2006</v>
      </c>
      <c r="H4" s="149">
        <v>1</v>
      </c>
      <c r="I4" s="149" t="s">
        <v>2021</v>
      </c>
      <c r="J4" s="149" t="s">
        <v>2007</v>
      </c>
    </row>
    <row r="5" spans="2:11" ht="43.5" x14ac:dyDescent="0.35">
      <c r="B5" s="154" t="s">
        <v>1257</v>
      </c>
      <c r="C5" s="156">
        <v>0.4</v>
      </c>
      <c r="D5" s="153" t="s">
        <v>1967</v>
      </c>
      <c r="E5" s="153" t="s">
        <v>1968</v>
      </c>
      <c r="G5" s="154" t="s">
        <v>1964</v>
      </c>
      <c r="H5" s="156">
        <v>1.32</v>
      </c>
      <c r="I5" s="153" t="s">
        <v>1965</v>
      </c>
      <c r="J5" s="153" t="s">
        <v>1966</v>
      </c>
    </row>
    <row r="6" spans="2:11" ht="58" x14ac:dyDescent="0.35">
      <c r="B6" s="154" t="s">
        <v>1213</v>
      </c>
      <c r="C6" s="156">
        <v>1.9</v>
      </c>
      <c r="D6" s="153" t="s">
        <v>2171</v>
      </c>
      <c r="E6" s="153" t="s">
        <v>2172</v>
      </c>
      <c r="G6" s="150"/>
      <c r="H6" s="149"/>
      <c r="I6" s="149"/>
      <c r="J6" s="149"/>
    </row>
    <row r="7" spans="2:11" ht="58" x14ac:dyDescent="0.35">
      <c r="B7" s="154" t="s">
        <v>1354</v>
      </c>
      <c r="C7" s="156">
        <v>2</v>
      </c>
      <c r="D7" s="153" t="s">
        <v>2173</v>
      </c>
      <c r="E7" s="153" t="s">
        <v>2174</v>
      </c>
      <c r="G7" s="150"/>
      <c r="H7" s="149"/>
      <c r="I7" s="149"/>
      <c r="J7" s="149"/>
      <c r="K7" s="148"/>
    </row>
    <row r="8" spans="2:11" ht="58" x14ac:dyDescent="0.35">
      <c r="B8" s="154" t="s">
        <v>2175</v>
      </c>
      <c r="C8" s="156">
        <v>2</v>
      </c>
      <c r="D8" s="153" t="s">
        <v>2176</v>
      </c>
      <c r="E8" s="153" t="s">
        <v>2177</v>
      </c>
      <c r="G8" s="150"/>
      <c r="H8" s="149"/>
      <c r="I8" s="149"/>
      <c r="J8" s="149"/>
      <c r="K8" s="149"/>
    </row>
    <row r="9" spans="2:11" ht="72.5" x14ac:dyDescent="0.35">
      <c r="B9" s="154" t="s">
        <v>2178</v>
      </c>
      <c r="C9" s="156">
        <v>2</v>
      </c>
      <c r="D9" s="153" t="s">
        <v>2179</v>
      </c>
      <c r="E9" s="153" t="s">
        <v>2301</v>
      </c>
      <c r="G9" s="150"/>
      <c r="H9" s="149"/>
      <c r="I9" s="149"/>
      <c r="J9" s="149"/>
      <c r="K9" s="149"/>
    </row>
    <row r="10" spans="2:11" ht="43.5" x14ac:dyDescent="0.35">
      <c r="B10" s="157" t="s">
        <v>1826</v>
      </c>
      <c r="C10" s="158">
        <v>0.3</v>
      </c>
      <c r="D10" s="159" t="s">
        <v>1827</v>
      </c>
      <c r="E10" s="159" t="s">
        <v>1828</v>
      </c>
      <c r="K10" s="149"/>
    </row>
    <row r="11" spans="2:11" ht="58" x14ac:dyDescent="0.35">
      <c r="B11" s="157" t="s">
        <v>1819</v>
      </c>
      <c r="C11" s="158">
        <v>0.3</v>
      </c>
      <c r="D11" s="159" t="s">
        <v>1820</v>
      </c>
      <c r="E11" s="159" t="s">
        <v>1821</v>
      </c>
      <c r="G11" s="149"/>
      <c r="H11" s="149"/>
      <c r="I11" s="149"/>
      <c r="J11" s="149"/>
    </row>
    <row r="12" spans="2:11" ht="58" x14ac:dyDescent="0.35">
      <c r="B12" s="157" t="s">
        <v>1822</v>
      </c>
      <c r="C12" s="158">
        <v>0.15</v>
      </c>
      <c r="D12" s="159" t="s">
        <v>1823</v>
      </c>
      <c r="E12" s="159" t="s">
        <v>1824</v>
      </c>
      <c r="G12" s="149"/>
      <c r="H12" s="149"/>
      <c r="I12" s="149"/>
      <c r="J12" s="149"/>
    </row>
    <row r="13" spans="2:11" ht="43.5" x14ac:dyDescent="0.35">
      <c r="B13" s="157" t="s">
        <v>1872</v>
      </c>
      <c r="C13" s="158">
        <v>0.3</v>
      </c>
      <c r="D13" s="159" t="s">
        <v>1825</v>
      </c>
      <c r="E13" s="159"/>
      <c r="G13" s="149"/>
      <c r="H13" s="149"/>
      <c r="I13" s="149"/>
      <c r="J13" s="149"/>
    </row>
    <row r="14" spans="2:11" ht="43.5" x14ac:dyDescent="0.35">
      <c r="B14" s="154" t="s">
        <v>1972</v>
      </c>
      <c r="C14" s="156">
        <v>0.25</v>
      </c>
      <c r="D14" s="153" t="s">
        <v>1919</v>
      </c>
      <c r="E14" s="153"/>
      <c r="G14" s="149"/>
      <c r="H14" s="149"/>
      <c r="I14" s="149"/>
      <c r="J14" s="149"/>
    </row>
    <row r="15" spans="2:11" ht="72.5" x14ac:dyDescent="0.35">
      <c r="B15" s="157" t="s">
        <v>1869</v>
      </c>
      <c r="C15" s="158">
        <v>0.1</v>
      </c>
      <c r="D15" s="159" t="s">
        <v>1818</v>
      </c>
      <c r="E15" s="159"/>
      <c r="G15" s="149"/>
      <c r="H15" s="149"/>
      <c r="I15" s="149"/>
      <c r="J15" s="149"/>
    </row>
    <row r="18" spans="3:3" x14ac:dyDescent="0.35">
      <c r="C18" s="6">
        <f>SUM(C4:C15)</f>
        <v>10.000000000000002</v>
      </c>
    </row>
  </sheetData>
  <mergeCells count="1">
    <mergeCell ref="B1:E1"/>
  </mergeCells>
  <pageMargins left="0.511811024" right="0.511811024" top="0.78740157499999996" bottom="0.78740157499999996" header="0.31496062000000002" footer="0.3149606200000000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6BB45-0A61-4EA9-A4E6-50B9F8DA9602}">
  <sheetPr codeName="Planilha44">
    <tabColor theme="9" tint="-0.249977111117893"/>
  </sheetPr>
  <dimension ref="B1:K17"/>
  <sheetViews>
    <sheetView showGridLines="0" workbookViewId="0">
      <selection activeCell="A15" sqref="A15:XFD16"/>
    </sheetView>
  </sheetViews>
  <sheetFormatPr defaultRowHeight="14.5" x14ac:dyDescent="0.35"/>
  <cols>
    <col min="1" max="1" width="6.81640625" customWidth="1"/>
    <col min="2" max="2" width="31.6328125" customWidth="1"/>
    <col min="3" max="3" width="5.6328125" style="3" customWidth="1"/>
    <col min="4" max="5" width="31.6328125" customWidth="1"/>
    <col min="7" max="7" width="36.54296875" customWidth="1"/>
    <col min="8" max="8" width="3.453125" bestFit="1" customWidth="1"/>
    <col min="9" max="10" width="32.1796875" customWidth="1"/>
    <col min="11" max="11" width="23.90625" customWidth="1"/>
  </cols>
  <sheetData>
    <row r="1" spans="2:11" ht="17.5" x14ac:dyDescent="0.35">
      <c r="B1" s="209" t="s">
        <v>2357</v>
      </c>
      <c r="C1" s="209"/>
      <c r="D1" s="209"/>
      <c r="E1" s="209"/>
    </row>
    <row r="2" spans="2:11" x14ac:dyDescent="0.35">
      <c r="B2" s="185" t="s">
        <v>1812</v>
      </c>
      <c r="C2" s="185" t="s">
        <v>472</v>
      </c>
      <c r="D2" s="185" t="s">
        <v>1815</v>
      </c>
      <c r="E2" s="185" t="s">
        <v>1816</v>
      </c>
      <c r="G2" s="148"/>
      <c r="H2" s="148"/>
      <c r="I2" s="148"/>
      <c r="J2" s="148"/>
    </row>
    <row r="3" spans="2:11" ht="43.5" x14ac:dyDescent="0.35">
      <c r="B3" s="157" t="s">
        <v>1813</v>
      </c>
      <c r="C3" s="158">
        <v>0.3</v>
      </c>
      <c r="D3" s="159" t="s">
        <v>1841</v>
      </c>
      <c r="E3" s="159" t="s">
        <v>1873</v>
      </c>
      <c r="F3" s="179"/>
    </row>
    <row r="4" spans="2:11" ht="29" x14ac:dyDescent="0.35">
      <c r="B4" s="154" t="s">
        <v>1257</v>
      </c>
      <c r="C4" s="156">
        <v>0.4</v>
      </c>
      <c r="D4" s="153" t="s">
        <v>1967</v>
      </c>
      <c r="E4" s="153" t="s">
        <v>1968</v>
      </c>
    </row>
    <row r="5" spans="2:11" ht="58" x14ac:dyDescent="0.35">
      <c r="B5" s="154" t="s">
        <v>1213</v>
      </c>
      <c r="C5" s="156">
        <v>2</v>
      </c>
      <c r="D5" s="153" t="s">
        <v>2171</v>
      </c>
      <c r="E5" s="153" t="s">
        <v>2172</v>
      </c>
      <c r="G5" s="150"/>
      <c r="H5" s="149"/>
      <c r="I5" s="149"/>
      <c r="J5" s="149"/>
    </row>
    <row r="6" spans="2:11" ht="58" x14ac:dyDescent="0.35">
      <c r="B6" s="154" t="s">
        <v>2229</v>
      </c>
      <c r="C6" s="156">
        <v>2.95</v>
      </c>
      <c r="D6" s="153" t="s">
        <v>1849</v>
      </c>
      <c r="E6" s="153" t="s">
        <v>2228</v>
      </c>
      <c r="G6" s="150"/>
      <c r="H6" s="149"/>
      <c r="I6" s="149"/>
      <c r="J6" s="149"/>
      <c r="K6" s="148"/>
    </row>
    <row r="7" spans="2:11" ht="58" x14ac:dyDescent="0.35">
      <c r="B7" s="154" t="s">
        <v>1852</v>
      </c>
      <c r="C7" s="156">
        <v>2</v>
      </c>
      <c r="D7" s="153" t="s">
        <v>1853</v>
      </c>
      <c r="E7" s="153" t="s">
        <v>2231</v>
      </c>
      <c r="G7" s="150"/>
      <c r="H7" s="149"/>
      <c r="I7" s="149"/>
      <c r="J7" s="149"/>
      <c r="K7" s="149"/>
    </row>
    <row r="8" spans="2:11" ht="58" x14ac:dyDescent="0.35">
      <c r="B8" s="154" t="s">
        <v>1850</v>
      </c>
      <c r="C8" s="156">
        <v>1</v>
      </c>
      <c r="D8" s="153" t="s">
        <v>1851</v>
      </c>
      <c r="E8" s="153" t="s">
        <v>2230</v>
      </c>
      <c r="G8" s="150"/>
      <c r="H8" s="149"/>
      <c r="I8" s="149"/>
      <c r="J8" s="149"/>
      <c r="K8" s="149"/>
    </row>
    <row r="9" spans="2:11" ht="43.5" x14ac:dyDescent="0.35">
      <c r="B9" s="157" t="s">
        <v>1826</v>
      </c>
      <c r="C9" s="158">
        <v>0.3</v>
      </c>
      <c r="D9" s="159" t="s">
        <v>1827</v>
      </c>
      <c r="E9" s="159" t="s">
        <v>1828</v>
      </c>
      <c r="K9" s="149"/>
    </row>
    <row r="10" spans="2:11" ht="43.5" x14ac:dyDescent="0.35">
      <c r="B10" s="157" t="s">
        <v>1819</v>
      </c>
      <c r="C10" s="158">
        <v>0.3</v>
      </c>
      <c r="D10" s="159" t="s">
        <v>1820</v>
      </c>
      <c r="E10" s="159" t="s">
        <v>1821</v>
      </c>
      <c r="G10" s="149"/>
      <c r="H10" s="149"/>
      <c r="I10" s="149"/>
      <c r="J10" s="149"/>
    </row>
    <row r="11" spans="2:11" ht="58" x14ac:dyDescent="0.35">
      <c r="B11" s="157" t="s">
        <v>1822</v>
      </c>
      <c r="C11" s="158">
        <v>0.15</v>
      </c>
      <c r="D11" s="159" t="s">
        <v>1823</v>
      </c>
      <c r="E11" s="159" t="s">
        <v>1824</v>
      </c>
      <c r="G11" s="149"/>
      <c r="H11" s="149"/>
      <c r="I11" s="149"/>
      <c r="J11" s="149"/>
    </row>
    <row r="12" spans="2:11" ht="43.5" x14ac:dyDescent="0.35">
      <c r="B12" s="157" t="s">
        <v>1872</v>
      </c>
      <c r="C12" s="158">
        <v>0.2</v>
      </c>
      <c r="D12" s="159" t="s">
        <v>1825</v>
      </c>
      <c r="E12" s="159"/>
      <c r="G12" s="149"/>
      <c r="H12" s="149"/>
      <c r="I12" s="149"/>
      <c r="J12" s="149"/>
    </row>
    <row r="13" spans="2:11" ht="29" x14ac:dyDescent="0.35">
      <c r="B13" s="154" t="s">
        <v>1972</v>
      </c>
      <c r="C13" s="156">
        <v>0.3</v>
      </c>
      <c r="D13" s="153" t="s">
        <v>1919</v>
      </c>
      <c r="E13" s="153"/>
      <c r="G13" s="149"/>
      <c r="H13" s="149"/>
      <c r="I13" s="149"/>
      <c r="J13" s="149"/>
    </row>
    <row r="14" spans="2:11" ht="58" x14ac:dyDescent="0.35">
      <c r="B14" s="157" t="s">
        <v>1869</v>
      </c>
      <c r="C14" s="158">
        <v>0.1</v>
      </c>
      <c r="D14" s="159" t="s">
        <v>1818</v>
      </c>
      <c r="E14" s="159"/>
      <c r="G14" s="149"/>
      <c r="H14" s="149"/>
      <c r="I14" s="149"/>
      <c r="J14" s="149"/>
    </row>
    <row r="17" spans="3:3" x14ac:dyDescent="0.35">
      <c r="C17" s="6">
        <f>SUM(C3:C14)</f>
        <v>10.000000000000002</v>
      </c>
    </row>
  </sheetData>
  <mergeCells count="1">
    <mergeCell ref="B1:E1"/>
  </mergeCells>
  <pageMargins left="0.511811024" right="0.511811024" top="0.78740157499999996" bottom="0.78740157499999996" header="0.31496062000000002" footer="0.3149606200000000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A68632-1E10-4508-B1CF-88C8AAF25FD7}">
  <sheetPr codeName="Planilha45">
    <tabColor theme="9" tint="-0.249977111117893"/>
  </sheetPr>
  <dimension ref="B1:K13"/>
  <sheetViews>
    <sheetView showGridLines="0" zoomScale="90" zoomScaleNormal="90" workbookViewId="0">
      <selection activeCell="B3" sqref="B3"/>
    </sheetView>
  </sheetViews>
  <sheetFormatPr defaultRowHeight="14.5" x14ac:dyDescent="0.35"/>
  <cols>
    <col min="1" max="1" width="6.81640625" customWidth="1"/>
    <col min="2" max="2" width="31.6328125" customWidth="1"/>
    <col min="3" max="3" width="5.453125" style="3" bestFit="1" customWidth="1"/>
    <col min="4" max="5" width="31.6328125" customWidth="1"/>
    <col min="7" max="7" width="36.54296875" customWidth="1"/>
    <col min="8" max="8" width="3.453125" bestFit="1" customWidth="1"/>
    <col min="9" max="10" width="32.1796875" customWidth="1"/>
    <col min="11" max="11" width="23.90625" customWidth="1"/>
  </cols>
  <sheetData>
    <row r="1" spans="2:11" ht="17.5" x14ac:dyDescent="0.35">
      <c r="B1" s="209" t="s">
        <v>2362</v>
      </c>
      <c r="C1" s="209"/>
      <c r="D1" s="209"/>
      <c r="E1" s="209"/>
    </row>
    <row r="2" spans="2:11" x14ac:dyDescent="0.35">
      <c r="B2" s="185" t="s">
        <v>1812</v>
      </c>
      <c r="C2" s="185" t="s">
        <v>472</v>
      </c>
      <c r="D2" s="185" t="s">
        <v>1815</v>
      </c>
      <c r="E2" s="185" t="s">
        <v>1816</v>
      </c>
    </row>
    <row r="3" spans="2:11" ht="43.5" x14ac:dyDescent="0.35">
      <c r="B3" s="154" t="s">
        <v>2217</v>
      </c>
      <c r="C3" s="158">
        <v>0.3</v>
      </c>
      <c r="D3" s="159" t="s">
        <v>1841</v>
      </c>
      <c r="E3" s="159" t="s">
        <v>2305</v>
      </c>
      <c r="G3" s="150"/>
      <c r="H3" s="149"/>
      <c r="I3" s="149"/>
      <c r="J3" s="149"/>
    </row>
    <row r="4" spans="2:11" ht="43.5" x14ac:dyDescent="0.35">
      <c r="B4" s="154" t="s">
        <v>1317</v>
      </c>
      <c r="C4" s="156">
        <v>1.3</v>
      </c>
      <c r="D4" s="153" t="s">
        <v>2093</v>
      </c>
      <c r="E4" s="153"/>
      <c r="G4" s="150"/>
      <c r="H4" s="149"/>
      <c r="I4" s="149"/>
      <c r="J4" s="149"/>
    </row>
    <row r="5" spans="2:11" ht="43.5" x14ac:dyDescent="0.35">
      <c r="B5" s="154" t="s">
        <v>2094</v>
      </c>
      <c r="C5" s="156">
        <v>1.3</v>
      </c>
      <c r="D5" s="153" t="s">
        <v>2095</v>
      </c>
      <c r="E5" s="153"/>
      <c r="G5" s="150"/>
      <c r="H5" s="149"/>
      <c r="I5" s="149"/>
      <c r="J5" s="149"/>
    </row>
    <row r="6" spans="2:11" ht="58" x14ac:dyDescent="0.35">
      <c r="B6" s="154" t="s">
        <v>1319</v>
      </c>
      <c r="C6" s="156">
        <v>1.4</v>
      </c>
      <c r="D6" s="153" t="s">
        <v>2096</v>
      </c>
      <c r="E6" s="153"/>
      <c r="G6" s="150"/>
      <c r="H6" s="149"/>
      <c r="I6" s="149"/>
      <c r="J6" s="149"/>
      <c r="K6" s="148"/>
    </row>
    <row r="7" spans="2:11" ht="43.5" x14ac:dyDescent="0.35">
      <c r="B7" s="154" t="s">
        <v>2325</v>
      </c>
      <c r="C7" s="156">
        <v>1.3</v>
      </c>
      <c r="D7" s="153" t="s">
        <v>2097</v>
      </c>
      <c r="E7" s="176" t="s">
        <v>2326</v>
      </c>
      <c r="G7" s="150"/>
      <c r="H7" s="149"/>
      <c r="I7" s="149"/>
      <c r="J7" s="149"/>
      <c r="K7" s="149"/>
    </row>
    <row r="8" spans="2:11" ht="58" x14ac:dyDescent="0.35">
      <c r="B8" s="154" t="s">
        <v>1320</v>
      </c>
      <c r="C8" s="156">
        <v>1.4</v>
      </c>
      <c r="D8" s="153" t="s">
        <v>2098</v>
      </c>
      <c r="E8" s="153" t="s">
        <v>2327</v>
      </c>
      <c r="G8" s="150"/>
      <c r="H8" s="149"/>
      <c r="I8" s="149"/>
      <c r="J8" s="149"/>
      <c r="K8" s="149"/>
    </row>
    <row r="9" spans="2:11" ht="58" x14ac:dyDescent="0.35">
      <c r="B9" s="154" t="s">
        <v>1321</v>
      </c>
      <c r="C9" s="156">
        <v>1.4</v>
      </c>
      <c r="D9" s="153" t="s">
        <v>2099</v>
      </c>
      <c r="E9" s="153"/>
      <c r="G9" s="150"/>
      <c r="H9" s="149"/>
      <c r="I9" s="149"/>
      <c r="J9" s="149"/>
      <c r="K9" s="149"/>
    </row>
    <row r="10" spans="2:11" ht="43.5" x14ac:dyDescent="0.35">
      <c r="B10" s="154" t="s">
        <v>2102</v>
      </c>
      <c r="C10" s="156">
        <v>1.3</v>
      </c>
      <c r="D10" s="153" t="s">
        <v>2100</v>
      </c>
      <c r="E10" s="153" t="s">
        <v>2339</v>
      </c>
      <c r="G10" s="150"/>
      <c r="H10" s="149"/>
      <c r="I10" s="149"/>
      <c r="J10" s="149"/>
      <c r="K10" s="149"/>
    </row>
    <row r="11" spans="2:11" ht="43.5" x14ac:dyDescent="0.35">
      <c r="B11" s="154" t="s">
        <v>1323</v>
      </c>
      <c r="C11" s="158">
        <v>0.3</v>
      </c>
      <c r="D11" s="153" t="s">
        <v>2101</v>
      </c>
      <c r="E11" s="153"/>
      <c r="G11" s="150"/>
      <c r="H11" s="149"/>
      <c r="I11" s="149"/>
      <c r="J11" s="149"/>
      <c r="K11" s="149"/>
    </row>
    <row r="13" spans="2:11" x14ac:dyDescent="0.35">
      <c r="C13" s="6">
        <f>SUM(C3:C11)</f>
        <v>10.000000000000002</v>
      </c>
    </row>
  </sheetData>
  <mergeCells count="1">
    <mergeCell ref="B1:E1"/>
  </mergeCells>
  <pageMargins left="0.511811024" right="0.511811024" top="0.78740157499999996" bottom="0.78740157499999996" header="0.31496062000000002" footer="0.3149606200000000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13686-4BE8-4D26-974A-EEB982A8F52A}">
  <sheetPr>
    <tabColor theme="9" tint="-0.249977111117893"/>
  </sheetPr>
  <dimension ref="B1:E17"/>
  <sheetViews>
    <sheetView workbookViewId="0">
      <selection activeCell="B2" sqref="B1:D1048576"/>
    </sheetView>
  </sheetViews>
  <sheetFormatPr defaultRowHeight="14.5" x14ac:dyDescent="0.35"/>
  <cols>
    <col min="1" max="1" width="8.7265625" style="190"/>
    <col min="2" max="2" width="33.26953125" style="191" customWidth="1"/>
    <col min="3" max="3" width="5" style="191" customWidth="1"/>
    <col min="4" max="4" width="31.36328125" style="190" customWidth="1"/>
    <col min="5" max="5" width="26.90625" style="190" customWidth="1"/>
    <col min="6" max="16384" width="8.7265625" style="190"/>
  </cols>
  <sheetData>
    <row r="1" spans="2:5" ht="17.5" x14ac:dyDescent="0.35">
      <c r="B1" s="213" t="s">
        <v>2378</v>
      </c>
      <c r="C1" s="213"/>
      <c r="D1" s="213"/>
      <c r="E1" s="213"/>
    </row>
    <row r="2" spans="2:5" x14ac:dyDescent="0.35">
      <c r="B2" s="197" t="s">
        <v>1812</v>
      </c>
      <c r="C2" s="197" t="s">
        <v>472</v>
      </c>
      <c r="D2" s="197" t="s">
        <v>1815</v>
      </c>
      <c r="E2" s="197" t="s">
        <v>1816</v>
      </c>
    </row>
    <row r="3" spans="2:5" ht="43.5" x14ac:dyDescent="0.35">
      <c r="B3" s="188" t="s">
        <v>2218</v>
      </c>
      <c r="C3" s="158">
        <v>0.3</v>
      </c>
      <c r="D3" s="177" t="s">
        <v>1841</v>
      </c>
      <c r="E3" s="177" t="s">
        <v>1873</v>
      </c>
    </row>
    <row r="4" spans="2:5" ht="31" customHeight="1" x14ac:dyDescent="0.35">
      <c r="B4" s="188" t="s">
        <v>1257</v>
      </c>
      <c r="C4" s="156">
        <v>0.4</v>
      </c>
      <c r="D4" s="153" t="s">
        <v>1999</v>
      </c>
      <c r="E4" s="153" t="s">
        <v>2000</v>
      </c>
    </row>
    <row r="5" spans="2:5" ht="29" x14ac:dyDescent="0.35">
      <c r="B5" s="188" t="s">
        <v>1213</v>
      </c>
      <c r="C5" s="156">
        <v>2</v>
      </c>
      <c r="D5" s="153" t="s">
        <v>2036</v>
      </c>
      <c r="E5" s="153" t="s">
        <v>2037</v>
      </c>
    </row>
    <row r="6" spans="2:5" ht="43.5" x14ac:dyDescent="0.35">
      <c r="B6" s="188" t="s">
        <v>2380</v>
      </c>
      <c r="C6" s="156">
        <v>2</v>
      </c>
      <c r="D6" s="153" t="s">
        <v>2385</v>
      </c>
      <c r="E6" s="153" t="s">
        <v>2386</v>
      </c>
    </row>
    <row r="7" spans="2:5" ht="29" x14ac:dyDescent="0.35">
      <c r="B7" s="188" t="s">
        <v>2382</v>
      </c>
      <c r="C7" s="18">
        <v>1.98</v>
      </c>
      <c r="D7" s="153" t="s">
        <v>2387</v>
      </c>
      <c r="E7" s="153" t="s">
        <v>2388</v>
      </c>
    </row>
    <row r="8" spans="2:5" ht="29" x14ac:dyDescent="0.35">
      <c r="B8" s="188" t="s">
        <v>2381</v>
      </c>
      <c r="C8" s="18">
        <v>1.97</v>
      </c>
      <c r="D8" s="153" t="s">
        <v>2044</v>
      </c>
      <c r="E8" s="153" t="s">
        <v>2389</v>
      </c>
    </row>
    <row r="9" spans="2:5" ht="43.5" x14ac:dyDescent="0.35">
      <c r="B9" s="188" t="s">
        <v>1826</v>
      </c>
      <c r="C9" s="158">
        <v>0.3</v>
      </c>
      <c r="D9" s="153" t="s">
        <v>1827</v>
      </c>
      <c r="E9" s="153" t="s">
        <v>1828</v>
      </c>
    </row>
    <row r="10" spans="2:5" ht="58" x14ac:dyDescent="0.35">
      <c r="B10" s="188" t="s">
        <v>1819</v>
      </c>
      <c r="C10" s="158">
        <v>0.3</v>
      </c>
      <c r="D10" s="153" t="s">
        <v>1820</v>
      </c>
      <c r="E10" s="153" t="s">
        <v>1821</v>
      </c>
    </row>
    <row r="11" spans="2:5" ht="58" x14ac:dyDescent="0.35">
      <c r="B11" s="188" t="s">
        <v>1822</v>
      </c>
      <c r="C11" s="158">
        <v>0.15</v>
      </c>
      <c r="D11" s="153" t="s">
        <v>1823</v>
      </c>
      <c r="E11" s="153" t="s">
        <v>1824</v>
      </c>
    </row>
    <row r="12" spans="2:5" ht="43.5" x14ac:dyDescent="0.35">
      <c r="B12" s="188" t="s">
        <v>1872</v>
      </c>
      <c r="C12" s="158">
        <v>0.2</v>
      </c>
      <c r="D12" s="153" t="s">
        <v>1825</v>
      </c>
      <c r="E12" s="153"/>
    </row>
    <row r="13" spans="2:5" ht="29" x14ac:dyDescent="0.35">
      <c r="B13" s="188" t="s">
        <v>1972</v>
      </c>
      <c r="C13" s="156">
        <v>0.3</v>
      </c>
      <c r="D13" s="153" t="s">
        <v>1919</v>
      </c>
      <c r="E13" s="153"/>
    </row>
    <row r="14" spans="2:5" ht="58" x14ac:dyDescent="0.35">
      <c r="B14" s="188" t="s">
        <v>2222</v>
      </c>
      <c r="C14" s="158">
        <v>0.1</v>
      </c>
      <c r="D14" s="153" t="s">
        <v>1818</v>
      </c>
      <c r="E14" s="153"/>
    </row>
    <row r="17" spans="3:3" x14ac:dyDescent="0.35">
      <c r="C17" s="192">
        <f>SUM(C3:C14)</f>
        <v>10.000000000000002</v>
      </c>
    </row>
  </sheetData>
  <mergeCells count="1">
    <mergeCell ref="B1:E1"/>
  </mergeCells>
  <pageMargins left="0.511811024" right="0.511811024" top="0.78740157499999996" bottom="0.78740157499999996" header="0.31496062000000002" footer="0.31496062000000002"/>
  <pageSetup paperSize="9"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8536D-FBC8-4A67-A3F3-002225392642}">
  <sheetPr>
    <tabColor theme="9" tint="-0.249977111117893"/>
  </sheetPr>
  <dimension ref="B1:E26"/>
  <sheetViews>
    <sheetView workbookViewId="0">
      <selection activeCell="C3" sqref="C3"/>
    </sheetView>
  </sheetViews>
  <sheetFormatPr defaultRowHeight="14.5" x14ac:dyDescent="0.35"/>
  <cols>
    <col min="1" max="1" width="8.7265625" style="190"/>
    <col min="2" max="2" width="33" style="190" customWidth="1"/>
    <col min="3" max="3" width="5.08984375" style="190" customWidth="1"/>
    <col min="4" max="4" width="30.81640625" style="190" customWidth="1"/>
    <col min="5" max="5" width="34.6328125" style="190" customWidth="1"/>
    <col min="6" max="16384" width="8.7265625" style="190"/>
  </cols>
  <sheetData>
    <row r="1" spans="2:5" ht="17.5" x14ac:dyDescent="0.35">
      <c r="B1" s="213" t="s">
        <v>2379</v>
      </c>
      <c r="C1" s="213"/>
      <c r="D1" s="213"/>
      <c r="E1" s="213"/>
    </row>
    <row r="2" spans="2:5" x14ac:dyDescent="0.35">
      <c r="B2" s="197" t="s">
        <v>1812</v>
      </c>
      <c r="C2" s="197" t="s">
        <v>472</v>
      </c>
      <c r="D2" s="197" t="s">
        <v>1815</v>
      </c>
      <c r="E2" s="197" t="s">
        <v>1816</v>
      </c>
    </row>
    <row r="3" spans="2:5" ht="43.5" x14ac:dyDescent="0.35">
      <c r="B3" s="188" t="s">
        <v>2218</v>
      </c>
      <c r="C3" s="158">
        <v>0.3</v>
      </c>
      <c r="D3" s="177" t="s">
        <v>1841</v>
      </c>
      <c r="E3" s="177" t="s">
        <v>1873</v>
      </c>
    </row>
    <row r="4" spans="2:5" ht="29" x14ac:dyDescent="0.35">
      <c r="B4" s="188" t="s">
        <v>1257</v>
      </c>
      <c r="C4" s="156">
        <v>0.4</v>
      </c>
      <c r="D4" s="177" t="s">
        <v>1999</v>
      </c>
      <c r="E4" s="177" t="s">
        <v>2390</v>
      </c>
    </row>
    <row r="5" spans="2:5" ht="29" x14ac:dyDescent="0.35">
      <c r="B5" s="188" t="s">
        <v>1213</v>
      </c>
      <c r="C5" s="156">
        <v>2</v>
      </c>
      <c r="D5" s="177" t="s">
        <v>2036</v>
      </c>
      <c r="E5" s="177" t="s">
        <v>2037</v>
      </c>
    </row>
    <row r="6" spans="2:5" ht="29" x14ac:dyDescent="0.35">
      <c r="B6" s="188" t="s">
        <v>2048</v>
      </c>
      <c r="C6" s="156">
        <v>2</v>
      </c>
      <c r="D6" s="177" t="s">
        <v>2123</v>
      </c>
      <c r="E6" s="177" t="s">
        <v>2391</v>
      </c>
    </row>
    <row r="7" spans="2:5" ht="29" x14ac:dyDescent="0.35">
      <c r="B7" s="188" t="s">
        <v>2380</v>
      </c>
      <c r="C7" s="18">
        <v>1.98</v>
      </c>
      <c r="D7" s="177" t="s">
        <v>2385</v>
      </c>
      <c r="E7" s="177" t="s">
        <v>2386</v>
      </c>
    </row>
    <row r="8" spans="2:5" ht="29" x14ac:dyDescent="0.35">
      <c r="B8" s="188" t="s">
        <v>2392</v>
      </c>
      <c r="C8" s="18">
        <v>1.97</v>
      </c>
      <c r="D8" s="177" t="s">
        <v>2387</v>
      </c>
      <c r="E8" s="177" t="s">
        <v>2388</v>
      </c>
    </row>
    <row r="9" spans="2:5" ht="43.5" x14ac:dyDescent="0.35">
      <c r="B9" s="188" t="s">
        <v>1826</v>
      </c>
      <c r="C9" s="158">
        <v>0.3</v>
      </c>
      <c r="D9" s="177" t="s">
        <v>1827</v>
      </c>
      <c r="E9" s="177" t="s">
        <v>1828</v>
      </c>
    </row>
    <row r="10" spans="2:5" ht="43.5" x14ac:dyDescent="0.35">
      <c r="B10" s="188" t="s">
        <v>2383</v>
      </c>
      <c r="C10" s="158">
        <v>0.3</v>
      </c>
      <c r="D10" s="177" t="s">
        <v>2393</v>
      </c>
      <c r="E10" s="177" t="s">
        <v>1821</v>
      </c>
    </row>
    <row r="11" spans="2:5" ht="58" x14ac:dyDescent="0.35">
      <c r="B11" s="188" t="s">
        <v>1822</v>
      </c>
      <c r="C11" s="158">
        <v>0.15</v>
      </c>
      <c r="D11" s="177" t="s">
        <v>1823</v>
      </c>
      <c r="E11" s="177" t="s">
        <v>1824</v>
      </c>
    </row>
    <row r="12" spans="2:5" ht="58" x14ac:dyDescent="0.35">
      <c r="B12" s="188" t="s">
        <v>2394</v>
      </c>
      <c r="C12" s="158">
        <v>0.2</v>
      </c>
      <c r="D12" s="177" t="s">
        <v>1825</v>
      </c>
      <c r="E12" s="177"/>
    </row>
    <row r="13" spans="2:5" ht="29" x14ac:dyDescent="0.35">
      <c r="B13" s="188" t="s">
        <v>1972</v>
      </c>
      <c r="C13" s="156">
        <v>0.3</v>
      </c>
      <c r="D13" s="177" t="s">
        <v>1919</v>
      </c>
      <c r="E13" s="177"/>
    </row>
    <row r="14" spans="2:5" ht="72.5" x14ac:dyDescent="0.35">
      <c r="B14" s="188" t="s">
        <v>2384</v>
      </c>
      <c r="C14" s="158">
        <v>0.1</v>
      </c>
      <c r="D14" s="177" t="s">
        <v>1818</v>
      </c>
      <c r="E14" s="177"/>
    </row>
    <row r="15" spans="2:5" x14ac:dyDescent="0.35">
      <c r="B15" s="193"/>
      <c r="C15" s="193"/>
      <c r="D15" s="193"/>
      <c r="E15" s="193"/>
    </row>
    <row r="16" spans="2:5" x14ac:dyDescent="0.35">
      <c r="B16" s="193"/>
      <c r="C16" s="193"/>
      <c r="D16" s="193"/>
      <c r="E16" s="193"/>
    </row>
    <row r="17" spans="2:5" x14ac:dyDescent="0.35">
      <c r="B17" s="193"/>
      <c r="C17" s="193">
        <f>SUM(C3:C14)</f>
        <v>10.000000000000002</v>
      </c>
      <c r="D17" s="193"/>
      <c r="E17" s="193"/>
    </row>
    <row r="18" spans="2:5" x14ac:dyDescent="0.35">
      <c r="B18" s="193"/>
      <c r="C18" s="193"/>
      <c r="D18" s="193"/>
      <c r="E18" s="193"/>
    </row>
    <row r="19" spans="2:5" x14ac:dyDescent="0.35">
      <c r="B19" s="193"/>
      <c r="C19" s="193"/>
      <c r="D19" s="193"/>
      <c r="E19" s="193"/>
    </row>
    <row r="20" spans="2:5" x14ac:dyDescent="0.35">
      <c r="B20" s="193"/>
      <c r="C20" s="193"/>
      <c r="D20" s="193"/>
      <c r="E20" s="193"/>
    </row>
    <row r="21" spans="2:5" x14ac:dyDescent="0.35">
      <c r="B21" s="193"/>
      <c r="C21" s="193"/>
      <c r="D21" s="193"/>
      <c r="E21" s="193"/>
    </row>
    <row r="22" spans="2:5" x14ac:dyDescent="0.35">
      <c r="B22" s="193"/>
      <c r="C22" s="193"/>
      <c r="D22" s="193"/>
      <c r="E22" s="193"/>
    </row>
    <row r="23" spans="2:5" x14ac:dyDescent="0.35">
      <c r="B23" s="193"/>
      <c r="C23" s="193"/>
      <c r="D23" s="193"/>
      <c r="E23" s="193"/>
    </row>
    <row r="24" spans="2:5" x14ac:dyDescent="0.35">
      <c r="B24" s="193"/>
      <c r="C24" s="193"/>
      <c r="D24" s="193"/>
      <c r="E24" s="193"/>
    </row>
    <row r="25" spans="2:5" x14ac:dyDescent="0.35">
      <c r="B25" s="193"/>
      <c r="C25" s="193"/>
      <c r="D25" s="193"/>
      <c r="E25" s="193"/>
    </row>
    <row r="26" spans="2:5" x14ac:dyDescent="0.35">
      <c r="B26" s="193"/>
      <c r="C26" s="193"/>
      <c r="D26" s="193"/>
      <c r="E26" s="193"/>
    </row>
  </sheetData>
  <mergeCells count="1">
    <mergeCell ref="B1:E1"/>
  </mergeCells>
  <pageMargins left="0.511811024" right="0.511811024" top="0.78740157499999996" bottom="0.78740157499999996" header="0.31496062000000002" footer="0.31496062000000002"/>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87968-3A4A-47CD-BBE1-7DA51F40E109}">
  <sheetPr>
    <tabColor theme="9" tint="-0.249977111117893"/>
  </sheetPr>
  <dimension ref="B1:E16"/>
  <sheetViews>
    <sheetView workbookViewId="0">
      <selection activeCell="D2" sqref="B1:D1048576"/>
    </sheetView>
  </sheetViews>
  <sheetFormatPr defaultRowHeight="14.5" x14ac:dyDescent="0.35"/>
  <cols>
    <col min="2" max="2" width="35.54296875" customWidth="1"/>
    <col min="3" max="3" width="5.26953125" customWidth="1"/>
    <col min="4" max="4" width="35.08984375" customWidth="1"/>
    <col min="5" max="5" width="31" customWidth="1"/>
  </cols>
  <sheetData>
    <row r="1" spans="2:5" ht="17.5" x14ac:dyDescent="0.35">
      <c r="B1" s="213" t="s">
        <v>2395</v>
      </c>
      <c r="C1" s="213"/>
      <c r="D1" s="213"/>
      <c r="E1" s="213"/>
    </row>
    <row r="2" spans="2:5" x14ac:dyDescent="0.35">
      <c r="B2" s="197" t="s">
        <v>1812</v>
      </c>
      <c r="C2" s="197" t="s">
        <v>472</v>
      </c>
      <c r="D2" s="197" t="s">
        <v>1815</v>
      </c>
      <c r="E2" s="197" t="s">
        <v>1816</v>
      </c>
    </row>
    <row r="3" spans="2:5" ht="43.5" x14ac:dyDescent="0.35">
      <c r="B3" s="154" t="s">
        <v>2218</v>
      </c>
      <c r="C3" s="189">
        <v>0.3</v>
      </c>
      <c r="D3" s="153" t="s">
        <v>1841</v>
      </c>
      <c r="E3" s="153" t="s">
        <v>1873</v>
      </c>
    </row>
    <row r="4" spans="2:5" ht="29" x14ac:dyDescent="0.35">
      <c r="B4" s="154" t="s">
        <v>1257</v>
      </c>
      <c r="C4" s="156">
        <v>0.4</v>
      </c>
      <c r="D4" s="153" t="s">
        <v>1999</v>
      </c>
      <c r="E4" s="153" t="s">
        <v>2390</v>
      </c>
    </row>
    <row r="5" spans="2:5" ht="29" x14ac:dyDescent="0.35">
      <c r="B5" s="154" t="s">
        <v>1213</v>
      </c>
      <c r="C5" s="156">
        <v>2</v>
      </c>
      <c r="D5" s="153" t="s">
        <v>2036</v>
      </c>
      <c r="E5" s="153" t="s">
        <v>2398</v>
      </c>
    </row>
    <row r="6" spans="2:5" ht="29" x14ac:dyDescent="0.35">
      <c r="B6" s="154" t="s">
        <v>2048</v>
      </c>
      <c r="C6" s="156">
        <v>2</v>
      </c>
      <c r="D6" s="153" t="s">
        <v>2123</v>
      </c>
      <c r="E6" s="153" t="s">
        <v>2391</v>
      </c>
    </row>
    <row r="7" spans="2:5" ht="87" x14ac:dyDescent="0.35">
      <c r="B7" s="154" t="s">
        <v>2400</v>
      </c>
      <c r="C7" s="194">
        <v>1.95</v>
      </c>
      <c r="D7" s="153" t="s">
        <v>2402</v>
      </c>
      <c r="E7" s="153" t="s">
        <v>2403</v>
      </c>
    </row>
    <row r="8" spans="2:5" ht="72.5" x14ac:dyDescent="0.35">
      <c r="B8" s="154" t="s">
        <v>2401</v>
      </c>
      <c r="C8" s="194">
        <v>2</v>
      </c>
      <c r="D8" s="153" t="s">
        <v>2405</v>
      </c>
      <c r="E8" s="153" t="s">
        <v>2404</v>
      </c>
    </row>
    <row r="9" spans="2:5" ht="29" x14ac:dyDescent="0.35">
      <c r="B9" s="154" t="s">
        <v>1826</v>
      </c>
      <c r="C9" s="158">
        <v>0.3</v>
      </c>
      <c r="D9" s="153" t="s">
        <v>1827</v>
      </c>
      <c r="E9" s="153" t="s">
        <v>1828</v>
      </c>
    </row>
    <row r="10" spans="2:5" ht="43.5" x14ac:dyDescent="0.35">
      <c r="B10" s="154" t="s">
        <v>2383</v>
      </c>
      <c r="C10" s="158">
        <v>0.3</v>
      </c>
      <c r="D10" s="153" t="s">
        <v>2393</v>
      </c>
      <c r="E10" s="153" t="s">
        <v>1821</v>
      </c>
    </row>
    <row r="11" spans="2:5" ht="43.5" x14ac:dyDescent="0.35">
      <c r="B11" s="154" t="s">
        <v>1822</v>
      </c>
      <c r="C11" s="158">
        <v>0.15</v>
      </c>
      <c r="D11" s="153" t="s">
        <v>1823</v>
      </c>
      <c r="E11" s="153" t="s">
        <v>1824</v>
      </c>
    </row>
    <row r="12" spans="2:5" ht="58" x14ac:dyDescent="0.35">
      <c r="B12" s="154" t="s">
        <v>2394</v>
      </c>
      <c r="C12" s="158">
        <v>0.2</v>
      </c>
      <c r="D12" s="153" t="s">
        <v>1825</v>
      </c>
      <c r="E12" s="153"/>
    </row>
    <row r="13" spans="2:5" ht="29" x14ac:dyDescent="0.35">
      <c r="B13" s="154" t="s">
        <v>1972</v>
      </c>
      <c r="C13" s="156">
        <v>0.3</v>
      </c>
      <c r="D13" s="153" t="s">
        <v>1919</v>
      </c>
      <c r="E13" s="153"/>
    </row>
    <row r="14" spans="2:5" ht="72.5" x14ac:dyDescent="0.35">
      <c r="B14" s="154" t="s">
        <v>2384</v>
      </c>
      <c r="C14" s="158">
        <v>0.1</v>
      </c>
      <c r="D14" s="153" t="s">
        <v>1818</v>
      </c>
      <c r="E14" s="153"/>
    </row>
    <row r="16" spans="2:5" x14ac:dyDescent="0.35">
      <c r="C16" s="155">
        <f>SUM(C3:C14)</f>
        <v>10.000000000000002</v>
      </c>
    </row>
  </sheetData>
  <mergeCells count="1">
    <mergeCell ref="B1:E1"/>
  </mergeCells>
  <pageMargins left="0.511811024" right="0.511811024" top="0.78740157499999996" bottom="0.78740157499999996" header="0.31496062000000002" footer="0.3149606200000000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163546-98D7-4343-B177-A47FBB9B16D1}">
  <sheetPr>
    <tabColor theme="9" tint="-0.249977111117893"/>
  </sheetPr>
  <dimension ref="B1:E31"/>
  <sheetViews>
    <sheetView workbookViewId="0">
      <selection activeCell="B2" sqref="B1:D1048576"/>
    </sheetView>
  </sheetViews>
  <sheetFormatPr defaultRowHeight="14.5" x14ac:dyDescent="0.35"/>
  <cols>
    <col min="1" max="1" width="8.7265625" style="190"/>
    <col min="2" max="2" width="33.54296875" style="190" customWidth="1"/>
    <col min="3" max="3" width="5.26953125" style="190" customWidth="1"/>
    <col min="4" max="4" width="37.1796875" style="190" customWidth="1"/>
    <col min="5" max="5" width="33.54296875" style="190" customWidth="1"/>
    <col min="6" max="16384" width="8.7265625" style="190"/>
  </cols>
  <sheetData>
    <row r="1" spans="2:5" ht="17.5" x14ac:dyDescent="0.35">
      <c r="B1" s="213" t="s">
        <v>2396</v>
      </c>
      <c r="C1" s="213"/>
      <c r="D1" s="213"/>
      <c r="E1" s="213"/>
    </row>
    <row r="2" spans="2:5" x14ac:dyDescent="0.35">
      <c r="B2" s="197" t="s">
        <v>1812</v>
      </c>
      <c r="C2" s="197" t="s">
        <v>472</v>
      </c>
      <c r="D2" s="197" t="s">
        <v>1815</v>
      </c>
      <c r="E2" s="197" t="s">
        <v>1816</v>
      </c>
    </row>
    <row r="3" spans="2:5" ht="43.5" x14ac:dyDescent="0.35">
      <c r="B3" s="154" t="s">
        <v>2218</v>
      </c>
      <c r="C3" s="189">
        <v>0.3</v>
      </c>
      <c r="D3" s="153" t="s">
        <v>1841</v>
      </c>
      <c r="E3" s="153" t="s">
        <v>1873</v>
      </c>
    </row>
    <row r="4" spans="2:5" ht="29" x14ac:dyDescent="0.35">
      <c r="B4" s="154" t="s">
        <v>1257</v>
      </c>
      <c r="C4" s="156">
        <v>0.4</v>
      </c>
      <c r="D4" s="153" t="s">
        <v>1999</v>
      </c>
      <c r="E4" s="153" t="s">
        <v>2390</v>
      </c>
    </row>
    <row r="5" spans="2:5" ht="29" x14ac:dyDescent="0.35">
      <c r="B5" s="154" t="s">
        <v>1213</v>
      </c>
      <c r="C5" s="156">
        <v>2</v>
      </c>
      <c r="D5" s="153" t="s">
        <v>2036</v>
      </c>
      <c r="E5" s="153" t="s">
        <v>2398</v>
      </c>
    </row>
    <row r="6" spans="2:5" ht="29" x14ac:dyDescent="0.35">
      <c r="B6" s="154" t="s">
        <v>2048</v>
      </c>
      <c r="C6" s="156">
        <v>2</v>
      </c>
      <c r="D6" s="153" t="s">
        <v>2123</v>
      </c>
      <c r="E6" s="153" t="s">
        <v>2391</v>
      </c>
    </row>
    <row r="7" spans="2:5" ht="72.5" x14ac:dyDescent="0.35">
      <c r="B7" s="154" t="s">
        <v>2234</v>
      </c>
      <c r="C7" s="194">
        <v>2</v>
      </c>
      <c r="D7" s="153" t="s">
        <v>1908</v>
      </c>
      <c r="E7" s="153" t="s">
        <v>2235</v>
      </c>
    </row>
    <row r="8" spans="2:5" ht="43.5" x14ac:dyDescent="0.35">
      <c r="B8" s="154" t="s">
        <v>1922</v>
      </c>
      <c r="C8" s="18">
        <v>1</v>
      </c>
      <c r="D8" s="153" t="s">
        <v>2397</v>
      </c>
      <c r="E8" s="153" t="s">
        <v>2399</v>
      </c>
    </row>
    <row r="9" spans="2:5" ht="72.5" x14ac:dyDescent="0.35">
      <c r="B9" s="154" t="s">
        <v>1909</v>
      </c>
      <c r="C9" s="156">
        <v>1.95</v>
      </c>
      <c r="D9" s="153" t="s">
        <v>1910</v>
      </c>
      <c r="E9" s="153" t="s">
        <v>1911</v>
      </c>
    </row>
    <row r="10" spans="2:5" ht="29" x14ac:dyDescent="0.35">
      <c r="B10" s="154" t="s">
        <v>1826</v>
      </c>
      <c r="C10" s="158">
        <v>0.3</v>
      </c>
      <c r="D10" s="153" t="s">
        <v>1827</v>
      </c>
      <c r="E10" s="153" t="s">
        <v>1828</v>
      </c>
    </row>
    <row r="11" spans="2:5" ht="43.5" x14ac:dyDescent="0.35">
      <c r="B11" s="154" t="s">
        <v>2383</v>
      </c>
      <c r="C11" s="158">
        <v>0.3</v>
      </c>
      <c r="D11" s="153" t="s">
        <v>2393</v>
      </c>
      <c r="E11" s="153" t="s">
        <v>1821</v>
      </c>
    </row>
    <row r="12" spans="2:5" ht="43.5" x14ac:dyDescent="0.35">
      <c r="B12" s="154" t="s">
        <v>1822</v>
      </c>
      <c r="C12" s="158">
        <v>0.15</v>
      </c>
      <c r="D12" s="153" t="s">
        <v>1823</v>
      </c>
      <c r="E12" s="153" t="s">
        <v>1824</v>
      </c>
    </row>
    <row r="13" spans="2:5" ht="58" x14ac:dyDescent="0.35">
      <c r="B13" s="154" t="s">
        <v>2394</v>
      </c>
      <c r="C13" s="158">
        <v>0.2</v>
      </c>
      <c r="D13" s="153" t="s">
        <v>1825</v>
      </c>
      <c r="E13" s="153"/>
    </row>
    <row r="14" spans="2:5" ht="29" x14ac:dyDescent="0.35">
      <c r="B14" s="154" t="s">
        <v>1972</v>
      </c>
      <c r="C14" s="156">
        <v>0.3</v>
      </c>
      <c r="D14" s="153" t="s">
        <v>1919</v>
      </c>
      <c r="E14" s="153"/>
    </row>
    <row r="15" spans="2:5" ht="72.5" x14ac:dyDescent="0.35">
      <c r="B15" s="154" t="s">
        <v>2384</v>
      </c>
      <c r="C15" s="158">
        <v>0.1</v>
      </c>
      <c r="D15" s="153" t="s">
        <v>1818</v>
      </c>
      <c r="E15" s="153"/>
    </row>
    <row r="16" spans="2:5" x14ac:dyDescent="0.35">
      <c r="B16" s="195"/>
      <c r="C16" s="195"/>
      <c r="D16" s="195"/>
      <c r="E16" s="195"/>
    </row>
    <row r="17" spans="2:5" x14ac:dyDescent="0.35">
      <c r="B17" s="195"/>
      <c r="C17" s="195"/>
      <c r="D17" s="195"/>
      <c r="E17" s="195"/>
    </row>
    <row r="18" spans="2:5" x14ac:dyDescent="0.35">
      <c r="B18" s="195"/>
      <c r="C18" s="196">
        <f>SUM(C3:C15)</f>
        <v>11.000000000000002</v>
      </c>
      <c r="D18" s="195"/>
      <c r="E18" s="195"/>
    </row>
    <row r="19" spans="2:5" x14ac:dyDescent="0.35">
      <c r="B19" s="195"/>
      <c r="C19" s="195"/>
      <c r="D19" s="195"/>
      <c r="E19" s="195"/>
    </row>
    <row r="20" spans="2:5" x14ac:dyDescent="0.35">
      <c r="B20" s="195"/>
      <c r="C20" s="195"/>
      <c r="D20" s="195"/>
      <c r="E20" s="195"/>
    </row>
    <row r="21" spans="2:5" x14ac:dyDescent="0.35">
      <c r="B21" s="195"/>
      <c r="C21" s="195"/>
      <c r="D21" s="195"/>
      <c r="E21" s="195"/>
    </row>
    <row r="22" spans="2:5" x14ac:dyDescent="0.35">
      <c r="B22" s="195"/>
      <c r="C22" s="195"/>
      <c r="D22" s="195"/>
      <c r="E22" s="195"/>
    </row>
    <row r="23" spans="2:5" x14ac:dyDescent="0.35">
      <c r="B23" s="195"/>
      <c r="C23" s="195"/>
      <c r="D23" s="195"/>
      <c r="E23" s="195"/>
    </row>
    <row r="24" spans="2:5" x14ac:dyDescent="0.35">
      <c r="B24" s="195"/>
      <c r="C24" s="195"/>
      <c r="D24" s="195"/>
      <c r="E24" s="195"/>
    </row>
    <row r="25" spans="2:5" x14ac:dyDescent="0.35">
      <c r="B25" s="195"/>
      <c r="C25" s="195"/>
      <c r="D25" s="195"/>
      <c r="E25" s="195"/>
    </row>
    <row r="26" spans="2:5" x14ac:dyDescent="0.35">
      <c r="B26" s="195"/>
      <c r="C26" s="195"/>
      <c r="D26" s="195"/>
      <c r="E26" s="195"/>
    </row>
    <row r="27" spans="2:5" x14ac:dyDescent="0.35">
      <c r="B27" s="195"/>
      <c r="C27" s="195"/>
      <c r="D27" s="195"/>
      <c r="E27" s="195"/>
    </row>
    <row r="28" spans="2:5" x14ac:dyDescent="0.35">
      <c r="B28" s="195"/>
      <c r="C28" s="195"/>
      <c r="D28" s="195"/>
      <c r="E28" s="195"/>
    </row>
    <row r="29" spans="2:5" x14ac:dyDescent="0.35">
      <c r="B29" s="195"/>
      <c r="C29" s="195"/>
      <c r="D29" s="195"/>
      <c r="E29" s="195"/>
    </row>
    <row r="30" spans="2:5" x14ac:dyDescent="0.35">
      <c r="B30" s="195"/>
      <c r="C30" s="195"/>
      <c r="D30" s="195"/>
      <c r="E30" s="195"/>
    </row>
    <row r="31" spans="2:5" x14ac:dyDescent="0.35">
      <c r="B31" s="195"/>
      <c r="C31" s="195"/>
      <c r="D31" s="195"/>
      <c r="E31" s="195"/>
    </row>
  </sheetData>
  <mergeCells count="1">
    <mergeCell ref="B1:E1"/>
  </mergeCells>
  <pageMargins left="0.511811024" right="0.511811024" top="0.78740157499999996" bottom="0.78740157499999996" header="0.31496062000000002" footer="0.31496062000000002"/>
  <pageSetup paperSize="9"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84BA8-88E7-42B8-A324-3943D89CFD68}">
  <sheetPr>
    <tabColor theme="9" tint="-0.249977111117893"/>
  </sheetPr>
  <dimension ref="B1:E29"/>
  <sheetViews>
    <sheetView workbookViewId="0">
      <selection activeCell="B2" sqref="B1:D1048576"/>
    </sheetView>
  </sheetViews>
  <sheetFormatPr defaultRowHeight="14.5" x14ac:dyDescent="0.35"/>
  <cols>
    <col min="1" max="1" width="8.7265625" style="190"/>
    <col min="2" max="2" width="33.54296875" style="190" customWidth="1"/>
    <col min="3" max="3" width="5" style="190" customWidth="1"/>
    <col min="4" max="4" width="37.1796875" style="190" customWidth="1"/>
    <col min="5" max="5" width="33.54296875" style="190" customWidth="1"/>
    <col min="6" max="16384" width="8.7265625" style="190"/>
  </cols>
  <sheetData>
    <row r="1" spans="2:5" ht="17.5" x14ac:dyDescent="0.35">
      <c r="B1" s="213" t="s">
        <v>2406</v>
      </c>
      <c r="C1" s="213"/>
      <c r="D1" s="213"/>
      <c r="E1" s="213"/>
    </row>
    <row r="2" spans="2:5" x14ac:dyDescent="0.35">
      <c r="B2" s="197" t="s">
        <v>1812</v>
      </c>
      <c r="C2" s="197" t="s">
        <v>472</v>
      </c>
      <c r="D2" s="197" t="s">
        <v>1815</v>
      </c>
      <c r="E2" s="197" t="s">
        <v>1816</v>
      </c>
    </row>
    <row r="3" spans="2:5" ht="43.5" x14ac:dyDescent="0.35">
      <c r="B3" s="154" t="s">
        <v>2218</v>
      </c>
      <c r="C3" s="189">
        <v>0.3</v>
      </c>
      <c r="D3" s="153" t="s">
        <v>1841</v>
      </c>
      <c r="E3" s="153" t="s">
        <v>1873</v>
      </c>
    </row>
    <row r="4" spans="2:5" ht="29" x14ac:dyDescent="0.35">
      <c r="B4" s="154" t="s">
        <v>1257</v>
      </c>
      <c r="C4" s="156">
        <v>0.4</v>
      </c>
      <c r="D4" s="153" t="s">
        <v>1999</v>
      </c>
      <c r="E4" s="153" t="s">
        <v>2408</v>
      </c>
    </row>
    <row r="5" spans="2:5" ht="29" x14ac:dyDescent="0.35">
      <c r="B5" s="154" t="s">
        <v>1213</v>
      </c>
      <c r="C5" s="156">
        <v>2.4500000000000002</v>
      </c>
      <c r="D5" s="153" t="s">
        <v>2036</v>
      </c>
      <c r="E5" s="153" t="s">
        <v>2037</v>
      </c>
    </row>
    <row r="6" spans="2:5" ht="43.5" x14ac:dyDescent="0.35">
      <c r="B6" s="154" t="s">
        <v>2409</v>
      </c>
      <c r="C6" s="156">
        <v>2.5</v>
      </c>
      <c r="D6" s="153" t="s">
        <v>2410</v>
      </c>
      <c r="E6" s="153" t="s">
        <v>2411</v>
      </c>
    </row>
    <row r="7" spans="2:5" ht="29" x14ac:dyDescent="0.35">
      <c r="B7" s="154" t="s">
        <v>2412</v>
      </c>
      <c r="C7" s="194">
        <v>3</v>
      </c>
      <c r="D7" s="153" t="s">
        <v>2413</v>
      </c>
      <c r="E7" s="153" t="s">
        <v>2414</v>
      </c>
    </row>
    <row r="8" spans="2:5" ht="29" x14ac:dyDescent="0.35">
      <c r="B8" s="154" t="s">
        <v>1826</v>
      </c>
      <c r="C8" s="194">
        <v>0.3</v>
      </c>
      <c r="D8" s="153" t="s">
        <v>1827</v>
      </c>
      <c r="E8" s="153" t="s">
        <v>1828</v>
      </c>
    </row>
    <row r="9" spans="2:5" ht="43.5" x14ac:dyDescent="0.35">
      <c r="B9" s="154" t="s">
        <v>2383</v>
      </c>
      <c r="C9" s="156">
        <v>0.3</v>
      </c>
      <c r="D9" s="153" t="s">
        <v>2393</v>
      </c>
      <c r="E9" s="153" t="s">
        <v>1821</v>
      </c>
    </row>
    <row r="10" spans="2:5" ht="43.5" x14ac:dyDescent="0.35">
      <c r="B10" s="154" t="s">
        <v>1822</v>
      </c>
      <c r="C10" s="158">
        <v>0.15</v>
      </c>
      <c r="D10" s="153" t="s">
        <v>1823</v>
      </c>
      <c r="E10" s="153" t="s">
        <v>1824</v>
      </c>
    </row>
    <row r="11" spans="2:5" ht="58" x14ac:dyDescent="0.35">
      <c r="B11" s="154" t="s">
        <v>2394</v>
      </c>
      <c r="C11" s="158">
        <v>0.2</v>
      </c>
      <c r="D11" s="153" t="s">
        <v>1825</v>
      </c>
      <c r="E11" s="153"/>
    </row>
    <row r="12" spans="2:5" ht="29" x14ac:dyDescent="0.35">
      <c r="B12" s="154" t="s">
        <v>1972</v>
      </c>
      <c r="C12" s="158">
        <v>0.3</v>
      </c>
      <c r="D12" s="153" t="s">
        <v>1919</v>
      </c>
      <c r="E12" s="153"/>
    </row>
    <row r="13" spans="2:5" ht="72.5" x14ac:dyDescent="0.35">
      <c r="B13" s="154" t="s">
        <v>2384</v>
      </c>
      <c r="C13" s="158">
        <v>0.1</v>
      </c>
      <c r="D13" s="153" t="s">
        <v>1818</v>
      </c>
      <c r="E13" s="153"/>
    </row>
    <row r="14" spans="2:5" x14ac:dyDescent="0.35">
      <c r="B14" s="195"/>
      <c r="C14" s="195"/>
      <c r="D14" s="195"/>
      <c r="E14" s="195"/>
    </row>
    <row r="15" spans="2:5" x14ac:dyDescent="0.35">
      <c r="B15" s="195"/>
      <c r="C15" s="195"/>
      <c r="D15" s="195"/>
      <c r="E15" s="195"/>
    </row>
    <row r="16" spans="2:5" x14ac:dyDescent="0.35">
      <c r="B16" s="195"/>
      <c r="C16" s="195">
        <f>SUM(C3:C13)</f>
        <v>10.000000000000002</v>
      </c>
      <c r="D16" s="195"/>
      <c r="E16" s="195"/>
    </row>
    <row r="17" spans="2:5" x14ac:dyDescent="0.35">
      <c r="B17" s="195"/>
      <c r="C17" s="195"/>
      <c r="D17" s="195"/>
      <c r="E17" s="195"/>
    </row>
    <row r="18" spans="2:5" x14ac:dyDescent="0.35">
      <c r="B18" s="195"/>
      <c r="C18" s="195"/>
      <c r="D18" s="195"/>
      <c r="E18" s="195"/>
    </row>
    <row r="19" spans="2:5" x14ac:dyDescent="0.35">
      <c r="B19" s="195"/>
      <c r="C19" s="195"/>
      <c r="D19" s="195"/>
      <c r="E19" s="195"/>
    </row>
    <row r="20" spans="2:5" x14ac:dyDescent="0.35">
      <c r="B20" s="195"/>
      <c r="C20" s="195"/>
      <c r="D20" s="195"/>
      <c r="E20" s="195"/>
    </row>
    <row r="21" spans="2:5" x14ac:dyDescent="0.35">
      <c r="B21" s="195"/>
      <c r="C21" s="195"/>
      <c r="D21" s="195"/>
      <c r="E21" s="195"/>
    </row>
    <row r="22" spans="2:5" x14ac:dyDescent="0.35">
      <c r="B22" s="195"/>
      <c r="C22" s="195"/>
      <c r="D22" s="195"/>
      <c r="E22" s="195"/>
    </row>
    <row r="23" spans="2:5" x14ac:dyDescent="0.35">
      <c r="B23" s="195"/>
      <c r="C23" s="195"/>
      <c r="D23" s="195"/>
      <c r="E23" s="195"/>
    </row>
    <row r="24" spans="2:5" x14ac:dyDescent="0.35">
      <c r="B24" s="195"/>
      <c r="C24" s="195"/>
      <c r="D24" s="195"/>
      <c r="E24" s="195"/>
    </row>
    <row r="25" spans="2:5" x14ac:dyDescent="0.35">
      <c r="B25" s="195"/>
      <c r="C25" s="195"/>
      <c r="D25" s="195"/>
      <c r="E25" s="195"/>
    </row>
    <row r="26" spans="2:5" x14ac:dyDescent="0.35">
      <c r="B26" s="195"/>
      <c r="C26" s="195"/>
      <c r="D26" s="195"/>
      <c r="E26" s="195"/>
    </row>
    <row r="27" spans="2:5" x14ac:dyDescent="0.35">
      <c r="B27" s="195"/>
      <c r="C27" s="195"/>
      <c r="D27" s="195"/>
      <c r="E27" s="195"/>
    </row>
    <row r="28" spans="2:5" x14ac:dyDescent="0.35">
      <c r="B28" s="195"/>
      <c r="C28" s="195"/>
      <c r="D28" s="195"/>
      <c r="E28" s="195"/>
    </row>
    <row r="29" spans="2:5" x14ac:dyDescent="0.35">
      <c r="B29" s="195"/>
      <c r="C29" s="195"/>
      <c r="D29" s="195"/>
      <c r="E29" s="195"/>
    </row>
  </sheetData>
  <mergeCells count="1">
    <mergeCell ref="B1:E1"/>
  </mergeCells>
  <pageMargins left="0.511811024" right="0.511811024" top="0.78740157499999996" bottom="0.78740157499999996" header="0.31496062000000002" footer="0.31496062000000002"/>
  <pageSetup paperSize="9"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74C282-25B2-495F-9D88-28640EF4008E}">
  <sheetPr>
    <tabColor theme="9" tint="-0.249977111117893"/>
  </sheetPr>
  <dimension ref="B1:E30"/>
  <sheetViews>
    <sheetView workbookViewId="0">
      <selection activeCell="C3" sqref="C3"/>
    </sheetView>
  </sheetViews>
  <sheetFormatPr defaultRowHeight="14.5" x14ac:dyDescent="0.35"/>
  <cols>
    <col min="1" max="1" width="8.7265625" style="190"/>
    <col min="2" max="2" width="33.54296875" style="190" customWidth="1"/>
    <col min="3" max="3" width="5" style="190" customWidth="1"/>
    <col min="4" max="4" width="37.1796875" style="190" customWidth="1"/>
    <col min="5" max="5" width="33.54296875" style="190" customWidth="1"/>
    <col min="6" max="16384" width="8.7265625" style="190"/>
  </cols>
  <sheetData>
    <row r="1" spans="2:5" ht="17.5" x14ac:dyDescent="0.35">
      <c r="B1" s="213" t="s">
        <v>2407</v>
      </c>
      <c r="C1" s="213"/>
      <c r="D1" s="213"/>
      <c r="E1" s="213"/>
    </row>
    <row r="2" spans="2:5" x14ac:dyDescent="0.35">
      <c r="B2" s="197" t="s">
        <v>1812</v>
      </c>
      <c r="C2" s="197" t="s">
        <v>472</v>
      </c>
      <c r="D2" s="197" t="s">
        <v>1815</v>
      </c>
      <c r="E2" s="197" t="s">
        <v>1816</v>
      </c>
    </row>
    <row r="3" spans="2:5" ht="43.5" x14ac:dyDescent="0.35">
      <c r="B3" s="154" t="s">
        <v>2218</v>
      </c>
      <c r="C3" s="158">
        <v>0.3</v>
      </c>
      <c r="D3" s="153" t="s">
        <v>1841</v>
      </c>
      <c r="E3" s="153" t="s">
        <v>1873</v>
      </c>
    </row>
    <row r="4" spans="2:5" ht="29" x14ac:dyDescent="0.35">
      <c r="B4" s="154" t="s">
        <v>1257</v>
      </c>
      <c r="C4" s="156">
        <v>0.4</v>
      </c>
      <c r="D4" s="153" t="s">
        <v>1999</v>
      </c>
      <c r="E4" s="153" t="s">
        <v>2408</v>
      </c>
    </row>
    <row r="5" spans="2:5" ht="29" x14ac:dyDescent="0.35">
      <c r="B5" s="154" t="s">
        <v>1213</v>
      </c>
      <c r="C5" s="156">
        <v>2</v>
      </c>
      <c r="D5" s="153" t="s">
        <v>2036</v>
      </c>
      <c r="E5" s="153" t="s">
        <v>2037</v>
      </c>
    </row>
    <row r="6" spans="2:5" ht="29" x14ac:dyDescent="0.35">
      <c r="B6" s="154" t="s">
        <v>2048</v>
      </c>
      <c r="C6" s="156">
        <v>2</v>
      </c>
      <c r="D6" s="153" t="s">
        <v>2123</v>
      </c>
      <c r="E6" s="153" t="s">
        <v>2391</v>
      </c>
    </row>
    <row r="7" spans="2:5" ht="43.5" x14ac:dyDescent="0.35">
      <c r="B7" s="154" t="s">
        <v>2415</v>
      </c>
      <c r="C7" s="18">
        <v>1.98</v>
      </c>
      <c r="D7" s="153" t="s">
        <v>2410</v>
      </c>
      <c r="E7" s="153" t="s">
        <v>2416</v>
      </c>
    </row>
    <row r="8" spans="2:5" ht="43.5" x14ac:dyDescent="0.35">
      <c r="B8" s="154" t="s">
        <v>2417</v>
      </c>
      <c r="C8" s="18">
        <v>1.97</v>
      </c>
      <c r="D8" s="153" t="s">
        <v>2413</v>
      </c>
      <c r="E8" s="153" t="s">
        <v>2418</v>
      </c>
    </row>
    <row r="9" spans="2:5" ht="29" x14ac:dyDescent="0.35">
      <c r="B9" s="154" t="s">
        <v>1826</v>
      </c>
      <c r="C9" s="158">
        <v>0.3</v>
      </c>
      <c r="D9" s="153" t="s">
        <v>1827</v>
      </c>
      <c r="E9" s="153" t="s">
        <v>1828</v>
      </c>
    </row>
    <row r="10" spans="2:5" ht="43.5" x14ac:dyDescent="0.35">
      <c r="B10" s="154" t="s">
        <v>2383</v>
      </c>
      <c r="C10" s="158">
        <v>0.3</v>
      </c>
      <c r="D10" s="153" t="s">
        <v>2393</v>
      </c>
      <c r="E10" s="153" t="s">
        <v>1821</v>
      </c>
    </row>
    <row r="11" spans="2:5" ht="43.5" x14ac:dyDescent="0.35">
      <c r="B11" s="154" t="s">
        <v>1822</v>
      </c>
      <c r="C11" s="158">
        <v>0.15</v>
      </c>
      <c r="D11" s="153" t="s">
        <v>1823</v>
      </c>
      <c r="E11" s="153" t="s">
        <v>1824</v>
      </c>
    </row>
    <row r="12" spans="2:5" ht="58" x14ac:dyDescent="0.35">
      <c r="B12" s="154" t="s">
        <v>2394</v>
      </c>
      <c r="C12" s="158">
        <v>0.2</v>
      </c>
      <c r="D12" s="153" t="s">
        <v>1825</v>
      </c>
      <c r="E12" s="153"/>
    </row>
    <row r="13" spans="2:5" ht="29" x14ac:dyDescent="0.35">
      <c r="B13" s="154" t="s">
        <v>1972</v>
      </c>
      <c r="C13" s="156">
        <v>0.3</v>
      </c>
      <c r="D13" s="153" t="s">
        <v>1919</v>
      </c>
      <c r="E13" s="153"/>
    </row>
    <row r="14" spans="2:5" ht="72.5" x14ac:dyDescent="0.35">
      <c r="B14" s="154" t="s">
        <v>2384</v>
      </c>
      <c r="C14" s="158">
        <v>0.1</v>
      </c>
      <c r="D14" s="153" t="s">
        <v>1818</v>
      </c>
      <c r="E14" s="153"/>
    </row>
    <row r="15" spans="2:5" x14ac:dyDescent="0.35">
      <c r="B15" s="195"/>
      <c r="C15" s="195"/>
      <c r="D15" s="195"/>
      <c r="E15" s="195"/>
    </row>
    <row r="16" spans="2:5" x14ac:dyDescent="0.35">
      <c r="B16" s="195"/>
      <c r="C16" s="195"/>
      <c r="D16" s="195"/>
      <c r="E16" s="195"/>
    </row>
    <row r="17" spans="2:5" x14ac:dyDescent="0.35">
      <c r="B17" s="195"/>
      <c r="C17" s="195">
        <f>SUM(C3:C14)</f>
        <v>10.000000000000002</v>
      </c>
      <c r="D17" s="195"/>
      <c r="E17" s="195"/>
    </row>
    <row r="18" spans="2:5" x14ac:dyDescent="0.35">
      <c r="B18" s="195"/>
      <c r="C18" s="195"/>
      <c r="D18" s="195"/>
      <c r="E18" s="195"/>
    </row>
    <row r="19" spans="2:5" x14ac:dyDescent="0.35">
      <c r="B19" s="195"/>
      <c r="C19" s="195"/>
      <c r="D19" s="195"/>
      <c r="E19" s="195"/>
    </row>
    <row r="20" spans="2:5" x14ac:dyDescent="0.35">
      <c r="B20" s="195"/>
      <c r="C20" s="195"/>
      <c r="D20" s="195"/>
      <c r="E20" s="195"/>
    </row>
    <row r="21" spans="2:5" x14ac:dyDescent="0.35">
      <c r="B21" s="195"/>
      <c r="C21" s="195"/>
      <c r="D21" s="195"/>
      <c r="E21" s="195"/>
    </row>
    <row r="22" spans="2:5" x14ac:dyDescent="0.35">
      <c r="B22" s="195"/>
      <c r="C22" s="195"/>
      <c r="D22" s="195"/>
      <c r="E22" s="195"/>
    </row>
    <row r="23" spans="2:5" x14ac:dyDescent="0.35">
      <c r="B23" s="195"/>
      <c r="C23" s="195"/>
      <c r="D23" s="195"/>
      <c r="E23" s="195"/>
    </row>
    <row r="24" spans="2:5" x14ac:dyDescent="0.35">
      <c r="B24" s="195"/>
      <c r="C24" s="195"/>
      <c r="D24" s="195"/>
      <c r="E24" s="195"/>
    </row>
    <row r="25" spans="2:5" x14ac:dyDescent="0.35">
      <c r="B25" s="195"/>
      <c r="C25" s="195"/>
      <c r="D25" s="195"/>
      <c r="E25" s="195"/>
    </row>
    <row r="26" spans="2:5" x14ac:dyDescent="0.35">
      <c r="B26" s="195"/>
      <c r="C26" s="195"/>
      <c r="D26" s="195"/>
      <c r="E26" s="195"/>
    </row>
    <row r="27" spans="2:5" x14ac:dyDescent="0.35">
      <c r="B27" s="195"/>
      <c r="C27" s="195"/>
      <c r="D27" s="195"/>
      <c r="E27" s="195"/>
    </row>
    <row r="28" spans="2:5" x14ac:dyDescent="0.35">
      <c r="B28" s="195"/>
      <c r="C28" s="195"/>
      <c r="D28" s="195"/>
      <c r="E28" s="195"/>
    </row>
    <row r="29" spans="2:5" x14ac:dyDescent="0.35">
      <c r="B29" s="195"/>
      <c r="C29" s="195"/>
      <c r="D29" s="195"/>
      <c r="E29" s="195"/>
    </row>
    <row r="30" spans="2:5" x14ac:dyDescent="0.35">
      <c r="B30" s="195"/>
      <c r="C30" s="195"/>
      <c r="D30" s="195"/>
      <c r="E30" s="195"/>
    </row>
  </sheetData>
  <mergeCells count="1">
    <mergeCell ref="B1:E1"/>
  </mergeCells>
  <pageMargins left="0.511811024" right="0.511811024" top="0.78740157499999996" bottom="0.78740157499999996" header="0.31496062000000002" footer="0.31496062000000002"/>
  <pageSetup paperSize="9"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7259E-C7A7-4428-821C-966E46C6C3D0}">
  <sheetPr codeName="Planilha39">
    <tabColor theme="7" tint="-0.249977111117893"/>
  </sheetPr>
  <dimension ref="B1:J20"/>
  <sheetViews>
    <sheetView showGridLines="0" topLeftCell="A13" zoomScale="90" zoomScaleNormal="90" workbookViewId="0">
      <selection activeCell="G5" sqref="G5"/>
    </sheetView>
  </sheetViews>
  <sheetFormatPr defaultRowHeight="14.5" x14ac:dyDescent="0.35"/>
  <cols>
    <col min="1" max="1" width="6.81640625" customWidth="1"/>
    <col min="2" max="2" width="31.6328125" customWidth="1"/>
    <col min="3" max="3" width="5.6328125" style="3" customWidth="1"/>
    <col min="4" max="5" width="31.6328125" customWidth="1"/>
    <col min="7" max="7" width="32.1796875" customWidth="1"/>
    <col min="8" max="8" width="7.54296875" customWidth="1"/>
    <col min="9" max="9" width="27.36328125" customWidth="1"/>
    <col min="10" max="10" width="32" customWidth="1"/>
  </cols>
  <sheetData>
    <row r="1" spans="2:10" ht="17.5" x14ac:dyDescent="0.35">
      <c r="B1" s="209" t="s">
        <v>2370</v>
      </c>
      <c r="C1" s="209"/>
      <c r="D1" s="209"/>
      <c r="E1" s="209"/>
    </row>
    <row r="2" spans="2:10" x14ac:dyDescent="0.35">
      <c r="B2" s="185" t="s">
        <v>1812</v>
      </c>
      <c r="C2" s="185" t="s">
        <v>472</v>
      </c>
      <c r="D2" s="185" t="s">
        <v>1815</v>
      </c>
      <c r="E2" s="185" t="s">
        <v>1816</v>
      </c>
    </row>
    <row r="3" spans="2:10" ht="43.5" x14ac:dyDescent="0.35">
      <c r="B3" s="157" t="s">
        <v>2218</v>
      </c>
      <c r="C3" s="158">
        <v>0.3</v>
      </c>
      <c r="D3" s="159" t="s">
        <v>1841</v>
      </c>
      <c r="E3" s="159" t="s">
        <v>1873</v>
      </c>
      <c r="G3" s="149"/>
      <c r="H3" s="149"/>
    </row>
    <row r="4" spans="2:10" ht="29" x14ac:dyDescent="0.35">
      <c r="B4" s="154" t="s">
        <v>1257</v>
      </c>
      <c r="C4" s="156">
        <v>0.4</v>
      </c>
      <c r="D4" s="153" t="s">
        <v>1967</v>
      </c>
      <c r="E4" s="153" t="s">
        <v>1968</v>
      </c>
      <c r="G4" s="149"/>
      <c r="H4" s="149"/>
    </row>
    <row r="5" spans="2:10" ht="43.5" x14ac:dyDescent="0.35">
      <c r="B5" s="154" t="s">
        <v>2180</v>
      </c>
      <c r="C5" s="156">
        <v>0.5</v>
      </c>
      <c r="D5" s="153" t="s">
        <v>2181</v>
      </c>
      <c r="E5" s="153" t="s">
        <v>2312</v>
      </c>
      <c r="G5" s="150"/>
      <c r="H5" s="149"/>
      <c r="I5" s="149"/>
      <c r="J5" s="149"/>
    </row>
    <row r="6" spans="2:10" ht="58" x14ac:dyDescent="0.35">
      <c r="B6" s="154" t="s">
        <v>2182</v>
      </c>
      <c r="C6" s="156">
        <v>1</v>
      </c>
      <c r="D6" s="153" t="s">
        <v>2183</v>
      </c>
      <c r="E6" s="153" t="s">
        <v>2313</v>
      </c>
      <c r="G6" s="150"/>
      <c r="H6" s="149"/>
      <c r="I6" s="149"/>
      <c r="J6" s="149"/>
    </row>
    <row r="7" spans="2:10" ht="43.5" x14ac:dyDescent="0.35">
      <c r="B7" s="154" t="s">
        <v>2184</v>
      </c>
      <c r="C7" s="156">
        <v>1</v>
      </c>
      <c r="D7" s="153" t="s">
        <v>2185</v>
      </c>
      <c r="E7" s="153" t="s">
        <v>2314</v>
      </c>
      <c r="G7" s="150"/>
      <c r="H7" s="149"/>
      <c r="I7" s="149"/>
      <c r="J7" s="149"/>
    </row>
    <row r="8" spans="2:10" ht="43.5" x14ac:dyDescent="0.35">
      <c r="B8" s="154" t="s">
        <v>1796</v>
      </c>
      <c r="C8" s="156">
        <v>1</v>
      </c>
      <c r="D8" s="153" t="s">
        <v>2186</v>
      </c>
      <c r="E8" s="153" t="s">
        <v>2315</v>
      </c>
      <c r="G8" s="150"/>
      <c r="H8" s="149"/>
      <c r="I8" s="149"/>
      <c r="J8" s="149"/>
    </row>
    <row r="9" spans="2:10" ht="58" x14ac:dyDescent="0.35">
      <c r="B9" s="154" t="s">
        <v>1797</v>
      </c>
      <c r="C9" s="156">
        <v>1.45</v>
      </c>
      <c r="D9" s="153" t="s">
        <v>2187</v>
      </c>
      <c r="E9" s="153" t="s">
        <v>2302</v>
      </c>
      <c r="G9" s="150"/>
      <c r="H9" s="149"/>
      <c r="I9" s="149"/>
      <c r="J9" s="149"/>
    </row>
    <row r="10" spans="2:10" ht="43.5" x14ac:dyDescent="0.35">
      <c r="B10" s="154" t="s">
        <v>1798</v>
      </c>
      <c r="C10" s="156">
        <v>1</v>
      </c>
      <c r="D10" s="149" t="s">
        <v>2211</v>
      </c>
      <c r="E10" s="153" t="s">
        <v>2212</v>
      </c>
      <c r="G10" s="150"/>
      <c r="H10" s="149"/>
      <c r="I10" s="149"/>
      <c r="J10" s="149"/>
    </row>
    <row r="11" spans="2:10" ht="43.5" x14ac:dyDescent="0.35">
      <c r="B11" s="154" t="s">
        <v>2191</v>
      </c>
      <c r="C11" s="156">
        <v>1.3</v>
      </c>
      <c r="D11" s="153" t="s">
        <v>2192</v>
      </c>
      <c r="E11" s="153" t="s">
        <v>2193</v>
      </c>
      <c r="G11" s="150"/>
      <c r="H11" s="149"/>
      <c r="I11" s="149"/>
      <c r="J11" s="149"/>
    </row>
    <row r="12" spans="2:10" ht="58" x14ac:dyDescent="0.35">
      <c r="B12" s="154" t="s">
        <v>1800</v>
      </c>
      <c r="C12" s="156">
        <v>1</v>
      </c>
      <c r="D12" s="153" t="s">
        <v>2194</v>
      </c>
      <c r="E12" s="153" t="s">
        <v>2318</v>
      </c>
      <c r="G12" s="150"/>
      <c r="H12" s="149"/>
      <c r="I12" s="149"/>
      <c r="J12" s="149"/>
    </row>
    <row r="13" spans="2:10" ht="43.5" x14ac:dyDescent="0.35">
      <c r="B13" s="157" t="s">
        <v>1826</v>
      </c>
      <c r="C13" s="158">
        <v>0.3</v>
      </c>
      <c r="D13" s="159" t="s">
        <v>1827</v>
      </c>
      <c r="E13" s="159" t="s">
        <v>1828</v>
      </c>
      <c r="G13" s="150"/>
      <c r="H13" s="149"/>
      <c r="I13" s="149"/>
      <c r="J13" s="149"/>
    </row>
    <row r="14" spans="2:10" ht="43.5" x14ac:dyDescent="0.35">
      <c r="B14" s="157" t="s">
        <v>1819</v>
      </c>
      <c r="C14" s="158">
        <v>0.3</v>
      </c>
      <c r="D14" s="159" t="s">
        <v>1820</v>
      </c>
      <c r="E14" s="159" t="s">
        <v>1821</v>
      </c>
      <c r="G14" s="150"/>
      <c r="H14" s="149"/>
      <c r="I14" s="149"/>
      <c r="J14" s="149"/>
    </row>
    <row r="15" spans="2:10" ht="58" x14ac:dyDescent="0.35">
      <c r="B15" s="157" t="s">
        <v>2310</v>
      </c>
      <c r="C15" s="158">
        <v>0.15</v>
      </c>
      <c r="D15" s="159" t="s">
        <v>1823</v>
      </c>
      <c r="E15" s="159" t="s">
        <v>2311</v>
      </c>
      <c r="G15" s="149"/>
      <c r="H15" s="149"/>
    </row>
    <row r="16" spans="2:10" ht="43.5" x14ac:dyDescent="0.35">
      <c r="B16" s="157" t="s">
        <v>1872</v>
      </c>
      <c r="C16" s="158">
        <v>0.2</v>
      </c>
      <c r="D16" s="159" t="s">
        <v>1825</v>
      </c>
      <c r="E16" s="159"/>
      <c r="G16" s="149"/>
      <c r="H16" s="149"/>
    </row>
    <row r="17" spans="2:8" ht="58" x14ac:dyDescent="0.35">
      <c r="B17" s="157" t="s">
        <v>1869</v>
      </c>
      <c r="C17" s="158">
        <v>0.1</v>
      </c>
      <c r="D17" s="159" t="s">
        <v>1818</v>
      </c>
      <c r="E17" s="159"/>
      <c r="G17" s="149"/>
      <c r="H17" s="149"/>
    </row>
    <row r="20" spans="2:8" x14ac:dyDescent="0.35">
      <c r="C20" s="6">
        <f>SUM(C3:C17)</f>
        <v>10</v>
      </c>
    </row>
  </sheetData>
  <mergeCells count="1">
    <mergeCell ref="B1:E1"/>
  </mergeCells>
  <pageMargins left="0.511811024" right="0.511811024" top="0.78740157499999996" bottom="0.78740157499999996" header="0.31496062000000002" footer="0.3149606200000000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CD756-850D-40EC-BDA8-0FE35ECBE618}">
  <sheetPr codeName="Planilha40">
    <tabColor theme="7" tint="-0.249977111117893"/>
  </sheetPr>
  <dimension ref="B1:J21"/>
  <sheetViews>
    <sheetView showGridLines="0" zoomScale="90" zoomScaleNormal="90" workbookViewId="0">
      <selection activeCell="C10" sqref="C10"/>
    </sheetView>
  </sheetViews>
  <sheetFormatPr defaultRowHeight="14.5" x14ac:dyDescent="0.35"/>
  <cols>
    <col min="1" max="1" width="6.81640625" customWidth="1"/>
    <col min="2" max="2" width="31.6328125" customWidth="1"/>
    <col min="3" max="3" width="5.6328125" style="3" customWidth="1"/>
    <col min="4" max="5" width="31.6328125" customWidth="1"/>
    <col min="7" max="7" width="4.36328125" bestFit="1" customWidth="1"/>
    <col min="8" max="8" width="7.54296875" customWidth="1"/>
    <col min="9" max="9" width="27.36328125" customWidth="1"/>
    <col min="10" max="10" width="32" customWidth="1"/>
  </cols>
  <sheetData>
    <row r="1" spans="2:10" ht="17.5" x14ac:dyDescent="0.35">
      <c r="B1" s="214" t="s">
        <v>2371</v>
      </c>
      <c r="C1" s="214"/>
      <c r="D1" s="214"/>
      <c r="E1" s="214"/>
    </row>
    <row r="2" spans="2:10" x14ac:dyDescent="0.35">
      <c r="B2" s="185" t="s">
        <v>1812</v>
      </c>
      <c r="C2" s="185" t="s">
        <v>472</v>
      </c>
      <c r="D2" s="185" t="s">
        <v>1815</v>
      </c>
      <c r="E2" s="185" t="s">
        <v>1816</v>
      </c>
    </row>
    <row r="3" spans="2:10" ht="43.5" x14ac:dyDescent="0.35">
      <c r="B3" s="157" t="s">
        <v>2218</v>
      </c>
      <c r="C3" s="158">
        <v>0.3</v>
      </c>
      <c r="D3" s="159" t="s">
        <v>1841</v>
      </c>
      <c r="E3" s="159" t="s">
        <v>1873</v>
      </c>
    </row>
    <row r="4" spans="2:10" ht="29" x14ac:dyDescent="0.35">
      <c r="B4" s="154" t="s">
        <v>1257</v>
      </c>
      <c r="C4" s="156">
        <v>0.4</v>
      </c>
      <c r="D4" s="153" t="s">
        <v>1967</v>
      </c>
      <c r="E4" s="153" t="s">
        <v>1968</v>
      </c>
    </row>
    <row r="5" spans="2:10" ht="43.5" x14ac:dyDescent="0.35">
      <c r="B5" s="154" t="s">
        <v>2180</v>
      </c>
      <c r="C5" s="156">
        <v>0.4</v>
      </c>
      <c r="D5" s="153" t="s">
        <v>2181</v>
      </c>
      <c r="E5" s="153" t="s">
        <v>2312</v>
      </c>
      <c r="I5" s="149"/>
      <c r="J5" s="149"/>
    </row>
    <row r="6" spans="2:10" ht="58" x14ac:dyDescent="0.35">
      <c r="B6" s="154" t="s">
        <v>2182</v>
      </c>
      <c r="C6" s="156">
        <v>1</v>
      </c>
      <c r="D6" s="153" t="s">
        <v>2183</v>
      </c>
      <c r="E6" s="153" t="s">
        <v>2313</v>
      </c>
      <c r="I6" s="149"/>
      <c r="J6" s="149"/>
    </row>
    <row r="7" spans="2:10" ht="43.5" x14ac:dyDescent="0.35">
      <c r="B7" s="154" t="s">
        <v>2184</v>
      </c>
      <c r="C7" s="156">
        <v>1</v>
      </c>
      <c r="D7" s="153" t="s">
        <v>2185</v>
      </c>
      <c r="E7" s="153" t="s">
        <v>2314</v>
      </c>
      <c r="I7" s="149"/>
      <c r="J7" s="149"/>
    </row>
    <row r="8" spans="2:10" ht="43.5" x14ac:dyDescent="0.35">
      <c r="B8" s="154" t="s">
        <v>1796</v>
      </c>
      <c r="C8" s="156">
        <v>1</v>
      </c>
      <c r="D8" s="153" t="s">
        <v>2186</v>
      </c>
      <c r="E8" s="153" t="s">
        <v>2315</v>
      </c>
      <c r="I8" s="149"/>
      <c r="J8" s="149"/>
    </row>
    <row r="9" spans="2:10" ht="58" x14ac:dyDescent="0.35">
      <c r="B9" s="154" t="s">
        <v>1797</v>
      </c>
      <c r="C9" s="156">
        <v>1</v>
      </c>
      <c r="D9" s="153" t="s">
        <v>2187</v>
      </c>
      <c r="E9" s="153" t="s">
        <v>2302</v>
      </c>
      <c r="I9" s="149"/>
      <c r="J9" s="149"/>
    </row>
    <row r="10" spans="2:10" ht="29" x14ac:dyDescent="0.35">
      <c r="B10" s="154" t="s">
        <v>1802</v>
      </c>
      <c r="C10" s="156">
        <v>0.95</v>
      </c>
      <c r="D10" s="153" t="s">
        <v>2213</v>
      </c>
      <c r="E10" s="153" t="s">
        <v>2214</v>
      </c>
      <c r="I10" s="149"/>
      <c r="J10" s="149"/>
    </row>
    <row r="11" spans="2:10" ht="29" x14ac:dyDescent="0.35">
      <c r="B11" s="154" t="s">
        <v>1803</v>
      </c>
      <c r="C11" s="156">
        <v>0.95</v>
      </c>
      <c r="D11" s="149" t="s">
        <v>2215</v>
      </c>
      <c r="E11" s="153" t="s">
        <v>2216</v>
      </c>
      <c r="I11" s="149"/>
      <c r="J11" s="149"/>
    </row>
    <row r="12" spans="2:10" ht="43.5" x14ac:dyDescent="0.35">
      <c r="B12" s="154" t="s">
        <v>2191</v>
      </c>
      <c r="C12" s="156">
        <v>1</v>
      </c>
      <c r="D12" s="153" t="s">
        <v>2192</v>
      </c>
      <c r="E12" s="153" t="s">
        <v>2193</v>
      </c>
      <c r="I12" s="149"/>
      <c r="J12" s="149"/>
    </row>
    <row r="13" spans="2:10" ht="58" x14ac:dyDescent="0.35">
      <c r="B13" s="154" t="s">
        <v>1800</v>
      </c>
      <c r="C13" s="156">
        <v>0.95</v>
      </c>
      <c r="D13" s="153" t="s">
        <v>2194</v>
      </c>
      <c r="E13" s="153" t="s">
        <v>2318</v>
      </c>
      <c r="I13" s="149"/>
      <c r="J13" s="149"/>
    </row>
    <row r="14" spans="2:10" ht="43.5" x14ac:dyDescent="0.35">
      <c r="B14" s="157" t="s">
        <v>1826</v>
      </c>
      <c r="C14" s="158">
        <v>0.3</v>
      </c>
      <c r="D14" s="159" t="s">
        <v>1827</v>
      </c>
      <c r="E14" s="159" t="s">
        <v>1828</v>
      </c>
      <c r="I14" s="149"/>
      <c r="J14" s="149"/>
    </row>
    <row r="15" spans="2:10" ht="43.5" x14ac:dyDescent="0.35">
      <c r="B15" s="157" t="s">
        <v>1819</v>
      </c>
      <c r="C15" s="158">
        <v>0.3</v>
      </c>
      <c r="D15" s="159" t="s">
        <v>1820</v>
      </c>
      <c r="E15" s="159" t="s">
        <v>1821</v>
      </c>
      <c r="I15" s="149"/>
      <c r="J15" s="149"/>
    </row>
    <row r="16" spans="2:10" ht="58" x14ac:dyDescent="0.35">
      <c r="B16" s="157" t="s">
        <v>2310</v>
      </c>
      <c r="C16" s="158">
        <v>0.15</v>
      </c>
      <c r="D16" s="159" t="s">
        <v>1823</v>
      </c>
      <c r="E16" s="159" t="s">
        <v>2311</v>
      </c>
    </row>
    <row r="17" spans="2:5" ht="43.5" x14ac:dyDescent="0.35">
      <c r="B17" s="157" t="s">
        <v>1872</v>
      </c>
      <c r="C17" s="158">
        <v>0.2</v>
      </c>
      <c r="D17" s="159" t="s">
        <v>1825</v>
      </c>
      <c r="E17" s="159"/>
    </row>
    <row r="18" spans="2:5" ht="58" x14ac:dyDescent="0.35">
      <c r="B18" s="157" t="s">
        <v>1869</v>
      </c>
      <c r="C18" s="158">
        <v>0.1</v>
      </c>
      <c r="D18" s="159" t="s">
        <v>1818</v>
      </c>
      <c r="E18" s="159"/>
    </row>
    <row r="21" spans="2:5" x14ac:dyDescent="0.35">
      <c r="C21" s="6">
        <f>SUM(C3:C18)</f>
        <v>10</v>
      </c>
    </row>
  </sheetData>
  <mergeCells count="1">
    <mergeCell ref="B1:E1"/>
  </mergeCells>
  <pageMargins left="0.511811024" right="0.511811024" top="0.78740157499999996" bottom="0.78740157499999996" header="0.31496062000000002" footer="0.31496062000000002"/>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91684-1B94-4EE6-A6FB-43385F81796C}">
  <sheetPr codeName="Planilha41">
    <tabColor theme="7" tint="-0.249977111117893"/>
  </sheetPr>
  <dimension ref="B1:J20"/>
  <sheetViews>
    <sheetView showGridLines="0" topLeftCell="A13" zoomScale="90" zoomScaleNormal="90" workbookViewId="0">
      <selection activeCell="B17" sqref="B17"/>
    </sheetView>
  </sheetViews>
  <sheetFormatPr defaultRowHeight="14.5" x14ac:dyDescent="0.35"/>
  <cols>
    <col min="1" max="1" width="6.81640625" customWidth="1"/>
    <col min="2" max="2" width="31.6328125" customWidth="1"/>
    <col min="3" max="3" width="5.6328125" style="3" customWidth="1"/>
    <col min="4" max="5" width="31.6328125" customWidth="1"/>
    <col min="7" max="7" width="32.1796875" customWidth="1"/>
    <col min="8" max="8" width="7.54296875" customWidth="1"/>
    <col min="9" max="9" width="27.36328125" customWidth="1"/>
    <col min="10" max="10" width="32" customWidth="1"/>
  </cols>
  <sheetData>
    <row r="1" spans="2:10" ht="17.5" x14ac:dyDescent="0.35">
      <c r="B1" s="214" t="s">
        <v>2372</v>
      </c>
      <c r="C1" s="214"/>
      <c r="D1" s="214"/>
      <c r="E1" s="214"/>
    </row>
    <row r="2" spans="2:10" x14ac:dyDescent="0.35">
      <c r="B2" s="185" t="s">
        <v>1812</v>
      </c>
      <c r="C2" s="185" t="s">
        <v>472</v>
      </c>
      <c r="D2" s="185" t="s">
        <v>1815</v>
      </c>
      <c r="E2" s="185" t="s">
        <v>1816</v>
      </c>
    </row>
    <row r="3" spans="2:10" ht="43.5" x14ac:dyDescent="0.35">
      <c r="B3" s="157" t="s">
        <v>2218</v>
      </c>
      <c r="C3" s="158">
        <v>0.3</v>
      </c>
      <c r="D3" s="159" t="s">
        <v>1841</v>
      </c>
      <c r="E3" s="159" t="s">
        <v>1873</v>
      </c>
      <c r="G3" s="149"/>
      <c r="H3" s="149"/>
    </row>
    <row r="4" spans="2:10" ht="29" x14ac:dyDescent="0.35">
      <c r="B4" s="154" t="s">
        <v>1257</v>
      </c>
      <c r="C4" s="156">
        <v>0.4</v>
      </c>
      <c r="D4" s="153" t="s">
        <v>1967</v>
      </c>
      <c r="E4" s="153" t="s">
        <v>1968</v>
      </c>
      <c r="G4" s="149"/>
      <c r="H4" s="149"/>
    </row>
    <row r="5" spans="2:10" ht="43.5" x14ac:dyDescent="0.35">
      <c r="B5" s="154" t="s">
        <v>2180</v>
      </c>
      <c r="C5" s="156">
        <v>0.4</v>
      </c>
      <c r="D5" s="153" t="s">
        <v>2181</v>
      </c>
      <c r="E5" s="153" t="s">
        <v>2312</v>
      </c>
      <c r="G5" s="150"/>
      <c r="H5" s="149"/>
      <c r="I5" s="149"/>
      <c r="J5" s="149"/>
    </row>
    <row r="6" spans="2:10" ht="58" x14ac:dyDescent="0.35">
      <c r="B6" s="154" t="s">
        <v>2182</v>
      </c>
      <c r="C6" s="156">
        <v>1</v>
      </c>
      <c r="D6" s="153" t="s">
        <v>2183</v>
      </c>
      <c r="E6" s="153" t="s">
        <v>2313</v>
      </c>
      <c r="G6" s="150"/>
      <c r="H6" s="149"/>
      <c r="I6" s="149"/>
      <c r="J6" s="149"/>
    </row>
    <row r="7" spans="2:10" ht="43.5" x14ac:dyDescent="0.35">
      <c r="B7" s="154" t="s">
        <v>2184</v>
      </c>
      <c r="C7" s="156">
        <v>1</v>
      </c>
      <c r="D7" s="153" t="s">
        <v>2185</v>
      </c>
      <c r="E7" s="153" t="s">
        <v>2314</v>
      </c>
      <c r="G7" s="150"/>
      <c r="H7" s="149"/>
      <c r="I7" s="149"/>
      <c r="J7" s="149"/>
    </row>
    <row r="8" spans="2:10" ht="43.5" x14ac:dyDescent="0.35">
      <c r="B8" s="154" t="s">
        <v>1796</v>
      </c>
      <c r="C8" s="156">
        <v>1</v>
      </c>
      <c r="D8" s="153" t="s">
        <v>2186</v>
      </c>
      <c r="E8" s="153" t="s">
        <v>2315</v>
      </c>
      <c r="G8" s="150"/>
      <c r="H8" s="149"/>
      <c r="I8" s="149"/>
      <c r="J8" s="149"/>
    </row>
    <row r="9" spans="2:10" ht="58" x14ac:dyDescent="0.35">
      <c r="B9" s="154" t="s">
        <v>1797</v>
      </c>
      <c r="C9" s="156">
        <v>1.4</v>
      </c>
      <c r="D9" s="153" t="s">
        <v>2187</v>
      </c>
      <c r="E9" s="153" t="s">
        <v>2302</v>
      </c>
      <c r="G9" s="150"/>
      <c r="H9" s="149"/>
      <c r="I9" s="149"/>
      <c r="J9" s="149"/>
    </row>
    <row r="10" spans="2:10" ht="43.5" x14ac:dyDescent="0.35">
      <c r="B10" s="154" t="s">
        <v>2188</v>
      </c>
      <c r="C10" s="156">
        <v>1.45</v>
      </c>
      <c r="D10" s="153" t="s">
        <v>2189</v>
      </c>
      <c r="E10" s="153" t="s">
        <v>2316</v>
      </c>
      <c r="G10" s="150"/>
      <c r="H10" s="149"/>
      <c r="I10" s="149"/>
      <c r="J10" s="149"/>
    </row>
    <row r="11" spans="2:10" ht="58" x14ac:dyDescent="0.35">
      <c r="B11" s="154" t="s">
        <v>1808</v>
      </c>
      <c r="C11" s="156">
        <v>1</v>
      </c>
      <c r="D11" s="153" t="s">
        <v>2190</v>
      </c>
      <c r="E11" s="153" t="s">
        <v>2317</v>
      </c>
      <c r="G11" s="150"/>
      <c r="H11" s="149"/>
      <c r="I11" s="149"/>
      <c r="J11" s="149"/>
    </row>
    <row r="12" spans="2:10" ht="43.5" x14ac:dyDescent="0.35">
      <c r="B12" s="154" t="s">
        <v>2191</v>
      </c>
      <c r="C12" s="156">
        <v>1</v>
      </c>
      <c r="D12" s="153" t="s">
        <v>2192</v>
      </c>
      <c r="E12" s="153" t="s">
        <v>2303</v>
      </c>
      <c r="G12" s="150"/>
      <c r="H12" s="149"/>
      <c r="I12" s="149"/>
      <c r="J12" s="149"/>
    </row>
    <row r="13" spans="2:10" ht="43.5" x14ac:dyDescent="0.35">
      <c r="B13" s="157" t="s">
        <v>1826</v>
      </c>
      <c r="C13" s="158">
        <v>0.3</v>
      </c>
      <c r="D13" s="159" t="s">
        <v>1827</v>
      </c>
      <c r="E13" s="159" t="s">
        <v>1828</v>
      </c>
      <c r="G13" s="150"/>
      <c r="H13" s="149"/>
      <c r="I13" s="149"/>
      <c r="J13" s="149"/>
    </row>
    <row r="14" spans="2:10" ht="43.5" x14ac:dyDescent="0.35">
      <c r="B14" s="157" t="s">
        <v>1819</v>
      </c>
      <c r="C14" s="158">
        <v>0.3</v>
      </c>
      <c r="D14" s="159" t="s">
        <v>1820</v>
      </c>
      <c r="E14" s="159" t="s">
        <v>1821</v>
      </c>
      <c r="G14" s="150"/>
      <c r="H14" s="149"/>
      <c r="I14" s="149"/>
      <c r="J14" s="149"/>
    </row>
    <row r="15" spans="2:10" ht="58" x14ac:dyDescent="0.35">
      <c r="B15" s="157" t="s">
        <v>2310</v>
      </c>
      <c r="C15" s="158">
        <v>0.15</v>
      </c>
      <c r="D15" s="159" t="s">
        <v>1823</v>
      </c>
      <c r="E15" s="159" t="s">
        <v>2311</v>
      </c>
      <c r="G15" s="149"/>
      <c r="H15" s="149"/>
    </row>
    <row r="16" spans="2:10" ht="43.5" x14ac:dyDescent="0.35">
      <c r="B16" s="157" t="s">
        <v>1872</v>
      </c>
      <c r="C16" s="158">
        <v>0.2</v>
      </c>
      <c r="D16" s="159" t="s">
        <v>1825</v>
      </c>
      <c r="E16" s="159"/>
      <c r="G16" s="149"/>
      <c r="H16" s="149"/>
    </row>
    <row r="17" spans="2:8" ht="58" x14ac:dyDescent="0.35">
      <c r="B17" s="157" t="s">
        <v>1869</v>
      </c>
      <c r="C17" s="158">
        <v>0.1</v>
      </c>
      <c r="D17" s="159" t="s">
        <v>1818</v>
      </c>
      <c r="E17" s="159"/>
      <c r="G17" s="149"/>
      <c r="H17" s="149"/>
    </row>
    <row r="20" spans="2:8" x14ac:dyDescent="0.35">
      <c r="C20" s="6">
        <f>SUM(C3:C17)</f>
        <v>10</v>
      </c>
    </row>
  </sheetData>
  <mergeCells count="1">
    <mergeCell ref="B1:E1"/>
  </mergeCells>
  <pageMargins left="0.511811024" right="0.511811024" top="0.78740157499999996" bottom="0.78740157499999996" header="0.31496062000000002" footer="0.31496062000000002"/>
  <pageSetup paperSize="9" orientation="landscape"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6078F-28B5-4832-893B-0A518F3BA95F}">
  <sheetPr codeName="Planilha43">
    <tabColor rgb="FF002060"/>
  </sheetPr>
  <dimension ref="B1:K13"/>
  <sheetViews>
    <sheetView showGridLines="0" tabSelected="1" zoomScale="90" zoomScaleNormal="90" workbookViewId="0">
      <selection activeCell="G8" sqref="G8"/>
    </sheetView>
  </sheetViews>
  <sheetFormatPr defaultRowHeight="14.5" x14ac:dyDescent="0.35"/>
  <cols>
    <col min="1" max="1" width="6.81640625" customWidth="1"/>
    <col min="2" max="2" width="31.6328125" customWidth="1"/>
    <col min="3" max="3" width="5.6328125" style="3" customWidth="1"/>
    <col min="4" max="5" width="31.6328125" customWidth="1"/>
    <col min="7" max="7" width="36.54296875" customWidth="1"/>
    <col min="8" max="8" width="3.453125" bestFit="1" customWidth="1"/>
    <col min="9" max="10" width="32.1796875" customWidth="1"/>
    <col min="11" max="11" width="23.90625" customWidth="1"/>
  </cols>
  <sheetData>
    <row r="1" spans="2:11" ht="17.5" x14ac:dyDescent="0.35">
      <c r="B1" s="209" t="s">
        <v>2363</v>
      </c>
      <c r="C1" s="209"/>
      <c r="D1" s="209"/>
      <c r="E1" s="209"/>
    </row>
    <row r="2" spans="2:11" x14ac:dyDescent="0.35">
      <c r="B2" s="185" t="s">
        <v>1812</v>
      </c>
      <c r="C2" s="185" t="s">
        <v>472</v>
      </c>
      <c r="D2" s="185" t="s">
        <v>1815</v>
      </c>
      <c r="E2" s="185" t="s">
        <v>1816</v>
      </c>
    </row>
    <row r="3" spans="2:11" ht="43.5" x14ac:dyDescent="0.35">
      <c r="B3" s="154" t="s">
        <v>2217</v>
      </c>
      <c r="C3" s="158">
        <v>0.3</v>
      </c>
      <c r="D3" s="159" t="s">
        <v>1841</v>
      </c>
      <c r="E3" s="159" t="s">
        <v>2305</v>
      </c>
      <c r="G3" s="150"/>
      <c r="H3" s="149"/>
      <c r="I3" s="149"/>
      <c r="J3" s="149"/>
    </row>
    <row r="4" spans="2:11" ht="43.5" x14ac:dyDescent="0.35">
      <c r="B4" s="154" t="s">
        <v>1317</v>
      </c>
      <c r="C4" s="156">
        <v>1.3</v>
      </c>
      <c r="D4" s="153" t="s">
        <v>2093</v>
      </c>
      <c r="E4" s="153"/>
      <c r="G4" s="150"/>
      <c r="H4" s="149"/>
      <c r="I4" s="149"/>
      <c r="J4" s="149"/>
    </row>
    <row r="5" spans="2:11" ht="43.5" x14ac:dyDescent="0.35">
      <c r="B5" s="154" t="s">
        <v>2094</v>
      </c>
      <c r="C5" s="156">
        <v>1.3</v>
      </c>
      <c r="D5" s="153" t="s">
        <v>2095</v>
      </c>
      <c r="E5" s="153"/>
      <c r="G5" s="150"/>
      <c r="H5" s="149"/>
      <c r="I5" s="149"/>
      <c r="J5" s="149"/>
    </row>
    <row r="6" spans="2:11" ht="58" x14ac:dyDescent="0.35">
      <c r="B6" s="154" t="s">
        <v>1319</v>
      </c>
      <c r="C6" s="156">
        <v>1.4</v>
      </c>
      <c r="D6" s="153" t="s">
        <v>2096</v>
      </c>
      <c r="E6" s="153"/>
      <c r="G6" s="150"/>
      <c r="H6" s="149"/>
      <c r="I6" s="149"/>
      <c r="J6" s="149"/>
      <c r="K6" s="148"/>
    </row>
    <row r="7" spans="2:11" ht="43.5" x14ac:dyDescent="0.35">
      <c r="B7" s="154" t="s">
        <v>2325</v>
      </c>
      <c r="C7" s="156">
        <v>1.3</v>
      </c>
      <c r="D7" s="153" t="s">
        <v>2097</v>
      </c>
      <c r="E7" s="176" t="s">
        <v>2326</v>
      </c>
      <c r="G7" s="150"/>
      <c r="H7" s="149"/>
      <c r="I7" s="149"/>
      <c r="J7" s="149"/>
      <c r="K7" s="149"/>
    </row>
    <row r="8" spans="2:11" ht="58" x14ac:dyDescent="0.35">
      <c r="B8" s="154" t="s">
        <v>1320</v>
      </c>
      <c r="C8" s="156">
        <v>1.4</v>
      </c>
      <c r="D8" s="153" t="s">
        <v>2098</v>
      </c>
      <c r="E8" s="153" t="s">
        <v>2327</v>
      </c>
      <c r="G8" s="150"/>
      <c r="H8" s="149"/>
      <c r="I8" s="149"/>
      <c r="J8" s="149"/>
      <c r="K8" s="149"/>
    </row>
    <row r="9" spans="2:11" ht="58" x14ac:dyDescent="0.35">
      <c r="B9" s="154" t="s">
        <v>1321</v>
      </c>
      <c r="C9" s="156">
        <v>1.4</v>
      </c>
      <c r="D9" s="153" t="s">
        <v>2099</v>
      </c>
      <c r="E9" s="153"/>
      <c r="G9" s="150"/>
      <c r="H9" s="149"/>
      <c r="I9" s="149"/>
      <c r="J9" s="149"/>
      <c r="K9" s="149"/>
    </row>
    <row r="10" spans="2:11" ht="43.5" x14ac:dyDescent="0.35">
      <c r="B10" s="154" t="s">
        <v>2102</v>
      </c>
      <c r="C10" s="156">
        <v>1.3</v>
      </c>
      <c r="D10" s="153" t="s">
        <v>2100</v>
      </c>
      <c r="E10" s="176" t="s">
        <v>2351</v>
      </c>
      <c r="G10" s="150"/>
      <c r="H10" s="149"/>
      <c r="I10" s="149"/>
      <c r="J10" s="149"/>
      <c r="K10" s="149"/>
    </row>
    <row r="11" spans="2:11" ht="43.5" x14ac:dyDescent="0.35">
      <c r="B11" s="154" t="s">
        <v>1323</v>
      </c>
      <c r="C11" s="158">
        <v>0.3</v>
      </c>
      <c r="D11" s="153" t="s">
        <v>2101</v>
      </c>
      <c r="E11" s="153"/>
      <c r="G11" s="150"/>
      <c r="H11" s="149"/>
      <c r="I11" s="149"/>
      <c r="J11" s="149"/>
      <c r="K11" s="149"/>
    </row>
    <row r="13" spans="2:11" x14ac:dyDescent="0.35">
      <c r="C13" s="6">
        <f>SUM(C3:C11)</f>
        <v>10.000000000000002</v>
      </c>
    </row>
  </sheetData>
  <mergeCells count="1">
    <mergeCell ref="B1:E1"/>
  </mergeCells>
  <pageMargins left="0.511811024" right="0.511811024" top="0.78740157499999996" bottom="0.78740157499999996" header="0.31496062000000002" footer="0.31496062000000002"/>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304163-DE19-4C97-AABE-8B8D7361CC2B}">
  <sheetPr codeName="Planilha42">
    <tabColor rgb="FFFF7979"/>
  </sheetPr>
  <dimension ref="B1:G16"/>
  <sheetViews>
    <sheetView showGridLines="0" topLeftCell="A10" workbookViewId="0">
      <selection activeCell="D14" sqref="D14"/>
    </sheetView>
  </sheetViews>
  <sheetFormatPr defaultRowHeight="14.5" x14ac:dyDescent="0.35"/>
  <cols>
    <col min="1" max="1" width="6.81640625" customWidth="1"/>
    <col min="2" max="2" width="31.6328125" customWidth="1"/>
    <col min="3" max="3" width="5.6328125" style="3" customWidth="1"/>
    <col min="4" max="5" width="31.6328125" customWidth="1"/>
    <col min="7" max="7" width="41.36328125" customWidth="1"/>
    <col min="8" max="8" width="4.453125" bestFit="1" customWidth="1"/>
    <col min="9" max="9" width="31" customWidth="1"/>
    <col min="10" max="10" width="37.08984375" customWidth="1"/>
    <col min="11" max="11" width="22.6328125" customWidth="1"/>
  </cols>
  <sheetData>
    <row r="1" spans="2:7" ht="17.5" x14ac:dyDescent="0.35">
      <c r="B1" s="209" t="s">
        <v>2364</v>
      </c>
      <c r="C1" s="209"/>
      <c r="D1" s="209"/>
      <c r="E1" s="209"/>
    </row>
    <row r="2" spans="2:7" x14ac:dyDescent="0.35">
      <c r="B2" s="185" t="s">
        <v>1812</v>
      </c>
      <c r="C2" s="185" t="s">
        <v>472</v>
      </c>
      <c r="D2" s="185" t="s">
        <v>1815</v>
      </c>
      <c r="E2" s="185" t="s">
        <v>1816</v>
      </c>
    </row>
    <row r="3" spans="2:7" ht="43.5" x14ac:dyDescent="0.35">
      <c r="B3" s="157" t="s">
        <v>2304</v>
      </c>
      <c r="C3" s="158">
        <v>0.3</v>
      </c>
      <c r="D3" s="159" t="s">
        <v>1841</v>
      </c>
      <c r="E3" s="159" t="s">
        <v>2305</v>
      </c>
      <c r="G3" s="149"/>
    </row>
    <row r="4" spans="2:7" ht="87" x14ac:dyDescent="0.35">
      <c r="B4" s="154" t="s">
        <v>1779</v>
      </c>
      <c r="C4" s="158">
        <v>0.5</v>
      </c>
      <c r="D4" s="153" t="s">
        <v>2074</v>
      </c>
      <c r="E4" s="153" t="s">
        <v>2307</v>
      </c>
    </row>
    <row r="5" spans="2:7" ht="43.5" x14ac:dyDescent="0.35">
      <c r="B5" s="154" t="s">
        <v>2075</v>
      </c>
      <c r="C5" s="158">
        <v>1</v>
      </c>
      <c r="D5" s="153" t="s">
        <v>2076</v>
      </c>
      <c r="E5" s="153"/>
    </row>
    <row r="6" spans="2:7" ht="29" x14ac:dyDescent="0.35">
      <c r="B6" s="154" t="s">
        <v>2077</v>
      </c>
      <c r="C6" s="158">
        <v>0.4</v>
      </c>
      <c r="D6" s="153" t="s">
        <v>2078</v>
      </c>
      <c r="E6" s="153" t="s">
        <v>2306</v>
      </c>
    </row>
    <row r="7" spans="2:7" ht="43.5" x14ac:dyDescent="0.35">
      <c r="B7" s="154" t="s">
        <v>1781</v>
      </c>
      <c r="C7" s="158">
        <v>1.3</v>
      </c>
      <c r="D7" s="153" t="s">
        <v>2079</v>
      </c>
      <c r="E7" s="153" t="s">
        <v>2308</v>
      </c>
    </row>
    <row r="8" spans="2:7" ht="116" x14ac:dyDescent="0.35">
      <c r="B8" s="154" t="s">
        <v>2080</v>
      </c>
      <c r="C8" s="158">
        <v>1.3</v>
      </c>
      <c r="D8" s="153" t="s">
        <v>2081</v>
      </c>
      <c r="E8" s="153" t="s">
        <v>2309</v>
      </c>
    </row>
    <row r="9" spans="2:7" ht="43.5" x14ac:dyDescent="0.35">
      <c r="B9" s="154" t="s">
        <v>1783</v>
      </c>
      <c r="C9" s="158">
        <v>2</v>
      </c>
      <c r="D9" s="153" t="s">
        <v>2082</v>
      </c>
      <c r="E9" s="153"/>
    </row>
    <row r="10" spans="2:7" ht="43.5" x14ac:dyDescent="0.35">
      <c r="B10" s="154" t="s">
        <v>2083</v>
      </c>
      <c r="C10" s="158">
        <v>2</v>
      </c>
      <c r="D10" s="153" t="s">
        <v>2084</v>
      </c>
      <c r="E10" s="153"/>
    </row>
    <row r="11" spans="2:7" ht="43.5" x14ac:dyDescent="0.35">
      <c r="B11" s="154" t="s">
        <v>2085</v>
      </c>
      <c r="C11" s="158">
        <v>0.3</v>
      </c>
      <c r="D11" s="153" t="s">
        <v>2086</v>
      </c>
      <c r="E11" s="153"/>
    </row>
    <row r="12" spans="2:7" ht="43.5" x14ac:dyDescent="0.35">
      <c r="B12" s="157" t="s">
        <v>1826</v>
      </c>
      <c r="C12" s="158">
        <v>0.3</v>
      </c>
      <c r="D12" s="153" t="s">
        <v>2087</v>
      </c>
      <c r="E12" s="153" t="s">
        <v>2088</v>
      </c>
    </row>
    <row r="13" spans="2:7" ht="43.5" x14ac:dyDescent="0.35">
      <c r="B13" s="154" t="s">
        <v>2089</v>
      </c>
      <c r="C13" s="158">
        <v>0.3</v>
      </c>
      <c r="D13" s="153" t="s">
        <v>2090</v>
      </c>
      <c r="E13" s="153"/>
    </row>
    <row r="14" spans="2:7" ht="43.5" x14ac:dyDescent="0.35">
      <c r="B14" s="154" t="s">
        <v>2091</v>
      </c>
      <c r="C14" s="156">
        <v>0.3</v>
      </c>
      <c r="D14" s="153" t="s">
        <v>2092</v>
      </c>
      <c r="E14" s="153"/>
    </row>
    <row r="16" spans="2:7" x14ac:dyDescent="0.35">
      <c r="C16" s="6">
        <f>SUM(C3:C14)</f>
        <v>10.000000000000004</v>
      </c>
    </row>
  </sheetData>
  <mergeCells count="1">
    <mergeCell ref="B1:E1"/>
  </mergeCells>
  <pageMargins left="0.511811024" right="0.511811024" top="0.78740157499999996" bottom="0.78740157499999996" header="0.31496062000000002" footer="0.3149606200000000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7415245d-5905-4390-915a-568738a76d8e">
      <Terms xmlns="http://schemas.microsoft.com/office/infopath/2007/PartnerControls"/>
    </lcf76f155ced4ddcb4097134ff3c332f>
    <TaxCatchAll xmlns="cd70928c-e647-45dc-b8ce-8e50a468dfb1"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0D9BFE09EE06A441886DDA3E2B19200C" ma:contentTypeVersion="47" ma:contentTypeDescription="Crie um novo documento." ma:contentTypeScope="" ma:versionID="8cf1c6700562b1ef8277d3867bf2bd22">
  <xsd:schema xmlns:xsd="http://www.w3.org/2001/XMLSchema" xmlns:xs="http://www.w3.org/2001/XMLSchema" xmlns:p="http://schemas.microsoft.com/office/2006/metadata/properties" xmlns:ns2="7415245d-5905-4390-915a-568738a76d8e" xmlns:ns3="cd70928c-e647-45dc-b8ce-8e50a468dfb1" targetNamespace="http://schemas.microsoft.com/office/2006/metadata/properties" ma:root="true" ma:fieldsID="6c240b9e9204822cdfcf6eeaff6037be" ns2:_="" ns3:_="">
    <xsd:import namespace="7415245d-5905-4390-915a-568738a76d8e"/>
    <xsd:import namespace="cd70928c-e647-45dc-b8ce-8e50a468dfb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Tags" minOccurs="0"/>
                <xsd:element ref="ns2:MediaServiceOCR" minOccurs="0"/>
                <xsd:element ref="ns2:MediaServiceObjectDetectorVersions" minOccurs="0"/>
                <xsd:element ref="ns2:MediaServiceSearchProperties" minOccurs="0"/>
                <xsd:element ref="ns2:MediaServiceDateTaken" minOccurs="0"/>
                <xsd:element ref="ns2:lcf76f155ced4ddcb4097134ff3c332f" minOccurs="0"/>
                <xsd:element ref="ns3:TaxCatchAll"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415245d-5905-4390-915a-568738a76d8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MediaServiceDateTaken" ma:index="16" nillable="true" ma:displayName="MediaServiceDateTaken" ma:hidden="true" ma:indexed="true" ma:internalName="MediaServiceDateTaken" ma:readOnly="true">
      <xsd:simpleType>
        <xsd:restriction base="dms:Text"/>
      </xsd:simpleType>
    </xsd:element>
    <xsd:element name="lcf76f155ced4ddcb4097134ff3c332f" ma:index="18" nillable="true" ma:taxonomy="true" ma:internalName="lcf76f155ced4ddcb4097134ff3c332f" ma:taxonomyFieldName="MediaServiceImageTags" ma:displayName="Marcações de imagem" ma:readOnly="false" ma:fieldId="{5cf76f15-5ced-4ddc-b409-7134ff3c332f}" ma:taxonomyMulti="true" ma:sspId="25d12b8c-8a39-468e-b87e-584ade2400df" ma:termSetId="09814cd3-568e-fe90-9814-8d621ff8fb84" ma:anchorId="fba54fb3-c3e1-fe81-a776-ca4b69148c4d" ma:open="true" ma:isKeyword="false">
      <xsd:complexType>
        <xsd:sequence>
          <xsd:element ref="pc:Terms" minOccurs="0" maxOccurs="1"/>
        </xsd:sequence>
      </xsd:complex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LengthInSeconds" ma:index="22"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cd70928c-e647-45dc-b8ce-8e50a468dfb1" elementFormDefault="qualified">
    <xsd:import namespace="http://schemas.microsoft.com/office/2006/documentManagement/types"/>
    <xsd:import namespace="http://schemas.microsoft.com/office/infopath/2007/PartnerControls"/>
    <xsd:element name="SharedWithUsers" ma:index="10"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Detalhes de Compartilhado Com" ma:internalName="SharedWithDetails" ma:readOnly="true">
      <xsd:simpleType>
        <xsd:restriction base="dms:Note">
          <xsd:maxLength value="255"/>
        </xsd:restriction>
      </xsd:simpleType>
    </xsd:element>
    <xsd:element name="TaxCatchAll" ma:index="19" nillable="true" ma:displayName="Taxonomy Catch All Column" ma:hidden="true" ma:list="{3623710e-79e4-4c5e-aebe-9032ed26583d}" ma:internalName="TaxCatchAll" ma:showField="CatchAllData" ma:web="cd70928c-e647-45dc-b8ce-8e50a468dfb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BF77792-FE49-4781-B176-1B15056F66A3}">
  <ds:schemaRefs>
    <ds:schemaRef ds:uri="http://schemas.microsoft.com/office/2006/documentManagement/types"/>
    <ds:schemaRef ds:uri="7415245d-5905-4390-915a-568738a76d8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http://purl.org/dc/terms/"/>
    <ds:schemaRef ds:uri="cd70928c-e647-45dc-b8ce-8e50a468dfb1"/>
    <ds:schemaRef ds:uri="http://www.w3.org/XML/1998/namespace"/>
    <ds:schemaRef ds:uri="http://purl.org/dc/dcmitype/"/>
  </ds:schemaRefs>
</ds:datastoreItem>
</file>

<file path=customXml/itemProps2.xml><?xml version="1.0" encoding="utf-8"?>
<ds:datastoreItem xmlns:ds="http://schemas.openxmlformats.org/officeDocument/2006/customXml" ds:itemID="{4F8A1D18-10AC-41D0-8941-C11683AEA5A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415245d-5905-4390-915a-568738a76d8e"/>
    <ds:schemaRef ds:uri="cd70928c-e647-45dc-b8ce-8e50a468dfb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06BD1E6-2BC5-42FB-BD70-310CFAA1E86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56</vt:i4>
      </vt:variant>
      <vt:variant>
        <vt:lpstr>Intervalos Nomeados</vt:lpstr>
      </vt:variant>
      <vt:variant>
        <vt:i4>1</vt:i4>
      </vt:variant>
    </vt:vector>
  </HeadingPairs>
  <TitlesOfParts>
    <vt:vector size="57" baseType="lpstr">
      <vt:lpstr>Consulta</vt:lpstr>
      <vt:lpstr>Auditoria</vt:lpstr>
      <vt:lpstr>BD</vt:lpstr>
      <vt:lpstr>BD Campos</vt:lpstr>
      <vt:lpstr>Pesos</vt:lpstr>
      <vt:lpstr>Prioritario</vt:lpstr>
      <vt:lpstr>Sensores</vt:lpstr>
      <vt:lpstr>Posição</vt:lpstr>
      <vt:lpstr>Parada</vt:lpstr>
      <vt:lpstr>Desvio</vt:lpstr>
      <vt:lpstr>Apoio</vt:lpstr>
      <vt:lpstr>Policial</vt:lpstr>
      <vt:lpstr>Receptiva</vt:lpstr>
      <vt:lpstr>C.Prioritario</vt:lpstr>
      <vt:lpstr>C.Posição</vt:lpstr>
      <vt:lpstr>C.Parada</vt:lpstr>
      <vt:lpstr>C.Desvio</vt:lpstr>
      <vt:lpstr>Antecedente</vt:lpstr>
      <vt:lpstr>Impedimento</vt:lpstr>
      <vt:lpstr>Loss Tree</vt:lpstr>
      <vt:lpstr>Devolução</vt:lpstr>
      <vt:lpstr>Atuação</vt:lpstr>
      <vt:lpstr>Cabinets</vt:lpstr>
      <vt:lpstr>Distribuição</vt:lpstr>
      <vt:lpstr>Recolha</vt:lpstr>
      <vt:lpstr>Cont.Temp</vt:lpstr>
      <vt:lpstr>Cont.Temp .Clien</vt:lpstr>
      <vt:lpstr>Desl.Temp</vt:lpstr>
      <vt:lpstr>Desl.Temp.Clien</vt:lpstr>
      <vt:lpstr>Atr.Entrega.Clien</vt:lpstr>
      <vt:lpstr>Ativação AE.Clien</vt:lpstr>
      <vt:lpstr>Estadia</vt:lpstr>
      <vt:lpstr>Atraso</vt:lpstr>
      <vt:lpstr>Inicio.Deep</vt:lpstr>
      <vt:lpstr>Velocidade</vt:lpstr>
      <vt:lpstr>Parada Indevida Logística</vt:lpstr>
      <vt:lpstr>Desvio de Rota Logística </vt:lpstr>
      <vt:lpstr>Atraso.Emissão</vt:lpstr>
      <vt:lpstr>Cobrança.OS</vt:lpstr>
      <vt:lpstr>Chamado</vt:lpstr>
      <vt:lpstr>Conf.Valorização</vt:lpstr>
      <vt:lpstr>Fusion.ForadaEntrega</vt:lpstr>
      <vt:lpstr>Fusion.Devolução</vt:lpstr>
      <vt:lpstr>Posição em Atraso Logística</vt:lpstr>
      <vt:lpstr>Taborda</vt:lpstr>
      <vt:lpstr>Atraso no Início de Viagem</vt:lpstr>
      <vt:lpstr>Atraso no Início de Viagem.Clie</vt:lpstr>
      <vt:lpstr>Viagem sem Espelhamento</vt:lpstr>
      <vt:lpstr>Perda de Posição.Clien</vt:lpstr>
      <vt:lpstr>Parada Excessiva</vt:lpstr>
      <vt:lpstr>Parada Excessiva.Clien</vt:lpstr>
      <vt:lpstr>Monitoramento I</vt:lpstr>
      <vt:lpstr>Monitoramento II</vt:lpstr>
      <vt:lpstr>Logística Reversa</vt:lpstr>
      <vt:lpstr>Receptivo</vt:lpstr>
      <vt:lpstr>Checklist</vt:lpstr>
      <vt:lpstr>Auditoria!Area_de_impressao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AUDITORIA DE QUALIDADE - UNIFICADO</dc:title>
  <dc:subject/>
  <dc:creator>Peterson Ferreira</dc:creator>
  <cp:keywords/>
  <dc:description/>
  <cp:lastModifiedBy>Fatima de Jesus Gutierrez</cp:lastModifiedBy>
  <cp:revision/>
  <cp:lastPrinted>2026-03-23T19:40:17Z</cp:lastPrinted>
  <dcterms:created xsi:type="dcterms:W3CDTF">2017-02-09T05:49:18Z</dcterms:created>
  <dcterms:modified xsi:type="dcterms:W3CDTF">2026-04-24T13:40:05Z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0x0101000D9BFE09EE06A441886DDA3E2B19200C</vt:lpwstr>
  </property>
  <property fmtid="{D5CDD505-2E9C-101B-9397-08002B2CF9AE}" pid="3" name="MediaServiceImageTags">
    <vt:lpwstr/>
  </property>
</Properties>
</file>